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85c3ccec47ed45af/Asus PC/0. DX Projects/260221 Wedge Monitoring 프로그램/"/>
    </mc:Choice>
  </mc:AlternateContent>
  <xr:revisionPtr revIDLastSave="1" documentId="8_{EB269041-AB62-457F-B5FD-31C0A5B38FD8}" xr6:coauthVersionLast="47" xr6:coauthVersionMax="47" xr10:uidLastSave="{95630BCE-EAED-4364-8A0B-508C7F818814}"/>
  <bookViews>
    <workbookView xWindow="-120" yWindow="-120" windowWidth="29040" windowHeight="15720" xr2:uid="{74EF0F7E-2C11-4EAC-88B9-06A05D48CD4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C8" i="1" l="1"/>
  <c r="BB8" i="1"/>
  <c r="BA8" i="1"/>
  <c r="AY8" i="1"/>
  <c r="AN8" i="1"/>
  <c r="AI8" i="1"/>
  <c r="AD8" i="1"/>
  <c r="AE8" i="1" s="1"/>
  <c r="AC8" i="1"/>
  <c r="AB8" i="1"/>
  <c r="AA8" i="1"/>
  <c r="X8" i="1"/>
  <c r="W8" i="1"/>
  <c r="S8" i="1"/>
  <c r="BD7" i="1"/>
  <c r="BC7" i="1"/>
  <c r="BB7" i="1"/>
  <c r="BA7" i="1"/>
  <c r="AY7" i="1"/>
  <c r="AN7" i="1"/>
  <c r="AI7" i="1"/>
  <c r="AD7" i="1"/>
  <c r="AB7" i="1" s="1"/>
  <c r="AA7" i="1"/>
  <c r="W7" i="1"/>
  <c r="S7" i="1"/>
  <c r="BC6" i="1"/>
  <c r="BB6" i="1"/>
  <c r="BA6" i="1"/>
  <c r="AN6" i="1"/>
  <c r="AI6" i="1"/>
  <c r="AD6" i="1"/>
  <c r="AE6" i="1" s="1"/>
  <c r="AC6" i="1"/>
  <c r="Z6" i="1"/>
  <c r="Y6" i="1"/>
  <c r="S6" i="1"/>
  <c r="BC5" i="1"/>
  <c r="BB5" i="1"/>
  <c r="BA5" i="1"/>
  <c r="AY5" i="1"/>
  <c r="AN5" i="1"/>
  <c r="AI5" i="1"/>
  <c r="AD5" i="1"/>
  <c r="AE5" i="1" s="1"/>
  <c r="AC5" i="1"/>
  <c r="Z5" i="1"/>
  <c r="AB5" i="1" s="1"/>
  <c r="X5" i="1"/>
  <c r="W5" i="1"/>
  <c r="S5" i="1"/>
  <c r="S4" i="1"/>
  <c r="W4" i="1"/>
  <c r="AC4" i="1"/>
  <c r="AD4" i="1"/>
  <c r="X4" i="1" s="1"/>
  <c r="AI4" i="1"/>
  <c r="AN4" i="1"/>
  <c r="AY4" i="1"/>
  <c r="BA4" i="1"/>
  <c r="BB4" i="1"/>
  <c r="BC4" i="1"/>
  <c r="BD4" i="1"/>
  <c r="BT4" i="1"/>
  <c r="BU4" i="1"/>
  <c r="BV4" i="1"/>
  <c r="BX4" i="1"/>
  <c r="AG6" i="1" l="1"/>
  <c r="AH6" i="1" s="1"/>
  <c r="AO6" i="1" s="1"/>
  <c r="AP6" i="1" s="1"/>
  <c r="AL6" i="1"/>
  <c r="AK6" i="1"/>
  <c r="AJ6" i="1"/>
  <c r="AK8" i="1"/>
  <c r="AJ8" i="1"/>
  <c r="AG8" i="1"/>
  <c r="AH8" i="1" s="1"/>
  <c r="AO8" i="1" s="1"/>
  <c r="AP8" i="1" s="1"/>
  <c r="AL8" i="1"/>
  <c r="BD8" i="1"/>
  <c r="BE8" i="1" s="1"/>
  <c r="BF8" i="1" s="1"/>
  <c r="AE7" i="1"/>
  <c r="BD6" i="1"/>
  <c r="BE6" i="1" s="1"/>
  <c r="BF6" i="1" s="1"/>
  <c r="X7" i="1"/>
  <c r="AE4" i="1"/>
  <c r="AL5" i="1"/>
  <c r="AK5" i="1"/>
  <c r="AJ5" i="1"/>
  <c r="AG5" i="1"/>
  <c r="AH5" i="1" s="1"/>
  <c r="AO5" i="1" s="1"/>
  <c r="AP5" i="1" s="1"/>
  <c r="AA5" i="1"/>
  <c r="BD5" i="1"/>
  <c r="BW4" i="1"/>
  <c r="AJ4" i="1"/>
  <c r="AL4" i="1"/>
  <c r="BG6" i="1" l="1"/>
  <c r="BG8" i="1"/>
  <c r="BH8" i="1"/>
  <c r="AK7" i="1"/>
  <c r="BE7" i="1" s="1"/>
  <c r="BF7" i="1" s="1"/>
  <c r="AG7" i="1"/>
  <c r="AH7" i="1" s="1"/>
  <c r="AO7" i="1" s="1"/>
  <c r="AP7" i="1" s="1"/>
  <c r="AL7" i="1"/>
  <c r="AJ7" i="1"/>
  <c r="BE5" i="1"/>
  <c r="BF5" i="1" s="1"/>
  <c r="AK4" i="1"/>
  <c r="AG4" i="1"/>
  <c r="AH4" i="1" s="1"/>
  <c r="AO4" i="1" s="1"/>
  <c r="AP4" i="1" s="1"/>
  <c r="BM5" i="1"/>
  <c r="BN5" i="1" s="1"/>
  <c r="BL5" i="1"/>
  <c r="BG7" i="1" l="1"/>
  <c r="BI8" i="1"/>
  <c r="BH6" i="1"/>
  <c r="BI6" i="1" s="1"/>
  <c r="BG5" i="1"/>
  <c r="BH5" i="1" s="1"/>
  <c r="BI5" i="1" s="1"/>
  <c r="BE4" i="1"/>
  <c r="BF4" i="1" s="1"/>
  <c r="BG4" i="1" s="1"/>
  <c r="BY4" i="1"/>
  <c r="BZ4" i="1" s="1"/>
  <c r="BH4" i="1"/>
  <c r="BI4" i="1" s="1"/>
  <c r="BH7" i="1" l="1"/>
  <c r="BI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Chuck Butler</author>
    <author>Butler, Chuck</author>
    <author>tc={E5A99871-930E-4417-BCF4-7763982B3D9D}</author>
    <author>Weiss, Kevin</author>
  </authors>
  <commentList>
    <comment ref="G3" authorId="0" shapeId="0" xr:uid="{F42B2E75-BB70-4ABC-A13A-9F0E1A2187AA}">
      <text>
        <r>
          <rPr>
            <b/>
            <sz val="9"/>
            <color indexed="81"/>
            <rFont val="Tahoma"/>
            <family val="2"/>
          </rPr>
          <t>Chuck Butler:</t>
        </r>
        <r>
          <rPr>
            <sz val="9"/>
            <color indexed="81"/>
            <rFont val="Tahoma"/>
            <family val="2"/>
          </rPr>
          <t xml:space="preserve">
xxH - winding direction limitation
xxS - +10 m roll length allowance (</t>
        </r>
        <r>
          <rPr>
            <u/>
            <sz val="9"/>
            <color indexed="81"/>
            <rFont val="Tahoma"/>
            <family val="2"/>
          </rPr>
          <t>acoustic</t>
        </r>
        <r>
          <rPr>
            <sz val="9"/>
            <color indexed="81"/>
            <rFont val="Tahoma"/>
            <family val="2"/>
          </rPr>
          <t xml:space="preserve"> long rolls)
xxT - +8 m roll length allowance (</t>
        </r>
        <r>
          <rPr>
            <u/>
            <sz val="9"/>
            <color indexed="81"/>
            <rFont val="Tahoma"/>
            <family val="2"/>
          </rPr>
          <t>acoustic</t>
        </r>
        <r>
          <rPr>
            <sz val="9"/>
            <color indexed="81"/>
            <rFont val="Tahoma"/>
            <family val="2"/>
          </rPr>
          <t xml:space="preserve"> short rolls)
</t>
        </r>
        <r>
          <rPr>
            <strike/>
            <sz val="9"/>
            <color indexed="81"/>
            <rFont val="Tahoma"/>
            <family val="2"/>
          </rPr>
          <t>W10xx = F1 clear monolayer
W11xx = F1 shadeband monolayer
W12xx = F1 clear acoustic
W13xx = F1 shadeband acoustic</t>
        </r>
        <r>
          <rPr>
            <sz val="9"/>
            <color indexed="81"/>
            <rFont val="Tahoma"/>
            <family val="2"/>
          </rPr>
          <t xml:space="preserve">
</t>
        </r>
        <r>
          <rPr>
            <strike/>
            <sz val="9"/>
            <color indexed="81"/>
            <rFont val="Tahoma"/>
            <family val="2"/>
          </rPr>
          <t xml:space="preserve">W14xx = clear Gen 2 acoustic
</t>
        </r>
        <r>
          <rPr>
            <sz val="9"/>
            <color indexed="81"/>
            <rFont val="Tahoma"/>
            <family val="2"/>
          </rPr>
          <t>W20xx = F5 clear monolayer
W21xx = F5 shadeband monolayer
W22xx = F5 clear acoustic
W23xx = F5 shadeband acoustic
W50xx = Butacite® clear monolayer
W51xx = Butacite® shadeband monolayer</t>
        </r>
      </text>
    </comment>
    <comment ref="J3" authorId="0" shapeId="0" xr:uid="{5C5519B5-AAE8-492E-B9E5-F024814359D6}">
      <text>
        <r>
          <rPr>
            <b/>
            <sz val="9"/>
            <color indexed="81"/>
            <rFont val="Tahoma"/>
            <family val="2"/>
          </rPr>
          <t>Chuck Butler:</t>
        </r>
        <r>
          <rPr>
            <sz val="9"/>
            <color indexed="81"/>
            <rFont val="Tahoma"/>
            <family val="2"/>
          </rPr>
          <t xml:space="preserve">
F5 monolayer = BLU2
Acoustic = BLU2
Butacite monolayer = BLUE</t>
        </r>
      </text>
    </comment>
    <comment ref="M3" authorId="1" shapeId="0" xr:uid="{960021DA-D809-4927-A141-6A8388DBE0F4}">
      <text>
        <r>
          <rPr>
            <b/>
            <sz val="9"/>
            <color indexed="81"/>
            <rFont val="Tahoma"/>
            <family val="2"/>
          </rPr>
          <t>Butler, Chuck:</t>
        </r>
        <r>
          <rPr>
            <sz val="9"/>
            <color indexed="81"/>
            <rFont val="Tahoma"/>
            <family val="2"/>
          </rPr>
          <t xml:space="preserve">
L6 does use the smoothed transition, on newer SKUs.  Not on the really old ones.</t>
        </r>
      </text>
    </comment>
    <comment ref="P3" authorId="0" shapeId="0" xr:uid="{85583BE7-CE3F-4B60-AD7F-D002B82D6446}">
      <text>
        <r>
          <rPr>
            <b/>
            <sz val="9"/>
            <color indexed="81"/>
            <rFont val="Tahoma"/>
            <family val="2"/>
          </rPr>
          <t>Chuck Butler:</t>
        </r>
        <r>
          <rPr>
            <sz val="9"/>
            <color indexed="81"/>
            <rFont val="Tahoma"/>
            <family val="2"/>
          </rPr>
          <t xml:space="preserve">
</t>
        </r>
        <r>
          <rPr>
            <u/>
            <sz val="9"/>
            <color indexed="81"/>
            <rFont val="Tahoma"/>
            <family val="2"/>
          </rPr>
          <t>Line 8</t>
        </r>
        <r>
          <rPr>
            <sz val="9"/>
            <color indexed="81"/>
            <rFont val="Tahoma"/>
            <family val="2"/>
          </rPr>
          <t xml:space="preserve">:  
Embossed clear:  119cm max (But W2252AG was made at 121 cm!)
Melt fracture clear:  122cm max 
Shadeband:  110cm max
</t>
        </r>
        <r>
          <rPr>
            <u/>
            <sz val="9"/>
            <color indexed="81"/>
            <rFont val="Tahoma"/>
            <family val="2"/>
          </rPr>
          <t>Line 9</t>
        </r>
        <r>
          <rPr>
            <sz val="9"/>
            <color indexed="81"/>
            <rFont val="Tahoma"/>
            <family val="2"/>
          </rPr>
          <t xml:space="preserve">:  
Double-cut embossed:  116cm max
Double-cut melt fracture:  116cm max
124 cm and wider should have a surcharge for extra-long transition time
</t>
        </r>
        <r>
          <rPr>
            <u/>
            <sz val="9"/>
            <color indexed="81"/>
            <rFont val="Tahoma"/>
            <family val="2"/>
          </rPr>
          <t>Line 6</t>
        </r>
        <r>
          <rPr>
            <sz val="9"/>
            <color indexed="81"/>
            <rFont val="Tahoma"/>
            <family val="2"/>
          </rPr>
          <t>:  116cm max double-cut, but have made 120cm (W5063AA) double cut</t>
        </r>
      </text>
    </comment>
    <comment ref="Q3" authorId="0" shapeId="0" xr:uid="{6BB62B0F-F3EF-4209-90BE-D2F91D547117}">
      <text>
        <r>
          <rPr>
            <b/>
            <sz val="9"/>
            <color indexed="81"/>
            <rFont val="Tahoma"/>
            <family val="2"/>
          </rPr>
          <t>Chuck Butler:</t>
        </r>
        <r>
          <rPr>
            <sz val="9"/>
            <color indexed="81"/>
            <rFont val="Tahoma"/>
            <family val="2"/>
          </rPr>
          <t xml:space="preserve">
Typical is 30 cm</t>
        </r>
      </text>
    </comment>
    <comment ref="R3" authorId="0" shapeId="0" xr:uid="{2576EDAC-3550-4641-B6DB-6701EC4C2048}">
      <text>
        <r>
          <rPr>
            <b/>
            <sz val="9"/>
            <color indexed="81"/>
            <rFont val="Tahoma"/>
            <family val="2"/>
          </rPr>
          <t>Chuck Butler:</t>
        </r>
        <r>
          <rPr>
            <sz val="9"/>
            <color indexed="81"/>
            <rFont val="Tahoma"/>
            <family val="2"/>
          </rPr>
          <t xml:space="preserve">
L6:  19cm max for double-cut operation, 33 cm for single-cut operation
L8:  20cm max
L9:  18cm max for double-cut operation, 33 cm for single-cut operation</t>
        </r>
      </text>
    </comment>
    <comment ref="S3" authorId="1" shapeId="0" xr:uid="{B6E18C53-50DE-4441-B1C6-5030F3B4C37D}">
      <text>
        <r>
          <rPr>
            <b/>
            <sz val="9"/>
            <color indexed="81"/>
            <rFont val="Tahoma"/>
            <family val="2"/>
          </rPr>
          <t>Butler, Chuck:</t>
        </r>
        <r>
          <rPr>
            <sz val="9"/>
            <color indexed="81"/>
            <rFont val="Tahoma"/>
            <family val="2"/>
          </rPr>
          <t xml:space="preserve">
L6:  97 cm max
L8:  90 cm max
L9:  97 cm max</t>
        </r>
      </text>
    </comment>
    <comment ref="U3" authorId="0" shapeId="0" xr:uid="{9E67BA63-A9AC-4B50-B5E0-446C606A73FA}">
      <text>
        <r>
          <rPr>
            <b/>
            <sz val="9"/>
            <color indexed="81"/>
            <rFont val="Tahoma"/>
            <family val="2"/>
          </rPr>
          <t>Chuck Butler:</t>
        </r>
        <r>
          <rPr>
            <sz val="9"/>
            <color indexed="81"/>
            <rFont val="Tahoma"/>
            <family val="2"/>
          </rPr>
          <t xml:space="preserve">
Distance from bottom of blank to start of HUD display area as requested by the customer.
Minimum desired is 50mm.</t>
        </r>
      </text>
    </comment>
    <comment ref="V3" authorId="0" shapeId="0" xr:uid="{8DBED43F-55D7-4452-9D17-89846BBEB7F7}">
      <text>
        <r>
          <rPr>
            <b/>
            <sz val="9"/>
            <color indexed="81"/>
            <rFont val="Tahoma"/>
            <family val="2"/>
          </rPr>
          <t>Chuck Butler:</t>
        </r>
        <r>
          <rPr>
            <sz val="9"/>
            <color indexed="81"/>
            <rFont val="Tahoma"/>
            <family val="2"/>
          </rPr>
          <t xml:space="preserve">
Distance from bottom of blank to top of HUD display area as requested by the customer</t>
        </r>
      </text>
    </comment>
    <comment ref="X3" authorId="0" shapeId="0" xr:uid="{374C54A2-B933-41A5-B959-FC185654741D}">
      <text>
        <r>
          <rPr>
            <b/>
            <sz val="9"/>
            <color indexed="81"/>
            <rFont val="Tahoma"/>
            <family val="2"/>
          </rPr>
          <t>Chuck Butler:</t>
        </r>
        <r>
          <rPr>
            <sz val="9"/>
            <color indexed="81"/>
            <rFont val="Tahoma"/>
            <family val="2"/>
          </rPr>
          <t xml:space="preserve">
Must be at least 130mm for L9.
120 mm is okay for L8, if necessary.</t>
        </r>
      </text>
    </comment>
    <comment ref="Y3" authorId="0" shapeId="0" xr:uid="{63F53CF6-A1D5-4846-817F-0154A5CD3F75}">
      <text>
        <r>
          <rPr>
            <b/>
            <sz val="9"/>
            <color indexed="81"/>
            <rFont val="Tahoma"/>
            <family val="2"/>
          </rPr>
          <t>Chuck Butler:</t>
        </r>
        <r>
          <rPr>
            <sz val="9"/>
            <color indexed="81"/>
            <rFont val="Tahoma"/>
            <family val="2"/>
          </rPr>
          <t xml:space="preserve">
Distance from bottom of blank to start of HUD display area used for GWA calculations. 
Minimum is 50mm.
May be smaller than "LWA HUD Bot."
Can't be larger than "LWA HUD Bot."
</t>
        </r>
      </text>
    </comment>
    <comment ref="Z3" authorId="0" shapeId="0" xr:uid="{384B593A-F717-455E-BC84-E7A3FC420AC5}">
      <text>
        <r>
          <rPr>
            <b/>
            <sz val="9"/>
            <color indexed="81"/>
            <rFont val="Tahoma"/>
            <family val="2"/>
          </rPr>
          <t>Chuck Butler:</t>
        </r>
        <r>
          <rPr>
            <sz val="9"/>
            <color indexed="81"/>
            <rFont val="Tahoma"/>
            <family val="2"/>
          </rPr>
          <t xml:space="preserve">
Distance from bottom of blank to top of HUD display area used for GWA calculation.  
May be larger than "LWA HUD Top".  
Can't be smaller than "LWA Top".</t>
        </r>
      </text>
    </comment>
    <comment ref="AA3" authorId="0" shapeId="0" xr:uid="{018D5764-E325-4AB1-95D4-FD7BCD3FE45A}">
      <text>
        <r>
          <rPr>
            <b/>
            <sz val="9"/>
            <color indexed="81"/>
            <rFont val="Tahoma"/>
            <family val="2"/>
          </rPr>
          <t>Chuck Butler:</t>
        </r>
        <r>
          <rPr>
            <sz val="9"/>
            <color indexed="81"/>
            <rFont val="Tahoma"/>
            <family val="2"/>
          </rPr>
          <t xml:space="preserve">
400mm minimum is desired for GWA calculation</t>
        </r>
      </text>
    </comment>
    <comment ref="AB3" authorId="0" shapeId="0" xr:uid="{E5C90A4D-A0DF-4F18-9245-23D28A9BC43A}">
      <text>
        <r>
          <rPr>
            <b/>
            <sz val="9"/>
            <color indexed="81"/>
            <rFont val="Tahoma"/>
            <family val="2"/>
          </rPr>
          <t>Chuck Butler:</t>
        </r>
        <r>
          <rPr>
            <sz val="9"/>
            <color indexed="81"/>
            <rFont val="Tahoma"/>
            <family val="2"/>
          </rPr>
          <t xml:space="preserve">
Must be at least 86mm</t>
        </r>
      </text>
    </comment>
    <comment ref="AC3" authorId="0" shapeId="0" xr:uid="{6914A50C-2230-42AC-9193-E485B3A905FF}">
      <text>
        <r>
          <rPr>
            <b/>
            <sz val="9"/>
            <color indexed="81"/>
            <rFont val="Tahoma"/>
            <family val="2"/>
          </rPr>
          <t>Chuck Butler:</t>
        </r>
        <r>
          <rPr>
            <sz val="9"/>
            <color indexed="81"/>
            <rFont val="Tahoma"/>
            <family val="2"/>
          </rPr>
          <t xml:space="preserve">
Need 120mm from transition to shadeband?  Check what's commercial.</t>
        </r>
      </text>
    </comment>
    <comment ref="AF3" authorId="1" shapeId="0" xr:uid="{CE371111-1D99-4B9E-A2EE-59921937ACBE}">
      <text>
        <r>
          <rPr>
            <b/>
            <sz val="9"/>
            <color indexed="81"/>
            <rFont val="Tahoma"/>
            <family val="2"/>
          </rPr>
          <t>Butler, Chuck:</t>
        </r>
        <r>
          <rPr>
            <sz val="9"/>
            <color indexed="81"/>
            <rFont val="Tahoma"/>
            <family val="2"/>
          </rPr>
          <t xml:space="preserve">
Spec is 0.48 - 0.55 mm for unshaped sheetng (originally though this was for shaped sheeting)</t>
        </r>
      </text>
    </comment>
    <comment ref="AH3" authorId="0" shapeId="0" xr:uid="{1FFB011B-0659-4312-8EB6-07EAFE9871A7}">
      <text>
        <r>
          <rPr>
            <b/>
            <sz val="9"/>
            <color indexed="81"/>
            <rFont val="Tahoma"/>
            <family val="2"/>
          </rPr>
          <t>Chuck Butler:</t>
        </r>
        <r>
          <rPr>
            <sz val="9"/>
            <color indexed="81"/>
            <rFont val="Tahoma"/>
            <family val="2"/>
          </rPr>
          <t xml:space="preserve">
Density varies by product type (monolayer or trilayer)</t>
        </r>
      </text>
    </comment>
    <comment ref="AI3" authorId="2" shapeId="0" xr:uid="{237992C3-399B-45A7-98B0-EB70884D6A39}">
      <text>
        <r>
          <rPr>
            <sz val="11"/>
            <color theme="1"/>
            <rFont val="맑은 고딕"/>
            <family val="2"/>
            <scheme val="minor"/>
          </rPr>
          <t>[Threaded comment]
Your version of Excel allows you to read this threaded comment; however, any edits to it will get removed if the file is opened in a newer version of Excel. Learn more: https://go.microsoft.com/fwlink/?linkid=870924
Comment:
    Area weight of round cut, taken 0.5cm from thin side. for production. Center of round cut disk is 0.5cm (edge cut) + 5.642cm (radius of round cut) = 6.142 cm from the bottom.</t>
        </r>
      </text>
    </comment>
    <comment ref="AJ3" authorId="0" shapeId="0" xr:uid="{4AFDD994-1144-4CF6-A019-1DF1200E69BE}">
      <text>
        <r>
          <rPr>
            <b/>
            <sz val="9"/>
            <color indexed="81"/>
            <rFont val="Tahoma"/>
            <family val="2"/>
          </rPr>
          <t>Chuck Butler:</t>
        </r>
        <r>
          <rPr>
            <sz val="9"/>
            <color indexed="81"/>
            <rFont val="Tahoma"/>
            <family val="2"/>
          </rPr>
          <t xml:space="preserve">
For thick-end-up packaging of short rolls.  Using 49cm as the minimum diameter for the "foot".</t>
        </r>
      </text>
    </comment>
    <comment ref="AK3" authorId="0" shapeId="0" xr:uid="{2BE05B2F-8E83-4A59-9249-9BE41C4B45EF}">
      <text>
        <r>
          <rPr>
            <b/>
            <sz val="9"/>
            <color indexed="81"/>
            <rFont val="Tahoma"/>
            <family val="2"/>
          </rPr>
          <t>Chuck Butler:</t>
        </r>
        <r>
          <rPr>
            <sz val="9"/>
            <color indexed="81"/>
            <rFont val="Tahoma"/>
            <family val="2"/>
          </rPr>
          <t xml:space="preserve">
By Holger's formula.  Using 51cm max roll diameter (short rolls), and 16.545cm core diameter.</t>
        </r>
      </text>
    </comment>
    <comment ref="AL3" authorId="0" shapeId="0" xr:uid="{4FFF9BD0-361E-41B5-88E9-F028CF04B7BE}">
      <text>
        <r>
          <rPr>
            <b/>
            <sz val="9"/>
            <color indexed="81"/>
            <rFont val="Tahoma"/>
            <family val="2"/>
          </rPr>
          <t>Chuck Butler:</t>
        </r>
        <r>
          <rPr>
            <sz val="9"/>
            <color indexed="81"/>
            <rFont val="Tahoma"/>
            <family val="2"/>
          </rPr>
          <t xml:space="preserve">
By Holger's formula.  Using 70cm max roll diameter (long rolls), and 16.545cm core diameter.</t>
        </r>
      </text>
    </comment>
    <comment ref="AM3" authorId="0" shapeId="0" xr:uid="{65797DB4-4CF3-44EF-BE37-EA36CC337FAD}">
      <text>
        <r>
          <rPr>
            <b/>
            <sz val="9"/>
            <color indexed="81"/>
            <rFont val="Tahoma"/>
            <family val="2"/>
          </rPr>
          <t>Chuck Butler:</t>
        </r>
        <r>
          <rPr>
            <sz val="9"/>
            <color indexed="81"/>
            <rFont val="Tahoma"/>
            <family val="2"/>
          </rPr>
          <t xml:space="preserve">
As selected by account team.  Must be more than the minimum if packaged thick-end-up.
Minimum for Ulsan is 120m.</t>
        </r>
      </text>
    </comment>
    <comment ref="AO3" authorId="1" shapeId="0" xr:uid="{BB144DC6-8350-4515-98B1-88A74B71979B}">
      <text>
        <r>
          <rPr>
            <b/>
            <sz val="9"/>
            <color indexed="81"/>
            <rFont val="Tahoma"/>
            <family val="2"/>
          </rPr>
          <t>Butler, Chuck:</t>
        </r>
        <r>
          <rPr>
            <sz val="9"/>
            <color indexed="81"/>
            <rFont val="Tahoma"/>
            <family val="2"/>
          </rPr>
          <t xml:space="preserve">
The weight of interleaving film is added to the Gross Packaging Weight, not the net roll weight</t>
        </r>
      </text>
    </comment>
    <comment ref="AP3" authorId="0" shapeId="0" xr:uid="{82FDF23E-6952-45E4-9045-F573662B09F7}">
      <text>
        <r>
          <rPr>
            <b/>
            <sz val="9"/>
            <color indexed="81"/>
            <rFont val="Tahoma"/>
            <family val="2"/>
          </rPr>
          <t>Chuck Butler:</t>
        </r>
        <r>
          <rPr>
            <sz val="9"/>
            <color indexed="81"/>
            <rFont val="Tahoma"/>
            <family val="2"/>
          </rPr>
          <t xml:space="preserve">
Takuya's estimation of kg/m
Film weight per plateau</t>
        </r>
      </text>
    </comment>
    <comment ref="AS3" authorId="0" shapeId="0" xr:uid="{731CAC16-D937-40FC-AEE5-9AEF0CAB3F6E}">
      <text>
        <r>
          <rPr>
            <b/>
            <sz val="9"/>
            <color indexed="81"/>
            <rFont val="Tahoma"/>
            <family val="2"/>
          </rPr>
          <t>Chuck Butler:</t>
        </r>
        <r>
          <rPr>
            <sz val="9"/>
            <color indexed="81"/>
            <rFont val="Tahoma"/>
            <family val="2"/>
          </rPr>
          <t xml:space="preserve">
</t>
        </r>
        <r>
          <rPr>
            <u/>
            <sz val="9"/>
            <color indexed="81"/>
            <rFont val="Tahoma"/>
            <family val="2"/>
          </rPr>
          <t>Vertically packaged</t>
        </r>
        <r>
          <rPr>
            <sz val="9"/>
            <color indexed="81"/>
            <rFont val="Tahoma"/>
            <family val="2"/>
          </rPr>
          <t xml:space="preserve"> - last letter indicates orientation:
___A = thick side down
___P = tihck side up.  (we thought about using "Y")
</t>
        </r>
        <r>
          <rPr>
            <u/>
            <sz val="9"/>
            <color indexed="81"/>
            <rFont val="Tahoma"/>
            <family val="2"/>
          </rPr>
          <t>Horizontally packaged</t>
        </r>
        <r>
          <rPr>
            <sz val="9"/>
            <color indexed="81"/>
            <rFont val="Tahoma"/>
            <family val="2"/>
          </rPr>
          <t xml:space="preserve"> - last letter indicates core type:
___P = PP core
___V = PVC core
___C = Cardboard core
___PR = PP core, interleaved</t>
        </r>
      </text>
    </comment>
    <comment ref="G4" authorId="0" shapeId="0" xr:uid="{DB04F6EE-629F-4393-AD06-74C84872E4A9}">
      <text>
        <r>
          <rPr>
            <b/>
            <sz val="9"/>
            <color indexed="81"/>
            <rFont val="Tahoma"/>
            <family val="2"/>
          </rPr>
          <t>Chuck Butler:</t>
        </r>
        <r>
          <rPr>
            <sz val="9"/>
            <color indexed="81"/>
            <rFont val="Tahoma"/>
            <family val="2"/>
          </rPr>
          <t xml:space="preserve">
Changing to W2340AB to match W1340AB?</t>
        </r>
      </text>
    </comment>
    <comment ref="P6" authorId="0" shapeId="0" xr:uid="{8141C496-0A97-4C11-B2D7-25C83CBC5540}">
      <text>
        <r>
          <rPr>
            <b/>
            <sz val="9"/>
            <color indexed="81"/>
            <rFont val="Tahoma"/>
            <family val="2"/>
          </rPr>
          <t>Chuck Butler:</t>
        </r>
        <r>
          <rPr>
            <sz val="9"/>
            <color indexed="81"/>
            <rFont val="Tahoma"/>
            <family val="2"/>
          </rPr>
          <t xml:space="preserve">
Can't be made on L8.
Must be run single-cut on L9.</t>
        </r>
      </text>
    </comment>
    <comment ref="Q10" authorId="1" shapeId="0" xr:uid="{C1FFDEFD-1DAC-4F74-AC47-8C40BCCD9E6C}">
      <text>
        <r>
          <rPr>
            <b/>
            <sz val="9"/>
            <color indexed="81"/>
            <rFont val="Tahoma"/>
            <family val="2"/>
          </rPr>
          <t>Butler, Chuck:</t>
        </r>
        <r>
          <rPr>
            <sz val="9"/>
            <color indexed="81"/>
            <rFont val="Tahoma"/>
            <family val="2"/>
          </rPr>
          <t xml:space="preserve">
Due to camera location</t>
        </r>
      </text>
    </comment>
    <comment ref="Q11" authorId="3" shapeId="0" xr:uid="{3D23B6F7-FBCD-4349-9F63-59A3B7B758DE}">
      <text>
        <r>
          <rPr>
            <sz val="11"/>
            <color theme="1"/>
            <rFont val="맑은 고딕"/>
            <family val="2"/>
            <scheme val="minor"/>
          </rPr>
          <t>Weiss, Kevin:
Due to camera location</t>
        </r>
      </text>
    </comment>
    <comment ref="G20" authorId="1" shapeId="0" xr:uid="{44B39062-C8D0-4CBF-BF1B-435EF5ECDC54}">
      <text>
        <r>
          <rPr>
            <b/>
            <sz val="9"/>
            <color indexed="81"/>
            <rFont val="Tahoma"/>
            <family val="2"/>
          </rPr>
          <t>Butler, Chuck:</t>
        </r>
        <r>
          <rPr>
            <sz val="9"/>
            <color indexed="81"/>
            <rFont val="Tahoma"/>
            <family val="2"/>
          </rPr>
          <t xml:space="preserve">
H for winding direction</t>
        </r>
      </text>
    </comment>
    <comment ref="P21" authorId="0" shapeId="0" xr:uid="{E2BFA55B-29B1-494F-86BF-D701F3B083BB}">
      <text>
        <r>
          <rPr>
            <b/>
            <sz val="9"/>
            <color indexed="81"/>
            <rFont val="Tahoma"/>
            <family val="2"/>
          </rPr>
          <t>Chuck Butler:</t>
        </r>
        <r>
          <rPr>
            <sz val="9"/>
            <color indexed="81"/>
            <rFont val="Tahoma"/>
            <family val="2"/>
          </rPr>
          <t xml:space="preserve">
Can't be made on L8.
Must be run single-cut on L9.</t>
        </r>
      </text>
    </comment>
    <comment ref="AJ23" authorId="0" shapeId="0" xr:uid="{30D3294B-EE23-4355-AB12-0F91436215A1}">
      <text>
        <r>
          <rPr>
            <b/>
            <sz val="9"/>
            <color indexed="81"/>
            <rFont val="Tahoma"/>
            <family val="2"/>
          </rPr>
          <t>Chuck Butler:</t>
        </r>
        <r>
          <rPr>
            <sz val="9"/>
            <color indexed="81"/>
            <rFont val="Tahoma"/>
            <family val="2"/>
          </rPr>
          <t xml:space="preserve">
Max length should be a little shorter due to interleaving.  But 166m worked for FW.</t>
        </r>
      </text>
    </comment>
    <comment ref="U24" authorId="1" shapeId="0" xr:uid="{03B87B54-5E91-4969-983B-BB9DC41F2E5F}">
      <text>
        <r>
          <rPr>
            <b/>
            <sz val="9"/>
            <color indexed="81"/>
            <rFont val="Tahoma"/>
            <family val="2"/>
          </rPr>
          <t>Butler, Chuck:</t>
        </r>
        <r>
          <rPr>
            <sz val="9"/>
            <color indexed="81"/>
            <rFont val="Tahoma"/>
            <family val="2"/>
          </rPr>
          <t xml:space="preserve">
Set by Ulsan just for monitoring</t>
        </r>
      </text>
    </comment>
    <comment ref="V24" authorId="1" shapeId="0" xr:uid="{734FBA16-2F92-40C6-A68F-C72A3F86D7C7}">
      <text>
        <r>
          <rPr>
            <b/>
            <sz val="9"/>
            <color indexed="81"/>
            <rFont val="Tahoma"/>
            <family val="2"/>
          </rPr>
          <t>Butler, Chuck:</t>
        </r>
        <r>
          <rPr>
            <sz val="9"/>
            <color indexed="81"/>
            <rFont val="Tahoma"/>
            <family val="2"/>
          </rPr>
          <t xml:space="preserve">
Set by Ulsan just for monitoring</t>
        </r>
      </text>
    </comment>
    <comment ref="Y24" authorId="1" shapeId="0" xr:uid="{30080A75-CD76-440C-AF7C-BAB47D9720DE}">
      <text>
        <r>
          <rPr>
            <b/>
            <sz val="9"/>
            <color indexed="81"/>
            <rFont val="Tahoma"/>
            <family val="2"/>
          </rPr>
          <t>Butler, Chuck:</t>
        </r>
        <r>
          <rPr>
            <sz val="9"/>
            <color indexed="81"/>
            <rFont val="Tahoma"/>
            <family val="2"/>
          </rPr>
          <t xml:space="preserve">
Set by Ulsan so they could measure GWA</t>
        </r>
      </text>
    </comment>
    <comment ref="Z24" authorId="1" shapeId="0" xr:uid="{A6A5F938-51DC-4DD4-A6AD-5756B5D93BC0}">
      <text>
        <r>
          <rPr>
            <b/>
            <sz val="9"/>
            <color indexed="81"/>
            <rFont val="Tahoma"/>
            <family val="2"/>
          </rPr>
          <t>Butler, Chuck:</t>
        </r>
        <r>
          <rPr>
            <sz val="9"/>
            <color indexed="81"/>
            <rFont val="Tahoma"/>
            <family val="2"/>
          </rPr>
          <t xml:space="preserve">
Set by Ulsan so they could measure GWA</t>
        </r>
      </text>
    </comment>
    <comment ref="AJ24" authorId="0" shapeId="0" xr:uid="{4ECDE5D4-A554-4A3C-B8A9-558909ACE745}">
      <text>
        <r>
          <rPr>
            <b/>
            <sz val="9"/>
            <color indexed="81"/>
            <rFont val="Tahoma"/>
            <family val="2"/>
          </rPr>
          <t>Chuck Butler:</t>
        </r>
        <r>
          <rPr>
            <sz val="9"/>
            <color indexed="81"/>
            <rFont val="Tahoma"/>
            <family val="2"/>
          </rPr>
          <t xml:space="preserve">
Max length should be a little shorter due to interleaving.  But 166m worked for FW.</t>
        </r>
      </text>
    </comment>
    <comment ref="G57" authorId="1" shapeId="0" xr:uid="{7C17A77C-01C7-4092-83FF-C7D13C57ED36}">
      <text>
        <r>
          <rPr>
            <b/>
            <sz val="9"/>
            <color indexed="81"/>
            <rFont val="Tahoma"/>
            <family val="2"/>
          </rPr>
          <t>Butler, Chuck:</t>
        </r>
        <r>
          <rPr>
            <sz val="9"/>
            <color indexed="81"/>
            <rFont val="Tahoma"/>
            <family val="2"/>
          </rPr>
          <t xml:space="preserve">
Also for Fuyao Zhengzhou?</t>
        </r>
      </text>
    </comment>
    <comment ref="G68" authorId="1" shapeId="0" xr:uid="{39712D91-9FFC-4107-A6D5-A37BCC3BEB30}">
      <text>
        <r>
          <rPr>
            <b/>
            <sz val="9"/>
            <color indexed="81"/>
            <rFont val="Tahoma"/>
            <family val="2"/>
          </rPr>
          <t>Butler, Chuck:</t>
        </r>
        <r>
          <rPr>
            <sz val="9"/>
            <color indexed="81"/>
            <rFont val="Tahoma"/>
            <family val="2"/>
          </rPr>
          <t xml:space="preserve">
T is only for the 4-roll package</t>
        </r>
      </text>
    </comment>
    <comment ref="G103" authorId="1" shapeId="0" xr:uid="{AEB4BCF1-EA30-4EE9-AFC0-5E2947634B49}">
      <text>
        <r>
          <rPr>
            <b/>
            <sz val="9"/>
            <color indexed="81"/>
            <rFont val="Tahoma"/>
            <family val="2"/>
          </rPr>
          <t>Butler, Chuck:</t>
        </r>
        <r>
          <rPr>
            <sz val="9"/>
            <color indexed="81"/>
            <rFont val="Tahoma"/>
            <family val="2"/>
          </rPr>
          <t xml:space="preserve">
T is only for th short roll</t>
        </r>
      </text>
    </comment>
    <comment ref="D105" authorId="1" shapeId="0" xr:uid="{CD1DB9B3-3609-4500-9210-09103B0F574D}">
      <text>
        <r>
          <rPr>
            <b/>
            <sz val="9"/>
            <color indexed="81"/>
            <rFont val="Tahoma"/>
            <family val="2"/>
          </rPr>
          <t>Butler, Chuck:</t>
        </r>
        <r>
          <rPr>
            <sz val="9"/>
            <color indexed="81"/>
            <rFont val="Tahoma"/>
            <family val="2"/>
          </rPr>
          <t xml:space="preserve">
Also tested in BYD Song SA3 at Zhengzhou</t>
        </r>
      </text>
    </comment>
    <comment ref="AL121" authorId="1" shapeId="0" xr:uid="{8FC21A7F-BF4B-4912-AAC5-F1F0AA5E6A8E}">
      <text>
        <r>
          <rPr>
            <b/>
            <sz val="9"/>
            <color indexed="81"/>
            <rFont val="Tahoma"/>
            <family val="2"/>
          </rPr>
          <t>Butler, Chuck:</t>
        </r>
        <r>
          <rPr>
            <sz val="9"/>
            <color indexed="81"/>
            <rFont val="Tahoma"/>
            <family val="2"/>
          </rPr>
          <t xml:space="preserve">
Short length chosen sue to slippage potential with only 5 cm plateau</t>
        </r>
      </text>
    </comment>
    <comment ref="B128" authorId="1" shapeId="0" xr:uid="{823A2871-18F6-4527-AF95-C59260B3549D}">
      <text>
        <r>
          <rPr>
            <b/>
            <sz val="9"/>
            <color indexed="81"/>
            <rFont val="Tahoma"/>
            <family val="2"/>
          </rPr>
          <t>Butler, Chuck:</t>
        </r>
        <r>
          <rPr>
            <sz val="9"/>
            <color indexed="81"/>
            <rFont val="Tahoma"/>
            <family val="2"/>
          </rPr>
          <t xml:space="preserve">
Originally for Fuyao Changchun</t>
        </r>
      </text>
    </comment>
    <comment ref="G137" authorId="1" shapeId="0" xr:uid="{2B229B32-1F8D-46FD-BF9F-F6DB168E036F}">
      <text>
        <r>
          <rPr>
            <b/>
            <sz val="9"/>
            <color indexed="81"/>
            <rFont val="Tahoma"/>
            <family val="2"/>
          </rPr>
          <t>Butler, Chuck:</t>
        </r>
        <r>
          <rPr>
            <sz val="9"/>
            <color indexed="81"/>
            <rFont val="Tahoma"/>
            <family val="2"/>
          </rPr>
          <t xml:space="preserve">
T is only for the 4-roll package</t>
        </r>
      </text>
    </comment>
    <comment ref="G175" authorId="1" shapeId="0" xr:uid="{760CCD65-CB7B-4AA9-9093-155402B9F5F4}">
      <text>
        <r>
          <rPr>
            <b/>
            <sz val="9"/>
            <color indexed="81"/>
            <rFont val="Tahoma"/>
            <family val="2"/>
          </rPr>
          <t>Butler, Chuck:</t>
        </r>
        <r>
          <rPr>
            <sz val="9"/>
            <color indexed="81"/>
            <rFont val="Tahoma"/>
            <family val="2"/>
          </rPr>
          <t xml:space="preserve">
T only for BF011912</t>
        </r>
      </text>
    </comment>
    <comment ref="P197" authorId="1" shapeId="0" xr:uid="{7F420E7E-4326-46E1-ABF5-4452AAA2E284}">
      <text>
        <r>
          <rPr>
            <b/>
            <sz val="9"/>
            <color indexed="81"/>
            <rFont val="Tahoma"/>
            <family val="2"/>
          </rPr>
          <t>Butler, Chuck:</t>
        </r>
        <r>
          <rPr>
            <sz val="9"/>
            <color indexed="81"/>
            <rFont val="Tahoma"/>
            <family val="2"/>
          </rPr>
          <t xml:space="preserve">
Must be run single-cut on L9</t>
        </r>
      </text>
    </comment>
    <comment ref="G230" authorId="1" shapeId="0" xr:uid="{EC9984CD-FEFE-40B6-8420-D6C2C1456A03}">
      <text>
        <r>
          <rPr>
            <b/>
            <sz val="9"/>
            <color indexed="81"/>
            <rFont val="Tahoma"/>
            <family val="2"/>
          </rPr>
          <t>Butler, Chuck:</t>
        </r>
        <r>
          <rPr>
            <sz val="9"/>
            <color indexed="81"/>
            <rFont val="Tahoma"/>
            <family val="2"/>
          </rPr>
          <t xml:space="preserve">
Short roll, so no "S"
Usage ending as of Oct 2024</t>
        </r>
      </text>
    </comment>
    <comment ref="D232" authorId="1" shapeId="0" xr:uid="{D24FF678-44D6-4653-98D8-BFABFFC7743F}">
      <text>
        <r>
          <rPr>
            <b/>
            <sz val="9"/>
            <color indexed="81"/>
            <rFont val="Tahoma"/>
            <family val="2"/>
          </rPr>
          <t>Butler, Chuck:</t>
        </r>
        <r>
          <rPr>
            <sz val="9"/>
            <color indexed="81"/>
            <rFont val="Tahoma"/>
            <family val="2"/>
          </rPr>
          <t xml:space="preserve">
As of Oct 2024:
KR = NE N
KE2 = NE std HUD.  But may switch to KR in 1H2025</t>
        </r>
      </text>
    </comment>
    <comment ref="AL241" authorId="0" shapeId="0" xr:uid="{91699EF3-9785-4186-9CDA-2ECC3C25EE83}">
      <text>
        <r>
          <rPr>
            <b/>
            <sz val="9"/>
            <color indexed="81"/>
            <rFont val="Tahoma"/>
            <family val="2"/>
          </rPr>
          <t>Chuck Butler:</t>
        </r>
        <r>
          <rPr>
            <sz val="9"/>
            <color indexed="81"/>
            <rFont val="Tahoma"/>
            <family val="2"/>
          </rPr>
          <t xml:space="preserve">
KAC requires 5m increments</t>
        </r>
      </text>
    </comment>
    <comment ref="G272" authorId="1" shapeId="0" xr:uid="{704F2A3F-903B-45EF-B5EE-5A10E13E4A08}">
      <text>
        <r>
          <rPr>
            <b/>
            <sz val="9"/>
            <color indexed="81"/>
            <rFont val="Tahoma"/>
            <family val="2"/>
          </rPr>
          <t>Butler, Chuck:</t>
        </r>
        <r>
          <rPr>
            <sz val="9"/>
            <color indexed="81"/>
            <rFont val="Tahoma"/>
            <family val="2"/>
          </rPr>
          <t xml:space="preserve">
H for winding direction</t>
        </r>
      </text>
    </comment>
    <comment ref="G275" authorId="1" shapeId="0" xr:uid="{6CFDD140-2B38-402B-AB1F-F5B68F02B57B}">
      <text>
        <r>
          <rPr>
            <b/>
            <sz val="9"/>
            <color indexed="81"/>
            <rFont val="Tahoma"/>
            <family val="2"/>
          </rPr>
          <t>Butler, Chuck:</t>
        </r>
        <r>
          <rPr>
            <sz val="9"/>
            <color indexed="81"/>
            <rFont val="Tahoma"/>
            <family val="2"/>
          </rPr>
          <t xml:space="preserve">
Extra "H" for winding direction</t>
        </r>
      </text>
    </comment>
    <comment ref="P275" authorId="1" shapeId="0" xr:uid="{0469CBF4-4608-4C48-A531-865D078F97ED}">
      <text>
        <r>
          <rPr>
            <b/>
            <sz val="9"/>
            <color indexed="81"/>
            <rFont val="Tahoma"/>
            <family val="2"/>
          </rPr>
          <t>Butler, Chuck:</t>
        </r>
        <r>
          <rPr>
            <sz val="9"/>
            <color indexed="81"/>
            <rFont val="Tahoma"/>
            <family val="2"/>
          </rPr>
          <t xml:space="preserve">
Must be run single cut on L9</t>
        </r>
      </text>
    </comment>
    <comment ref="G276" authorId="1" shapeId="0" xr:uid="{E7031697-FA56-4ADE-B795-F618BDF914C8}">
      <text>
        <r>
          <rPr>
            <b/>
            <sz val="9"/>
            <color indexed="81"/>
            <rFont val="Tahoma"/>
            <family val="2"/>
          </rPr>
          <t>Butler, Chuck:</t>
        </r>
        <r>
          <rPr>
            <sz val="9"/>
            <color indexed="81"/>
            <rFont val="Tahoma"/>
            <family val="2"/>
          </rPr>
          <t xml:space="preserve">
Extra "H" for winding direction</t>
        </r>
      </text>
    </comment>
    <comment ref="P276" authorId="1" shapeId="0" xr:uid="{042872CE-6EF1-40B2-A997-37BF0A5211BD}">
      <text>
        <r>
          <rPr>
            <b/>
            <sz val="9"/>
            <color indexed="81"/>
            <rFont val="Tahoma"/>
            <family val="2"/>
          </rPr>
          <t>Butler, Chuck:</t>
        </r>
        <r>
          <rPr>
            <sz val="9"/>
            <color indexed="81"/>
            <rFont val="Tahoma"/>
            <family val="2"/>
          </rPr>
          <t xml:space="preserve">
Must be run single cut on L9</t>
        </r>
      </text>
    </comment>
    <comment ref="G277" authorId="1" shapeId="0" xr:uid="{C5082461-2A9E-4F1C-A56B-3FA8F1DACC80}">
      <text>
        <r>
          <rPr>
            <b/>
            <sz val="9"/>
            <color indexed="81"/>
            <rFont val="Tahoma"/>
            <family val="2"/>
          </rPr>
          <t>Butler, Chuck:</t>
        </r>
        <r>
          <rPr>
            <sz val="9"/>
            <color indexed="81"/>
            <rFont val="Tahoma"/>
            <family val="2"/>
          </rPr>
          <t xml:space="preserve">
Extra "H" for winding direction</t>
        </r>
      </text>
    </comment>
    <comment ref="P277" authorId="1" shapeId="0" xr:uid="{316C3687-9361-4D4B-8F6B-7421EBDEFCBE}">
      <text>
        <r>
          <rPr>
            <b/>
            <sz val="9"/>
            <color indexed="81"/>
            <rFont val="Tahoma"/>
            <family val="2"/>
          </rPr>
          <t>Butler, Chuck:</t>
        </r>
        <r>
          <rPr>
            <sz val="9"/>
            <color indexed="81"/>
            <rFont val="Tahoma"/>
            <family val="2"/>
          </rPr>
          <t xml:space="preserve">
Must be run single cut on L9</t>
        </r>
      </text>
    </comment>
    <comment ref="D319" authorId="1" shapeId="0" xr:uid="{752BA4FF-9270-4C50-8712-73516AA7542A}">
      <text>
        <r>
          <rPr>
            <b/>
            <sz val="9"/>
            <color indexed="81"/>
            <rFont val="Tahoma"/>
            <family val="2"/>
          </rPr>
          <t>Butler, Chuck:</t>
        </r>
        <r>
          <rPr>
            <sz val="9"/>
            <color indexed="81"/>
            <rFont val="Tahoma"/>
            <family val="2"/>
          </rPr>
          <t xml:space="preserve">
Same as LX2-W PE, according to Alex</t>
        </r>
      </text>
    </comment>
    <comment ref="H397" authorId="1" shapeId="0" xr:uid="{831B8404-5E16-4544-8C15-D047E95ACEFF}">
      <text>
        <r>
          <rPr>
            <b/>
            <sz val="9"/>
            <color indexed="81"/>
            <rFont val="Tahoma"/>
            <family val="2"/>
          </rPr>
          <t>Butler, Chuck:</t>
        </r>
        <r>
          <rPr>
            <sz val="9"/>
            <color indexed="81"/>
            <rFont val="Tahoma"/>
            <family val="2"/>
          </rPr>
          <t xml:space="preserve">
Originally set up as K adhesion</t>
        </r>
      </text>
    </comment>
    <comment ref="R407" authorId="0" shapeId="0" xr:uid="{6C28CF64-2438-4F3E-A414-4DDB5AD12F9E}">
      <text>
        <r>
          <rPr>
            <b/>
            <sz val="9"/>
            <color indexed="81"/>
            <rFont val="Tahoma"/>
            <family val="2"/>
          </rPr>
          <t>Chuck Butler:</t>
        </r>
        <r>
          <rPr>
            <sz val="9"/>
            <color indexed="81"/>
            <rFont val="Tahoma"/>
            <family val="2"/>
          </rPr>
          <t xml:space="preserve">
Must run single-cut</t>
        </r>
      </text>
    </comment>
    <comment ref="R408" authorId="0" shapeId="0" xr:uid="{D76A7338-7139-4177-80C3-D4EC4A214151}">
      <text>
        <r>
          <rPr>
            <b/>
            <sz val="9"/>
            <color indexed="81"/>
            <rFont val="Tahoma"/>
            <family val="2"/>
          </rPr>
          <t>Chuck Butler:</t>
        </r>
        <r>
          <rPr>
            <sz val="9"/>
            <color indexed="81"/>
            <rFont val="Tahoma"/>
            <family val="2"/>
          </rPr>
          <t xml:space="preserve">
Must run single-cut</t>
        </r>
      </text>
    </comment>
  </commentList>
</comments>
</file>

<file path=xl/sharedStrings.xml><?xml version="1.0" encoding="utf-8"?>
<sst xmlns="http://schemas.openxmlformats.org/spreadsheetml/2006/main" count="7693" uniqueCount="1510">
  <si>
    <t>Customer</t>
  </si>
  <si>
    <t>Lamination Plant</t>
  </si>
  <si>
    <t>Car Make (BMW, Ford, etc.)</t>
  </si>
  <si>
    <t>Car Model
(5 series, Focus, etc.)</t>
  </si>
  <si>
    <t>OEM or ARG?</t>
  </si>
  <si>
    <t>Developmental, Commercial, Obsolete</t>
  </si>
  <si>
    <t>Product Code</t>
  </si>
  <si>
    <t>Adh. Grade</t>
  </si>
  <si>
    <t>Pattern</t>
  </si>
  <si>
    <t>Band color</t>
  </si>
  <si>
    <t>PVB Type</t>
  </si>
  <si>
    <t>BF Code(s)</t>
  </si>
  <si>
    <t>Smoothed Transition</t>
  </si>
  <si>
    <t>Extr. Line</t>
  </si>
  <si>
    <t>Wedge Angle (mrad)</t>
  </si>
  <si>
    <t>Roll Width (cm)</t>
  </si>
  <si>
    <t>Flat Width (cm)</t>
  </si>
  <si>
    <t>Band Width (cm)</t>
  </si>
  <si>
    <t>Clear width (cm)</t>
  </si>
  <si>
    <t>Thin Edge Cal. (mm)</t>
  </si>
  <si>
    <t>HUD Bot. (mm)</t>
  </si>
  <si>
    <t>HUD Top (mm)</t>
  </si>
  <si>
    <t>HUD Span (mm)</t>
  </si>
  <si>
    <t>HUD Top to Trans'n (mm)</t>
  </si>
  <si>
    <t>GWA Bot. (mm)</t>
  </si>
  <si>
    <t>GWA Top (mm)</t>
  </si>
  <si>
    <t>GWA  Span (mm)</t>
  </si>
  <si>
    <t>GWA Top to Trans'n (mm)</t>
  </si>
  <si>
    <t>Shade Band to Trans'n (mm)</t>
  </si>
  <si>
    <t>Wedge Portion (cm)</t>
  </si>
  <si>
    <t>Max/ Flat Edge Cal. (mm)</t>
  </si>
  <si>
    <t>Thickness delta</t>
  </si>
  <si>
    <t>Avg Cal. (mm)</t>
  </si>
  <si>
    <t>Overall Area Wt (kg/m2)</t>
  </si>
  <si>
    <t>Thin Edge Area Wt (g/m2)</t>
  </si>
  <si>
    <t>Min Short Roll Length (m)</t>
  </si>
  <si>
    <r>
      <rPr>
        <b/>
        <sz val="11"/>
        <color rgb="FFFFFFFF"/>
        <rFont val="맑은 고딕"/>
        <family val="2"/>
        <scheme val="minor"/>
      </rPr>
      <t xml:space="preserve">Max </t>
    </r>
    <r>
      <rPr>
        <b/>
        <u/>
        <sz val="11"/>
        <color rgb="FF00B0F0"/>
        <rFont val="맑은 고딕"/>
        <family val="2"/>
        <scheme val="minor"/>
      </rPr>
      <t>Short</t>
    </r>
    <r>
      <rPr>
        <b/>
        <sz val="11"/>
        <color rgb="FFFFFFFF"/>
        <rFont val="맑은 고딕"/>
        <family val="2"/>
        <scheme val="minor"/>
      </rPr>
      <t xml:space="preserve"> Roll Length (m)</t>
    </r>
  </si>
  <si>
    <r>
      <rPr>
        <b/>
        <sz val="11"/>
        <color rgb="FFFFFFFF"/>
        <rFont val="Calibri"/>
        <family val="2"/>
      </rPr>
      <t xml:space="preserve">Max </t>
    </r>
    <r>
      <rPr>
        <b/>
        <u/>
        <sz val="11"/>
        <color rgb="FF00B0F0"/>
        <rFont val="Calibri"/>
        <family val="2"/>
      </rPr>
      <t>Long</t>
    </r>
    <r>
      <rPr>
        <b/>
        <sz val="11"/>
        <color rgb="FF00B0F0"/>
        <rFont val="Calibri"/>
        <family val="2"/>
      </rPr>
      <t xml:space="preserve"> </t>
    </r>
    <r>
      <rPr>
        <b/>
        <sz val="11"/>
        <color rgb="FFFFFFFF"/>
        <rFont val="Calibri"/>
        <family val="2"/>
      </rPr>
      <t>Roll Length (m)</t>
    </r>
  </si>
  <si>
    <t>Chosen roll Length (m)</t>
  </si>
  <si>
    <t>Sqm per roll</t>
  </si>
  <si>
    <t>Roll  wt. (kg)</t>
  </si>
  <si>
    <t>Core slip potential</t>
  </si>
  <si>
    <t>First Extrusion Date</t>
  </si>
  <si>
    <t>BPCM Request(s)</t>
  </si>
  <si>
    <t>Product Description(s)</t>
  </si>
  <si>
    <t>Comment</t>
  </si>
  <si>
    <t>Quantity of sample rolls sent</t>
  </si>
  <si>
    <t>Qualification status of sample rolls</t>
  </si>
  <si>
    <t>Old BE code</t>
  </si>
  <si>
    <t>First commercial sale (even small quantity)</t>
  </si>
  <si>
    <t>HUD Top % of w/s height</t>
  </si>
  <si>
    <t>Predicted Annual Volume (thou w/s)</t>
  </si>
  <si>
    <t>Resin Type</t>
  </si>
  <si>
    <t>Clear or Shadeband</t>
  </si>
  <si>
    <r>
      <rPr>
        <b/>
        <u/>
        <sz val="11"/>
        <color theme="0" tint="-0.34998626667073579"/>
        <rFont val="맑은 고딕"/>
        <family val="2"/>
        <scheme val="minor"/>
      </rPr>
      <t>Full wedge</t>
    </r>
    <r>
      <rPr>
        <b/>
        <sz val="11"/>
        <color theme="0" tint="-0.34998626667073579"/>
        <rFont val="맑은 고딕"/>
        <family val="2"/>
        <scheme val="minor"/>
      </rPr>
      <t xml:space="preserve"> max caliper (mm)</t>
    </r>
  </si>
  <si>
    <r>
      <rPr>
        <b/>
        <u/>
        <sz val="11"/>
        <color theme="0" tint="-0.34998626667073579"/>
        <rFont val="맑은 고딕"/>
        <family val="2"/>
        <scheme val="minor"/>
      </rPr>
      <t>Full wedge</t>
    </r>
    <r>
      <rPr>
        <b/>
        <sz val="11"/>
        <color theme="0" tint="-0.34998626667073579"/>
        <rFont val="맑은 고딕"/>
        <family val="2"/>
        <scheme val="minor"/>
      </rPr>
      <t xml:space="preserve"> max roll length (m) - short rolls</t>
    </r>
  </si>
  <si>
    <t>Roll Length reduction if full wedge (m) - short rolls</t>
  </si>
  <si>
    <t>Roll Length reduction if full wedge - short rolls</t>
  </si>
  <si>
    <r>
      <t xml:space="preserve">Full wedge max roll length (m) - </t>
    </r>
    <r>
      <rPr>
        <b/>
        <u/>
        <sz val="11"/>
        <color theme="0" tint="-0.34998626667073579"/>
        <rFont val="맑은 고딕"/>
        <family val="2"/>
        <scheme val="minor"/>
      </rPr>
      <t>long</t>
    </r>
    <r>
      <rPr>
        <b/>
        <sz val="11"/>
        <color theme="0" tint="-0.34998626667073579"/>
        <rFont val="맑은 고딕"/>
        <family val="2"/>
        <scheme val="minor"/>
      </rPr>
      <t xml:space="preserve"> rolls</t>
    </r>
  </si>
  <si>
    <r>
      <t xml:space="preserve">Roll Length reduction if full wedge (m) - </t>
    </r>
    <r>
      <rPr>
        <b/>
        <u/>
        <sz val="11"/>
        <color theme="0" tint="-0.34998626667073579"/>
        <rFont val="맑은 고딕"/>
        <family val="2"/>
        <scheme val="minor"/>
      </rPr>
      <t>long</t>
    </r>
    <r>
      <rPr>
        <b/>
        <sz val="11"/>
        <color theme="0" tint="-0.34998626667073579"/>
        <rFont val="맑은 고딕"/>
        <family val="2"/>
        <scheme val="minor"/>
      </rPr>
      <t xml:space="preserve"> rolls</t>
    </r>
  </si>
  <si>
    <r>
      <t xml:space="preserve">Roll Length reduction if full wedge - </t>
    </r>
    <r>
      <rPr>
        <b/>
        <u/>
        <sz val="11"/>
        <color theme="0" tint="-0.34998626667073579"/>
        <rFont val="맑은 고딕"/>
        <family val="2"/>
        <scheme val="minor"/>
      </rPr>
      <t>long</t>
    </r>
    <r>
      <rPr>
        <b/>
        <sz val="11"/>
        <color theme="0" tint="-0.34998626667073579"/>
        <rFont val="맑은 고딕"/>
        <family val="2"/>
        <scheme val="minor"/>
      </rPr>
      <t xml:space="preserve"> rolls</t>
    </r>
  </si>
  <si>
    <t>2022 Contract price ($/sqm)</t>
  </si>
  <si>
    <r>
      <t>2023 Contract price ($/</t>
    </r>
    <r>
      <rPr>
        <b/>
        <sz val="11"/>
        <color rgb="FF3333FF"/>
        <rFont val="맑은 고딕"/>
        <family val="2"/>
        <scheme val="minor"/>
      </rPr>
      <t>sqm</t>
    </r>
    <r>
      <rPr>
        <b/>
        <sz val="11"/>
        <rFont val="맑은 고딕"/>
        <family val="2"/>
        <scheme val="minor"/>
      </rPr>
      <t>)</t>
    </r>
  </si>
  <si>
    <t>Area weight (kg/sqm)</t>
  </si>
  <si>
    <t>2023 Contract Price ($/kg)</t>
  </si>
  <si>
    <t>sqm vs. kg price</t>
  </si>
  <si>
    <t>Power BI price as of 4/6/2023</t>
  </si>
  <si>
    <t>Power BI delta ($/kg)</t>
  </si>
  <si>
    <t>2022 Volume (kgs)</t>
  </si>
  <si>
    <t>Volume sold through 4/6/2023 (kgs)</t>
  </si>
  <si>
    <t>Maximum flat distance (cm)</t>
  </si>
  <si>
    <t>Possible increase in flat distance (cm)</t>
  </si>
  <si>
    <t>Possible min thickness (mm)</t>
  </si>
  <si>
    <t>Possible thickness decrease</t>
  </si>
  <si>
    <t>Possible short roll length (m)</t>
  </si>
  <si>
    <t>Possibe short roll length increase (m)</t>
  </si>
  <si>
    <t>Possible short roll length increase (%)</t>
  </si>
  <si>
    <t>OEM</t>
  </si>
  <si>
    <t>O</t>
  </si>
  <si>
    <t>K</t>
  </si>
  <si>
    <t>E2</t>
  </si>
  <si>
    <t>Blue</t>
  </si>
  <si>
    <t>Acoustic</t>
  </si>
  <si>
    <t>Y</t>
  </si>
  <si>
    <t>L8</t>
  </si>
  <si>
    <t>TBD</t>
  </si>
  <si>
    <t>Never produced</t>
  </si>
  <si>
    <t>N/A</t>
  </si>
  <si>
    <t>W2340</t>
  </si>
  <si>
    <t>BF008932</t>
  </si>
  <si>
    <t>2020_0018_01069</t>
  </si>
  <si>
    <t>W2340 KE2 BLU2 R105/14X0.95X0150 CT4P</t>
  </si>
  <si>
    <t>BPCM summary section was incorrect so this was created</t>
  </si>
  <si>
    <t>W2217AA</t>
  </si>
  <si>
    <t>Clear</t>
  </si>
  <si>
    <t>BF010191 (CT4P), BF010270 (CB4P = L9)</t>
  </si>
  <si>
    <t>2021_1050_02105</t>
  </si>
  <si>
    <t>W2217AA KE2 CLEAR r119x0189 CT4P (error and originally set up CT4A), W2217AA KE2 CLEAR r119x0189 CB4P = L9</t>
  </si>
  <si>
    <t>Moved to L9</t>
  </si>
  <si>
    <t>4?</t>
  </si>
  <si>
    <t>W2264AC</t>
  </si>
  <si>
    <t>L</t>
  </si>
  <si>
    <t>BF009974</t>
  </si>
  <si>
    <t>L9</t>
  </si>
  <si>
    <t>2021_0914_01969</t>
  </si>
  <si>
    <t>W2264AC LE2 CLEAR i130x0125 C02A</t>
  </si>
  <si>
    <t>Interleaved</t>
  </si>
  <si>
    <t>~60</t>
  </si>
  <si>
    <t>W2264AD</t>
  </si>
  <si>
    <t>BF011508 (single), BF011686 (4-roll)</t>
  </si>
  <si>
    <t>2022_1789_02845, 2023_1929_02986</t>
  </si>
  <si>
    <t>W2264AD KE2 CLEAR r096x0150 CB1P, W2264AD KE2 CLEAR r096x0150 CB4P</t>
  </si>
  <si>
    <t>Went with 0.72mrad</t>
  </si>
  <si>
    <t>W2264AE</t>
  </si>
  <si>
    <t>BF011549</t>
  </si>
  <si>
    <t>2022_1807_02863</t>
  </si>
  <si>
    <t>W2264AE LE2 CLEAR r110x0120 CB1P</t>
  </si>
  <si>
    <t>Replaced by W2258AE.  Also tested at Chongqing for the Seres F1, X1</t>
  </si>
  <si>
    <t>secret1</t>
    <phoneticPr fontId="2" type="noConversion"/>
  </si>
  <si>
    <t>secret2</t>
  </si>
  <si>
    <t>secret3</t>
  </si>
  <si>
    <t>secret4</t>
  </si>
  <si>
    <t>D</t>
  </si>
  <si>
    <t>W2227AEH</t>
  </si>
  <si>
    <t>R</t>
  </si>
  <si>
    <t>BF012338</t>
  </si>
  <si>
    <t>W2251ALH</t>
  </si>
  <si>
    <t>W2251AMH</t>
  </si>
  <si>
    <t>2024_2555_03612</t>
  </si>
  <si>
    <t xml:space="preserve">W2227AE H LR CLEAR r109x0120 CB1P   </t>
  </si>
  <si>
    <t>ARG</t>
  </si>
  <si>
    <t>W2262AE</t>
  </si>
  <si>
    <t>BF011445</t>
  </si>
  <si>
    <t>2022_1770_02826</t>
  </si>
  <si>
    <t>If it goes commercial, we should switch them to W2262AJ</t>
  </si>
  <si>
    <t>W2214AC</t>
  </si>
  <si>
    <t>2025-0201-0346</t>
  </si>
  <si>
    <t>W2239AG</t>
  </si>
  <si>
    <t>Had to reduce flat distance for L9</t>
  </si>
  <si>
    <t>C</t>
  </si>
  <si>
    <t>W2239AB</t>
  </si>
  <si>
    <t>BF009475 (L8), ________</t>
  </si>
  <si>
    <t>L8 &amp; L9</t>
  </si>
  <si>
    <t>2020_0459_01511</t>
  </si>
  <si>
    <t>W2239AB KE2 r115x164 MT4P</t>
  </si>
  <si>
    <t>New, wider width</t>
  </si>
  <si>
    <t>?</t>
  </si>
  <si>
    <t>W2244AK</t>
  </si>
  <si>
    <t>BF011809</t>
  </si>
  <si>
    <t>2023_2023_03080</t>
  </si>
  <si>
    <t>W2244AK KE2 CLEAR r097x0.95x0120 CB1P</t>
  </si>
  <si>
    <t>W2260AI</t>
  </si>
  <si>
    <t>BF011948</t>
  </si>
  <si>
    <t>2023_2127_03184</t>
  </si>
  <si>
    <r>
      <t xml:space="preserve">W2260AI LR CLEAR r093x0307 </t>
    </r>
    <r>
      <rPr>
        <b/>
        <sz val="11"/>
        <color theme="0" tint="-0.249977111117893"/>
        <rFont val="맑은 고딕"/>
        <family val="2"/>
        <scheme val="minor"/>
      </rPr>
      <t>CB1P</t>
    </r>
  </si>
  <si>
    <t>Air bags were inserted to make a long roll in a single package</t>
  </si>
  <si>
    <t>W2228AH</t>
  </si>
  <si>
    <t>BF012981</t>
  </si>
  <si>
    <t>W2214AD</t>
  </si>
  <si>
    <t>W2239AEH</t>
  </si>
  <si>
    <t>BF012347</t>
  </si>
  <si>
    <t>2025-0253-0398</t>
  </si>
  <si>
    <t>2025-0298-0444</t>
  </si>
  <si>
    <t>2024_2576_03634</t>
  </si>
  <si>
    <t xml:space="preserve">W2239AE-H LE2 CLEAR r113x0120 CB1P   </t>
  </si>
  <si>
    <t>W2225AA</t>
  </si>
  <si>
    <t>BF011511</t>
  </si>
  <si>
    <t>W1260AA</t>
  </si>
  <si>
    <t>BF009010, BF009033</t>
  </si>
  <si>
    <t>Not at the start, but yes for last campaigns</t>
  </si>
  <si>
    <t>Horiz</t>
  </si>
  <si>
    <t>2022_1788_02844</t>
  </si>
  <si>
    <t>2020_0069_01120</t>
  </si>
  <si>
    <t>W1260AA LR CLEAR I183X0166 C03P, W1260AA LR CLEAR I183X0050 C03P</t>
  </si>
  <si>
    <t>Half thickness.  Interleaved.  Not used for HUD.  Must run single-cut.</t>
  </si>
  <si>
    <t>W2260AA</t>
  </si>
  <si>
    <t>BF009011, BF009034 (50m), __ (refrig)</t>
  </si>
  <si>
    <t>W2237AH</t>
  </si>
  <si>
    <t>BF012882</t>
  </si>
  <si>
    <t>W2228AF</t>
  </si>
  <si>
    <t>BF012884</t>
  </si>
  <si>
    <t>2020_0069_01120, 2021_0943_01998, 2025-0206-0351</t>
  </si>
  <si>
    <r>
      <t xml:space="preserve">W2260AA LR CLEAR I183X0.95X0050 </t>
    </r>
    <r>
      <rPr>
        <sz val="11"/>
        <color rgb="FF3333FF"/>
        <rFont val="맑은 고딕"/>
        <family val="2"/>
        <scheme val="minor"/>
      </rPr>
      <t>C03P</t>
    </r>
    <r>
      <rPr>
        <sz val="11"/>
        <color theme="1"/>
        <rFont val="맑은 고딕"/>
        <family val="2"/>
        <charset val="129"/>
        <scheme val="minor"/>
      </rPr>
      <t xml:space="preserve">, W2260AA LR CLEAR I183X0.95X0166 </t>
    </r>
    <r>
      <rPr>
        <sz val="11"/>
        <color rgb="FF3333FF"/>
        <rFont val="맑은 고딕"/>
        <family val="2"/>
        <scheme val="minor"/>
      </rPr>
      <t>C03P</t>
    </r>
  </si>
  <si>
    <r>
      <t xml:space="preserve">Changed from R to E2 pattern with second BPCM request.  </t>
    </r>
    <r>
      <rPr>
        <sz val="11"/>
        <color rgb="FF3333FF"/>
        <rFont val="맑은 고딕"/>
        <family val="2"/>
        <scheme val="minor"/>
      </rPr>
      <t>Interleaved.</t>
    </r>
  </si>
  <si>
    <t>2025-0166-0306</t>
  </si>
  <si>
    <t>W2229AL</t>
  </si>
  <si>
    <t>tbd</t>
  </si>
  <si>
    <t>W2229AL KE2 CLEAR r110x0177 CB1P</t>
  </si>
  <si>
    <t>W2227AM</t>
  </si>
  <si>
    <t>W2227AOT</t>
  </si>
  <si>
    <t>W2227AN</t>
  </si>
  <si>
    <t>W2227APT</t>
  </si>
  <si>
    <t>W2270AA</t>
  </si>
  <si>
    <t>BF011450</t>
  </si>
  <si>
    <t>W2246AC</t>
  </si>
  <si>
    <t>BF011636</t>
  </si>
  <si>
    <t>W2250AJ</t>
  </si>
  <si>
    <t>BF011638</t>
  </si>
  <si>
    <t>W2254AD</t>
  </si>
  <si>
    <t>BF011639</t>
  </si>
  <si>
    <t>W2262AB from SYPKA passed validation</t>
  </si>
  <si>
    <t>Copy</t>
  </si>
  <si>
    <t>W2220AA</t>
  </si>
  <si>
    <t>BF011633</t>
  </si>
  <si>
    <t>W2254AE</t>
  </si>
  <si>
    <t>BF011707</t>
  </si>
  <si>
    <t>2025-0224-0369</t>
  </si>
  <si>
    <t>W2227AM LE2 CLEAR r098x0174 CB1P</t>
  </si>
  <si>
    <t>2025-0242-0387</t>
  </si>
  <si>
    <t>W2227AN LE2 CLEAR r103x0172 CB1P</t>
  </si>
  <si>
    <t>2022_1741_02797</t>
  </si>
  <si>
    <t>Angle too steep for L9 today.  FY didn’t want sheeting from L8.</t>
  </si>
  <si>
    <t>2023_1903_02960</t>
  </si>
  <si>
    <t>W2246AC LE2 CLEAR r130x0120 CB1P</t>
  </si>
  <si>
    <t>W2250AJ LE2 CLEAR r098x0120 CB1P</t>
  </si>
  <si>
    <t>W2254AD LE2 CLEAR r100x0120 CB1P</t>
  </si>
  <si>
    <t>Passed validation.  No order yet.</t>
  </si>
  <si>
    <t>W2220AA LE2 CLEAR r106x0120 CB1P</t>
  </si>
  <si>
    <t>2023_1949_03006</t>
  </si>
  <si>
    <t>W2254AE LE2 CLEAR r105x0152 CB1P</t>
  </si>
  <si>
    <t xml:space="preserve"> Obsolete if they're going to monolayer?  Or they may use both.</t>
  </si>
  <si>
    <t>W2258AA</t>
  </si>
  <si>
    <t>BF011211</t>
  </si>
  <si>
    <t>2022_1609_02665</t>
  </si>
  <si>
    <t>W2258AA LE2 CLEAR r103x0050 CB1P</t>
  </si>
  <si>
    <t>Went to monolayer</t>
  </si>
  <si>
    <t>W2258AC</t>
  </si>
  <si>
    <t>BF011640</t>
  </si>
  <si>
    <t>W2251AJT</t>
  </si>
  <si>
    <t>BF012515 (CB1P), BF012707 (CB4P)</t>
  </si>
  <si>
    <t>W2254AI</t>
  </si>
  <si>
    <t>BF012516 (CB1P), BF012708 (CB4P)</t>
  </si>
  <si>
    <t>W2258AC LE2 CLEAR r105x0120 CB1P</t>
  </si>
  <si>
    <t>4-roll package was set up as W2258AG for Shanghai.  Should be obsolete once Changchun tests this code.</t>
  </si>
  <si>
    <t>2024_2743_03801, 2024_2909_03967</t>
  </si>
  <si>
    <t>W2251AJ LE2 CLEAR r094x0159 CB1P, W2251AJ LE2 CLEAR r094x0159 CB4P</t>
  </si>
  <si>
    <t>W2254AI LE2 CLEAR r094x0156 CB1P, W2254AI LE2 CLEAR r094x0156 CB4P</t>
  </si>
  <si>
    <t>W2233ADT</t>
  </si>
  <si>
    <t>BF011854</t>
  </si>
  <si>
    <t>W2222AGT</t>
  </si>
  <si>
    <t>W2232AHT</t>
  </si>
  <si>
    <t>W2233AFT</t>
  </si>
  <si>
    <t xml:space="preserve">             See AGP Peru section for product design (original design)</t>
  </si>
  <si>
    <t>2023_2056_03113, 2024_2777_03835</t>
  </si>
  <si>
    <t>W2233AD LE2 CLEAR r112x0171 CB4P</t>
  </si>
  <si>
    <t>N/A - AGP's design</t>
  </si>
  <si>
    <t>AGP's design</t>
  </si>
  <si>
    <t>See AGP section for product design details</t>
  </si>
  <si>
    <t>W5026ABT</t>
  </si>
  <si>
    <t>F</t>
  </si>
  <si>
    <t>R3</t>
  </si>
  <si>
    <t>Standard</t>
  </si>
  <si>
    <t>W2262AD</t>
  </si>
  <si>
    <t>BF011449</t>
  </si>
  <si>
    <t>W2264AGT</t>
  </si>
  <si>
    <t>BF011668</t>
  </si>
  <si>
    <t>Replaced by W2264AG</t>
  </si>
  <si>
    <t>2023_1920_02977, 2024_2777_03835</t>
  </si>
  <si>
    <t>W2264AG LE2 CLEAR r103x0144 CB4P</t>
  </si>
  <si>
    <t>Replacing W2262AD</t>
  </si>
  <si>
    <t>W2220ABT</t>
  </si>
  <si>
    <t>BF011669</t>
  </si>
  <si>
    <t>W2230AAT</t>
  </si>
  <si>
    <t>BF011670</t>
    <phoneticPr fontId="39" type="noConversion"/>
  </si>
  <si>
    <t>W2235ABT</t>
  </si>
  <si>
    <t>BF011671</t>
  </si>
  <si>
    <t>W2235ACT</t>
  </si>
  <si>
    <t>BF011672</t>
  </si>
  <si>
    <t>W2240AIT</t>
  </si>
  <si>
    <t>BF011673</t>
  </si>
  <si>
    <t>W2240AJT</t>
  </si>
  <si>
    <t>BF011674</t>
  </si>
  <si>
    <t>W2240ALT</t>
  </si>
  <si>
    <t>BF011676</t>
  </si>
  <si>
    <t>W2244AET</t>
  </si>
  <si>
    <t>BF011519</t>
  </si>
  <si>
    <t>W2244AL</t>
  </si>
  <si>
    <t>BF012313</t>
  </si>
  <si>
    <t>W2244AFT</t>
  </si>
  <si>
    <t>BF011520</t>
  </si>
  <si>
    <t>W2244AGT</t>
  </si>
  <si>
    <t>BF011677</t>
  </si>
  <si>
    <t>W2244AHT</t>
  </si>
  <si>
    <t>BF011678</t>
  </si>
  <si>
    <t>W2220AB LE2 CLEAR r120x0187 CB4P</t>
  </si>
  <si>
    <t>W2230AA LE2 CLEAR r120x0171 CB4P</t>
  </si>
  <si>
    <t>W2235AB LE2 CLEAR r099x0175 CB4P</t>
  </si>
  <si>
    <t>W2235AC LE2 CLEAR r120x0164 CB4P</t>
  </si>
  <si>
    <t>Similar to W2235AE</t>
  </si>
  <si>
    <t>W2240AI LE2 CLEAR r085x0172 CB4P</t>
  </si>
  <si>
    <t>W2240AJ LE2 CLEAR r099x0170 CB4P</t>
  </si>
  <si>
    <t>W2240AL LE2 CLEAR r120x0158 CB4P</t>
  </si>
  <si>
    <t>2022_1806_02862, 2024_2777_03835</t>
  </si>
  <si>
    <t>W2244AE LE2 CLEAR r099x0166 CB4P</t>
  </si>
  <si>
    <t>Replaced by W2244AL</t>
  </si>
  <si>
    <t>2024_2532_03589</t>
  </si>
  <si>
    <t>W2244AL LE2 CLEAR r099x0162 CB4P</t>
  </si>
  <si>
    <t>Reduced flat distance.  Replacing W2244AE</t>
  </si>
  <si>
    <t>W2244AF LE2 CLEAR r106x0161 CB4P</t>
  </si>
  <si>
    <t>W2244AG LE2 CLEAR r091x0168 CB4P</t>
  </si>
  <si>
    <t>W2244AH LE2 CLEAR r115x0156 CB4P</t>
  </si>
  <si>
    <t>W2248ADT</t>
  </si>
  <si>
    <t>BF011679</t>
  </si>
  <si>
    <t>W2252AHT</t>
  </si>
  <si>
    <t>BF011522</t>
  </si>
  <si>
    <t>W2252AIT</t>
  </si>
  <si>
    <t>BF011523</t>
  </si>
  <si>
    <t>W2252AR</t>
  </si>
  <si>
    <t>BF012314</t>
  </si>
  <si>
    <t>W2252AJT</t>
  </si>
  <si>
    <t>BF011524</t>
  </si>
  <si>
    <t>W2252AKT</t>
  </si>
  <si>
    <t>BF011525 (CB4P), BF012212 (CB1P)</t>
  </si>
  <si>
    <t>W2252AMT</t>
  </si>
  <si>
    <t>BF011680</t>
  </si>
  <si>
    <t>W2248AD LE2 CLEAR r100x0161 CB4P</t>
  </si>
  <si>
    <t>W2252AH LE2 CLEAR r090x0164 CB4P</t>
  </si>
  <si>
    <t>W2252AI LE2 CLEAR r100x0157 CB4P</t>
  </si>
  <si>
    <t>Replaced by W2252AR</t>
  </si>
  <si>
    <t>W2252AR LE2 CLEAR r100x0154 CB4P</t>
  </si>
  <si>
    <t>Reduced flat distance.  Replacing W2252AI</t>
  </si>
  <si>
    <t>W2252AJ LE2 CLEAR r103x0155 CB4P</t>
  </si>
  <si>
    <t>2022_1806_02862, 2024_2437_03494</t>
  </si>
  <si>
    <t>W2252AK LE2 CLEAR r107x0152 CB4P</t>
  </si>
  <si>
    <t>Being tested by Xinyi</t>
  </si>
  <si>
    <t>W2252AM LE2 CLEAR r085x0161 CB4P</t>
  </si>
  <si>
    <t>W2259ABT</t>
  </si>
  <si>
    <t>BF011526</t>
  </si>
  <si>
    <t>W2259ACT</t>
  </si>
  <si>
    <t>BF011527</t>
  </si>
  <si>
    <t>W2259ADT</t>
  </si>
  <si>
    <t>BF011681</t>
  </si>
  <si>
    <t>W2259AET</t>
  </si>
  <si>
    <t>BF011682</t>
  </si>
  <si>
    <t>W2259AFT</t>
  </si>
  <si>
    <t>BF011806</t>
  </si>
  <si>
    <t>W2259AA</t>
  </si>
  <si>
    <t>BF010676, BF011316 (L9 50m)</t>
  </si>
  <si>
    <t>W2265AAT</t>
  </si>
  <si>
    <t>BF011528</t>
  </si>
  <si>
    <t>W2265ABT</t>
  </si>
  <si>
    <t>BF011683</t>
  </si>
  <si>
    <t>W2268AAT</t>
  </si>
  <si>
    <t>BF011529</t>
  </si>
  <si>
    <t>W2268AD</t>
  </si>
  <si>
    <t>BF012315</t>
  </si>
  <si>
    <t>W2268ABT</t>
  </si>
  <si>
    <t>BF011530</t>
  </si>
  <si>
    <t>W2259AB LE2 CLEAR r091x0158 CB4P</t>
  </si>
  <si>
    <t>W2259AC LE2 CLEAR r115x0140 CB4P</t>
  </si>
  <si>
    <t>W2259AD LE2 CLEAR r085x0154 CB4P</t>
  </si>
  <si>
    <t>W2259AE LE2 CLEAR r117x0139 CB4P</t>
  </si>
  <si>
    <t>2023_2021_03078, 2024_2777_03835</t>
  </si>
  <si>
    <t>W2259AF LE2 CLEAR r100x0151 CB4P</t>
  </si>
  <si>
    <t>Should not have been created.  W2259AA would work.  Only needed a 4-roll package.</t>
  </si>
  <si>
    <t>2022_1305_02361, 2022_1643_02699</t>
  </si>
  <si>
    <t>W2259AA LE2 CLEAR r100x0147 CT4P, W2259AA LE2 CLEAR r100x0050 CB1P</t>
  </si>
  <si>
    <t>Straight to commercial from L8 for two campaigns.  Then moved to L9, and then became W2259AF.</t>
  </si>
  <si>
    <t>W2265AA LE2 CLEAR r108x0140 CB4P</t>
  </si>
  <si>
    <t>W2265AB LE2 CLEAR r120x0132 CB4P</t>
  </si>
  <si>
    <t>W2268AA LE2 CLEAR r100x0143 CB4P</t>
  </si>
  <si>
    <t>Replaced by W2268AD</t>
  </si>
  <si>
    <t>W2268AD LE2 CLEAR r100x0140 CB4P</t>
  </si>
  <si>
    <t>Reduced flat distance.  Replacing W2268AA</t>
  </si>
  <si>
    <t>W2268AB LE2 CLEAR r115x0133 CB4P</t>
  </si>
  <si>
    <t>Nearly identical to W2268AC, but AC is K adhesion</t>
  </si>
  <si>
    <t>W2222AA</t>
  </si>
  <si>
    <t>BF011537</t>
  </si>
  <si>
    <t>W2230AC</t>
  </si>
  <si>
    <t>BF012344</t>
  </si>
  <si>
    <t>BF012171</t>
  </si>
  <si>
    <t>BF012569 (CB4P), BF012730 (CB1P)</t>
  </si>
  <si>
    <t>W2235AD</t>
  </si>
  <si>
    <t>BF012172</t>
  </si>
  <si>
    <t>W2240AKT</t>
  </si>
  <si>
    <t>BF011675 (CB4P), BF012151 (CB1P)</t>
  </si>
  <si>
    <t>W2223AB</t>
  </si>
  <si>
    <t>BF012152</t>
  </si>
  <si>
    <t>W2222AA LE2 CLEAR r115x0120 CB1P</t>
  </si>
  <si>
    <t>2024_2567_03625</t>
  </si>
  <si>
    <t>W2230AC LE2 CLEAR r115x0171 CB1P</t>
  </si>
  <si>
    <t>Shaped</t>
  </si>
  <si>
    <t>2024_2388_03445, 2024_2777_03835</t>
  </si>
  <si>
    <t>W2233AF LE2 CLEAR r116x0169 CB4P</t>
  </si>
  <si>
    <t>Nearly identical to W2233AE at KCC</t>
  </si>
  <si>
    <t>2024_2813_03871, 2024_2931_03989</t>
  </si>
  <si>
    <t>W2232AHT LE2 CLEAR r116x0170 CB4P, W2232AHT LE2 CLEAR r116x170 CB1P</t>
  </si>
  <si>
    <t>Replacing W2232AET at 2 cm narrower &amp; new HUD area</t>
  </si>
  <si>
    <t>2024_2388_03445</t>
  </si>
  <si>
    <t>W2235AD LE2 CLEAR r116x0166 CB1P</t>
  </si>
  <si>
    <t>2023_1920_02977, 2023_2364_03421, 2024_2777_03835</t>
  </si>
  <si>
    <t>W2240AK LE2 CLEAR r110x0163 CB4P, W2240AK LE2 CLEAR r110x0163 CB1P</t>
  </si>
  <si>
    <t>Unshaped.  Orig for Fuqing, but then switched to Guangzhou.</t>
  </si>
  <si>
    <t>2023_2362_03419</t>
  </si>
  <si>
    <t>W2223AB LE2 CLEAR r108x0187 CB1P</t>
  </si>
  <si>
    <t>W2239AHT</t>
  </si>
  <si>
    <t>W2228ADT</t>
  </si>
  <si>
    <t>W2236ADT</t>
  </si>
  <si>
    <t>W2237AB</t>
  </si>
  <si>
    <t>BF011539</t>
  </si>
  <si>
    <t>W2221AET</t>
  </si>
  <si>
    <t>BF012568</t>
  </si>
  <si>
    <t>W2229AC</t>
  </si>
  <si>
    <t>BF012513</t>
  </si>
  <si>
    <t>W2250AKT</t>
  </si>
  <si>
    <t>BF011701</t>
  </si>
  <si>
    <t>W2250AI</t>
  </si>
  <si>
    <t>BF011544</t>
  </si>
  <si>
    <t>W2219AET</t>
  </si>
  <si>
    <t>BF012342 (CB1P), BF012756 (CB4P)</t>
  </si>
  <si>
    <t>W2227AF</t>
  </si>
  <si>
    <t>BF012341</t>
  </si>
  <si>
    <t>W2222ABT</t>
  </si>
  <si>
    <t>BF012556</t>
  </si>
  <si>
    <t>W2230ADT</t>
  </si>
  <si>
    <t>BF012685 (CB1P), BF012757 (CB4P)</t>
  </si>
  <si>
    <t>W2247AB</t>
  </si>
  <si>
    <t>BF011541</t>
  </si>
  <si>
    <t>W2247AC</t>
  </si>
  <si>
    <t>BF011667</t>
  </si>
  <si>
    <t>W2250AOT</t>
  </si>
  <si>
    <t>BF011790</t>
  </si>
  <si>
    <t>W2252APT</t>
  </si>
  <si>
    <t>BF012261 (CB2P), BF012263 (CB4P)</t>
  </si>
  <si>
    <t>W2252AOT</t>
  </si>
  <si>
    <t>BF011702</t>
  </si>
  <si>
    <t>W2229AB</t>
  </si>
  <si>
    <t>BF011916 (CB1P), _____ (CB4P)</t>
  </si>
  <si>
    <t>156, 311</t>
  </si>
  <si>
    <t>2025-0261-0406</t>
  </si>
  <si>
    <t>2024_2866_03924</t>
  </si>
  <si>
    <t>2024_2877_03935</t>
  </si>
  <si>
    <t>Straight cut</t>
  </si>
  <si>
    <t>W2237AB LE2 CLEAR r107x0120 CB1P</t>
  </si>
  <si>
    <t>2024_2813_03871</t>
  </si>
  <si>
    <t>W2221AET LE2 CLEAR r131x0179 CB1P</t>
  </si>
  <si>
    <t>For shaping</t>
  </si>
  <si>
    <t>2024_2743_03801</t>
  </si>
  <si>
    <t>W2229AC LE2 CLEAR r122x0165 CB1P</t>
  </si>
  <si>
    <t>Not for HUD.  For double image at camera.</t>
  </si>
  <si>
    <t>2023_1949_03006, 2024_2777_03835</t>
  </si>
  <si>
    <t>W2250AK LE2 CLEAR r102x0158 CB4P</t>
  </si>
  <si>
    <t>W2250AI LE2 CLEAR r104x0120 CB1P</t>
  </si>
  <si>
    <t>2024_2567_03625, 2024_2963_04021</t>
  </si>
  <si>
    <t>W2219AE LE2 CLEAR r105x0192 CB1P, W2219AET LE2 CLEAR r105x0192 CB4P</t>
  </si>
  <si>
    <t>W2227AF LE2 CLEAR r102x0181 CB1P</t>
  </si>
  <si>
    <t>2024_2793_03851</t>
  </si>
  <si>
    <t>W2222ABT LE2 CLEAR r115x0185 CB1P</t>
  </si>
  <si>
    <t>2024_2887_03945, 2024_2963_04021</t>
  </si>
  <si>
    <t>W2230ADT LE2 CLEAR r109x0176 CB1P, W2230ADT LE2 CLEAR r109x0176 CB4P</t>
  </si>
  <si>
    <t>W2247AB LE2 CLEAR r096x0120 CB1P</t>
  </si>
  <si>
    <t>Replaced by W2247AC</t>
  </si>
  <si>
    <t>2023_1920_02977</t>
  </si>
  <si>
    <t>W2247AC LE2 CLEAR r096x0165 CB4P</t>
  </si>
  <si>
    <t>Replaced W2247AB, but then switched to 0.50 mrad.</t>
  </si>
  <si>
    <t>2023_2009_03066, 2025-0142-0282 (CB1P)</t>
  </si>
  <si>
    <t>W2250AO LE2 CLEAR r096x0158 CB4P</t>
  </si>
  <si>
    <t>2024_2478_03535, 2024_2777_03835</t>
  </si>
  <si>
    <t>W2252AP LE2 CLEAR r096x0311 CB2P, W2252AP LE2 CLEAR r096x0156 CB4P</t>
  </si>
  <si>
    <t>To help Ulsan with LWA near transition</t>
  </si>
  <si>
    <t>W2252AO LE2 CLEAR r096x0160 CB4P</t>
  </si>
  <si>
    <t>2023_2089_03146, 2024_2925_03983</t>
  </si>
  <si>
    <t>W2229AB LE2 CLEAR r110x0177 CB1P</t>
  </si>
  <si>
    <t>Also being tested by Zhengzhou</t>
  </si>
  <si>
    <t>W2248AB</t>
  </si>
  <si>
    <t>BF011542</t>
  </si>
  <si>
    <t>W2249AHT</t>
  </si>
  <si>
    <t>BF012032</t>
  </si>
  <si>
    <t>W2248AB LE2 CLEAR r106x0120 CB1P</t>
  </si>
  <si>
    <t>Switched to monolayer</t>
  </si>
  <si>
    <t>2023_2220_03277, 2024_2777_03835</t>
  </si>
  <si>
    <t>W2249AH LE2 CLEAR r102x0159 CB4P</t>
  </si>
  <si>
    <t>W2232AET</t>
  </si>
  <si>
    <t>BF011941</t>
  </si>
  <si>
    <t>W2232AC</t>
  </si>
  <si>
    <t>BF010824 (L8 171m), BF011310 (L9 50m), BF011580 (L9 171m)</t>
  </si>
  <si>
    <t>W2229AFT</t>
  </si>
  <si>
    <t>W2232AFT</t>
  </si>
  <si>
    <t>BF012557</t>
  </si>
  <si>
    <t>W2229AJT</t>
  </si>
  <si>
    <t>2023_2120_03177, 2024_2777_03835</t>
  </si>
  <si>
    <t>W2232AE LE2 CLEAR r118x0169 CB4P</t>
  </si>
  <si>
    <t>Replacing W2232AC</t>
  </si>
  <si>
    <t>2022_1408_02464, 2022_1643_02699, 2022_1831_02887 (4 roll), 2023_1838_02894</t>
  </si>
  <si>
    <t>W2232AC LE2 CLEAR r115x0171 CT4P (L8), W2232AC LE2 CLEAR r 115x0050 CB1P (L9), W2232AC LE2 CLEAR r115x0171 CB4P (L9)</t>
  </si>
  <si>
    <t>Also being tested by Chongqing for the BYD HC</t>
  </si>
  <si>
    <t>W2232AFT LE2 CLEAR r105x0172 CB4P</t>
  </si>
  <si>
    <t>2025-0264-0410</t>
  </si>
  <si>
    <t>W2240AT</t>
  </si>
  <si>
    <t>BF012343</t>
  </si>
  <si>
    <t>W2240AT LE2 CLEAR r108x0161 CB4P</t>
  </si>
  <si>
    <t>W2250AQ</t>
  </si>
  <si>
    <t>BF011949</t>
  </si>
  <si>
    <t>W2249AGT</t>
  </si>
  <si>
    <t>BF011703</t>
  </si>
  <si>
    <t>W2251AHT</t>
  </si>
  <si>
    <t>BF011988</t>
  </si>
  <si>
    <t>W2250ART</t>
  </si>
  <si>
    <t>BF012033</t>
  </si>
  <si>
    <t>W2250AU</t>
  </si>
  <si>
    <t>BF012369</t>
  </si>
  <si>
    <t>W2225AE</t>
  </si>
  <si>
    <t>BF012370</t>
  </si>
  <si>
    <t>W2225AFT</t>
  </si>
  <si>
    <t>BF012555</t>
  </si>
  <si>
    <t>W2225AHT</t>
  </si>
  <si>
    <t>2023_2136_03193</t>
  </si>
  <si>
    <t>W2250AQ LE2 CLEAR r131x0140 CB1P</t>
  </si>
  <si>
    <t>W2249AG LE2 CLEAR r116x0150 CB4P</t>
  </si>
  <si>
    <t>Replaced W2249AE, which then went to Suzhou.  Being replaced by W2251AH.</t>
  </si>
  <si>
    <t>2023_2180_03237, 2024_2777_03835</t>
  </si>
  <si>
    <t>W2251AH LE2 CLEAR r116x0148 CB4P</t>
  </si>
  <si>
    <t>Replacing W2249AG</t>
  </si>
  <si>
    <t>W2250AR LE2 CLEAR r116x0149 CB4P</t>
  </si>
  <si>
    <t>Will be replaced by W2250AU</t>
  </si>
  <si>
    <t>2024_2591_03649</t>
  </si>
  <si>
    <t xml:space="preserve">W2250AU LE2 CLEAR r114x0150 CB4P </t>
  </si>
  <si>
    <t>Will replace W2250AR</t>
  </si>
  <si>
    <t>W2225AE LE2 CLEAR r106x0182 CB1P</t>
  </si>
  <si>
    <t>2024_2786_03844</t>
  </si>
  <si>
    <t>W2225AFT LE2 CLEAR r106x0180 CB1P</t>
  </si>
  <si>
    <t>Larger HUD area</t>
  </si>
  <si>
    <t>2024_2986_04044</t>
  </si>
  <si>
    <t>Short roll due to very narrow plateau</t>
  </si>
  <si>
    <t>W2256AET</t>
  </si>
  <si>
    <t>BF011704</t>
  </si>
  <si>
    <t>W2256AC</t>
  </si>
  <si>
    <t>BF011583</t>
  </si>
  <si>
    <t>W2257ADT</t>
  </si>
  <si>
    <t>BF011709</t>
  </si>
  <si>
    <t>W2258AHT</t>
  </si>
  <si>
    <t>BF011800</t>
  </si>
  <si>
    <t>W2256AE LE2 CLEAR r101x0153 CB4P</t>
  </si>
  <si>
    <t>2022_1831_02887, 2023_1838_02894</t>
  </si>
  <si>
    <t>W2256AC LE2 CLEAR r100x0120 CB1P</t>
  </si>
  <si>
    <t>W2257AD LE2 CLEAR r102x0151 CB4P</t>
  </si>
  <si>
    <t>W2258AH LE2 CLEAR r100x0152 CB4P</t>
  </si>
  <si>
    <t>W2255AA</t>
  </si>
  <si>
    <t>BF011799</t>
  </si>
  <si>
    <t>W2260AHT</t>
  </si>
  <si>
    <t>BF011937</t>
  </si>
  <si>
    <t>W2260ACT</t>
  </si>
  <si>
    <t>BF011465 (CB1P, BF011849 (CB4P)</t>
  </si>
  <si>
    <t>W2260AF</t>
  </si>
  <si>
    <t>BF011801</t>
  </si>
  <si>
    <t>W2260AD</t>
  </si>
  <si>
    <t>BF011547</t>
  </si>
  <si>
    <t>W2241AC</t>
  </si>
  <si>
    <t>BF010441 (L8 50m), BF011312 (L9 50m)</t>
  </si>
  <si>
    <t>W2236AC</t>
  </si>
  <si>
    <t>BF011798 (1), BF012031 (4)</t>
  </si>
  <si>
    <t>W2258AB</t>
  </si>
  <si>
    <t>BF011546</t>
  </si>
  <si>
    <t>W2232AJ</t>
  </si>
  <si>
    <t>BF012737</t>
  </si>
  <si>
    <t>W2252AQT</t>
  </si>
  <si>
    <t>BF011939</t>
  </si>
  <si>
    <t>2023_2021_03078, 2023_2213_03270</t>
  </si>
  <si>
    <t>W2255AA LE2 CLEAR r105x0151 CB1P</t>
  </si>
  <si>
    <t>W2260AH LE2 CLEAR r101x0149 CB4P</t>
  </si>
  <si>
    <t>Replaced W2260AF and W2260AC</t>
  </si>
  <si>
    <t>2022_1756_02812, 2024_2777_03835</t>
  </si>
  <si>
    <t>W2260AC LE2 CLEAR r103x0148 CB1P, W2260AC LE2 CLEAR r103x0148 CB4P</t>
  </si>
  <si>
    <t>Originally set up for Fuyao Changchun for the Hongqi HS5.  Replaced by W2260AH?</t>
  </si>
  <si>
    <t>2023_2021_03078</t>
  </si>
  <si>
    <t>W2260AF LE2 CLEAR r100x0150 CB4P</t>
  </si>
  <si>
    <t>Replaced by W2260AH</t>
  </si>
  <si>
    <t>W2260AD LE2 CLEAR r097x0120 CB1P</t>
  </si>
  <si>
    <t>2021_1156_02211, 2022_1610_02666, 2022_1643_02699</t>
  </si>
  <si>
    <t>W2241AC LE2 r88x0050 CT1P (L8), W2241AC LE2 CLEAR r88x0050 CB1P (L9)</t>
  </si>
  <si>
    <t>First extruded on L8, then extended to L9</t>
  </si>
  <si>
    <t>W2236AC LE2 CLEAR r095x0174 CB1P, W2236AC LE2 CLEAR R095X0174 CB4P</t>
  </si>
  <si>
    <t>W2258AB LE2 CLEAR r106x0120 CB1P</t>
  </si>
  <si>
    <t>Windshield being phased out?</t>
  </si>
  <si>
    <t>2024_2939_03997</t>
  </si>
  <si>
    <t>W2252AQ LE2 CLEAR r115x0147 CB4P</t>
  </si>
  <si>
    <t>W2256AA</t>
  </si>
  <si>
    <t>BF010670, BF011315 (L9 50m)</t>
  </si>
  <si>
    <t>W2256AGT</t>
  </si>
  <si>
    <t>BF011913 (CB4P), BF012401 (CB1P)</t>
  </si>
  <si>
    <t>W2240AOT</t>
  </si>
  <si>
    <t>BF011814</t>
  </si>
  <si>
    <t>W2264AF</t>
  </si>
  <si>
    <t>BF011642</t>
  </si>
  <si>
    <t>W2235AKT</t>
  </si>
  <si>
    <t>BF012880</t>
  </si>
  <si>
    <t>W2233ACT</t>
  </si>
  <si>
    <t>BF011815</t>
  </si>
  <si>
    <t>2022_1272_02327, 2022_1643_02699</t>
  </si>
  <si>
    <t xml:space="preserve">W2256AA LE2 CLEAR r105x0050 CT1P, W2256AA LE2 CLEAR r105x0050 CB1P           </t>
  </si>
  <si>
    <t>2023_2089_03146, 2024_2777_03835</t>
  </si>
  <si>
    <t>W2256AG LE2 CLEAR r105x0150 CB4P, W2256AG LE2 CLEAR r105x0150 CB1P</t>
  </si>
  <si>
    <t>Shaped.  Replacing W2258AG?</t>
  </si>
  <si>
    <t>2023_2030_03087, 2024_2777_03835</t>
  </si>
  <si>
    <t>W2240AO LE2 CLEAR r105x0166 CB4P</t>
  </si>
  <si>
    <t>W2264AF LE2 CLEAR r098x0120 CB1P</t>
  </si>
  <si>
    <t>2025-0161-0301</t>
  </si>
  <si>
    <t>W2235AK LE2 CLEAR r130x0159 CB1P</t>
  </si>
  <si>
    <t>W2233AC LE2 CLEAR r103x0176 CB4P</t>
  </si>
  <si>
    <t>For stretching</t>
  </si>
  <si>
    <t>W2256AFT</t>
  </si>
  <si>
    <t>BF011728</t>
  </si>
  <si>
    <t>W2247AET</t>
  </si>
  <si>
    <t>BF011813</t>
  </si>
  <si>
    <t>W2256AB</t>
  </si>
  <si>
    <t>BF011545</t>
  </si>
  <si>
    <t>W2258AG</t>
  </si>
  <si>
    <t>BF011727</t>
  </si>
  <si>
    <t>W2258AD</t>
  </si>
  <si>
    <t>BF011641</t>
  </si>
  <si>
    <t>W2260AKT</t>
  </si>
  <si>
    <t>W2266AA</t>
  </si>
  <si>
    <t>BF011684</t>
  </si>
  <si>
    <t>W2223ADT</t>
  </si>
  <si>
    <t>BF012892</t>
  </si>
  <si>
    <t>W2258AJT</t>
  </si>
  <si>
    <t>W2256AJT</t>
  </si>
  <si>
    <t>BF012891 (CB1P), _____ (CB4P)</t>
  </si>
  <si>
    <t>W2230AFT</t>
  </si>
  <si>
    <t>W2232AKT</t>
  </si>
  <si>
    <t>W2235AI</t>
  </si>
  <si>
    <t>BF012810</t>
  </si>
  <si>
    <t>W2235AJ</t>
  </si>
  <si>
    <t>BF012879</t>
  </si>
  <si>
    <t>W2246AFT</t>
  </si>
  <si>
    <t>BF012809</t>
  </si>
  <si>
    <t>W2246AB</t>
  </si>
  <si>
    <t>BF011540</t>
  </si>
  <si>
    <t>W2262AHT</t>
  </si>
  <si>
    <t>BF011931</t>
  </si>
  <si>
    <t>2023_1957_03014, 2024_2777_03835</t>
  </si>
  <si>
    <t>W2256AF LE2 CLEAR r096x0156 CB4P</t>
  </si>
  <si>
    <t>W2247AE LE2 CLEAR r105x0159 CB4P</t>
  </si>
  <si>
    <t>W2256AB LE2 CLEAR r098x0120 CB1P</t>
  </si>
  <si>
    <t>Shaped version.  (Unshaped is at Tianjin.)</t>
  </si>
  <si>
    <t>2023_1957_03014</t>
  </si>
  <si>
    <t>W2258AG LE2 CLEAR r105x0148 CB4P</t>
  </si>
  <si>
    <t>Should never have been created.  Same design as W2258AC (Changchun).  But lives on since 4-roll pkg.  W2258AC is obsolete.</t>
  </si>
  <si>
    <t>W2258AD LE2 CLEAR r107x0120 CB1P</t>
  </si>
  <si>
    <t>Replaced by W2258AG</t>
  </si>
  <si>
    <t>2024_2836_03894</t>
  </si>
  <si>
    <t>W2266AA LE2 CLEAR r099x0146 CB4P</t>
  </si>
  <si>
    <t>2025-0186-0327</t>
  </si>
  <si>
    <t>2025-0186-0327, 2025-0198-0343</t>
  </si>
  <si>
    <t>W2232AKT LE2 CLEAR r123x0157 CB1P</t>
  </si>
  <si>
    <t>2025-0050-0186</t>
  </si>
  <si>
    <t xml:space="preserve">W2235AI LE2 CLEAR r123x0162 CB1P </t>
  </si>
  <si>
    <t>2025-0161-0301, 2025-019-0336</t>
  </si>
  <si>
    <r>
      <t>W2235AJ LE2 CLEAR r123x0</t>
    </r>
    <r>
      <rPr>
        <sz val="11"/>
        <color rgb="FFFF0000"/>
        <rFont val="맑은 고딕"/>
        <family val="2"/>
        <scheme val="minor"/>
      </rPr>
      <t>120</t>
    </r>
    <r>
      <rPr>
        <sz val="11"/>
        <color rgb="FF000000"/>
        <rFont val="맑은 고딕"/>
        <family val="2"/>
        <scheme val="minor"/>
      </rPr>
      <t> CB1P</t>
    </r>
  </si>
  <si>
    <t>2025-0050-0186, 2025-0146-0286</t>
  </si>
  <si>
    <t xml:space="preserve">W2246AF LE2 CLEAR r108x0158 CB1P </t>
  </si>
  <si>
    <t>W2246AB LE2 CLEAR r100x0120 CB1P</t>
  </si>
  <si>
    <t>2023_2107_03164, 2024_2777_03835</t>
  </si>
  <si>
    <t>W2262AH LE2 CLEAR r096x0147 CB4P</t>
  </si>
  <si>
    <t>W2262AIT</t>
  </si>
  <si>
    <t>BF011989</t>
  </si>
  <si>
    <t>W2240AU</t>
  </si>
  <si>
    <t>BF012399</t>
  </si>
  <si>
    <t>W2240AG</t>
  </si>
  <si>
    <t>BF011635</t>
  </si>
  <si>
    <t>W2249ALT</t>
  </si>
  <si>
    <t>BF012777</t>
  </si>
  <si>
    <t>W2249AE</t>
  </si>
  <si>
    <t>BF011543</t>
  </si>
  <si>
    <t>W2262AI LE2 CLEAR r101x0144 CB4P</t>
  </si>
  <si>
    <t>2024_2635_03693</t>
  </si>
  <si>
    <t>W2240AU LE2 CLEAR r122x0156 CB1P</t>
  </si>
  <si>
    <t>Restart, for shaping</t>
  </si>
  <si>
    <t>W2240AG LE2 CLEAR r123x0120 CB1P</t>
  </si>
  <si>
    <t>For shaped.  Failed qualification.</t>
  </si>
  <si>
    <t>W2249AE LE2 CLEAR r115x0120 CB1P</t>
  </si>
  <si>
    <t xml:space="preserve">For non-shaped.  Originally set up for Hubei.  Replaced by W2249AG at Hubei. </t>
  </si>
  <si>
    <t>W2229AG</t>
  </si>
  <si>
    <t>BF012738</t>
  </si>
  <si>
    <t>W2221AD</t>
  </si>
  <si>
    <t>BF011851</t>
  </si>
  <si>
    <t>W2227AK</t>
  </si>
  <si>
    <t>BF012739</t>
  </si>
  <si>
    <t>W2234AAT</t>
  </si>
  <si>
    <t>BF012778</t>
  </si>
  <si>
    <t>W2265AET</t>
  </si>
  <si>
    <t>BF012779</t>
  </si>
  <si>
    <t>W2245AB</t>
  </si>
  <si>
    <t>BF011850</t>
  </si>
  <si>
    <t>W2229AG LE2 CLEAR r109x0176 CB1P</t>
  </si>
  <si>
    <t>2023_2056_03113</t>
  </si>
  <si>
    <t>W2221AD LE2 CLEAR r113x0188 CB1P</t>
  </si>
  <si>
    <t>W2227AK LE2 CLEAR r100x0178 CB1P</t>
  </si>
  <si>
    <t>W2245AB LE2 CLEAR r107x0159 CB1P</t>
  </si>
  <si>
    <t>W2240AF</t>
  </si>
  <si>
    <t>BF011634</t>
  </si>
  <si>
    <t>W2219AA</t>
  </si>
  <si>
    <t>BF011664</t>
  </si>
  <si>
    <t>W2218AAT</t>
  </si>
  <si>
    <t>BF011911</t>
  </si>
  <si>
    <t>W2225ACT</t>
  </si>
  <si>
    <t>BF012106</t>
  </si>
  <si>
    <t>W2258AET</t>
  </si>
  <si>
    <t>BF011663, BF011912</t>
  </si>
  <si>
    <t>W2240AF LE2 CLEAR r113x0120 CB1P</t>
  </si>
  <si>
    <t>2023_1919_02976</t>
  </si>
  <si>
    <t>W2219AA LE2 CLEAR r130x0120 CB1P</t>
  </si>
  <si>
    <t>Replacing W2225AB?</t>
  </si>
  <si>
    <t>W2218AA LE2 CLEAR r122x0189 CB4P</t>
  </si>
  <si>
    <t>2023_2288_03345, 2024_2777_03835</t>
  </si>
  <si>
    <t>W2225AC LE2 CLEAR r102x0187 CB4P</t>
  </si>
  <si>
    <t>2023_1919_02976, 2023_2089_03146, 2024_2777_03835</t>
  </si>
  <si>
    <t>W2258AE LE2 CLEAR r110x0120 CB1P, W2258AE LE2 CLEAR r110x0145 CB4P</t>
  </si>
  <si>
    <t>Replaced W2264AE</t>
  </si>
  <si>
    <t>W2260AB</t>
  </si>
  <si>
    <t>BF011448</t>
  </si>
  <si>
    <t>W2236AB</t>
  </si>
  <si>
    <t>BF011447</t>
  </si>
  <si>
    <t>Unshaped version.  (Shaped is at Shanghai.)</t>
  </si>
  <si>
    <t>W2262AF</t>
  </si>
  <si>
    <t>BF011548</t>
  </si>
  <si>
    <t>W2237AB (copy)</t>
  </si>
  <si>
    <t>y</t>
  </si>
  <si>
    <t>W2266AB (copy)</t>
  </si>
  <si>
    <t>W2250APT</t>
  </si>
  <si>
    <t>BF011910</t>
  </si>
  <si>
    <t>W2229AAT</t>
  </si>
  <si>
    <t>BF011908</t>
  </si>
  <si>
    <t>W2262AF LE2 CLEAR r094x0120 CB1P</t>
  </si>
  <si>
    <t>Changed to W2256AC before it could be extruded.  Orig. for Hubei.  Later made for Guangzhou.  Or was it Tianjin?</t>
  </si>
  <si>
    <t>W2250AP LE2 CLEAR r107x0154 CB4P</t>
  </si>
  <si>
    <t>W2229AA LE2 CLEAR r115x0175 CB4P</t>
  </si>
  <si>
    <t>Very similar to W2229AE.  Consolidate?</t>
  </si>
  <si>
    <t>W2233ABT</t>
  </si>
  <si>
    <t>BF011518</t>
  </si>
  <si>
    <t>W2233AB LE2 CLEAR r091x0183 CB4P</t>
  </si>
  <si>
    <t>Duplicate of W2233AA, just a 4-roll package.  Should not have been a new W-code</t>
  </si>
  <si>
    <t>W2240AP</t>
  </si>
  <si>
    <t>BF011907</t>
  </si>
  <si>
    <t>W2242AA</t>
  </si>
  <si>
    <t>BF011708</t>
  </si>
  <si>
    <t>W2248AGT</t>
  </si>
  <si>
    <t>BF011909</t>
  </si>
  <si>
    <t>2023_2089_03146</t>
  </si>
  <si>
    <t>W2240AP LE2 CLEAR r135x0150 CB1P</t>
  </si>
  <si>
    <t>W2242AA LE2 CLEAR r135x0147 CB1P</t>
  </si>
  <si>
    <t>W2248AG LE2 CLEAR r103x0159 CB4P</t>
  </si>
  <si>
    <t>W2232ADT</t>
  </si>
  <si>
    <t>BF011517</t>
  </si>
  <si>
    <t>W2232AD LE2 CLEAR r121x0168 CB4P</t>
  </si>
  <si>
    <t>W2230ABT</t>
  </si>
  <si>
    <t>BF011853</t>
  </si>
  <si>
    <t>W2222ACT</t>
  </si>
  <si>
    <t>BF012558 (CB1P), BF012704 (CB4P)</t>
  </si>
  <si>
    <t>W2227AAT</t>
  </si>
  <si>
    <t>BF011803</t>
  </si>
  <si>
    <t>W2228AET</t>
  </si>
  <si>
    <t>BF012717</t>
  </si>
  <si>
    <t>W2228AC</t>
  </si>
  <si>
    <t>BF012372</t>
  </si>
  <si>
    <t>W2235AFT</t>
  </si>
  <si>
    <t>BF012545</t>
  </si>
  <si>
    <t>W2251ADT</t>
  </si>
  <si>
    <t>BF011579</t>
  </si>
  <si>
    <t>W2253AB</t>
  </si>
  <si>
    <t>BF012316</t>
  </si>
  <si>
    <t>W2227AQT</t>
  </si>
  <si>
    <t>W2225AB</t>
  </si>
  <si>
    <t>BF011538</t>
  </si>
  <si>
    <t>W2244AJ</t>
  </si>
  <si>
    <t>BF011802</t>
  </si>
  <si>
    <t>W2247ADT</t>
  </si>
  <si>
    <t>BF011794</t>
  </si>
  <si>
    <t>W2239AEH (copy)</t>
  </si>
  <si>
    <t>W2230AB LE2 CLEAR r105x0178 CB4P</t>
  </si>
  <si>
    <t>2024_2793_03851, 2024_2909_03967</t>
  </si>
  <si>
    <t>W2222ACT LE2 CLEAR r112x0186 CB1P, W2222ACT LE2 CLEAR r112x0186 CB4P</t>
  </si>
  <si>
    <t>W2227AA LE2 CLEAR r083x0188 CB4P</t>
  </si>
  <si>
    <t>2024_2914_03972</t>
  </si>
  <si>
    <t>W2228AET LE2 CLEAR r083x0185 CB1P</t>
  </si>
  <si>
    <t>W2228AC LE2 CLEAR r092x0185 CB1P</t>
  </si>
  <si>
    <t>Needed to change the flat distance vs. W2228AA to get 130 mm</t>
  </si>
  <si>
    <t>2024_2776_03834</t>
  </si>
  <si>
    <t>W2235AFT LE2 CLEAR r105x0172 CB1P</t>
  </si>
  <si>
    <t>2022_1831_02887, 2023_1838_02894, 2024_2777_03835</t>
  </si>
  <si>
    <t>W2251AD LE2 CLEAR r105x0155 CB4P</t>
  </si>
  <si>
    <t>2024_2535_03592</t>
  </si>
  <si>
    <t>W2253AB LE2 CLEAR r105x0149 CB1P</t>
  </si>
  <si>
    <t>Will replace W2251AD LE2</t>
  </si>
  <si>
    <t>2025-0307-0454</t>
  </si>
  <si>
    <t>W2227AQT LE2 CLEAR r114x0178 CB1P</t>
  </si>
  <si>
    <t>W2225AB LE2 CLEAR r130x0120 CB1P</t>
  </si>
  <si>
    <t>Originally set up for Tianjin.  Was tested at Chonqin, but went with W5025__.</t>
  </si>
  <si>
    <t>W2244AJ LE2 CLEAR r107x0161 CB1P</t>
  </si>
  <si>
    <t>2023_2009_03066, 2024_2777_03835</t>
  </si>
  <si>
    <t>W2247AD LE2 CLEAR r106x0158 CB4P</t>
  </si>
  <si>
    <t>Unshaped</t>
  </si>
  <si>
    <t>W2229AB (copy)</t>
  </si>
  <si>
    <t>See Fuyao Guangzhou for original set-up</t>
  </si>
  <si>
    <t>W2249AF</t>
  </si>
  <si>
    <t>BF011637</t>
  </si>
  <si>
    <t>W2251AB</t>
  </si>
  <si>
    <t>BF010872 (50m), BF011314 (L9 50m)</t>
  </si>
  <si>
    <t>W2251AC</t>
  </si>
  <si>
    <t>BF011521</t>
  </si>
  <si>
    <t>W2232ALT</t>
  </si>
  <si>
    <t>W2222ADT</t>
  </si>
  <si>
    <t>BF012559 (CB1P), BF012705 (CB4P)]</t>
  </si>
  <si>
    <t>W2231ACT</t>
  </si>
  <si>
    <t>BF012718</t>
  </si>
  <si>
    <t>W2232AIT</t>
  </si>
  <si>
    <t>BF012732</t>
  </si>
  <si>
    <t>W2224AC</t>
  </si>
  <si>
    <t>W2255AF</t>
  </si>
  <si>
    <t>BF012733</t>
  </si>
  <si>
    <t>W2247AH</t>
  </si>
  <si>
    <t>W2232AGT</t>
  </si>
  <si>
    <t xml:space="preserve">BF012560 (CB1P), </t>
  </si>
  <si>
    <t>W2238ABT</t>
  </si>
  <si>
    <t>BF012123</t>
  </si>
  <si>
    <t>W2240ART</t>
  </si>
  <si>
    <t>BF011930</t>
  </si>
  <si>
    <t>W2232AMT</t>
  </si>
  <si>
    <t>W2249AF LE2 CLEAR r120x0120 CB1P</t>
  </si>
  <si>
    <t>Replaced by W2251AD</t>
  </si>
  <si>
    <t>2022_1444_02500, 2022_1610_02666, 2022_1643_02699</t>
  </si>
  <si>
    <t>W2251AB LE2 CLEAR r107x0050 CB1P </t>
  </si>
  <si>
    <t>2022_1806_02862</t>
  </si>
  <si>
    <t>W2251AC LE2 CLEAR r107x0153 CB4P</t>
  </si>
  <si>
    <t>Changed to W2251AD before it could be extruded.  Shouldn't have been set up since the same design as W2251AB.</t>
  </si>
  <si>
    <t>W2222ADT LE2 CLEAR r118x0184 CB1P, W2222ADT LE2 CLEAR r118x0184 CB4P</t>
  </si>
  <si>
    <t>W2231ACT LE2 CLEAR r092x0179 CB1P</t>
  </si>
  <si>
    <t>2024_2932_03990</t>
  </si>
  <si>
    <t>changed to different HUD areas 2025-0319-0466, no production run yet and therefore changed</t>
  </si>
  <si>
    <t xml:space="preserve">W2255AF LE2 CLEAR r090x0154 CB1P </t>
  </si>
  <si>
    <t>W2232AGT LE2 CLEAR r101x0178 CB1P, W2232AGT LE2 CLEAR r101x0178 CB4P</t>
  </si>
  <si>
    <t>2023_2320_03377, 2024_2777_03835</t>
  </si>
  <si>
    <t>W2238AB LE2 CLEAR r094x0172 CB4P</t>
  </si>
  <si>
    <t>Unstretched.  W/S moved from Shanghai.  Liked 0.40 better</t>
  </si>
  <si>
    <t>W2240AR LE2 CLEAR r094x0170 CB4P</t>
  </si>
  <si>
    <t>Unstretched.  W/S moved from Shanghai</t>
  </si>
  <si>
    <t>2025-0277-0423</t>
  </si>
  <si>
    <t>W2246AGT</t>
  </si>
  <si>
    <t>BF013004</t>
  </si>
  <si>
    <t>W2225AJT</t>
  </si>
  <si>
    <t>BF012979</t>
  </si>
  <si>
    <t>W2246AIT</t>
  </si>
  <si>
    <t>W2219AC</t>
  </si>
  <si>
    <t>BF012105</t>
  </si>
  <si>
    <t>W2226AD</t>
  </si>
  <si>
    <t>BF012500</t>
  </si>
  <si>
    <t>W2228AAT</t>
  </si>
  <si>
    <t>BF011804</t>
  </si>
  <si>
    <t>2025-0283-0429</t>
  </si>
  <si>
    <t>W2246 LE2 CLEAR r105x0158 CB1P</t>
  </si>
  <si>
    <t>2023_2288_03345</t>
  </si>
  <si>
    <t>W2219AC LE2 CLEAR r098x0195 CB1P</t>
  </si>
  <si>
    <t>2024_2723_03781</t>
  </si>
  <si>
    <t>W2226AD LE2 CLEAR r110x0181 CB1P</t>
  </si>
  <si>
    <t>W2228AA LE2 CLEAR r092x0185 CB4P</t>
  </si>
  <si>
    <t>HUD to transition Is too small</t>
  </si>
  <si>
    <t>W2240AWT</t>
  </si>
  <si>
    <t>W2240AS</t>
  </si>
  <si>
    <t>BF012124</t>
  </si>
  <si>
    <t>2025-0422-0582</t>
  </si>
  <si>
    <t>W2240AWT LE2 CLEAR r094x0167 CB1P</t>
  </si>
  <si>
    <t>2023_2320_03377</t>
  </si>
  <si>
    <t>W2240AS LE2 CLEAR r118x0159 CB1P</t>
  </si>
  <si>
    <t>W2239AD</t>
  </si>
  <si>
    <t>BF011451</t>
  </si>
  <si>
    <t>W2241AF</t>
  </si>
  <si>
    <t>BF011739</t>
  </si>
  <si>
    <t>2022_1744_02800</t>
  </si>
  <si>
    <t>2023_1967_03024</t>
  </si>
  <si>
    <t>W2241AF KE2 CLEAR r113x0313 CB2P</t>
  </si>
  <si>
    <t>Angle offset correction</t>
  </si>
  <si>
    <t>W2246AE</t>
  </si>
  <si>
    <t>BF012305 (CB1P), BF012521 (CB2P), ___ (MB2P)</t>
  </si>
  <si>
    <t>W2250AS</t>
  </si>
  <si>
    <t>BF012073</t>
  </si>
  <si>
    <t>W2258AF</t>
  </si>
  <si>
    <t>BF011687</t>
  </si>
  <si>
    <t>W2260AG</t>
  </si>
  <si>
    <t>BF011843 (277m), BF012442 (275m), ___ (MB2P)</t>
  </si>
  <si>
    <t>W2217AB</t>
  </si>
  <si>
    <t>BF011459 (CB1P), BF012424 (CB4P)</t>
  </si>
  <si>
    <t>W2217AC</t>
  </si>
  <si>
    <t>BF011710, BF011969 (375m), ___ (MB2P)</t>
  </si>
  <si>
    <t>W2241AG</t>
  </si>
  <si>
    <t>BF011844, ___</t>
  </si>
  <si>
    <t>W2212AB</t>
  </si>
  <si>
    <t>BF010630</t>
  </si>
  <si>
    <t>2024_2519_03576, 2024_2752_03810, 2024_2987_04045, 2024_2996_04054</t>
  </si>
  <si>
    <t>W2246AE KR CLEAR r122x0145 CB1P, W2246AES KR CLEAR r122x0295 CB2P</t>
  </si>
  <si>
    <t>2023_2248_03305</t>
  </si>
  <si>
    <t>W2250AS KR CLEAR r119x0290 CB2P</t>
  </si>
  <si>
    <t>2023_1935_02992</t>
  </si>
  <si>
    <t>W2258AF KE2 CLEAR r113x0141 CB1P</t>
  </si>
  <si>
    <t>Sample was actually 0.597mrad</t>
  </si>
  <si>
    <t>2023_2046_03103, 2024_2663_03721 (length change), 2024_2759_03817 (add S), 2024_2987_04045, 2024_2996_04054</t>
  </si>
  <si>
    <t>W2260AG KE2 CLEAR r113x0277 CB2P</t>
  </si>
  <si>
    <t>Original sample of W2258AF was actually 0.597mrad</t>
  </si>
  <si>
    <t>2022_1748_02804, 2024_2666_03724</t>
  </si>
  <si>
    <t>W2217AB KE2 CLEAR r119x0189 CB1P, W2217AB KE2 CLEAR r119x0189 CB4P</t>
  </si>
  <si>
    <t>Said they would switch to melt fracture, but then didn't</t>
  </si>
  <si>
    <t>2023_1952_03009, 2023_2171_03228, 2024_2759_03817, 2024_2987_04045, 2024_2996_04054</t>
  </si>
  <si>
    <t>W2217AC KR CLEAR r119x0189 CB1P, W2217AC KR CLEAR r119x0375 CB2P</t>
  </si>
  <si>
    <t>Nip roll version of W2217AB.  We should have kept the same variant code.</t>
  </si>
  <si>
    <t>2023_2046_03103, 2023_2140_03197, 2024_2759_03817, 2024_2987_04045, 2024_2996_04054</t>
  </si>
  <si>
    <r>
      <t xml:space="preserve">W2241AG </t>
    </r>
    <r>
      <rPr>
        <b/>
        <u/>
        <sz val="11"/>
        <rFont val="맑은 고딕"/>
        <family val="2"/>
        <scheme val="minor"/>
      </rPr>
      <t>KE2</t>
    </r>
    <r>
      <rPr>
        <b/>
        <sz val="11"/>
        <rFont val="맑은 고딕"/>
        <family val="2"/>
        <scheme val="minor"/>
      </rPr>
      <t xml:space="preserve"> CLEAR r119x0310 CB2P, W2241AG </t>
    </r>
    <r>
      <rPr>
        <b/>
        <u/>
        <sz val="11"/>
        <rFont val="맑은 고딕"/>
        <family val="2"/>
        <scheme val="minor"/>
      </rPr>
      <t>KR</t>
    </r>
    <r>
      <rPr>
        <b/>
        <sz val="11"/>
        <rFont val="맑은 고딕"/>
        <family val="2"/>
        <scheme val="minor"/>
      </rPr>
      <t xml:space="preserve"> CLEAR r119x0310 CB2P</t>
    </r>
  </si>
  <si>
    <t>2022_1259_02314</t>
  </si>
  <si>
    <t xml:space="preserve">W2212AB KE2 CLEAR r119x0150 CB1P  </t>
  </si>
  <si>
    <t>W2245AF</t>
  </si>
  <si>
    <t>BF011950, ____</t>
  </si>
  <si>
    <t>W2240AH</t>
  </si>
  <si>
    <t>BF011658 (L9, CB1P), BF012367 (CB4P)</t>
  </si>
  <si>
    <t>W2240AN</t>
  </si>
  <si>
    <t>BF011725</t>
  </si>
  <si>
    <t>W2251AF</t>
  </si>
  <si>
    <t>BF011659 (L9)</t>
  </si>
  <si>
    <t>W2251AG</t>
  </si>
  <si>
    <t>BF011726</t>
  </si>
  <si>
    <t>2025-0299-0445</t>
  </si>
  <si>
    <t>2023_1918_02975, 2024_2498_03555 (extension to China), 2024_2598_03656 (CB4P)</t>
  </si>
  <si>
    <t>W2240AH KE2 CLEAR r113x0148 CB1P.  No L8 set up?  W2240AH KE2 CLEAR r113x0148 CB4P</t>
  </si>
  <si>
    <r>
      <t xml:space="preserve">Wanted for initial trial.  Will be replaced by W2240AN. </t>
    </r>
    <r>
      <rPr>
        <sz val="11"/>
        <rFont val="맑은 고딕"/>
        <family val="2"/>
        <scheme val="minor"/>
      </rPr>
      <t xml:space="preserve"> Later tested at SGS Meizhou.</t>
    </r>
  </si>
  <si>
    <t>2023_1955_03012</t>
  </si>
  <si>
    <t>W2240AN KE2 CLEAR r119x0145 CB1P</t>
  </si>
  <si>
    <t>Wider versions</t>
  </si>
  <si>
    <t>2023_1918_02975</t>
  </si>
  <si>
    <t>W2251AF KE2 CLEAR r113x0148 CB1P.  No L8 set up?</t>
  </si>
  <si>
    <t>Wanted for initial trial.  Will be replaced by W2251AG.</t>
  </si>
  <si>
    <t>W2251AG KE2 CLEAR r119x0145 CB1P</t>
  </si>
  <si>
    <t>W2240AC</t>
  </si>
  <si>
    <t>BF009969</t>
  </si>
  <si>
    <t>W2240AD</t>
  </si>
  <si>
    <t>BF009971 (160m, L8), BF010584 (321m, L9)</t>
  </si>
  <si>
    <t>2021_0795_01849</t>
  </si>
  <si>
    <t>F5 version of W1240AB (Klopper).  Single roll pallet set up initially at shorter roll length.</t>
  </si>
  <si>
    <t>2021_0906_01961 (L8), 2022_1219_02274 (L9)</t>
  </si>
  <si>
    <t>W2240AD KE2 CLEAR r108x0160 CT4P (L8), W2240AD KE2 CLEAR r108x0321 CB2P (L9)</t>
  </si>
  <si>
    <t>F5 version of W1240AD (new wider HUD area, Klopper).  Initially only set up for L8.  Replaced by W2242AB.</t>
  </si>
  <si>
    <t>W2242AB</t>
  </si>
  <si>
    <t>BF011740, BF012440 (315m)</t>
  </si>
  <si>
    <t>2023_1967_03024, 2024_2663_03721, 2024_2759_03817, 2024_2987_04045</t>
  </si>
  <si>
    <t>W2242AB KE2 CLEAR r108x0316 CB2P</t>
  </si>
  <si>
    <t>Angle offset correction.  Replaced W2240AD</t>
  </si>
  <si>
    <t>W2245AC</t>
  </si>
  <si>
    <t>BF012208</t>
  </si>
  <si>
    <t>W2249AK</t>
  </si>
  <si>
    <t>BF012714 (CB1P), ____</t>
  </si>
  <si>
    <t>W2251AI</t>
  </si>
  <si>
    <t>BF012209</t>
  </si>
  <si>
    <t>W2256AI</t>
  </si>
  <si>
    <t>BF012210</t>
  </si>
  <si>
    <t>W2233AH</t>
  </si>
  <si>
    <t>BF012527, ___ (MB2P)</t>
  </si>
  <si>
    <t>W2233AG</t>
  </si>
  <si>
    <t>BF012306, BF012511 (CB2P)</t>
  </si>
  <si>
    <t>W2233AE</t>
  </si>
  <si>
    <t>BF012141</t>
  </si>
  <si>
    <t>W2238AA</t>
  </si>
  <si>
    <t>BF012142</t>
  </si>
  <si>
    <t>W2243AB</t>
  </si>
  <si>
    <t>BF012143</t>
  </si>
  <si>
    <t>2024_2431_03488</t>
  </si>
  <si>
    <t>W2245AC KE2 CLEAR r111x0145 CB1P</t>
  </si>
  <si>
    <t>2024_2912_03970, 2024_2992_04050</t>
  </si>
  <si>
    <t>W2249AK KE2 CLEAR r111x0150 CB1P</t>
  </si>
  <si>
    <t>W2251AI KE2 CLEAR r111x0145 CB1P</t>
  </si>
  <si>
    <t>W2256AI KE2 CLEAR r111x0145 CB1P</t>
  </si>
  <si>
    <t>2024_2761_03819, 2024_2987_04045, 2024_2996_04054</t>
  </si>
  <si>
    <t>2024_2519_03576, 2024_2741_03799 (CB2P), 2024_2759_03817 (xxS), 2024_2987_04045</t>
  </si>
  <si>
    <t>W2233AG KE2 CLEAR r120x0165 CB1P, W2233AG KE2 CLEAR r120x0330 CB2P</t>
  </si>
  <si>
    <t>2023_2338_03395</t>
  </si>
  <si>
    <t>W2233AE KE2 CLEAR r116x0155 CB1P</t>
  </si>
  <si>
    <t>Nearly identical to W2233AF at Guangzhou</t>
  </si>
  <si>
    <t>W2238AA KE2 CLEAR r116x0155 CB1P</t>
  </si>
  <si>
    <t>W2243AB KE2 CLEAR r115x0155 CB1P</t>
  </si>
  <si>
    <t>W2252AL</t>
  </si>
  <si>
    <t>BF011660 (L9), BF012029 (285m), ___(MB2P)</t>
  </si>
  <si>
    <t>W2254AG</t>
  </si>
  <si>
    <t>BF011918</t>
  </si>
  <si>
    <t>W2263AA</t>
  </si>
  <si>
    <t>BF011661 (L9)</t>
  </si>
  <si>
    <t>W2257AF</t>
  </si>
  <si>
    <t>BF012199</t>
  </si>
  <si>
    <t>W2260AL</t>
  </si>
  <si>
    <t>R &amp; E2</t>
  </si>
  <si>
    <t>BF012719 (LR), BF012816 (KE2 140m), _______ (KE2 285m)</t>
  </si>
  <si>
    <t>W2263AB</t>
  </si>
  <si>
    <t>BF012200</t>
  </si>
  <si>
    <t>2023_1918_02975 (short), 2023_2194_03251 (long), 2024_2663_03721 (length change), 2024_2759_03817 (add S), 2024_2987_04045 (remove S), 2024_2996_04054</t>
  </si>
  <si>
    <t>W2252AL KE2 CLEAR r119x0134 CB1P, W2252AL KE2 CLEAR r119x0288 CB2P.  No L8 set up.</t>
  </si>
  <si>
    <t>2023_2091_03148</t>
  </si>
  <si>
    <t>W2254AG KE2 CLEAR r119x0134 CB1P</t>
  </si>
  <si>
    <t>Decided to stay with W2252AL</t>
  </si>
  <si>
    <t>W2263AA KE2 CLEAR r119x0134 CB1P.  No L8 set up?</t>
  </si>
  <si>
    <t>Will shape</t>
  </si>
  <si>
    <t>2024_2424_03481</t>
  </si>
  <si>
    <t>W2257AF KE2 CLEAR r107x0140 CB1P</t>
  </si>
  <si>
    <t>2024_2916_03974 (KR), 2024_2916_03975 (KE2), 2025-0255-0400 (285 m). 2025-0284-0430 (285 m KR)</t>
  </si>
  <si>
    <t>W2260AL KR CLEAR r107x0140 CB1P, W2260AL KE2 CLEAR r107x0140 CB1P</t>
  </si>
  <si>
    <t>W2263AB KE2 CLEAR r107x0140 CB1P</t>
  </si>
  <si>
    <t>W2255AB</t>
  </si>
  <si>
    <t>BF012072, ____</t>
  </si>
  <si>
    <t>W2257AE</t>
  </si>
  <si>
    <t>BF011780</t>
  </si>
  <si>
    <t>W2262AG</t>
  </si>
  <si>
    <t>BF011781</t>
  </si>
  <si>
    <t>W2267AB</t>
  </si>
  <si>
    <t>BF011782</t>
  </si>
  <si>
    <t>W2255AG</t>
  </si>
  <si>
    <t>2023_2248_03305, 2024_2759_03817, 2024_2987_04045, 2024_2996_04054</t>
  </si>
  <si>
    <t>W2255AB KE2 CLEAR r104x0300 CB2P</t>
  </si>
  <si>
    <t>2023_1983_03040</t>
  </si>
  <si>
    <t>W2257AE KE2 CLEAR r104x0140 CB1P</t>
  </si>
  <si>
    <t>W2262AG KE2 CLEAR r104x0140 CB1P</t>
  </si>
  <si>
    <t>W2267AB KE2 CLEAR r104x0140 CB1P</t>
  </si>
  <si>
    <t>2025-0213-0358</t>
  </si>
  <si>
    <t>W2255 KE2 CLEAR r115x0285 MB2P</t>
  </si>
  <si>
    <t>W2249AI</t>
  </si>
  <si>
    <t>BF012302</t>
  </si>
  <si>
    <t>2024_2510_03567</t>
  </si>
  <si>
    <t>W2249AI KE2 CLEAR r106x0150 CB1P</t>
  </si>
  <si>
    <t>W2248AI</t>
  </si>
  <si>
    <t>BF012076</t>
  </si>
  <si>
    <t>W2257AB</t>
  </si>
  <si>
    <t>BF011512</t>
  </si>
  <si>
    <t>W2254AC</t>
  </si>
  <si>
    <t>BF011507</t>
  </si>
  <si>
    <t>W2248AF</t>
  </si>
  <si>
    <t>BF011812</t>
  </si>
  <si>
    <t>W2239AF</t>
  </si>
  <si>
    <t>BF012392 (50m), BF012393 (163m)</t>
  </si>
  <si>
    <t>W2238AC</t>
  </si>
  <si>
    <t>BF012814 (120 m), ___ (300 m)</t>
  </si>
  <si>
    <t>W2243AC</t>
  </si>
  <si>
    <t>BF012191 (E2), BF012617 (LR)</t>
  </si>
  <si>
    <t>W2243ACH</t>
  </si>
  <si>
    <t>BF012173</t>
  </si>
  <si>
    <t>W2248AHH</t>
  </si>
  <si>
    <t>BF011951</t>
  </si>
  <si>
    <t>W2237AF</t>
  </si>
  <si>
    <t>BF012217</t>
  </si>
  <si>
    <t>W2237AG</t>
  </si>
  <si>
    <t>BF012505</t>
  </si>
  <si>
    <t>W2237ADH</t>
  </si>
  <si>
    <t>BF011968</t>
  </si>
  <si>
    <t>W2237AAH</t>
  </si>
  <si>
    <t>BF011335</t>
  </si>
  <si>
    <t>W2237ACH</t>
  </si>
  <si>
    <t>BF011586</t>
  </si>
  <si>
    <t>W2237AEH</t>
  </si>
  <si>
    <t>BF012188 (142m), BF012189 (283m)</t>
  </si>
  <si>
    <t>300, 120</t>
  </si>
  <si>
    <t>142, 283</t>
  </si>
  <si>
    <t>2023_2249_03306</t>
  </si>
  <si>
    <t>W2248AI KE2 CLEAR r108x0303 MT2P</t>
  </si>
  <si>
    <t>2022_1793_02849</t>
  </si>
  <si>
    <t>W2257AB LE2 CLEAR r111x0145 CB1P</t>
  </si>
  <si>
    <t>2022_1790_02846</t>
  </si>
  <si>
    <t>W2254AC LE2 CLEAR r111x0148 CB1P</t>
  </si>
  <si>
    <t>2023_2028_03085</t>
  </si>
  <si>
    <t>W2248AF LE2 CLEAR r111x0120 C01P</t>
  </si>
  <si>
    <t>2024_2621_03679</t>
  </si>
  <si>
    <t>W2239AF LE2 CLEAR r112x0050 CB1P, W2239AF LE2 CLEAR r112x0163 CB1P</t>
  </si>
  <si>
    <t>2025-0064-0201, 2025-0214-0359</t>
  </si>
  <si>
    <t>W2238AC LE2 CLEAR r112x0120 CB1P</t>
  </si>
  <si>
    <t>2024_2405_03462, 2024_2829_03887</t>
  </si>
  <si>
    <r>
      <t xml:space="preserve">W2243AC </t>
    </r>
    <r>
      <rPr>
        <b/>
        <sz val="11"/>
        <color rgb="FF3333FF"/>
        <rFont val="맑은 고딕"/>
        <family val="2"/>
        <scheme val="minor"/>
      </rPr>
      <t xml:space="preserve">LE2 </t>
    </r>
    <r>
      <rPr>
        <b/>
        <sz val="11"/>
        <rFont val="맑은 고딕"/>
        <family val="2"/>
        <scheme val="minor"/>
      </rPr>
      <t>CLEAR r112x0300 CB2P, W2243AC</t>
    </r>
    <r>
      <rPr>
        <b/>
        <sz val="11"/>
        <color rgb="FF3333FF"/>
        <rFont val="맑은 고딕"/>
        <family val="2"/>
        <scheme val="minor"/>
      </rPr>
      <t xml:space="preserve"> LR</t>
    </r>
    <r>
      <rPr>
        <b/>
        <sz val="11"/>
        <rFont val="맑은 고딕"/>
        <family val="2"/>
        <scheme val="minor"/>
      </rPr>
      <t xml:space="preserve"> CLEAR r112x0120 CB1P</t>
    </r>
  </si>
  <si>
    <t>Eliminated the "H"</t>
  </si>
  <si>
    <t>2024_2389_03446</t>
  </si>
  <si>
    <t>W2243AC-H LE2 CLEAR r112x0300 CB2P</t>
  </si>
  <si>
    <t>Extra "H" on code for winding direction</t>
  </si>
  <si>
    <t>2023_2146_03203</t>
  </si>
  <si>
    <r>
      <t xml:space="preserve">W2248AH-H LE2 CLEAR r112x0150 </t>
    </r>
    <r>
      <rPr>
        <b/>
        <sz val="11"/>
        <color theme="0" tint="-0.34998626667073579"/>
        <rFont val="맑은 고딕"/>
        <family val="2"/>
        <scheme val="minor"/>
      </rPr>
      <t>CB2P</t>
    </r>
  </si>
  <si>
    <t>2024_2444_03501</t>
  </si>
  <si>
    <r>
      <t xml:space="preserve">W2237AF LE2 CLEAR r136x0141 </t>
    </r>
    <r>
      <rPr>
        <b/>
        <sz val="11"/>
        <color theme="0" tint="-0.34998626667073579"/>
        <rFont val="맑은 고딕"/>
        <family val="2"/>
        <scheme val="minor"/>
      </rPr>
      <t>CB2P</t>
    </r>
  </si>
  <si>
    <t>Why short rolls in a 2-roll package?</t>
  </si>
  <si>
    <t>2024_2730_03788</t>
  </si>
  <si>
    <t>W2237AG LE2 CLEAR r136x0120 CB1P</t>
  </si>
  <si>
    <t>2023_2159_03216</t>
  </si>
  <si>
    <t>W2237ADH LE2 CLEAR r136x0149 CB1P</t>
  </si>
  <si>
    <t>2022_1650_02706</t>
  </si>
  <si>
    <t>W2237AAH r139x0050 CB1P</t>
  </si>
  <si>
    <t>2023_1863_02920</t>
  </si>
  <si>
    <t>W2237ACH LE2 CLEAR r136x0153 CB4P</t>
  </si>
  <si>
    <t>2024_2401_03458</t>
  </si>
  <si>
    <t>W2237AEH LE2 CLEAR r136x0142 CB1P, W2237AEH LE2 CLEAR r136x0283 CB2P</t>
  </si>
  <si>
    <t>Too much slippage to be packed vertically</t>
  </si>
  <si>
    <t>W2240AM</t>
  </si>
  <si>
    <t>BF011653 (L9), BF012355 (L8 WT4P), _____ (L8 i)</t>
  </si>
  <si>
    <t>W2240AV</t>
  </si>
  <si>
    <t>W2256AD</t>
  </si>
  <si>
    <t>BF011655 (L9), BF012350 (L8 CT1P), BF012388 (L8 WT4P), ________ (L8 i)</t>
  </si>
  <si>
    <t>W2256AK</t>
  </si>
  <si>
    <t>W2244AI</t>
  </si>
  <si>
    <t>BF011654 (L9), BF012349 (L8, CT1P), BF012499 (L8 WT4P), ____ (L8 i)</t>
  </si>
  <si>
    <t>W2244AO</t>
  </si>
  <si>
    <t>W2248AE</t>
  </si>
  <si>
    <t>BF011656</t>
  </si>
  <si>
    <t>2023_1916_02973 (L9), 2024_2577_03635 (L8, deleted??), 2024_2581_03639 (L8 WT4P), 2024_2827_03885 (L8 i)</t>
  </si>
  <si>
    <r>
      <t xml:space="preserve">W2240AM LR CLEAR r115x0156 CB1P (L9), </t>
    </r>
    <r>
      <rPr>
        <b/>
        <strike/>
        <sz val="11"/>
        <color rgb="FF000000"/>
        <rFont val="맑은 고딕"/>
        <family val="2"/>
        <scheme val="minor"/>
      </rPr>
      <t>W2240AM LR CLEAR r115x0156 CT1P (L8)</t>
    </r>
    <r>
      <rPr>
        <b/>
        <sz val="11"/>
        <color rgb="FF000000"/>
        <rFont val="맑은 고딕"/>
        <family val="2"/>
        <scheme val="minor"/>
      </rPr>
      <t>, W2240AM LR CLEAR r115x0156WT4P (L8)</t>
    </r>
  </si>
  <si>
    <t>Allowed 120 mm on move to L8 since the restriction is L9</t>
  </si>
  <si>
    <t>2023_1916_02973, 2024_2573_03631 (L8), 2024_2827_03885 (L8 i)</t>
  </si>
  <si>
    <t>W2256AD LR CLEAR r115x0139 CB1P (L9), W2256AD LR CLEAR r115x0139 CT1P (L8)</t>
  </si>
  <si>
    <t>2023_1916_02973, 2024_2573_03631 (L8), 2024_2722_03780 (WT4P), 2024_2827_03885 (L8 i)</t>
  </si>
  <si>
    <t>W2244AI LR CLEAR r115x0152 CB1P (L9), W2244AI LR CLEAR r115x0152 CT1P (L8), W2244AI LR CLEAR r115x0152 WT4P, W2244AI LR CLEAR r115x0152 WT4P</t>
  </si>
  <si>
    <t>2023_1916_02973</t>
  </si>
  <si>
    <t>W2248AE LR CLEAR r115x0147 CB1P</t>
  </si>
  <si>
    <t>Replaced by W2248AJ</t>
  </si>
  <si>
    <t>W2248AL</t>
  </si>
  <si>
    <t>W2248AM</t>
  </si>
  <si>
    <t>W2348AA</t>
  </si>
  <si>
    <t>W2362AA</t>
  </si>
  <si>
    <t>BF010269 (L8), BF010571 (CB1A), BF012030 (CB2P)</t>
  </si>
  <si>
    <t>W2264AH</t>
  </si>
  <si>
    <t>BF011657</t>
  </si>
  <si>
    <t>W2252AF</t>
  </si>
  <si>
    <t>BF011442</t>
  </si>
  <si>
    <t>W2252AN</t>
  </si>
  <si>
    <t>BF011652 (L9), BF012348 (L8, CT1P), BF012498 (L8 WT4P), _________ (L8 i)</t>
  </si>
  <si>
    <t>W2252AS</t>
  </si>
  <si>
    <t>W2342AB</t>
  </si>
  <si>
    <t>W2344AA</t>
  </si>
  <si>
    <t>W2348AA LR BLU2 i118/12x0150 CB1P</t>
  </si>
  <si>
    <t>W2248AM LR CLEAR i118x0150 CB1P</t>
  </si>
  <si>
    <t>2021_1090_02145, 2022_1198_02253, 2023_2210_03267</t>
  </si>
  <si>
    <r>
      <t xml:space="preserve">W2362AA LR BLU2 r092/18X0150 CB1A </t>
    </r>
    <r>
      <rPr>
        <sz val="11"/>
        <color rgb="FF3333FF"/>
        <rFont val="맑은 고딕"/>
        <family val="2"/>
        <scheme val="minor"/>
      </rPr>
      <t>from Ulsan</t>
    </r>
    <r>
      <rPr>
        <sz val="11"/>
        <rFont val="맑은 고딕"/>
        <family val="2"/>
        <scheme val="minor"/>
      </rPr>
      <t xml:space="preserve">, W2362AA LR BLU2 r092/18x0250 CB2P, W2362AA LR BLU2 r092/18x0150 WT2A </t>
    </r>
    <r>
      <rPr>
        <sz val="11"/>
        <color rgb="FF3333FF"/>
        <rFont val="맑은 고딕"/>
        <family val="2"/>
        <scheme val="minor"/>
      </rPr>
      <t>from Troisdorf but never made</t>
    </r>
  </si>
  <si>
    <t>W2264AH LR CLEAR r115x0132 CB1P</t>
  </si>
  <si>
    <t>2022_1703_02759</t>
  </si>
  <si>
    <t xml:space="preserve">W2252AF LR CLEAR r113x0143 CB1A </t>
  </si>
  <si>
    <t>Changed width, so replaced with W2252AN</t>
  </si>
  <si>
    <t>W2252AN LR CLEAR r115x0143 CB1P (L9), W2252AN LR CLEAR r115x0143 CT1P (L8), W2252AN LR CLEAR r115x0143 WT4P, ____________</t>
  </si>
  <si>
    <r>
      <t>Replacing W22</t>
    </r>
    <r>
      <rPr>
        <b/>
        <sz val="11"/>
        <color rgb="FF3333FF"/>
        <rFont val="맑은 고딕"/>
        <family val="2"/>
        <scheme val="minor"/>
      </rPr>
      <t>56</t>
    </r>
    <r>
      <rPr>
        <b/>
        <sz val="11"/>
        <rFont val="맑은 고딕"/>
        <family val="2"/>
        <scheme val="minor"/>
      </rPr>
      <t>AH, also</t>
    </r>
  </si>
  <si>
    <t xml:space="preserve">2025-0155-0295 </t>
  </si>
  <si>
    <t>2025-0114-0253</t>
  </si>
  <si>
    <t>W2241AI</t>
  </si>
  <si>
    <t>BF012526</t>
  </si>
  <si>
    <t>W2249AJ</t>
  </si>
  <si>
    <t>BF012339 (CB2A), BF012384 (CB1A)</t>
  </si>
  <si>
    <t>2024_2755_03813</t>
  </si>
  <si>
    <t>2024_2556_03613, 2024_2617_03675</t>
  </si>
  <si>
    <t>W2249AJ LR CLEAR r110x0305 CB2A, W2249AJ LR CLEAR r110x0130 CB1A</t>
  </si>
  <si>
    <t>W2241AK</t>
  </si>
  <si>
    <t>W2245AG</t>
  </si>
  <si>
    <t>2025-0078-0215</t>
  </si>
  <si>
    <t>W2262AC</t>
  </si>
  <si>
    <t>Wasted W-code.  Canceled before it was ever extruded.</t>
  </si>
  <si>
    <t>W2272AB</t>
  </si>
  <si>
    <t>BF011509 (L9)</t>
  </si>
  <si>
    <r>
      <t>2022_1656_02712</t>
    </r>
    <r>
      <rPr>
        <sz val="11"/>
        <color theme="0" tint="-0.34998626667073579"/>
        <rFont val="맑은 고딕"/>
        <family val="2"/>
        <scheme val="minor"/>
      </rPr>
      <t xml:space="preserve">, </t>
    </r>
    <r>
      <rPr>
        <strike/>
        <sz val="11"/>
        <color theme="0" tint="-0.34998626667073579"/>
        <rFont val="맑은 고딕"/>
        <family val="2"/>
        <scheme val="minor"/>
      </rPr>
      <t>2022_1668_02724, 2022_1707_02763</t>
    </r>
  </si>
  <si>
    <t>, Thick down</t>
  </si>
  <si>
    <t>2022_1789_02845 (L9)</t>
  </si>
  <si>
    <t>W2272AB KE2 CLEAR R096X0143 CB1P</t>
  </si>
  <si>
    <t>Not made on L9 due to steep wedge angle</t>
  </si>
  <si>
    <t>W2272AE</t>
  </si>
  <si>
    <t>W2254AK</t>
  </si>
  <si>
    <t>W2225AG</t>
  </si>
  <si>
    <t>BF012680</t>
  </si>
  <si>
    <t>W2254AJ</t>
  </si>
  <si>
    <t>BF012679</t>
  </si>
  <si>
    <t>2024_2876_03934</t>
  </si>
  <si>
    <t>W2267AC</t>
  </si>
  <si>
    <t>BF012121</t>
  </si>
  <si>
    <t>W2260AJ</t>
  </si>
  <si>
    <t>BF012120</t>
  </si>
  <si>
    <t>2023_2314_03371</t>
  </si>
  <si>
    <t>W2267AC KE2 CLEAR r110x0272 MT2P</t>
  </si>
  <si>
    <t>W2260AJ KE2 CLEAR r110x0284 MT2P</t>
  </si>
  <si>
    <t>W2251AE</t>
  </si>
  <si>
    <t>BF011589</t>
  </si>
  <si>
    <t>W2241AA</t>
  </si>
  <si>
    <t>BF009793 (164m), BF011210 (326m)</t>
  </si>
  <si>
    <t>2023_1873_02930</t>
  </si>
  <si>
    <t>2021_0745_01799, 2022_1628_02684</t>
  </si>
  <si>
    <t>W2241AA KE2 CLEAR r111x0164 MT4, W2241AA KE2 CLEAR r111x0326 MT2P</t>
  </si>
  <si>
    <t>F5 version of W1241AC</t>
  </si>
  <si>
    <t>W2231AA</t>
  </si>
  <si>
    <t>BF012662 (CT1P), BF012663 (MT2P)</t>
  </si>
  <si>
    <t>167, 333</t>
  </si>
  <si>
    <t>2024_2856_03914</t>
  </si>
  <si>
    <t>W2231AA KE2 CLEAR r110x0167 CT1P, W2231AA KE2 CLEAR r110x0333 MT2P</t>
  </si>
  <si>
    <t>W2339AA</t>
  </si>
  <si>
    <t>BF012318</t>
  </si>
  <si>
    <t>W2241AJ</t>
  </si>
  <si>
    <t>BF012811, ____, _____</t>
  </si>
  <si>
    <t>W2241AL</t>
  </si>
  <si>
    <t>BF012917</t>
  </si>
  <si>
    <t>W2241AM</t>
  </si>
  <si>
    <t>BF012918 (CB2P), BF012919 (MB2P)</t>
  </si>
  <si>
    <t>W2243AD</t>
  </si>
  <si>
    <t>BF012735</t>
  </si>
  <si>
    <t>W2244AN</t>
  </si>
  <si>
    <t>W2265AD</t>
  </si>
  <si>
    <t>BF012734</t>
  </si>
  <si>
    <t>W2261AA</t>
  </si>
  <si>
    <t>BF012317, ___ (MB2P)</t>
  </si>
  <si>
    <t>2024_2538_03595</t>
  </si>
  <si>
    <t>W2339AA KR BLU2 r099/12x0150 CB1P</t>
  </si>
  <si>
    <t>2025-0068-0205, 2025-0141-0281</t>
  </si>
  <si>
    <t>W2241AJ KR CLEAR r112x0150 CB1P, W2241AJ KR CLEAR r112x0250 CB2P, W2241AJ KR CLEAR r112x0250 MB2P</t>
  </si>
  <si>
    <t>2025-0215-0360, 2025-0312-0459</t>
  </si>
  <si>
    <t>W2241AL KR CLEAR r114x0150 CB1P</t>
  </si>
  <si>
    <t>Width and HUZ zone changes, considering more sheet stretching (SOP: 2025/05)</t>
  </si>
  <si>
    <t>2025-0221-0366</t>
  </si>
  <si>
    <t>W2241AM KR CLEAR r113x0250 CB2P,  W2241AM KR CLEAR r113x0250 MB2P</t>
  </si>
  <si>
    <t>2024_2937_03995</t>
  </si>
  <si>
    <t xml:space="preserve">W2243AD KR CLEAR r113x0150 CB1P </t>
  </si>
  <si>
    <t>2024_2900_03958, 2024_2987_04045</t>
  </si>
  <si>
    <t>2024_2936_03994</t>
  </si>
  <si>
    <t>W2265AD KR CLEAR r099x0145 CB1P</t>
  </si>
  <si>
    <t>2024_2538_03595, 2024_2678_03736, 2024_2759_03817, 2024_2987_04045, 2024_2996_04054</t>
  </si>
  <si>
    <t>W2261AA KR CLEAR r099x0150 CB1P, W2261AA KR CLEAR r099x0290 CB2P</t>
  </si>
  <si>
    <t>W2354AA</t>
  </si>
  <si>
    <t>BF010775</t>
  </si>
  <si>
    <t>W2354AB</t>
  </si>
  <si>
    <t xml:space="preserve">BF010925 (310m), </t>
  </si>
  <si>
    <t>W2254AB</t>
  </si>
  <si>
    <t>BF011425</t>
  </si>
  <si>
    <t>W2357AA</t>
  </si>
  <si>
    <t>BF011607 (153m), BF011608 (304m)</t>
  </si>
  <si>
    <t>W2257AC</t>
  </si>
  <si>
    <t>BF011609 (153m), BF011610 (304m), BF011729 (300m)</t>
  </si>
  <si>
    <t>W2358AA</t>
  </si>
  <si>
    <t>BF011827</t>
  </si>
  <si>
    <t>W2258AI</t>
  </si>
  <si>
    <t>BF011828</t>
  </si>
  <si>
    <t>310, 156</t>
  </si>
  <si>
    <t>153, 304, 300</t>
  </si>
  <si>
    <t>153, 304,300</t>
  </si>
  <si>
    <t>2022_1345_02401</t>
  </si>
  <si>
    <t xml:space="preserve">W2354AA KR BLU2 r098/12x0150 CB1P </t>
  </si>
  <si>
    <t>Our higher angle</t>
  </si>
  <si>
    <t>2022_1512_02568, 2022_1799_02855</t>
  </si>
  <si>
    <t>W2354AB KR BLU2 r099x0310 CB2P, W2354AB KR BLU2 r099/12x0156 CB4P</t>
  </si>
  <si>
    <t>Wanted 1 cm wider</t>
  </si>
  <si>
    <t>2022_1689_02745</t>
  </si>
  <si>
    <t>Clear version of previous SKUs for this w/s</t>
  </si>
  <si>
    <t>2023_1892_02949, 2023_1961_03018</t>
  </si>
  <si>
    <t>W2357AA KR BLU2 r099/12x0153 CB4P, W2357AA KR BLU2 r099/12x0304 CB2P</t>
  </si>
  <si>
    <t>W2257AC KR CLEAR r099x0153 CB4P, W2257AC KR CLEAR r099x0304 CB2P</t>
  </si>
  <si>
    <t>Switched to W2258AI</t>
  </si>
  <si>
    <t>2023_2040_03097</t>
  </si>
  <si>
    <t>W2358AA KR BLU2 r099/12x0300 CB2P</t>
  </si>
  <si>
    <t>W2258AI KR CLEAR r099x0300 CB2P</t>
  </si>
  <si>
    <t>W2255AE</t>
  </si>
  <si>
    <t>BF012422</t>
  </si>
  <si>
    <t>W2212AA</t>
  </si>
  <si>
    <t>BF010240 (L8, 100m), BF010774 (L9, 150m), BF010822? (L8 201m), BF010924 (CB2P)</t>
  </si>
  <si>
    <t>W2249AD</t>
  </si>
  <si>
    <t>BF011001</t>
  </si>
  <si>
    <t>W2253AA</t>
  </si>
  <si>
    <t>BF011551</t>
  </si>
  <si>
    <t>W2343AA</t>
  </si>
  <si>
    <t>BF011424</t>
  </si>
  <si>
    <t>W2349AA</t>
  </si>
  <si>
    <t>BF011494</t>
  </si>
  <si>
    <t>W2241AE</t>
  </si>
  <si>
    <t>BF011426</t>
  </si>
  <si>
    <t>2024_2652_03710</t>
  </si>
  <si>
    <t>W2255AE KR CLEAR r104x0150 CB1P</t>
  </si>
  <si>
    <t>2021_1076_02131 (L8), 2022_1345_02401 (L9), 2022_1407_02463 (L8 commercial), 2022_1511_02567 (L9 longer)</t>
  </si>
  <si>
    <t xml:space="preserve">W2212AA KR CLEAR r122x0100 CT1P (L8), W2212AA KR CLEAR r122x0150 CB1P (L9)  </t>
  </si>
  <si>
    <t>Originally only set up for one 100m roll</t>
  </si>
  <si>
    <t>2022_1557_02613</t>
  </si>
  <si>
    <t>2022_1815_02871</t>
  </si>
  <si>
    <t>W2253AA KR CLEAR r102x0155 CB1P</t>
  </si>
  <si>
    <t>2022_1780_02836</t>
  </si>
  <si>
    <t>W2349AA KR BLU2 r101/16x0150 CB1P</t>
  </si>
  <si>
    <t>W2216AC</t>
  </si>
  <si>
    <t>BF012462</t>
  </si>
  <si>
    <t>W2226AB</t>
  </si>
  <si>
    <t>BF011990</t>
  </si>
  <si>
    <t>W2235AE</t>
  </si>
  <si>
    <t>BF012463</t>
  </si>
  <si>
    <t>W2216AA</t>
  </si>
  <si>
    <t>BF012459</t>
  </si>
  <si>
    <t>W2227AJ</t>
  </si>
  <si>
    <t>W2227AG</t>
  </si>
  <si>
    <t>BF012460</t>
  </si>
  <si>
    <t>W2227AI</t>
  </si>
  <si>
    <t>BF012551</t>
  </si>
  <si>
    <t>W2216AE</t>
  </si>
  <si>
    <t>W2216AB</t>
  </si>
  <si>
    <t>BF012461</t>
  </si>
  <si>
    <t>W2216AD</t>
  </si>
  <si>
    <t>BF012553 (CB1P), BF012554 (CB4P)</t>
  </si>
  <si>
    <t>W2241AH</t>
  </si>
  <si>
    <t>BF012303 (CB1P), BF012366 (CB4P)</t>
  </si>
  <si>
    <t>2024_2704_03762</t>
  </si>
  <si>
    <t>W2216AC KE2 CLEAR r107x0196 CB1P</t>
  </si>
  <si>
    <t>2023_2180_03237</t>
  </si>
  <si>
    <t>W2226AB KE2 CLEAR r100x0120 CB1P</t>
  </si>
  <si>
    <t>Unshaped.  Originally set up for Xinyi.</t>
  </si>
  <si>
    <t>W2235AE KE2 CLEAR r119x0164 CB1P</t>
  </si>
  <si>
    <t>Similar to W2235AC</t>
  </si>
  <si>
    <t>W2216AA KE2 CLEAR r138x0188 CB1P</t>
  </si>
  <si>
    <t>2024_2890_03948</t>
  </si>
  <si>
    <t>W2227AG KE2 CLEAR r111x0175 CB1P</t>
  </si>
  <si>
    <t>2024_2789_03847</t>
  </si>
  <si>
    <t>W2227AI KE2 CLEAR r109x0173 CB1P</t>
  </si>
  <si>
    <t>W2216AB KE2 CLEAR r111x0193 CB1P</t>
  </si>
  <si>
    <t>W2216AD KE2 CLEAR r109x0194 CB1P, W2216AD KE2 CLEAR r109x0194 CB4P</t>
  </si>
  <si>
    <t>2024_2515_03572, 2024_2598_03656</t>
  </si>
  <si>
    <t>W2241AH KE2 CLEAR r108x0160 CB1P, W2241AH KE2 CLEAR r108x0160 CB4P</t>
  </si>
  <si>
    <t>W2228AG</t>
  </si>
  <si>
    <t>BF012899 (CB1P), BF012900 (CB4P), ____ (L8)</t>
  </si>
  <si>
    <t>W2224AB</t>
  </si>
  <si>
    <t>W2223AC</t>
  </si>
  <si>
    <t>BF012789</t>
  </si>
  <si>
    <t>W2229AH</t>
  </si>
  <si>
    <t>BF012791</t>
  </si>
  <si>
    <t>W2229AK</t>
  </si>
  <si>
    <t>W2232AN</t>
  </si>
  <si>
    <t>W2225AD</t>
  </si>
  <si>
    <t>BF012128 (CB1P), BF012371 (CB4P)</t>
  </si>
  <si>
    <t>W2227AH</t>
  </si>
  <si>
    <t>BF012540</t>
  </si>
  <si>
    <t>W2233AI</t>
  </si>
  <si>
    <t>BF012541</t>
  </si>
  <si>
    <t>2025-0190-0331, ___ (L8)</t>
  </si>
  <si>
    <t>W2228AG KE2 CLEAR r105x0176 CB1P, W2228AG KE2 CLEAR r105x0176 CB4P, ____ (L8)</t>
  </si>
  <si>
    <t>2025-0282-0428</t>
  </si>
  <si>
    <t>W2224 KE2 CLEAR r130x0176 CB1P</t>
  </si>
  <si>
    <t>2024_2994_04052</t>
  </si>
  <si>
    <t>2025-0297-0443</t>
  </si>
  <si>
    <t>2023_2320_03377, 2024_2592_03650</t>
  </si>
  <si>
    <t>W2225AD KE2 CLEAR r110x0183 CB1P, W2225AD KE2 CLEAR r110x0183 CB4P</t>
  </si>
  <si>
    <t>2024_2768_03826</t>
  </si>
  <si>
    <t>W2227AH KE2 CLEAR r110x0180 CB4P</t>
  </si>
  <si>
    <t>W2233AI KE2 CLEAR r106x0174 CB4P</t>
  </si>
  <si>
    <t>W2250AW</t>
  </si>
  <si>
    <t>BF012865</t>
  </si>
  <si>
    <t>W2243AE</t>
  </si>
  <si>
    <t>BF012866</t>
  </si>
  <si>
    <t>W2246AH</t>
  </si>
  <si>
    <t>W2221AC</t>
  </si>
  <si>
    <t>BF011816</t>
  </si>
  <si>
    <t>W2220AC</t>
  </si>
  <si>
    <t>BF012126 (CB1P), BF012403 (CB4P), ___ (L8)</t>
  </si>
  <si>
    <t>W2225AK</t>
  </si>
  <si>
    <t>BF012999</t>
  </si>
  <si>
    <t>W2225AL</t>
  </si>
  <si>
    <t>W2228AI</t>
  </si>
  <si>
    <t>W2221AF</t>
  </si>
  <si>
    <t>CB1P), BF012786 (CB4P)</t>
  </si>
  <si>
    <t>W2221AG</t>
  </si>
  <si>
    <t>W2229AD</t>
  </si>
  <si>
    <t>BF012519 (CB1P), BF012520 (CB4P)</t>
  </si>
  <si>
    <t>W2229AE</t>
  </si>
  <si>
    <t>BF012622</t>
  </si>
  <si>
    <t>W2229AI</t>
  </si>
  <si>
    <t>BF012896</t>
  </si>
  <si>
    <t>2025-0163-0303</t>
  </si>
  <si>
    <t>W2246AH KE2 CLEAR r105x0317 MT2P</t>
  </si>
  <si>
    <t>2023_2030_03087</t>
  </si>
  <si>
    <t>W2221AC KE2 CLEAR r107x0190 CB1P</t>
  </si>
  <si>
    <t>2023_2320_03377, 2024_2638_03696, 2024_2957_04015 (L8 test)</t>
  </si>
  <si>
    <t>W2220AC KE2 CLEAR r105x0192 CB1P, W2220AC KE2 CLEAR r105x0192 CB4P</t>
  </si>
  <si>
    <t>2025-0281-0427</t>
  </si>
  <si>
    <t>2024_2993_04051</t>
  </si>
  <si>
    <t>Suggested using W2221AD for initial testing, but nope</t>
  </si>
  <si>
    <t>2025-0191-0332</t>
  </si>
  <si>
    <t>2024_2751_03809</t>
  </si>
  <si>
    <t>2024_2838_03896</t>
  </si>
  <si>
    <t>Very similar to W2229AAT.  Consolidate?</t>
  </si>
  <si>
    <t>2025-0190-0335</t>
  </si>
  <si>
    <t>W2229AI KE2 CLEAR r111x0177 CB4P</t>
  </si>
  <si>
    <t>W2266AB</t>
  </si>
  <si>
    <t>BF012127</t>
  </si>
  <si>
    <t>W2231AB</t>
  </si>
  <si>
    <t>W2235AG</t>
  </si>
  <si>
    <t>W2230AE</t>
  </si>
  <si>
    <t>BF012549</t>
  </si>
  <si>
    <t>W2233AJ</t>
  </si>
  <si>
    <t>BF012550</t>
  </si>
  <si>
    <t>W2266AB KE2 CLEAR r108x0139 CB1P</t>
  </si>
  <si>
    <t>2024_2904_03962</t>
  </si>
  <si>
    <t>Horizontal refrigerated!</t>
  </si>
  <si>
    <t>None</t>
  </si>
  <si>
    <t>Draft template received, but never requested via BPCM</t>
  </si>
  <si>
    <t>2024_2787_03845</t>
  </si>
  <si>
    <t>W2230AE KE2 CLEAR i110x0120 C02P</t>
  </si>
  <si>
    <t>Interleaved!</t>
  </si>
  <si>
    <t>W2233AJ KE2 CLEAR i110x0120 C02P</t>
  </si>
  <si>
    <t>W2223AE</t>
  </si>
  <si>
    <t>W2222AH</t>
  </si>
  <si>
    <t>W2262AB</t>
  </si>
  <si>
    <t>BF011309</t>
  </si>
  <si>
    <t>2025-0231-0376</t>
  </si>
  <si>
    <t>W2223AE LE2 CLEAR r138x0174 CB1P</t>
  </si>
  <si>
    <t>SOP 2026</t>
  </si>
  <si>
    <t>W2222AH LE2 CLEAR r138x0176 CB1P</t>
  </si>
  <si>
    <t>2022_1625_02681</t>
  </si>
  <si>
    <t xml:space="preserve">W2262AB LE2 CLEAR r100x0050 CB1P </t>
  </si>
  <si>
    <t>W2252AT</t>
  </si>
  <si>
    <t>W2257AH</t>
  </si>
  <si>
    <t>W2272AF</t>
  </si>
  <si>
    <t>W2353AA</t>
  </si>
  <si>
    <t>BF011436</t>
  </si>
  <si>
    <t>W2257AA</t>
  </si>
  <si>
    <t>BF011435</t>
  </si>
  <si>
    <t>2022_1719_02775</t>
  </si>
  <si>
    <t xml:space="preserve">W2353AA KE2 BLU2 r094/18x0158 CB1P </t>
  </si>
  <si>
    <t xml:space="preserve">W2257AA KE2 CLEAR r110x0146 CB1P </t>
  </si>
  <si>
    <t>W2236AE</t>
  </si>
  <si>
    <t>2025-0240-0385</t>
  </si>
  <si>
    <t>W2250AC</t>
  </si>
  <si>
    <t>BF010863</t>
  </si>
  <si>
    <t>2022_1429_02485</t>
  </si>
  <si>
    <t>W2250AC KE2 CLEAR r100x0158 CB4A</t>
  </si>
  <si>
    <t>Straight to commercial.  Replaced by W2250AM</t>
  </si>
  <si>
    <t>W2350AD</t>
  </si>
  <si>
    <t>BF011720</t>
  </si>
  <si>
    <t>W2250AM</t>
  </si>
  <si>
    <t>BF011714</t>
  </si>
  <si>
    <t>W2250AN</t>
  </si>
  <si>
    <t>BF011712</t>
  </si>
  <si>
    <t>2023_1950_03007</t>
  </si>
  <si>
    <t>W2350AD KE2 BLU2 r115/18x0149 CB4P</t>
  </si>
  <si>
    <t>W2250AM KE2 CLEAR r100x0159 CB4P</t>
  </si>
  <si>
    <t>Replacing W2250AC</t>
  </si>
  <si>
    <t>W2250AN KE2 CLEAR r091x0162 CB4P</t>
  </si>
  <si>
    <t>Replacing W2250AB</t>
  </si>
  <si>
    <t>W2350AB</t>
  </si>
  <si>
    <t>BF011535</t>
  </si>
  <si>
    <t>W2250AF</t>
  </si>
  <si>
    <t>BF011532</t>
  </si>
  <si>
    <t>W2250AG</t>
  </si>
  <si>
    <t>BF011533</t>
  </si>
  <si>
    <t>W2250AH</t>
  </si>
  <si>
    <t>BF011534</t>
  </si>
  <si>
    <t>W2250AL</t>
  </si>
  <si>
    <t>BF011713</t>
  </si>
  <si>
    <t>W2350AE</t>
  </si>
  <si>
    <t>BF011721</t>
  </si>
  <si>
    <t>W2250AB</t>
  </si>
  <si>
    <t>BF010862 (CB4A, then CB4P)</t>
  </si>
  <si>
    <t>W2250AD</t>
  </si>
  <si>
    <t>BF010864</t>
  </si>
  <si>
    <t>W2250AE</t>
  </si>
  <si>
    <t>BF011531</t>
  </si>
  <si>
    <t>W2228AB</t>
  </si>
  <si>
    <t>BF012211</t>
  </si>
  <si>
    <t>W2268AC</t>
  </si>
  <si>
    <t>BF011992</t>
  </si>
  <si>
    <t>W2224AA</t>
  </si>
  <si>
    <t>BF011993</t>
  </si>
  <si>
    <t>W2264AI</t>
  </si>
  <si>
    <t>K &amp; L</t>
  </si>
  <si>
    <t>BF011991 (K), BF012213 (L)</t>
  </si>
  <si>
    <t>W2226AC</t>
  </si>
  <si>
    <t>BF012398</t>
  </si>
  <si>
    <t>W2270AB</t>
  </si>
  <si>
    <t>BF012048</t>
  </si>
  <si>
    <t>W2227AB</t>
  </si>
  <si>
    <t>BF012050 (K), _____ (L)</t>
  </si>
  <si>
    <t>W2227AC</t>
  </si>
  <si>
    <t>BF012051</t>
  </si>
  <si>
    <t>W2246AD</t>
  </si>
  <si>
    <t>BF012053</t>
  </si>
  <si>
    <t>W2247AF</t>
  </si>
  <si>
    <t>BF012052</t>
  </si>
  <si>
    <t>W2262AJ</t>
  </si>
  <si>
    <t>BF012049</t>
  </si>
  <si>
    <t>W2340AC</t>
  </si>
  <si>
    <t>BF011470</t>
  </si>
  <si>
    <t>W2342AA</t>
  </si>
  <si>
    <t>BF011471</t>
  </si>
  <si>
    <t>W2350AA</t>
  </si>
  <si>
    <t>BF010611</t>
  </si>
  <si>
    <t>W2350AC</t>
  </si>
  <si>
    <t>BF011624</t>
  </si>
  <si>
    <t>2022_1808_02864</t>
  </si>
  <si>
    <t>W2350AB KE2 BLU2 r098/16x0160 CB4P</t>
  </si>
  <si>
    <t>W2250AF KE2 CLEAR r101x0158 CB4P</t>
  </si>
  <si>
    <t>W2250AG KE2 CLEAR r105x0156 CB4P</t>
  </si>
  <si>
    <t>W2250AH KE2 CLEAR r110x0152 CB4P</t>
  </si>
  <si>
    <t>W2250AL KE2 CLEAR r096x0162 CB4P</t>
  </si>
  <si>
    <t>Replacing W2250AD</t>
  </si>
  <si>
    <t>W2350AE KE2 BLU2 r088/15x0164 CB4P</t>
  </si>
  <si>
    <t>2022_1429_02485, 2023_1921_02978</t>
  </si>
  <si>
    <t>W2250AB KE2 CLEAR r091x0161 CB4P.  Originally set up as CB4A.</t>
  </si>
  <si>
    <t>Straight to commercial.  Replaced by W2250AK</t>
  </si>
  <si>
    <t>W2250AD KE2 CLEAR r096x0159 CB4A</t>
  </si>
  <si>
    <t>Straight to commercial.  Replaced by W2250AL</t>
  </si>
  <si>
    <t>W2250AE KE2 CLEAR r096x0162 CB4P</t>
  </si>
  <si>
    <t>Replaced by W2250AL</t>
  </si>
  <si>
    <t>2024_2432_03489</t>
  </si>
  <si>
    <t>W2228AB KE2 CLEAR r105x0181 CB1P</t>
  </si>
  <si>
    <t>W2268AC KE2 CLEAR r100x0120 CB1P</t>
  </si>
  <si>
    <t>Nearly identical to W2268AB, but AB is L adhesion</t>
  </si>
  <si>
    <t>W2224AA KE2 CLEAR r105x0120 CB1P</t>
  </si>
  <si>
    <t>2023_2180_03237, 2024_2434_03491</t>
  </si>
  <si>
    <r>
      <t xml:space="preserve">W2264AI KE2 CLEAR r100x0120 CB1P, W2264AI </t>
    </r>
    <r>
      <rPr>
        <b/>
        <sz val="11"/>
        <color rgb="FF3333FF"/>
        <rFont val="맑은 고딕"/>
        <family val="2"/>
        <scheme val="minor"/>
      </rPr>
      <t>LE2</t>
    </r>
    <r>
      <rPr>
        <sz val="11"/>
        <rFont val="맑은 고딕"/>
        <family val="2"/>
        <scheme val="minor"/>
      </rPr>
      <t xml:space="preserve"> CLEAR r100x0120 CB1P</t>
    </r>
  </si>
  <si>
    <t>2024_2626_03684</t>
  </si>
  <si>
    <t>W2226AC LE2 CLEAR r105x0181 CB1P</t>
  </si>
  <si>
    <t>2023_2232_03289 (KE2), 2024_2834_03892 (LE2)</t>
  </si>
  <si>
    <t>W2270AB KE2 CLEAR r103x0139 CB1P</t>
  </si>
  <si>
    <t>2023_2232_03289 (K), 2024_2863_03921 (L)</t>
  </si>
  <si>
    <t>W2227AB KE2 CLEAR r100x0182 CB1P</t>
  </si>
  <si>
    <t>2023_2232_03289</t>
  </si>
  <si>
    <t>W2227AC KE2 CLEAR r105x0182 CB1P</t>
  </si>
  <si>
    <t>W2246AD KE2 CLEAR r108x0158 CB1P</t>
  </si>
  <si>
    <t>W2247AF KE2 CLEAR r105x0159 CB1P</t>
  </si>
  <si>
    <t>W2262AJ KE2 CLEAR r100x0144 CB1P</t>
  </si>
  <si>
    <t>2022_1760_02816</t>
  </si>
  <si>
    <t>W2340AC KE2 BLU2 r101/18x0050 CB1P</t>
  </si>
  <si>
    <t>W2342AA KE2 BLU2 r101/18x0050 CB1P</t>
  </si>
  <si>
    <t>2022_1187_02242</t>
  </si>
  <si>
    <t>2023_1902_02959</t>
  </si>
  <si>
    <t>W2350AC KE2 BLU2 r101/20x0158 CB4P</t>
  </si>
  <si>
    <t>secret1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</si>
</sst>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00"/>
    <numFmt numFmtId="177" formatCode="mmm\-yyyy"/>
    <numFmt numFmtId="178" formatCode="&quot;$&quot;#,##0.00"/>
    <numFmt numFmtId="179" formatCode="0.0"/>
  </numFmts>
  <fonts count="50" x14ac:knownFonts="1">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b/>
      <sz val="11"/>
      <color theme="0"/>
      <name val="맑은 고딕"/>
      <family val="2"/>
      <scheme val="minor"/>
    </font>
    <font>
      <b/>
      <sz val="9"/>
      <color theme="0"/>
      <name val="맑은 고딕"/>
      <family val="2"/>
      <scheme val="minor"/>
    </font>
    <font>
      <b/>
      <sz val="10"/>
      <color theme="0"/>
      <name val="맑은 고딕"/>
      <family val="2"/>
      <scheme val="minor"/>
    </font>
    <font>
      <b/>
      <sz val="11"/>
      <color theme="1"/>
      <name val="맑은 고딕"/>
      <family val="2"/>
      <scheme val="minor"/>
    </font>
    <font>
      <b/>
      <sz val="11"/>
      <color rgb="FFFFFFFF"/>
      <name val="맑은 고딕"/>
      <family val="2"/>
      <scheme val="minor"/>
    </font>
    <font>
      <b/>
      <u/>
      <sz val="11"/>
      <color rgb="FF00B0F0"/>
      <name val="맑은 고딕"/>
      <family val="2"/>
      <scheme val="minor"/>
    </font>
    <font>
      <b/>
      <sz val="11"/>
      <color theme="0"/>
      <name val="Calibri"/>
      <family val="2"/>
    </font>
    <font>
      <b/>
      <sz val="11"/>
      <color rgb="FFFFFFFF"/>
      <name val="Calibri"/>
      <family val="2"/>
    </font>
    <font>
      <b/>
      <u/>
      <sz val="11"/>
      <color rgb="FF00B0F0"/>
      <name val="Calibri"/>
      <family val="2"/>
    </font>
    <font>
      <b/>
      <sz val="11"/>
      <color rgb="FF00B0F0"/>
      <name val="Calibri"/>
      <family val="2"/>
    </font>
    <font>
      <b/>
      <sz val="11"/>
      <color theme="0" tint="-0.34998626667073579"/>
      <name val="맑은 고딕"/>
      <family val="2"/>
      <scheme val="minor"/>
    </font>
    <font>
      <b/>
      <u/>
      <sz val="11"/>
      <color theme="0" tint="-0.34998626667073579"/>
      <name val="맑은 고딕"/>
      <family val="2"/>
      <scheme val="minor"/>
    </font>
    <font>
      <b/>
      <sz val="11"/>
      <color theme="0" tint="-0.499984740745262"/>
      <name val="맑은 고딕"/>
      <family val="2"/>
      <scheme val="minor"/>
    </font>
    <font>
      <b/>
      <sz val="11"/>
      <name val="맑은 고딕"/>
      <family val="2"/>
      <scheme val="minor"/>
    </font>
    <font>
      <b/>
      <sz val="11"/>
      <color rgb="FF3333FF"/>
      <name val="맑은 고딕"/>
      <family val="2"/>
      <scheme val="minor"/>
    </font>
    <font>
      <b/>
      <sz val="9"/>
      <color indexed="81"/>
      <name val="Tahoma"/>
      <family val="2"/>
    </font>
    <font>
      <sz val="9"/>
      <color indexed="81"/>
      <name val="Tahoma"/>
      <family val="2"/>
    </font>
    <font>
      <u/>
      <sz val="9"/>
      <color indexed="81"/>
      <name val="Tahoma"/>
      <family val="2"/>
    </font>
    <font>
      <strike/>
      <sz val="9"/>
      <color indexed="81"/>
      <name val="Tahoma"/>
      <family val="2"/>
    </font>
    <font>
      <sz val="11"/>
      <color theme="1"/>
      <name val="맑은 고딕"/>
      <family val="2"/>
      <scheme val="minor"/>
    </font>
    <font>
      <sz val="11"/>
      <color theme="0" tint="-0.34998626667073579"/>
      <name val="맑은 고딕"/>
      <family val="2"/>
      <scheme val="minor"/>
    </font>
    <font>
      <sz val="11"/>
      <name val="맑은 고딕"/>
      <family val="2"/>
      <scheme val="minor"/>
    </font>
    <font>
      <sz val="11"/>
      <color theme="1" tint="0.499984740745262"/>
      <name val="맑은 고딕"/>
      <family val="2"/>
      <scheme val="minor"/>
    </font>
    <font>
      <sz val="11"/>
      <color rgb="FF3333FF"/>
      <name val="맑은 고딕"/>
      <family val="2"/>
      <scheme val="minor"/>
    </font>
    <font>
      <sz val="11"/>
      <color theme="0" tint="-0.499984740745262"/>
      <name val="맑은 고딕"/>
      <family val="2"/>
      <scheme val="minor"/>
    </font>
    <font>
      <sz val="11"/>
      <color theme="0" tint="-0.34998626667073579"/>
      <name val="Calibri"/>
      <family val="2"/>
    </font>
    <font>
      <sz val="11"/>
      <color theme="0"/>
      <name val="맑은 고딕"/>
      <family val="2"/>
      <scheme val="minor"/>
    </font>
    <font>
      <sz val="11"/>
      <color rgb="FFFF0000"/>
      <name val="맑은 고딕"/>
      <family val="2"/>
      <scheme val="minor"/>
    </font>
    <font>
      <b/>
      <sz val="11"/>
      <color theme="1" tint="0.499984740745262"/>
      <name val="맑은 고딕"/>
      <family val="2"/>
      <scheme val="minor"/>
    </font>
    <font>
      <sz val="11"/>
      <color theme="0" tint="-0.249977111117893"/>
      <name val="맑은 고딕"/>
      <family val="2"/>
      <scheme val="minor"/>
    </font>
    <font>
      <b/>
      <sz val="11"/>
      <color theme="0" tint="-0.249977111117893"/>
      <name val="맑은 고딕"/>
      <family val="2"/>
      <scheme val="minor"/>
    </font>
    <font>
      <u/>
      <sz val="11"/>
      <color theme="10"/>
      <name val="맑은 고딕"/>
      <family val="2"/>
      <scheme val="minor"/>
    </font>
    <font>
      <sz val="11"/>
      <color rgb="FF000000"/>
      <name val="맑은 고딕"/>
      <family val="2"/>
      <scheme val="minor"/>
    </font>
    <font>
      <b/>
      <i/>
      <sz val="11"/>
      <name val="맑은 고딕"/>
      <family val="2"/>
      <scheme val="minor"/>
    </font>
    <font>
      <b/>
      <sz val="11"/>
      <color rgb="FFFF0000"/>
      <name val="맑은 고딕"/>
      <family val="2"/>
      <scheme val="minor"/>
    </font>
    <font>
      <sz val="10"/>
      <color theme="0" tint="-0.34998626667073579"/>
      <name val="맑은 고딕"/>
      <family val="2"/>
      <scheme val="minor"/>
    </font>
    <font>
      <sz val="8"/>
      <name val="맑은 고딕"/>
      <family val="2"/>
      <scheme val="minor"/>
    </font>
    <font>
      <i/>
      <sz val="11"/>
      <name val="맑은 고딕"/>
      <family val="2"/>
      <scheme val="minor"/>
    </font>
    <font>
      <sz val="11"/>
      <color rgb="FF000000"/>
      <name val="Calibri"/>
      <family val="2"/>
    </font>
    <font>
      <b/>
      <u/>
      <sz val="11"/>
      <name val="맑은 고딕"/>
      <family val="2"/>
      <scheme val="minor"/>
    </font>
    <font>
      <b/>
      <sz val="11"/>
      <name val="Calibri"/>
      <family val="2"/>
    </font>
    <font>
      <sz val="11"/>
      <name val="Calibri"/>
      <family val="2"/>
    </font>
    <font>
      <b/>
      <sz val="11"/>
      <color rgb="FF000000"/>
      <name val="맑은 고딕"/>
      <family val="2"/>
      <scheme val="minor"/>
    </font>
    <font>
      <b/>
      <strike/>
      <sz val="11"/>
      <color rgb="FF000000"/>
      <name val="맑은 고딕"/>
      <family val="2"/>
      <scheme val="minor"/>
    </font>
    <font>
      <strike/>
      <sz val="11"/>
      <color theme="0" tint="-0.34998626667073579"/>
      <name val="맑은 고딕"/>
      <family val="2"/>
      <scheme val="minor"/>
    </font>
    <font>
      <sz val="10"/>
      <color rgb="FF000F3C"/>
      <name val="Arial"/>
      <family val="2"/>
    </font>
    <font>
      <sz val="11"/>
      <color rgb="FF000F3C"/>
      <name val="Calibri"/>
      <family val="2"/>
    </font>
  </fonts>
  <fills count="16">
    <fill>
      <patternFill patternType="none"/>
    </fill>
    <fill>
      <patternFill patternType="gray125"/>
    </fill>
    <fill>
      <patternFill patternType="solid">
        <fgColor rgb="FF00B0E9"/>
        <bgColor indexed="64"/>
      </patternFill>
    </fill>
    <fill>
      <patternFill patternType="solid">
        <fgColor rgb="FF333F63"/>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rgb="FFFFABAB"/>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rgb="FFCCCFD8"/>
        <bgColor indexed="64"/>
      </patternFill>
    </fill>
    <fill>
      <patternFill patternType="solid">
        <fgColor theme="5" tint="0.39997558519241921"/>
        <bgColor indexed="64"/>
      </patternFill>
    </fill>
    <fill>
      <patternFill patternType="solid">
        <fgColor rgb="FFFF0000"/>
        <bgColor indexed="64"/>
      </patternFill>
    </fill>
    <fill>
      <patternFill patternType="solid">
        <fgColor rgb="FFFFFF00"/>
        <bgColor indexed="64"/>
      </patternFill>
    </fill>
    <fill>
      <patternFill patternType="solid">
        <fgColor rgb="FF92D050"/>
        <bgColor indexed="64"/>
      </patternFill>
    </fill>
    <fill>
      <patternFill patternType="solid">
        <fgColor theme="6" tint="0.59999389629810485"/>
        <bgColor indexed="64"/>
      </patternFill>
    </fill>
    <fill>
      <patternFill patternType="solid">
        <fgColor rgb="FFFFFFCC"/>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C0C0C0"/>
      </left>
      <right style="thin">
        <color rgb="FFC0C0C0"/>
      </right>
      <top/>
      <bottom style="thin">
        <color rgb="FFC0C0C0"/>
      </bottom>
      <diagonal/>
    </border>
    <border>
      <left style="thin">
        <color rgb="FF000000"/>
      </left>
      <right/>
      <top/>
      <bottom/>
      <diagonal/>
    </border>
  </borders>
  <cellStyleXfs count="3">
    <xf numFmtId="0" fontId="0" fillId="0" borderId="0">
      <alignment vertical="center"/>
    </xf>
    <xf numFmtId="9" fontId="1" fillId="0" borderId="0" applyFont="0" applyFill="0" applyBorder="0" applyAlignment="0" applyProtection="0">
      <alignment vertical="center"/>
    </xf>
    <xf numFmtId="0" fontId="34" fillId="0" borderId="0" applyNumberFormat="0" applyFill="0" applyBorder="0" applyAlignment="0" applyProtection="0"/>
  </cellStyleXfs>
  <cellXfs count="306">
    <xf numFmtId="0" fontId="0" fillId="0" borderId="0" xfId="0">
      <alignment vertical="center"/>
    </xf>
    <xf numFmtId="0" fontId="3" fillId="2" borderId="1" xfId="0" applyFont="1" applyFill="1" applyBorder="1" applyAlignment="1">
      <alignment horizontal="center" wrapText="1"/>
    </xf>
    <xf numFmtId="0" fontId="3" fillId="2" borderId="3" xfId="0" applyFont="1" applyFill="1" applyBorder="1" applyAlignment="1">
      <alignment horizontal="center" wrapText="1"/>
    </xf>
    <xf numFmtId="0" fontId="4" fillId="2" borderId="3" xfId="0" applyFont="1" applyFill="1" applyBorder="1" applyAlignment="1">
      <alignment horizontal="center" textRotation="90" wrapText="1"/>
    </xf>
    <xf numFmtId="0" fontId="3" fillId="2" borderId="1" xfId="0" applyFont="1" applyFill="1" applyBorder="1" applyAlignment="1">
      <alignment horizontal="center" textRotation="90" wrapText="1"/>
    </xf>
    <xf numFmtId="0" fontId="5" fillId="2" borderId="1" xfId="0" applyFont="1" applyFill="1" applyBorder="1" applyAlignment="1">
      <alignment horizontal="center" textRotation="90" wrapText="1"/>
    </xf>
    <xf numFmtId="2" fontId="3" fillId="2" borderId="1" xfId="0" applyNumberFormat="1" applyFont="1" applyFill="1" applyBorder="1" applyAlignment="1">
      <alignment horizontal="center" wrapText="1"/>
    </xf>
    <xf numFmtId="0" fontId="3" fillId="3" borderId="1" xfId="0" applyFont="1" applyFill="1" applyBorder="1" applyAlignment="1">
      <alignment horizontal="center" wrapText="1"/>
    </xf>
    <xf numFmtId="0" fontId="3" fillId="2" borderId="4" xfId="0" applyFont="1" applyFill="1" applyBorder="1" applyAlignment="1">
      <alignment horizontal="center" wrapText="1"/>
    </xf>
    <xf numFmtId="0" fontId="3" fillId="3" borderId="4" xfId="0" applyFont="1" applyFill="1" applyBorder="1" applyAlignment="1">
      <alignment horizontal="center" wrapText="1"/>
    </xf>
    <xf numFmtId="176" fontId="3" fillId="3" borderId="1" xfId="0" applyNumberFormat="1" applyFont="1" applyFill="1" applyBorder="1" applyAlignment="1">
      <alignment horizontal="center" wrapText="1"/>
    </xf>
    <xf numFmtId="176" fontId="6" fillId="4" borderId="1" xfId="0" applyNumberFormat="1" applyFont="1" applyFill="1" applyBorder="1" applyAlignment="1">
      <alignment horizontal="center" wrapText="1"/>
    </xf>
    <xf numFmtId="0" fontId="9" fillId="3" borderId="1" xfId="0" applyFont="1" applyFill="1" applyBorder="1" applyAlignment="1">
      <alignment horizontal="center" wrapText="1"/>
    </xf>
    <xf numFmtId="177" fontId="3" fillId="2" borderId="1" xfId="0" applyNumberFormat="1" applyFont="1" applyFill="1" applyBorder="1" applyAlignment="1">
      <alignment horizontal="center" wrapText="1"/>
    </xf>
    <xf numFmtId="1" fontId="6" fillId="4" borderId="1" xfId="0" applyNumberFormat="1" applyFont="1" applyFill="1" applyBorder="1" applyAlignment="1">
      <alignment horizontal="center" wrapText="1"/>
    </xf>
    <xf numFmtId="177" fontId="6" fillId="4" borderId="1" xfId="0" applyNumberFormat="1" applyFont="1" applyFill="1" applyBorder="1" applyAlignment="1">
      <alignment horizontal="center" wrapText="1"/>
    </xf>
    <xf numFmtId="0" fontId="6" fillId="4" borderId="1" xfId="0" applyFont="1" applyFill="1" applyBorder="1" applyAlignment="1">
      <alignment horizontal="center" wrapText="1"/>
    </xf>
    <xf numFmtId="0" fontId="6" fillId="0" borderId="0" xfId="0" applyFont="1" applyAlignment="1">
      <alignment horizontal="center" wrapText="1"/>
    </xf>
    <xf numFmtId="0" fontId="0" fillId="0" borderId="0" xfId="0" applyAlignment="1">
      <alignment horizontal="center" wrapText="1"/>
    </xf>
    <xf numFmtId="0" fontId="13" fillId="0" borderId="0" xfId="0" applyFont="1" applyAlignment="1">
      <alignment horizontal="center" wrapText="1"/>
    </xf>
    <xf numFmtId="178" fontId="15" fillId="0" borderId="0" xfId="0" applyNumberFormat="1" applyFont="1" applyAlignment="1">
      <alignment horizontal="center" wrapText="1"/>
    </xf>
    <xf numFmtId="178" fontId="16" fillId="0" borderId="0" xfId="0" applyNumberFormat="1" applyFont="1" applyAlignment="1">
      <alignment horizontal="center" wrapText="1"/>
    </xf>
    <xf numFmtId="3" fontId="15" fillId="0" borderId="0" xfId="0" applyNumberFormat="1" applyFont="1" applyAlignment="1">
      <alignment horizontal="center" wrapText="1"/>
    </xf>
    <xf numFmtId="3" fontId="16" fillId="0" borderId="0" xfId="0" applyNumberFormat="1" applyFont="1" applyAlignment="1">
      <alignment horizontal="center" wrapText="1"/>
    </xf>
    <xf numFmtId="0" fontId="16" fillId="0" borderId="0" xfId="0" applyFont="1" applyAlignment="1">
      <alignment horizontal="center" wrapText="1"/>
    </xf>
    <xf numFmtId="0" fontId="23" fillId="0" borderId="0" xfId="0" applyFont="1" applyAlignment="1">
      <alignment horizontal="center" vertical="center"/>
    </xf>
    <xf numFmtId="0" fontId="23" fillId="5" borderId="0" xfId="0" applyFont="1" applyFill="1" applyAlignment="1">
      <alignment horizontal="center" vertical="center"/>
    </xf>
    <xf numFmtId="0" fontId="24" fillId="6" borderId="0" xfId="0" applyFont="1" applyFill="1" applyAlignment="1">
      <alignment horizontal="center" vertical="center"/>
    </xf>
    <xf numFmtId="49" fontId="23" fillId="0" borderId="0" xfId="0" applyNumberFormat="1" applyFont="1" applyAlignment="1" applyProtection="1">
      <alignment horizontal="center" vertical="center"/>
      <protection locked="0"/>
    </xf>
    <xf numFmtId="0" fontId="23" fillId="7" borderId="0" xfId="0" applyFont="1" applyFill="1" applyAlignment="1">
      <alignment horizontal="center" vertical="center"/>
    </xf>
    <xf numFmtId="0" fontId="23" fillId="8" borderId="0" xfId="0" applyFont="1" applyFill="1" applyAlignment="1">
      <alignment horizontal="center" vertical="center"/>
    </xf>
    <xf numFmtId="2" fontId="23" fillId="0" borderId="0" xfId="0" applyNumberFormat="1" applyFont="1" applyAlignment="1" applyProtection="1">
      <alignment horizontal="center" vertical="center"/>
      <protection locked="0"/>
    </xf>
    <xf numFmtId="0" fontId="23" fillId="6" borderId="0" xfId="0" applyFont="1" applyFill="1" applyAlignment="1">
      <alignment horizontal="center" vertical="center"/>
    </xf>
    <xf numFmtId="0" fontId="23" fillId="7" borderId="0" xfId="0" applyFont="1" applyFill="1" applyAlignment="1" applyProtection="1">
      <alignment horizontal="center" vertical="center"/>
      <protection locked="0"/>
    </xf>
    <xf numFmtId="0" fontId="23" fillId="9" borderId="0" xfId="0" applyFont="1" applyFill="1" applyAlignment="1">
      <alignment horizontal="center" vertical="center"/>
    </xf>
    <xf numFmtId="2" fontId="23" fillId="0" borderId="2" xfId="0" applyNumberFormat="1" applyFont="1" applyBorder="1" applyAlignment="1">
      <alignment horizontal="center" vertical="center"/>
    </xf>
    <xf numFmtId="0" fontId="23" fillId="9" borderId="2" xfId="0" applyFont="1" applyFill="1" applyBorder="1" applyAlignment="1">
      <alignment horizontal="center" vertical="center"/>
    </xf>
    <xf numFmtId="176" fontId="23" fillId="9" borderId="0" xfId="0" applyNumberFormat="1" applyFont="1" applyFill="1" applyAlignment="1">
      <alignment horizontal="center" vertical="center"/>
    </xf>
    <xf numFmtId="1" fontId="23" fillId="9" borderId="0" xfId="0" applyNumberFormat="1" applyFont="1" applyFill="1" applyAlignment="1">
      <alignment horizontal="center" vertical="center"/>
    </xf>
    <xf numFmtId="1" fontId="25" fillId="9" borderId="0" xfId="0" applyNumberFormat="1" applyFont="1" applyFill="1" applyAlignment="1">
      <alignment horizontal="center" vertical="center"/>
    </xf>
    <xf numFmtId="1" fontId="0" fillId="9" borderId="0" xfId="0" applyNumberFormat="1" applyFill="1" applyAlignment="1">
      <alignment horizontal="center" vertical="center"/>
    </xf>
    <xf numFmtId="1" fontId="0" fillId="0" borderId="0" xfId="0" applyNumberFormat="1" applyAlignment="1">
      <alignment horizontal="center" vertical="center"/>
    </xf>
    <xf numFmtId="177" fontId="23" fillId="0" borderId="0" xfId="0" applyNumberFormat="1" applyFont="1" applyAlignment="1">
      <alignment horizontal="center" vertical="center"/>
    </xf>
    <xf numFmtId="0" fontId="23" fillId="0" borderId="0" xfId="0" applyFont="1" applyAlignment="1">
      <alignment horizontal="left" vertical="center"/>
    </xf>
    <xf numFmtId="0" fontId="23" fillId="0" borderId="0" xfId="0" applyFont="1" applyAlignment="1">
      <alignment horizontal="left" vertical="center" wrapText="1"/>
    </xf>
    <xf numFmtId="1" fontId="23" fillId="0" borderId="0" xfId="0" applyNumberFormat="1" applyFont="1" applyAlignment="1">
      <alignment horizontal="left" vertical="center"/>
    </xf>
    <xf numFmtId="9" fontId="24" fillId="0" borderId="0" xfId="1" applyFont="1" applyBorder="1" applyAlignment="1">
      <alignment horizontal="center" vertical="center"/>
    </xf>
    <xf numFmtId="0" fontId="24" fillId="0" borderId="0" xfId="0" applyFont="1" applyAlignment="1">
      <alignment horizontal="center" vertical="center"/>
    </xf>
    <xf numFmtId="176" fontId="23" fillId="0" borderId="0" xfId="0" applyNumberFormat="1" applyFont="1" applyAlignment="1">
      <alignment horizontal="center" vertical="center"/>
    </xf>
    <xf numFmtId="1" fontId="23" fillId="0" borderId="0" xfId="0" applyNumberFormat="1" applyFont="1" applyAlignment="1">
      <alignment horizontal="center" vertical="center"/>
    </xf>
    <xf numFmtId="9" fontId="23" fillId="0" borderId="0" xfId="1" applyFont="1" applyBorder="1" applyAlignment="1">
      <alignment horizontal="center" vertical="center"/>
    </xf>
    <xf numFmtId="178" fontId="26" fillId="0" borderId="0" xfId="1" applyNumberFormat="1" applyFont="1" applyFill="1" applyBorder="1" applyAlignment="1">
      <alignment horizontal="center" vertical="center"/>
    </xf>
    <xf numFmtId="178" fontId="24" fillId="0" borderId="0" xfId="1" applyNumberFormat="1" applyFont="1" applyBorder="1" applyAlignment="1">
      <alignment horizontal="center" vertical="center"/>
    </xf>
    <xf numFmtId="178" fontId="26" fillId="0" borderId="0" xfId="1" applyNumberFormat="1" applyFont="1" applyBorder="1" applyAlignment="1">
      <alignment horizontal="center" vertical="center"/>
    </xf>
    <xf numFmtId="3" fontId="27" fillId="0" borderId="0" xfId="1" applyNumberFormat="1" applyFont="1" applyBorder="1" applyAlignment="1">
      <alignment horizontal="center" vertical="center"/>
    </xf>
    <xf numFmtId="3" fontId="24" fillId="0" borderId="0" xfId="1" applyNumberFormat="1" applyFont="1" applyBorder="1" applyAlignment="1">
      <alignment horizontal="center" vertical="center"/>
    </xf>
    <xf numFmtId="9" fontId="27" fillId="0" borderId="0" xfId="1" applyFont="1" applyBorder="1" applyAlignment="1">
      <alignment horizontal="center" vertical="center"/>
    </xf>
    <xf numFmtId="0" fontId="27" fillId="0" borderId="0" xfId="0" applyFont="1" applyAlignment="1">
      <alignment horizontal="center" vertical="center"/>
    </xf>
    <xf numFmtId="179" fontId="27" fillId="0" borderId="0" xfId="0" applyNumberFormat="1" applyFont="1" applyAlignment="1">
      <alignment horizontal="center" vertical="center"/>
    </xf>
    <xf numFmtId="176" fontId="27" fillId="0" borderId="0" xfId="0" applyNumberFormat="1" applyFont="1" applyAlignment="1">
      <alignment horizontal="center" vertical="center"/>
    </xf>
    <xf numFmtId="10" fontId="27" fillId="0" borderId="0" xfId="1" applyNumberFormat="1" applyFont="1" applyBorder="1" applyAlignment="1">
      <alignment horizontal="center" vertical="center"/>
    </xf>
    <xf numFmtId="2" fontId="23" fillId="0" borderId="0" xfId="0" applyNumberFormat="1" applyFont="1" applyAlignment="1">
      <alignment horizontal="center" vertical="center"/>
    </xf>
    <xf numFmtId="0" fontId="23" fillId="0" borderId="0" xfId="0" applyFont="1">
      <alignment vertical="center"/>
    </xf>
    <xf numFmtId="179" fontId="24" fillId="0" borderId="0" xfId="0" applyNumberFormat="1" applyFont="1" applyAlignment="1">
      <alignment horizontal="center" vertical="center"/>
    </xf>
    <xf numFmtId="176" fontId="24" fillId="0" borderId="0" xfId="0" applyNumberFormat="1" applyFont="1" applyAlignment="1">
      <alignment horizontal="center" vertical="center"/>
    </xf>
    <xf numFmtId="10" fontId="24" fillId="0" borderId="0" xfId="1" applyNumberFormat="1" applyFont="1" applyBorder="1" applyAlignment="1">
      <alignment horizontal="center" vertical="center"/>
    </xf>
    <xf numFmtId="0" fontId="16" fillId="0" borderId="0" xfId="0" applyFont="1" applyAlignment="1">
      <alignment horizontal="center" vertical="center"/>
    </xf>
    <xf numFmtId="0" fontId="23" fillId="0" borderId="0" xfId="0" applyFont="1" applyAlignment="1" applyProtection="1">
      <alignment horizontal="center" vertical="center"/>
      <protection locked="0"/>
    </xf>
    <xf numFmtId="178" fontId="23" fillId="0" borderId="0" xfId="1" applyNumberFormat="1" applyFont="1" applyFill="1" applyBorder="1" applyAlignment="1">
      <alignment horizontal="center" vertical="center"/>
    </xf>
    <xf numFmtId="176" fontId="23" fillId="0" borderId="0" xfId="1" applyNumberFormat="1" applyFont="1" applyFill="1" applyBorder="1" applyAlignment="1">
      <alignment horizontal="center" vertical="center"/>
    </xf>
    <xf numFmtId="178" fontId="23" fillId="0" borderId="0" xfId="1" applyNumberFormat="1" applyFont="1" applyBorder="1" applyAlignment="1">
      <alignment horizontal="center" vertical="center"/>
    </xf>
    <xf numFmtId="3" fontId="23" fillId="0" borderId="0" xfId="1" applyNumberFormat="1" applyFont="1" applyBorder="1" applyAlignment="1">
      <alignment horizontal="center" vertical="center"/>
    </xf>
    <xf numFmtId="179" fontId="23" fillId="0" borderId="0" xfId="0" applyNumberFormat="1" applyFont="1" applyAlignment="1">
      <alignment horizontal="center" vertical="center"/>
    </xf>
    <xf numFmtId="10" fontId="23" fillId="0" borderId="0" xfId="1" applyNumberFormat="1" applyFont="1" applyBorder="1" applyAlignment="1">
      <alignment horizontal="center" vertical="center"/>
    </xf>
    <xf numFmtId="0" fontId="23" fillId="10" borderId="0" xfId="0" applyFont="1" applyFill="1" applyAlignment="1">
      <alignment horizontal="center" vertical="center"/>
    </xf>
    <xf numFmtId="176" fontId="24" fillId="9" borderId="0" xfId="0" applyNumberFormat="1" applyFont="1" applyFill="1" applyAlignment="1">
      <alignment horizontal="center" vertical="center"/>
    </xf>
    <xf numFmtId="177" fontId="23" fillId="0" borderId="0" xfId="0" quotePrefix="1" applyNumberFormat="1" applyFont="1" applyAlignment="1">
      <alignment horizontal="center" vertical="center"/>
    </xf>
    <xf numFmtId="0" fontId="28" fillId="0" borderId="0" xfId="0" applyFont="1">
      <alignment vertical="center"/>
    </xf>
    <xf numFmtId="0" fontId="13" fillId="0" borderId="0" xfId="0" applyFont="1" applyAlignment="1">
      <alignment horizontal="left" vertical="center"/>
    </xf>
    <xf numFmtId="1" fontId="23" fillId="0" borderId="0" xfId="0" quotePrefix="1" applyNumberFormat="1" applyFont="1" applyAlignment="1">
      <alignment horizontal="center" vertical="center"/>
    </xf>
    <xf numFmtId="0" fontId="13" fillId="0" borderId="0" xfId="0" applyFont="1" applyAlignment="1">
      <alignment horizontal="center" vertical="center"/>
    </xf>
    <xf numFmtId="0" fontId="23" fillId="0" borderId="0" xfId="0" applyFont="1" applyAlignment="1">
      <alignment horizontal="left"/>
    </xf>
    <xf numFmtId="178" fontId="24" fillId="0" borderId="0" xfId="1" applyNumberFormat="1" applyFont="1" applyFill="1" applyBorder="1" applyAlignment="1">
      <alignment horizontal="center" vertical="center"/>
    </xf>
    <xf numFmtId="176" fontId="24" fillId="0" borderId="0" xfId="1" applyNumberFormat="1" applyFont="1" applyFill="1" applyBorder="1" applyAlignment="1">
      <alignment horizontal="center" vertical="center"/>
    </xf>
    <xf numFmtId="0" fontId="24" fillId="9" borderId="0" xfId="0" applyFont="1" applyFill="1" applyAlignment="1">
      <alignment horizontal="center" vertical="center"/>
    </xf>
    <xf numFmtId="0" fontId="24" fillId="0" borderId="0" xfId="0" applyFont="1" applyAlignment="1">
      <alignment horizontal="center" vertical="center" wrapText="1"/>
    </xf>
    <xf numFmtId="0" fontId="24" fillId="5" borderId="0" xfId="0" applyFont="1" applyFill="1" applyAlignment="1">
      <alignment horizontal="center" vertical="center"/>
    </xf>
    <xf numFmtId="0" fontId="24" fillId="8" borderId="0" xfId="0" applyFont="1" applyFill="1" applyAlignment="1">
      <alignment horizontal="center" vertical="center"/>
    </xf>
    <xf numFmtId="0" fontId="24" fillId="0" borderId="0" xfId="0" applyFont="1" applyAlignment="1">
      <alignment horizontal="left" vertical="center"/>
    </xf>
    <xf numFmtId="0" fontId="24" fillId="10" borderId="0" xfId="0" applyFont="1" applyFill="1" applyAlignment="1">
      <alignment horizontal="center" vertical="center"/>
    </xf>
    <xf numFmtId="2" fontId="24" fillId="0" borderId="0" xfId="0" applyNumberFormat="1" applyFont="1" applyAlignment="1">
      <alignment horizontal="center" vertical="center"/>
    </xf>
    <xf numFmtId="0" fontId="0" fillId="0" borderId="0" xfId="0" applyAlignment="1">
      <alignment horizontal="center" vertical="center"/>
    </xf>
    <xf numFmtId="2" fontId="24" fillId="0" borderId="2" xfId="0" applyNumberFormat="1" applyFont="1" applyBorder="1" applyAlignment="1">
      <alignment horizontal="center" vertical="center"/>
    </xf>
    <xf numFmtId="0" fontId="24" fillId="9" borderId="2" xfId="0" applyFont="1" applyFill="1" applyBorder="1" applyAlignment="1">
      <alignment horizontal="center" vertical="center"/>
    </xf>
    <xf numFmtId="0" fontId="0" fillId="9" borderId="0" xfId="0" applyFill="1" applyAlignment="1">
      <alignment horizontal="center" vertical="center"/>
    </xf>
    <xf numFmtId="176" fontId="0" fillId="9" borderId="0" xfId="0" applyNumberFormat="1" applyFill="1" applyAlignment="1">
      <alignment horizontal="center" vertical="center"/>
    </xf>
    <xf numFmtId="0" fontId="30" fillId="6" borderId="0" xfId="0" applyFont="1" applyFill="1" applyAlignment="1">
      <alignment horizontal="center" vertical="center"/>
    </xf>
    <xf numFmtId="1" fontId="24" fillId="9" borderId="0" xfId="0" applyNumberFormat="1" applyFont="1" applyFill="1" applyAlignment="1">
      <alignment horizontal="center" vertical="center"/>
    </xf>
    <xf numFmtId="1" fontId="0" fillId="12" borderId="0" xfId="0" applyNumberFormat="1" applyFill="1" applyAlignment="1">
      <alignment horizontal="center" vertical="center"/>
    </xf>
    <xf numFmtId="0" fontId="0" fillId="0" borderId="0" xfId="0" applyAlignment="1">
      <alignment horizontal="center"/>
    </xf>
    <xf numFmtId="0" fontId="24" fillId="0" borderId="0" xfId="0" applyFont="1" applyAlignment="1">
      <alignment horizontal="left"/>
    </xf>
    <xf numFmtId="0" fontId="0" fillId="12" borderId="0" xfId="0" applyFill="1" applyAlignment="1">
      <alignment horizontal="center"/>
    </xf>
    <xf numFmtId="0" fontId="0" fillId="0" borderId="5" xfId="0" applyBorder="1" applyAlignment="1">
      <alignment horizontal="center" vertical="center"/>
    </xf>
    <xf numFmtId="2" fontId="0" fillId="0" borderId="0" xfId="0" applyNumberFormat="1" applyAlignment="1">
      <alignment horizontal="center" vertical="center"/>
    </xf>
    <xf numFmtId="2" fontId="0" fillId="0" borderId="2" xfId="0" applyNumberFormat="1" applyBorder="1" applyAlignment="1">
      <alignment horizontal="center" vertical="center"/>
    </xf>
    <xf numFmtId="177" fontId="0" fillId="0" borderId="0" xfId="0" applyNumberFormat="1" applyAlignment="1">
      <alignment horizontal="center" vertical="center"/>
    </xf>
    <xf numFmtId="0" fontId="0" fillId="10" borderId="0" xfId="0" applyFill="1" applyAlignment="1">
      <alignment horizontal="left" vertical="center"/>
    </xf>
    <xf numFmtId="177" fontId="24" fillId="0" borderId="0" xfId="0" applyNumberFormat="1" applyFont="1" applyAlignment="1">
      <alignment horizontal="center" vertical="center"/>
    </xf>
    <xf numFmtId="0" fontId="24" fillId="0" borderId="0" xfId="0" applyFont="1">
      <alignment vertical="center"/>
    </xf>
    <xf numFmtId="0" fontId="16" fillId="5" borderId="0" xfId="0" applyFont="1" applyFill="1" applyAlignment="1">
      <alignment horizontal="center" vertical="center"/>
    </xf>
    <xf numFmtId="0" fontId="6" fillId="13" borderId="0" xfId="0" applyFont="1" applyFill="1" applyAlignment="1">
      <alignment horizontal="center" vertical="center"/>
    </xf>
    <xf numFmtId="0" fontId="16" fillId="8" borderId="0" xfId="0" applyFont="1" applyFill="1" applyAlignment="1">
      <alignment horizontal="center" vertical="center"/>
    </xf>
    <xf numFmtId="0" fontId="16" fillId="14" borderId="0" xfId="0" applyFont="1" applyFill="1" applyAlignment="1">
      <alignment horizontal="center" vertical="center"/>
    </xf>
    <xf numFmtId="2" fontId="16" fillId="0" borderId="0" xfId="0" applyNumberFormat="1" applyFont="1" applyAlignment="1">
      <alignment horizontal="center" vertical="center"/>
    </xf>
    <xf numFmtId="2" fontId="16" fillId="0" borderId="2" xfId="0" applyNumberFormat="1" applyFont="1" applyBorder="1" applyAlignment="1">
      <alignment horizontal="center" vertical="center"/>
    </xf>
    <xf numFmtId="0" fontId="16" fillId="9" borderId="0" xfId="0" applyFont="1" applyFill="1" applyAlignment="1">
      <alignment horizontal="center" vertical="center"/>
    </xf>
    <xf numFmtId="176" fontId="16" fillId="9" borderId="0" xfId="0" applyNumberFormat="1" applyFont="1" applyFill="1" applyAlignment="1">
      <alignment horizontal="center" vertical="center"/>
    </xf>
    <xf numFmtId="1" fontId="31" fillId="9" borderId="0" xfId="0" applyNumberFormat="1" applyFont="1" applyFill="1" applyAlignment="1">
      <alignment horizontal="center" vertical="center"/>
    </xf>
    <xf numFmtId="1" fontId="16" fillId="9" borderId="0" xfId="0" applyNumberFormat="1" applyFont="1" applyFill="1" applyAlignment="1">
      <alignment horizontal="center" vertical="center"/>
    </xf>
    <xf numFmtId="1" fontId="6" fillId="9" borderId="0" xfId="0" applyNumberFormat="1" applyFont="1" applyFill="1" applyAlignment="1">
      <alignment horizontal="center" vertical="center"/>
    </xf>
    <xf numFmtId="1" fontId="6" fillId="0" borderId="0" xfId="0" applyNumberFormat="1" applyFont="1" applyAlignment="1">
      <alignment horizontal="center" vertical="center"/>
    </xf>
    <xf numFmtId="177" fontId="16" fillId="0" borderId="0" xfId="0" applyNumberFormat="1" applyFont="1" applyAlignment="1">
      <alignment horizontal="center" vertical="center"/>
    </xf>
    <xf numFmtId="0" fontId="6" fillId="0" borderId="0" xfId="0" applyFont="1">
      <alignment vertical="center"/>
    </xf>
    <xf numFmtId="0" fontId="16" fillId="0" borderId="0" xfId="0" applyFont="1" applyAlignment="1">
      <alignment horizontal="left" vertical="center"/>
    </xf>
    <xf numFmtId="0" fontId="32" fillId="0" borderId="0" xfId="0" applyFont="1" applyAlignment="1">
      <alignment horizontal="center" vertical="center"/>
    </xf>
    <xf numFmtId="0" fontId="32" fillId="5" borderId="0" xfId="0" applyFont="1" applyFill="1" applyAlignment="1">
      <alignment horizontal="center" vertical="center"/>
    </xf>
    <xf numFmtId="0" fontId="32" fillId="8" borderId="0" xfId="0" applyFont="1" applyFill="1" applyAlignment="1">
      <alignment horizontal="center" vertical="center"/>
    </xf>
    <xf numFmtId="0" fontId="32" fillId="0" borderId="0" xfId="0" applyFont="1" applyAlignment="1">
      <alignment horizontal="left" vertical="center"/>
    </xf>
    <xf numFmtId="0" fontId="32" fillId="10" borderId="0" xfId="0" applyFont="1" applyFill="1" applyAlignment="1">
      <alignment horizontal="center" vertical="center"/>
    </xf>
    <xf numFmtId="2" fontId="32" fillId="0" borderId="0" xfId="0" applyNumberFormat="1" applyFont="1" applyAlignment="1">
      <alignment horizontal="center" vertical="center"/>
    </xf>
    <xf numFmtId="0" fontId="32" fillId="6" borderId="0" xfId="0" applyFont="1" applyFill="1" applyAlignment="1">
      <alignment horizontal="center" vertical="center"/>
    </xf>
    <xf numFmtId="0" fontId="32" fillId="9" borderId="0" xfId="0" applyFont="1" applyFill="1" applyAlignment="1">
      <alignment horizontal="center" vertical="center"/>
    </xf>
    <xf numFmtId="2" fontId="32" fillId="0" borderId="2" xfId="0" applyNumberFormat="1" applyFont="1" applyBorder="1" applyAlignment="1">
      <alignment horizontal="center" vertical="center"/>
    </xf>
    <xf numFmtId="0" fontId="32" fillId="9" borderId="2" xfId="0" applyFont="1" applyFill="1" applyBorder="1" applyAlignment="1">
      <alignment horizontal="center" vertical="center"/>
    </xf>
    <xf numFmtId="176" fontId="32" fillId="9" borderId="0" xfId="0" applyNumberFormat="1" applyFont="1" applyFill="1" applyAlignment="1">
      <alignment horizontal="center" vertical="center"/>
    </xf>
    <xf numFmtId="1" fontId="32" fillId="9" borderId="0" xfId="0" applyNumberFormat="1" applyFont="1" applyFill="1" applyAlignment="1">
      <alignment horizontal="center" vertical="center"/>
    </xf>
    <xf numFmtId="0" fontId="32" fillId="0" borderId="0" xfId="0" applyFont="1" applyAlignment="1">
      <alignment horizontal="center"/>
    </xf>
    <xf numFmtId="0" fontId="32" fillId="0" borderId="0" xfId="0" applyFont="1" applyAlignment="1">
      <alignment horizontal="left"/>
    </xf>
    <xf numFmtId="0" fontId="0" fillId="6" borderId="0" xfId="0" applyFill="1" applyAlignment="1">
      <alignment horizontal="center" vertical="center"/>
    </xf>
    <xf numFmtId="0" fontId="0" fillId="12" borderId="0" xfId="0" applyFill="1" applyAlignment="1">
      <alignment horizontal="center" vertical="center"/>
    </xf>
    <xf numFmtId="0" fontId="0" fillId="8" borderId="0" xfId="0" applyFill="1" applyAlignment="1">
      <alignment horizontal="center" vertical="center"/>
    </xf>
    <xf numFmtId="0" fontId="0" fillId="0" borderId="0" xfId="0" applyAlignment="1">
      <alignment horizontal="left" vertical="center"/>
    </xf>
    <xf numFmtId="0" fontId="29" fillId="11" borderId="0" xfId="0" applyFont="1" applyFill="1" applyAlignment="1">
      <alignment horizontal="center" vertical="center"/>
    </xf>
    <xf numFmtId="2" fontId="23" fillId="12" borderId="2" xfId="0" applyNumberFormat="1" applyFont="1" applyFill="1" applyBorder="1" applyAlignment="1">
      <alignment horizontal="center" vertical="center"/>
    </xf>
    <xf numFmtId="176" fontId="13" fillId="9" borderId="0" xfId="0" applyNumberFormat="1" applyFont="1" applyFill="1" applyAlignment="1">
      <alignment horizontal="center" vertical="center"/>
    </xf>
    <xf numFmtId="0" fontId="0" fillId="0" borderId="0" xfId="0" quotePrefix="1" applyAlignment="1">
      <alignment horizontal="center" vertical="center"/>
    </xf>
    <xf numFmtId="0" fontId="23" fillId="0" borderId="0" xfId="2" applyFont="1" applyBorder="1" applyAlignment="1">
      <alignment horizontal="center" vertical="center"/>
    </xf>
    <xf numFmtId="0" fontId="0" fillId="5" borderId="5" xfId="0" applyFill="1" applyBorder="1" applyAlignment="1">
      <alignment horizontal="center" vertical="center"/>
    </xf>
    <xf numFmtId="0" fontId="0" fillId="13" borderId="5" xfId="0" applyFill="1" applyBorder="1" applyAlignment="1">
      <alignment horizontal="center" vertical="center"/>
    </xf>
    <xf numFmtId="0" fontId="24" fillId="0" borderId="5" xfId="0" applyFont="1" applyBorder="1" applyAlignment="1">
      <alignment horizontal="center" vertical="center"/>
    </xf>
    <xf numFmtId="0" fontId="0" fillId="8" borderId="5" xfId="0" applyFill="1" applyBorder="1" applyAlignment="1">
      <alignment horizontal="center" vertical="center"/>
    </xf>
    <xf numFmtId="0" fontId="35" fillId="0" borderId="5" xfId="0" applyFont="1" applyBorder="1" applyAlignment="1">
      <alignment horizontal="center" vertical="center"/>
    </xf>
    <xf numFmtId="0" fontId="0" fillId="10" borderId="5" xfId="0" applyFill="1" applyBorder="1" applyAlignment="1">
      <alignment horizontal="center" vertical="center"/>
    </xf>
    <xf numFmtId="2" fontId="0" fillId="0" borderId="5" xfId="0" applyNumberFormat="1" applyBorder="1" applyAlignment="1">
      <alignment horizontal="center" vertical="center"/>
    </xf>
    <xf numFmtId="0" fontId="29" fillId="11" borderId="5" xfId="0" applyFont="1" applyFill="1" applyBorder="1" applyAlignment="1">
      <alignment horizontal="center" vertical="center"/>
    </xf>
    <xf numFmtId="0" fontId="24" fillId="9" borderId="5" xfId="0" applyFont="1" applyFill="1" applyBorder="1" applyAlignment="1">
      <alignment horizontal="center" vertical="center"/>
    </xf>
    <xf numFmtId="2" fontId="0" fillId="12" borderId="6" xfId="0" applyNumberFormat="1" applyFill="1" applyBorder="1" applyAlignment="1">
      <alignment horizontal="center" vertical="center"/>
    </xf>
    <xf numFmtId="0" fontId="24" fillId="9" borderId="6" xfId="0" applyFont="1" applyFill="1" applyBorder="1" applyAlignment="1">
      <alignment horizontal="center" vertical="center"/>
    </xf>
    <xf numFmtId="0" fontId="0" fillId="9" borderId="5" xfId="0" applyFill="1" applyBorder="1" applyAlignment="1">
      <alignment horizontal="center" vertical="center"/>
    </xf>
    <xf numFmtId="176" fontId="0" fillId="9" borderId="5" xfId="0" applyNumberFormat="1" applyFill="1" applyBorder="1" applyAlignment="1">
      <alignment horizontal="center" vertical="center"/>
    </xf>
    <xf numFmtId="0" fontId="0" fillId="5" borderId="0" xfId="0" applyFill="1" applyAlignment="1">
      <alignment horizontal="center" vertical="center"/>
    </xf>
    <xf numFmtId="0" fontId="35" fillId="0" borderId="0" xfId="0" applyFont="1" applyAlignment="1">
      <alignment horizontal="center" vertical="center"/>
    </xf>
    <xf numFmtId="0" fontId="0" fillId="10" borderId="0" xfId="0" applyFill="1" applyAlignment="1">
      <alignment horizontal="center" vertical="center"/>
    </xf>
    <xf numFmtId="176" fontId="24" fillId="9" borderId="5" xfId="0" applyNumberFormat="1" applyFont="1" applyFill="1" applyBorder="1" applyAlignment="1">
      <alignment horizontal="center" vertical="center"/>
    </xf>
    <xf numFmtId="1" fontId="24" fillId="9" borderId="5" xfId="0" applyNumberFormat="1" applyFont="1" applyFill="1" applyBorder="1" applyAlignment="1">
      <alignment horizontal="center" vertical="center"/>
    </xf>
    <xf numFmtId="1" fontId="25" fillId="9" borderId="5" xfId="0" applyNumberFormat="1" applyFont="1" applyFill="1" applyBorder="1" applyAlignment="1">
      <alignment horizontal="center" vertical="center"/>
    </xf>
    <xf numFmtId="1" fontId="0" fillId="9" borderId="5" xfId="0" applyNumberFormat="1" applyFill="1" applyBorder="1" applyAlignment="1">
      <alignment horizontal="center" vertical="center"/>
    </xf>
    <xf numFmtId="1" fontId="0" fillId="0" borderId="5" xfId="0" quotePrefix="1" applyNumberFormat="1" applyBorder="1" applyAlignment="1">
      <alignment horizontal="center" vertical="center"/>
    </xf>
    <xf numFmtId="1" fontId="0" fillId="12" borderId="0" xfId="0" quotePrefix="1" applyNumberFormat="1" applyFill="1" applyAlignment="1">
      <alignment horizontal="center" vertical="center"/>
    </xf>
    <xf numFmtId="1" fontId="0" fillId="12" borderId="5" xfId="0" quotePrefix="1" applyNumberFormat="1" applyFill="1" applyBorder="1" applyAlignment="1">
      <alignment horizontal="center" vertical="center"/>
    </xf>
    <xf numFmtId="1" fontId="31" fillId="9" borderId="5" xfId="0" applyNumberFormat="1" applyFont="1" applyFill="1" applyBorder="1" applyAlignment="1">
      <alignment horizontal="center" vertical="center"/>
    </xf>
    <xf numFmtId="0" fontId="24" fillId="0" borderId="5" xfId="2" applyFont="1" applyBorder="1" applyAlignment="1">
      <alignment horizontal="center" vertical="center"/>
    </xf>
    <xf numFmtId="0" fontId="0" fillId="0" borderId="5" xfId="0" applyBorder="1">
      <alignment vertical="center"/>
    </xf>
    <xf numFmtId="0" fontId="0" fillId="0" borderId="5" xfId="0" applyBorder="1" applyAlignment="1">
      <alignment horizontal="left" vertical="center"/>
    </xf>
    <xf numFmtId="0" fontId="24" fillId="0" borderId="0" xfId="2" applyFont="1" applyFill="1" applyBorder="1" applyAlignment="1">
      <alignment horizontal="center" vertical="center"/>
    </xf>
    <xf numFmtId="0" fontId="24" fillId="0" borderId="5" xfId="2" applyFont="1" applyFill="1" applyBorder="1" applyAlignment="1">
      <alignment horizontal="center" vertical="center"/>
    </xf>
    <xf numFmtId="0" fontId="0" fillId="0" borderId="0" xfId="0" applyAlignment="1"/>
    <xf numFmtId="0" fontId="30" fillId="12" borderId="0" xfId="0" applyFont="1" applyFill="1" applyAlignment="1">
      <alignment horizontal="left" vertical="center"/>
    </xf>
    <xf numFmtId="0" fontId="23" fillId="0" borderId="0" xfId="0" applyFont="1" applyAlignment="1">
      <alignment horizontal="center" vertical="center" wrapText="1"/>
    </xf>
    <xf numFmtId="1" fontId="27" fillId="0" borderId="0" xfId="0" applyNumberFormat="1" applyFont="1" applyAlignment="1" applyProtection="1">
      <alignment horizontal="center" vertical="center"/>
      <protection locked="0"/>
    </xf>
    <xf numFmtId="0" fontId="0" fillId="0" borderId="0" xfId="0" applyAlignment="1">
      <alignment wrapText="1"/>
    </xf>
    <xf numFmtId="0" fontId="16" fillId="0" borderId="0" xfId="0" applyFont="1" applyAlignment="1">
      <alignment horizontal="center" vertical="center" wrapText="1"/>
    </xf>
    <xf numFmtId="0" fontId="16" fillId="13" borderId="0" xfId="0" applyFont="1" applyFill="1" applyAlignment="1">
      <alignment horizontal="center" vertical="center"/>
    </xf>
    <xf numFmtId="0" fontId="16" fillId="10" borderId="0" xfId="0" applyFont="1" applyFill="1" applyAlignment="1">
      <alignment horizontal="center" vertical="center"/>
    </xf>
    <xf numFmtId="0" fontId="16" fillId="9" borderId="2" xfId="0" applyFont="1" applyFill="1" applyBorder="1" applyAlignment="1">
      <alignment horizontal="center" vertical="center"/>
    </xf>
    <xf numFmtId="0" fontId="16" fillId="0" borderId="0" xfId="0" applyFont="1">
      <alignment vertical="center"/>
    </xf>
    <xf numFmtId="0" fontId="15" fillId="0" borderId="0" xfId="0" applyFont="1" applyAlignment="1">
      <alignment horizontal="left" vertical="center"/>
    </xf>
    <xf numFmtId="0" fontId="0" fillId="0" borderId="0" xfId="0" applyAlignment="1">
      <alignment horizontal="center" vertical="center" wrapText="1"/>
    </xf>
    <xf numFmtId="0" fontId="0" fillId="9" borderId="2" xfId="0" applyFill="1" applyBorder="1" applyAlignment="1">
      <alignment horizontal="center" vertical="center"/>
    </xf>
    <xf numFmtId="0" fontId="6" fillId="0" borderId="0" xfId="0" applyFont="1" applyAlignment="1">
      <alignment horizontal="center" vertical="center"/>
    </xf>
    <xf numFmtId="0" fontId="36" fillId="0" borderId="0" xfId="0" applyFont="1" applyAlignment="1">
      <alignment horizontal="center" vertical="center"/>
    </xf>
    <xf numFmtId="0" fontId="36" fillId="0" borderId="0" xfId="0" applyFont="1" applyAlignment="1">
      <alignment horizontal="left" vertical="center"/>
    </xf>
    <xf numFmtId="0" fontId="37" fillId="0" borderId="0" xfId="0" applyFont="1" applyAlignment="1">
      <alignment horizontal="center" vertical="center"/>
    </xf>
    <xf numFmtId="0" fontId="6" fillId="9" borderId="0" xfId="0" applyFont="1" applyFill="1" applyAlignment="1">
      <alignment horizontal="center" vertical="center"/>
    </xf>
    <xf numFmtId="0" fontId="13" fillId="9" borderId="0" xfId="0" applyFont="1" applyFill="1" applyAlignment="1">
      <alignment horizontal="center" vertical="center"/>
    </xf>
    <xf numFmtId="1" fontId="13" fillId="9" borderId="0" xfId="0" applyNumberFormat="1" applyFont="1" applyFill="1" applyAlignment="1">
      <alignment horizontal="center" vertical="center"/>
    </xf>
    <xf numFmtId="0" fontId="38" fillId="0" borderId="0" xfId="0" applyFont="1" applyAlignment="1"/>
    <xf numFmtId="1" fontId="23" fillId="6" borderId="0" xfId="0" applyNumberFormat="1" applyFont="1" applyFill="1" applyAlignment="1" applyProtection="1">
      <alignment horizontal="center" vertical="center"/>
      <protection locked="0"/>
    </xf>
    <xf numFmtId="0" fontId="23" fillId="14" borderId="0" xfId="0" applyFont="1" applyFill="1" applyAlignment="1">
      <alignment horizontal="center" vertical="center"/>
    </xf>
    <xf numFmtId="0" fontId="24" fillId="15" borderId="0" xfId="0" applyFont="1" applyFill="1" applyAlignment="1" applyProtection="1">
      <alignment horizontal="center" vertical="center"/>
      <protection locked="0"/>
    </xf>
    <xf numFmtId="1" fontId="16" fillId="0" borderId="0" xfId="0" applyNumberFormat="1" applyFont="1" applyAlignment="1" applyProtection="1">
      <alignment horizontal="center" vertical="center"/>
      <protection locked="0"/>
    </xf>
    <xf numFmtId="0" fontId="23" fillId="0" borderId="0" xfId="0" applyFont="1" applyAlignment="1"/>
    <xf numFmtId="0" fontId="24" fillId="12" borderId="0" xfId="0" applyFont="1" applyFill="1" applyAlignment="1">
      <alignment horizontal="left" vertical="center"/>
    </xf>
    <xf numFmtId="1" fontId="24" fillId="6" borderId="0" xfId="0" applyNumberFormat="1" applyFont="1" applyFill="1" applyAlignment="1" applyProtection="1">
      <alignment horizontal="center" vertical="center"/>
      <protection locked="0"/>
    </xf>
    <xf numFmtId="0" fontId="16" fillId="6" borderId="0" xfId="0" applyFont="1" applyFill="1" applyAlignment="1">
      <alignment horizontal="center" vertical="center"/>
    </xf>
    <xf numFmtId="0" fontId="16" fillId="13" borderId="0" xfId="0" applyFont="1" applyFill="1" applyAlignment="1">
      <alignment horizontal="center" vertical="center" wrapText="1"/>
    </xf>
    <xf numFmtId="0" fontId="24" fillId="6" borderId="0" xfId="0" applyFont="1" applyFill="1" applyAlignment="1">
      <alignment horizontal="center" vertical="center" wrapText="1"/>
    </xf>
    <xf numFmtId="0" fontId="27" fillId="0" borderId="0" xfId="0" applyFont="1" applyAlignment="1">
      <alignment horizontal="left" vertical="center"/>
    </xf>
    <xf numFmtId="0" fontId="15" fillId="0" borderId="0" xfId="0" applyFont="1" applyAlignment="1">
      <alignment horizontal="center" vertical="center"/>
    </xf>
    <xf numFmtId="1" fontId="16" fillId="6" borderId="0" xfId="0" applyNumberFormat="1" applyFont="1" applyFill="1" applyAlignment="1" applyProtection="1">
      <alignment horizontal="center" vertical="center"/>
      <protection locked="0"/>
    </xf>
    <xf numFmtId="0" fontId="0" fillId="13" borderId="0" xfId="0" applyFill="1" applyAlignment="1">
      <alignment horizontal="center" vertical="center" wrapText="1"/>
    </xf>
    <xf numFmtId="0" fontId="37" fillId="12" borderId="0" xfId="0" applyFont="1" applyFill="1" applyAlignment="1">
      <alignment horizontal="center" vertical="center"/>
    </xf>
    <xf numFmtId="1" fontId="0" fillId="15" borderId="0" xfId="0" applyNumberFormat="1" applyFill="1" applyAlignment="1">
      <alignment horizontal="center" vertical="center"/>
    </xf>
    <xf numFmtId="0" fontId="6" fillId="13" borderId="0" xfId="0" applyFont="1" applyFill="1" applyAlignment="1">
      <alignment horizontal="center" vertical="center" wrapText="1"/>
    </xf>
    <xf numFmtId="0" fontId="37" fillId="6" borderId="0" xfId="0" applyFont="1" applyFill="1" applyAlignment="1">
      <alignment horizontal="center" vertical="center"/>
    </xf>
    <xf numFmtId="0" fontId="35" fillId="0" borderId="0" xfId="0" applyFont="1" applyAlignment="1"/>
    <xf numFmtId="0" fontId="0" fillId="0" borderId="0" xfId="0" applyAlignment="1">
      <alignment horizontal="left"/>
    </xf>
    <xf numFmtId="0" fontId="24" fillId="0" borderId="0" xfId="0" applyFont="1" applyAlignment="1"/>
    <xf numFmtId="1" fontId="24" fillId="0" borderId="0" xfId="0" applyNumberFormat="1" applyFont="1" applyAlignment="1" applyProtection="1">
      <alignment horizontal="center" vertical="center"/>
      <protection locked="0"/>
    </xf>
    <xf numFmtId="1" fontId="27" fillId="6" borderId="0" xfId="0" applyNumberFormat="1" applyFont="1" applyFill="1" applyAlignment="1" applyProtection="1">
      <alignment horizontal="center" vertical="center"/>
      <protection locked="0"/>
    </xf>
    <xf numFmtId="0" fontId="23" fillId="11" borderId="0" xfId="0" applyFont="1" applyFill="1" applyAlignment="1">
      <alignment horizontal="center" vertical="center"/>
    </xf>
    <xf numFmtId="0" fontId="23" fillId="12" borderId="0" xfId="0" applyFont="1" applyFill="1" applyAlignment="1">
      <alignment horizontal="left" vertical="center"/>
    </xf>
    <xf numFmtId="0" fontId="24" fillId="13" borderId="0" xfId="0" applyFont="1" applyFill="1" applyAlignment="1">
      <alignment horizontal="center" vertical="center"/>
    </xf>
    <xf numFmtId="0" fontId="16" fillId="0" borderId="0" xfId="0" applyFont="1" applyAlignment="1"/>
    <xf numFmtId="0" fontId="40" fillId="0" borderId="0" xfId="0" applyFont="1" applyAlignment="1">
      <alignment horizontal="left" vertical="center"/>
    </xf>
    <xf numFmtId="0" fontId="35" fillId="9" borderId="0" xfId="0" applyFont="1" applyFill="1" applyAlignment="1">
      <alignment horizontal="center" vertical="center"/>
    </xf>
    <xf numFmtId="0" fontId="41" fillId="0" borderId="7" xfId="0" applyFont="1" applyBorder="1" applyAlignment="1"/>
    <xf numFmtId="1" fontId="24" fillId="0" borderId="0" xfId="0" applyNumberFormat="1" applyFont="1" applyAlignment="1">
      <alignment horizontal="center" vertical="center"/>
    </xf>
    <xf numFmtId="0" fontId="24" fillId="0" borderId="0" xfId="0" applyFont="1" applyAlignment="1" applyProtection="1">
      <alignment horizontal="center" vertical="center"/>
      <protection locked="0"/>
    </xf>
    <xf numFmtId="2" fontId="24" fillId="0" borderId="0" xfId="0" applyNumberFormat="1" applyFont="1" applyAlignment="1" applyProtection="1">
      <alignment horizontal="center" vertical="center"/>
      <protection locked="0"/>
    </xf>
    <xf numFmtId="49" fontId="24" fillId="0" borderId="0" xfId="0" applyNumberFormat="1" applyFont="1" applyAlignment="1" applyProtection="1">
      <alignment horizontal="center" vertical="center"/>
      <protection locked="0"/>
    </xf>
    <xf numFmtId="0" fontId="16" fillId="0" borderId="0" xfId="0" applyFont="1" applyAlignment="1" applyProtection="1">
      <alignment horizontal="center" vertical="center"/>
      <protection locked="0"/>
    </xf>
    <xf numFmtId="2" fontId="16" fillId="0" borderId="0" xfId="0" applyNumberFormat="1" applyFont="1" applyAlignment="1" applyProtection="1">
      <alignment horizontal="center" vertical="center"/>
      <protection locked="0"/>
    </xf>
    <xf numFmtId="49" fontId="16" fillId="0" borderId="0" xfId="0" applyNumberFormat="1" applyFont="1" applyAlignment="1" applyProtection="1">
      <alignment horizontal="center" vertical="center"/>
      <protection locked="0"/>
    </xf>
    <xf numFmtId="0" fontId="16" fillId="13" borderId="0" xfId="0" applyFont="1" applyFill="1" applyAlignment="1" applyProtection="1">
      <alignment horizontal="center" vertical="center"/>
      <protection locked="0"/>
    </xf>
    <xf numFmtId="0" fontId="16" fillId="12" borderId="0" xfId="0" applyFont="1" applyFill="1" applyAlignment="1">
      <alignment horizontal="center" vertical="center"/>
    </xf>
    <xf numFmtId="1" fontId="6" fillId="12" borderId="0" xfId="0" applyNumberFormat="1" applyFont="1" applyFill="1" applyAlignment="1">
      <alignment horizontal="center" vertical="center"/>
    </xf>
    <xf numFmtId="0" fontId="30" fillId="12" borderId="0" xfId="0" applyFont="1" applyFill="1" applyAlignment="1">
      <alignment horizontal="center" vertical="center"/>
    </xf>
    <xf numFmtId="1" fontId="6" fillId="15" borderId="0" xfId="0" applyNumberFormat="1" applyFont="1" applyFill="1" applyAlignment="1">
      <alignment horizontal="center" vertical="center"/>
    </xf>
    <xf numFmtId="0" fontId="23" fillId="15" borderId="0" xfId="0" applyFont="1" applyFill="1" applyAlignment="1">
      <alignment horizontal="left" vertical="center"/>
    </xf>
    <xf numFmtId="0" fontId="24" fillId="12" borderId="0" xfId="0" applyFont="1" applyFill="1" applyAlignment="1">
      <alignment horizontal="center" vertical="center"/>
    </xf>
    <xf numFmtId="0" fontId="24" fillId="0" borderId="0" xfId="0" applyFont="1" applyAlignment="1">
      <alignment horizontal="left" vertical="center" wrapText="1"/>
    </xf>
    <xf numFmtId="0" fontId="24" fillId="0" borderId="5" xfId="0" applyFont="1" applyBorder="1" applyAlignment="1" applyProtection="1">
      <alignment horizontal="center" vertical="center"/>
      <protection locked="0"/>
    </xf>
    <xf numFmtId="0" fontId="24" fillId="5" borderId="5" xfId="0" applyFont="1" applyFill="1" applyBorder="1" applyAlignment="1">
      <alignment horizontal="center" vertical="center"/>
    </xf>
    <xf numFmtId="0" fontId="24" fillId="8" borderId="5" xfId="0" applyFont="1" applyFill="1" applyBorder="1" applyAlignment="1">
      <alignment horizontal="center" vertical="center"/>
    </xf>
    <xf numFmtId="0" fontId="24" fillId="10" borderId="5" xfId="0" applyFont="1" applyFill="1" applyBorder="1" applyAlignment="1">
      <alignment horizontal="center" vertical="center"/>
    </xf>
    <xf numFmtId="2" fontId="24" fillId="0" borderId="5" xfId="0" applyNumberFormat="1" applyFont="1" applyBorder="1" applyAlignment="1" applyProtection="1">
      <alignment horizontal="center" vertical="center"/>
      <protection locked="0"/>
    </xf>
    <xf numFmtId="49" fontId="24" fillId="0" borderId="5" xfId="0" applyNumberFormat="1" applyFont="1" applyBorder="1" applyAlignment="1" applyProtection="1">
      <alignment horizontal="center" vertical="center"/>
      <protection locked="0"/>
    </xf>
    <xf numFmtId="2" fontId="24" fillId="0" borderId="6" xfId="0" applyNumberFormat="1" applyFont="1" applyBorder="1" applyAlignment="1">
      <alignment horizontal="center" vertical="center"/>
    </xf>
    <xf numFmtId="1" fontId="0" fillId="15" borderId="5" xfId="0" applyNumberFormat="1" applyFill="1" applyBorder="1" applyAlignment="1">
      <alignment horizontal="center" vertical="center"/>
    </xf>
    <xf numFmtId="177" fontId="24" fillId="0" borderId="5" xfId="0" applyNumberFormat="1" applyFont="1" applyBorder="1" applyAlignment="1">
      <alignment horizontal="center" vertical="center"/>
    </xf>
    <xf numFmtId="0" fontId="24" fillId="0" borderId="5" xfId="0" applyFont="1" applyBorder="1" applyAlignment="1">
      <alignment horizontal="left" vertical="center"/>
    </xf>
    <xf numFmtId="0" fontId="16" fillId="9" borderId="0" xfId="0" applyFont="1" applyFill="1" applyAlignment="1">
      <alignment horizontal="center" vertical="center" wrapText="1"/>
    </xf>
    <xf numFmtId="0" fontId="3" fillId="11" borderId="0" xfId="0" applyFont="1" applyFill="1" applyAlignment="1">
      <alignment horizontal="center" vertical="center"/>
    </xf>
    <xf numFmtId="2" fontId="16" fillId="12" borderId="2" xfId="0" applyNumberFormat="1" applyFont="1" applyFill="1" applyBorder="1" applyAlignment="1">
      <alignment horizontal="center" vertical="center"/>
    </xf>
    <xf numFmtId="0" fontId="43" fillId="0" borderId="0" xfId="0" applyFont="1" applyAlignment="1">
      <alignment horizontal="center" vertical="center"/>
    </xf>
    <xf numFmtId="0" fontId="16" fillId="0" borderId="0" xfId="0" applyFont="1" applyAlignment="1">
      <alignment horizontal="left" vertical="center" wrapText="1"/>
    </xf>
    <xf numFmtId="0" fontId="28" fillId="0" borderId="0" xfId="0" applyFont="1" applyAlignment="1">
      <alignment horizontal="center" vertical="center"/>
    </xf>
    <xf numFmtId="0" fontId="44" fillId="0" borderId="0" xfId="0" applyFont="1" applyAlignment="1">
      <alignment horizontal="center" vertical="center"/>
    </xf>
    <xf numFmtId="0" fontId="44" fillId="0" borderId="0" xfId="0" applyFont="1" applyAlignment="1">
      <alignment horizontal="left" vertical="center"/>
    </xf>
    <xf numFmtId="0" fontId="43" fillId="0" borderId="0" xfId="0" applyFont="1" applyAlignment="1">
      <alignment horizontal="left" vertical="center"/>
    </xf>
    <xf numFmtId="0" fontId="24" fillId="14" borderId="0" xfId="0" applyFont="1" applyFill="1" applyAlignment="1">
      <alignment horizontal="center" vertical="center"/>
    </xf>
    <xf numFmtId="1" fontId="23" fillId="0" borderId="0" xfId="0" applyNumberFormat="1" applyFont="1" applyAlignment="1" applyProtection="1">
      <alignment horizontal="center" vertical="center"/>
      <protection locked="0"/>
    </xf>
    <xf numFmtId="0" fontId="45" fillId="0" borderId="0" xfId="0" applyFont="1" applyAlignment="1">
      <alignment horizontal="left" vertical="center"/>
    </xf>
    <xf numFmtId="0" fontId="24" fillId="7" borderId="0" xfId="0" applyFont="1" applyFill="1" applyAlignment="1" applyProtection="1">
      <alignment horizontal="center" vertical="center"/>
      <protection locked="0"/>
    </xf>
    <xf numFmtId="0" fontId="26" fillId="7" borderId="0" xfId="0" applyFont="1" applyFill="1" applyAlignment="1">
      <alignment horizontal="center" vertical="center"/>
    </xf>
    <xf numFmtId="0" fontId="24" fillId="5" borderId="0" xfId="0" applyFont="1" applyFill="1" applyAlignment="1">
      <alignment horizontal="center" vertical="center" wrapText="1"/>
    </xf>
    <xf numFmtId="0" fontId="47" fillId="0" borderId="0" xfId="0" applyFont="1" applyAlignment="1">
      <alignment horizontal="center" vertical="center"/>
    </xf>
    <xf numFmtId="0" fontId="23" fillId="0" borderId="0" xfId="0" applyFont="1" applyAlignment="1">
      <alignment horizontal="center"/>
    </xf>
    <xf numFmtId="0" fontId="23" fillId="0" borderId="0" xfId="0" applyFont="1" applyAlignment="1">
      <alignment horizontal="left" wrapText="1"/>
    </xf>
    <xf numFmtId="0" fontId="16" fillId="0" borderId="0" xfId="0" applyFont="1" applyAlignment="1">
      <alignment horizontal="left"/>
    </xf>
    <xf numFmtId="0" fontId="24" fillId="9" borderId="0" xfId="0" applyFont="1" applyFill="1" applyAlignment="1">
      <alignment horizontal="center" vertical="center" wrapText="1"/>
    </xf>
    <xf numFmtId="0" fontId="6" fillId="5" borderId="0" xfId="0" applyFont="1" applyFill="1" applyAlignment="1">
      <alignment horizontal="center" vertical="center"/>
    </xf>
    <xf numFmtId="0" fontId="6" fillId="8" borderId="0" xfId="0" applyFont="1" applyFill="1" applyAlignment="1">
      <alignment horizontal="center" vertical="center"/>
    </xf>
    <xf numFmtId="0" fontId="6" fillId="9" borderId="0" xfId="0" applyFont="1" applyFill="1" applyAlignment="1">
      <alignment horizontal="center" vertical="center" wrapText="1"/>
    </xf>
    <xf numFmtId="2" fontId="6" fillId="0" borderId="0" xfId="0" applyNumberFormat="1" applyFont="1" applyAlignment="1">
      <alignment horizontal="center" vertical="center"/>
    </xf>
    <xf numFmtId="2" fontId="6" fillId="0" borderId="2" xfId="0" applyNumberFormat="1" applyFont="1" applyBorder="1" applyAlignment="1">
      <alignment horizontal="center" vertical="center"/>
    </xf>
    <xf numFmtId="176" fontId="6" fillId="9" borderId="0" xfId="0" applyNumberFormat="1" applyFont="1" applyFill="1" applyAlignment="1">
      <alignment horizontal="center" vertical="center"/>
    </xf>
    <xf numFmtId="0" fontId="6" fillId="0" borderId="0" xfId="0" applyFont="1" applyAlignment="1">
      <alignment horizontal="left" vertical="center"/>
    </xf>
    <xf numFmtId="0" fontId="35" fillId="0" borderId="0" xfId="0" applyFont="1" applyAlignment="1" applyProtection="1">
      <alignment horizontal="center" vertical="center"/>
      <protection locked="0"/>
    </xf>
    <xf numFmtId="0" fontId="35" fillId="5" borderId="0" xfId="0" applyFont="1" applyFill="1" applyAlignment="1">
      <alignment horizontal="center" vertical="center" wrapText="1"/>
    </xf>
    <xf numFmtId="0" fontId="35" fillId="0" borderId="0" xfId="0" applyFont="1" applyAlignment="1">
      <alignment horizontal="center" vertical="center" wrapText="1"/>
    </xf>
    <xf numFmtId="0" fontId="35" fillId="8" borderId="0" xfId="0" applyFont="1" applyFill="1" applyAlignment="1">
      <alignment horizontal="center" vertical="center"/>
    </xf>
    <xf numFmtId="0" fontId="35" fillId="10" borderId="0" xfId="0" applyFont="1" applyFill="1" applyAlignment="1">
      <alignment horizontal="center" vertical="center"/>
    </xf>
    <xf numFmtId="2" fontId="35" fillId="0" borderId="0" xfId="0" applyNumberFormat="1" applyFont="1" applyAlignment="1" applyProtection="1">
      <alignment horizontal="center" vertical="center"/>
      <protection locked="0"/>
    </xf>
    <xf numFmtId="1" fontId="35" fillId="0" borderId="0" xfId="0" applyNumberFormat="1" applyFont="1" applyAlignment="1" applyProtection="1">
      <alignment horizontal="center" vertical="center"/>
      <protection locked="0"/>
    </xf>
    <xf numFmtId="49" fontId="35" fillId="0" borderId="0" xfId="0" applyNumberFormat="1" applyFont="1" applyAlignment="1" applyProtection="1">
      <alignment horizontal="center" vertical="center"/>
      <protection locked="0"/>
    </xf>
    <xf numFmtId="2" fontId="35" fillId="0" borderId="2" xfId="0" applyNumberFormat="1" applyFont="1" applyBorder="1" applyAlignment="1">
      <alignment horizontal="center" vertical="center"/>
    </xf>
    <xf numFmtId="0" fontId="35" fillId="9" borderId="2" xfId="0" applyFont="1" applyFill="1" applyBorder="1" applyAlignment="1">
      <alignment horizontal="center" vertical="center"/>
    </xf>
    <xf numFmtId="176" fontId="35" fillId="9" borderId="0" xfId="0" applyNumberFormat="1" applyFont="1" applyFill="1" applyAlignment="1">
      <alignment horizontal="center" vertical="center"/>
    </xf>
    <xf numFmtId="0" fontId="23" fillId="13" borderId="0" xfId="0" applyFont="1" applyFill="1" applyAlignment="1" applyProtection="1">
      <alignment horizontal="center" vertical="center"/>
      <protection locked="0"/>
    </xf>
    <xf numFmtId="1" fontId="35" fillId="9" borderId="0" xfId="0" applyNumberFormat="1" applyFont="1" applyFill="1" applyAlignment="1">
      <alignment horizontal="center" vertical="center"/>
    </xf>
    <xf numFmtId="0" fontId="41" fillId="0" borderId="0" xfId="0" applyFont="1" applyAlignment="1">
      <alignment horizontal="center" vertical="center"/>
    </xf>
    <xf numFmtId="0" fontId="35" fillId="0" borderId="0" xfId="0" applyFont="1" applyAlignment="1">
      <alignment horizontal="left" vertical="center" wrapText="1"/>
    </xf>
    <xf numFmtId="0" fontId="35" fillId="0" borderId="0" xfId="0" applyFont="1" applyAlignment="1">
      <alignment horizontal="left" vertical="center"/>
    </xf>
    <xf numFmtId="0" fontId="23" fillId="0" borderId="0" xfId="0" applyFont="1" applyAlignment="1">
      <alignment horizontal="right" vertical="center"/>
    </xf>
    <xf numFmtId="0" fontId="13" fillId="6" borderId="0" xfId="0" applyFont="1" applyFill="1" applyAlignment="1">
      <alignment horizontal="center" vertical="center"/>
    </xf>
    <xf numFmtId="0" fontId="24" fillId="0" borderId="8" xfId="0" applyFont="1" applyBorder="1" applyAlignment="1">
      <alignment horizontal="center" vertical="center"/>
    </xf>
    <xf numFmtId="0" fontId="24" fillId="9" borderId="8" xfId="0" applyFont="1" applyFill="1" applyBorder="1" applyAlignment="1">
      <alignment horizontal="center" vertical="center"/>
    </xf>
    <xf numFmtId="0" fontId="24" fillId="0" borderId="0" xfId="0" applyFont="1" applyAlignment="1">
      <alignment vertical="center" wrapText="1"/>
    </xf>
    <xf numFmtId="0" fontId="41" fillId="0" borderId="0" xfId="0" applyFont="1" applyAlignment="1"/>
    <xf numFmtId="0" fontId="48" fillId="0" borderId="0" xfId="0" applyFont="1" applyAlignment="1"/>
    <xf numFmtId="0" fontId="49" fillId="0" borderId="0" xfId="0" applyFont="1" applyAlignment="1">
      <alignment horizontal="center" vertical="center"/>
    </xf>
    <xf numFmtId="0" fontId="23" fillId="15" borderId="0" xfId="0" applyFont="1" applyFill="1" applyAlignment="1">
      <alignment horizontal="center" vertical="center"/>
    </xf>
    <xf numFmtId="0" fontId="24" fillId="7" borderId="0" xfId="0" applyFont="1" applyFill="1" applyAlignment="1">
      <alignment horizontal="center" vertical="center"/>
    </xf>
    <xf numFmtId="0" fontId="24" fillId="15" borderId="0" xfId="0" applyFont="1" applyFill="1" applyAlignment="1">
      <alignment horizontal="center" vertical="center"/>
    </xf>
  </cellXfs>
  <cellStyles count="3">
    <cellStyle name="백분율" xfId="1" builtinId="5"/>
    <cellStyle name="표준" xfId="0" builtinId="0"/>
    <cellStyle name="하이퍼링크" xfId="2" builtinId="8"/>
  </cellStyles>
  <dxfs count="14">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E4530-5C50-410D-9222-7F04FFF5C2BF}">
  <dimension ref="A3:CS408"/>
  <sheetViews>
    <sheetView tabSelected="1" topLeftCell="K1" zoomScale="55" zoomScaleNormal="55" workbookViewId="0">
      <selection activeCell="BA24" sqref="BA24"/>
    </sheetView>
  </sheetViews>
  <sheetFormatPr defaultRowHeight="16.5" x14ac:dyDescent="0.3"/>
  <cols>
    <col min="1" max="1" width="8.625" bestFit="1" customWidth="1"/>
    <col min="2" max="2" width="8.875" bestFit="1" customWidth="1"/>
    <col min="3" max="3" width="11.125" bestFit="1" customWidth="1"/>
    <col min="4" max="4" width="36.75" customWidth="1"/>
    <col min="5" max="5" width="8.5" bestFit="1" customWidth="1"/>
    <col min="6" max="7" width="8.625" bestFit="1" customWidth="1"/>
    <col min="8" max="8" width="6.75" bestFit="1" customWidth="1"/>
    <col min="9" max="9" width="3.875" bestFit="1" customWidth="1"/>
    <col min="10" max="10" width="7.625" bestFit="1" customWidth="1"/>
    <col min="11" max="11" width="7" bestFit="1" customWidth="1"/>
    <col min="12" max="12" width="8.375" bestFit="1" customWidth="1"/>
    <col min="13" max="13" width="5.5" bestFit="1" customWidth="1"/>
    <col min="14" max="14" width="6.75" bestFit="1" customWidth="1"/>
    <col min="15" max="15" width="8.875" bestFit="1" customWidth="1"/>
    <col min="16" max="18" width="8.625" bestFit="1" customWidth="1"/>
    <col min="19" max="19" width="8.25" bestFit="1" customWidth="1"/>
    <col min="20" max="23" width="8" bestFit="1" customWidth="1"/>
    <col min="24" max="24" width="9.5" bestFit="1" customWidth="1"/>
    <col min="25" max="27" width="8" bestFit="1" customWidth="1"/>
    <col min="28" max="28" width="9.5" bestFit="1" customWidth="1"/>
    <col min="29" max="29" width="10.125" bestFit="1" customWidth="1"/>
    <col min="30" max="30" width="8.875" bestFit="1" customWidth="1"/>
    <col min="31" max="31" width="11.125" bestFit="1" customWidth="1"/>
    <col min="32" max="32" width="8.875" bestFit="1" customWidth="1"/>
    <col min="33" max="33" width="8" bestFit="1" customWidth="1"/>
    <col min="34" max="35" width="9.875" bestFit="1" customWidth="1"/>
    <col min="36" max="37" width="12.375" bestFit="1" customWidth="1"/>
    <col min="38" max="38" width="8.875" bestFit="1" customWidth="1"/>
    <col min="39" max="39" width="8.625" bestFit="1" customWidth="1"/>
    <col min="40" max="40" width="8.125" bestFit="1" customWidth="1"/>
    <col min="41" max="41" width="8.5" bestFit="1" customWidth="1"/>
    <col min="42" max="44" width="8.875" bestFit="1" customWidth="1"/>
    <col min="45" max="45" width="9.5" bestFit="1" customWidth="1"/>
    <col min="46" max="46" width="8.625" bestFit="1" customWidth="1"/>
    <col min="47" max="47" width="11.375" bestFit="1" customWidth="1"/>
    <col min="48" max="48" width="12.375" bestFit="1" customWidth="1"/>
    <col min="49" max="49" width="7.75" bestFit="1" customWidth="1"/>
    <col min="50" max="50" width="18.25" bestFit="1" customWidth="1"/>
    <col min="51" max="51" width="8.875" bestFit="1" customWidth="1"/>
  </cols>
  <sheetData>
    <row r="3" spans="1:97" s="17" customFormat="1" ht="76.5" customHeight="1" x14ac:dyDescent="0.3">
      <c r="A3" s="1" t="s">
        <v>0</v>
      </c>
      <c r="B3" s="2" t="s">
        <v>1</v>
      </c>
      <c r="C3" s="2" t="s">
        <v>2</v>
      </c>
      <c r="D3" s="2" t="s">
        <v>3</v>
      </c>
      <c r="E3" s="2" t="s">
        <v>4</v>
      </c>
      <c r="F3" s="3" t="s">
        <v>5</v>
      </c>
      <c r="G3" s="2" t="s">
        <v>6</v>
      </c>
      <c r="H3" s="4" t="s">
        <v>7</v>
      </c>
      <c r="I3" s="4" t="s">
        <v>8</v>
      </c>
      <c r="J3" s="1" t="s">
        <v>9</v>
      </c>
      <c r="K3" s="1" t="s">
        <v>10</v>
      </c>
      <c r="L3" s="1" t="s">
        <v>11</v>
      </c>
      <c r="M3" s="5" t="s">
        <v>12</v>
      </c>
      <c r="N3" s="1" t="s">
        <v>13</v>
      </c>
      <c r="O3" s="6" t="s">
        <v>14</v>
      </c>
      <c r="P3" s="1" t="s">
        <v>15</v>
      </c>
      <c r="Q3" s="2" t="s">
        <v>16</v>
      </c>
      <c r="R3" s="1" t="s">
        <v>17</v>
      </c>
      <c r="S3" s="7" t="s">
        <v>18</v>
      </c>
      <c r="T3" s="1" t="s">
        <v>19</v>
      </c>
      <c r="U3" s="8" t="s">
        <v>20</v>
      </c>
      <c r="V3" s="1" t="s">
        <v>21</v>
      </c>
      <c r="W3" s="7" t="s">
        <v>22</v>
      </c>
      <c r="X3" s="7" t="s">
        <v>23</v>
      </c>
      <c r="Y3" s="8" t="s">
        <v>24</v>
      </c>
      <c r="Z3" s="1" t="s">
        <v>25</v>
      </c>
      <c r="AA3" s="7" t="s">
        <v>26</v>
      </c>
      <c r="AB3" s="7" t="s">
        <v>27</v>
      </c>
      <c r="AC3" s="9" t="s">
        <v>28</v>
      </c>
      <c r="AD3" s="7" t="s">
        <v>29</v>
      </c>
      <c r="AE3" s="10" t="s">
        <v>30</v>
      </c>
      <c r="AF3" s="11" t="s">
        <v>31</v>
      </c>
      <c r="AG3" s="10" t="s">
        <v>32</v>
      </c>
      <c r="AH3" s="10" t="s">
        <v>33</v>
      </c>
      <c r="AI3" s="10" t="s">
        <v>34</v>
      </c>
      <c r="AJ3" s="7" t="s">
        <v>35</v>
      </c>
      <c r="AK3" s="7" t="s">
        <v>36</v>
      </c>
      <c r="AL3" s="12" t="s">
        <v>37</v>
      </c>
      <c r="AM3" s="1" t="s">
        <v>38</v>
      </c>
      <c r="AN3" s="7" t="s">
        <v>39</v>
      </c>
      <c r="AO3" s="7" t="s">
        <v>40</v>
      </c>
      <c r="AP3" s="7" t="s">
        <v>41</v>
      </c>
      <c r="AQ3" s="13" t="s">
        <v>42</v>
      </c>
      <c r="AR3" s="13" t="s">
        <v>43</v>
      </c>
      <c r="AS3" s="1" t="s">
        <v>44</v>
      </c>
      <c r="AT3" s="1" t="s">
        <v>45</v>
      </c>
      <c r="AU3" s="14" t="s">
        <v>46</v>
      </c>
      <c r="AV3" s="15" t="s">
        <v>47</v>
      </c>
      <c r="AW3" s="16" t="s">
        <v>48</v>
      </c>
      <c r="AX3" s="16" t="s">
        <v>49</v>
      </c>
      <c r="AY3" s="16" t="s">
        <v>50</v>
      </c>
      <c r="AZ3" s="17" t="s">
        <v>51</v>
      </c>
      <c r="BA3" s="18" t="s">
        <v>52</v>
      </c>
      <c r="BB3" s="18" t="s">
        <v>53</v>
      </c>
      <c r="BC3" s="19" t="s">
        <v>54</v>
      </c>
      <c r="BD3" s="19" t="s">
        <v>55</v>
      </c>
      <c r="BE3" s="19" t="s">
        <v>56</v>
      </c>
      <c r="BF3" s="19" t="s">
        <v>57</v>
      </c>
      <c r="BG3" s="19" t="s">
        <v>58</v>
      </c>
      <c r="BH3" s="19" t="s">
        <v>59</v>
      </c>
      <c r="BI3" s="19" t="s">
        <v>60</v>
      </c>
      <c r="BJ3" s="20" t="s">
        <v>61</v>
      </c>
      <c r="BK3" s="21" t="s">
        <v>62</v>
      </c>
      <c r="BL3" s="21" t="s">
        <v>63</v>
      </c>
      <c r="BM3" s="21" t="s">
        <v>64</v>
      </c>
      <c r="BN3" s="19" t="s">
        <v>65</v>
      </c>
      <c r="BO3" s="21" t="s">
        <v>66</v>
      </c>
      <c r="BP3" s="21" t="s">
        <v>67</v>
      </c>
      <c r="BQ3" s="22" t="s">
        <v>68</v>
      </c>
      <c r="BR3" s="23" t="s">
        <v>69</v>
      </c>
      <c r="BS3" s="24"/>
      <c r="BT3" s="17" t="s">
        <v>70</v>
      </c>
      <c r="BU3" s="17" t="s">
        <v>71</v>
      </c>
      <c r="BV3" s="17" t="s">
        <v>72</v>
      </c>
      <c r="BW3" s="17" t="s">
        <v>73</v>
      </c>
      <c r="BX3" s="17" t="s">
        <v>74</v>
      </c>
      <c r="BY3" s="17" t="s">
        <v>75</v>
      </c>
      <c r="BZ3" s="17" t="s">
        <v>76</v>
      </c>
    </row>
    <row r="4" spans="1:97" s="57" customFormat="1" ht="132" x14ac:dyDescent="0.3">
      <c r="A4" s="25" t="s">
        <v>118</v>
      </c>
      <c r="B4" s="25" t="s">
        <v>119</v>
      </c>
      <c r="C4" s="25" t="s">
        <v>120</v>
      </c>
      <c r="D4" s="25" t="s">
        <v>121</v>
      </c>
      <c r="E4" s="26" t="s">
        <v>77</v>
      </c>
      <c r="F4" s="27" t="s">
        <v>78</v>
      </c>
      <c r="G4" s="25" t="s">
        <v>88</v>
      </c>
      <c r="H4" s="25" t="s">
        <v>79</v>
      </c>
      <c r="I4" s="25" t="s">
        <v>80</v>
      </c>
      <c r="J4" s="29" t="s">
        <v>81</v>
      </c>
      <c r="K4" s="30" t="s">
        <v>82</v>
      </c>
      <c r="L4" s="43" t="s">
        <v>89</v>
      </c>
      <c r="M4" s="25" t="s">
        <v>83</v>
      </c>
      <c r="N4" s="30" t="s">
        <v>84</v>
      </c>
      <c r="O4" s="31">
        <v>0.4</v>
      </c>
      <c r="P4" s="25">
        <v>105</v>
      </c>
      <c r="Q4" s="32">
        <v>25</v>
      </c>
      <c r="R4" s="33">
        <v>14</v>
      </c>
      <c r="S4" s="34">
        <f t="shared" ref="S4:S5" si="0">IF(R4="n/a","N/A",P4-R4)</f>
        <v>91</v>
      </c>
      <c r="T4" s="35">
        <v>0.8</v>
      </c>
      <c r="U4" s="25">
        <v>325</v>
      </c>
      <c r="V4" s="25">
        <v>675</v>
      </c>
      <c r="W4" s="34">
        <f t="shared" ref="W4:W5" si="1">V4-U4</f>
        <v>350</v>
      </c>
      <c r="X4" s="36">
        <f t="shared" ref="X4:X5" si="2">AD4*10-V4</f>
        <v>125</v>
      </c>
      <c r="Y4" s="25"/>
      <c r="Z4" s="25"/>
      <c r="AA4" s="34"/>
      <c r="AB4" s="36"/>
      <c r="AC4" s="34">
        <f t="shared" ref="AC4" si="3">IF(J4="clear","N/A",((Q4-R4)*10))</f>
        <v>110</v>
      </c>
      <c r="AD4" s="34">
        <f t="shared" ref="AD4:AD5" si="4">P4-Q4</f>
        <v>80</v>
      </c>
      <c r="AE4" s="37">
        <f t="shared" ref="AE4:AE5" si="5">T4+(O4/100*AD4)</f>
        <v>1.1200000000000001</v>
      </c>
      <c r="AF4" s="37"/>
      <c r="AG4" s="37">
        <f t="shared" ref="AG4:AG5" si="6">(((T4+(0.5*(AE4-T4)))*AD4)+(AE4*Q4))/P4</f>
        <v>0.99809523809523826</v>
      </c>
      <c r="AH4" s="37">
        <f t="shared" ref="AH4:AH5" si="7">IF(MID(G4,2,2)="10",(AG4/1000*$W$2),(IF(MID(G4,2,2)="11",(AG4/1000*$X$2),(IF(MID(G4,2,2)="12",(AG4/1000*$Y$2),(IF(MID(G4,2,2)="13",(AG4/1000*$Z$2),(IF(MID(G4,2,2)="20",(AG4/1000*$AA$2),(IF(MID(G4,2,2)="21",(AG4/1000*$AB$2),(IF(MID(G4,2,2)="22",(AG4/1000*$AC$2),(IF(MID(G4,2,2)="23",(AG4/1000*$AD$2),(IF(MID(G4,2,2)="50",(AG4/1000*$AE$2),(IF(MID(G4,2,2)="51",(AG4/1000*$AG$2),"?")))))))))))))))))))</f>
        <v>0</v>
      </c>
      <c r="AI4" s="38">
        <f t="shared" ref="AI4:AI5" si="8">IF(MID(G4,2,2)="10",((T4+O4*(6.142)/100)*$W$2),(IF(MID(G4,2,2)="11",((T4+O4*(6.142)/100)*$X$2),(IF(MID(G4,2,2)="12",((T4+O4*(6.142)/100)*$Y$2),(IF(MID(G4,2,2)="13",((T4+O4*(6.142)/100)*$Z$2),(IF(MID(G4,2,2)="20",((T4+O4*(6.142)/100)*$AA$2),(IF(MID(G4,2,2)="21",((T4+O4*(6.142)/100)*$AB$2),(IF(MID(G4,2,2)="22",((T4+O4*(6.142)/100)*$AC$2),(IF(MID(G4,2,2)="23",((T4+O4*(6.142)/100)*$AD$2),(IF(MID(G4,2,2)="50",((T4+O4*(6.142)/100)*$AE$2),(IF(MID(G4,2,2)="51",((T4+O4*(6.142)/100)*$AG$2),"?")))))))))))))))))))</f>
        <v>0</v>
      </c>
      <c r="AJ4" s="39">
        <f t="shared" ref="AJ4:AJ5" si="9">(PI()*((49/2)^2-(16.51/2)^2)/(AE4/10))/100</f>
        <v>149.25509646415895</v>
      </c>
      <c r="AK4" s="38">
        <f t="shared" ref="AK4:AK5" si="10">(PI()*((51/2)^2-(16.545/2)^2)/(AE4/10))/100</f>
        <v>163.19893449177513</v>
      </c>
      <c r="AL4" s="40">
        <f t="shared" ref="AL4:AL5" si="11">(PI()*((70/2)^2-(16.545/2)^2)/(AE4/10))/100</f>
        <v>324.41593249630483</v>
      </c>
      <c r="AM4" s="41">
        <v>150</v>
      </c>
      <c r="AN4" s="39">
        <f>AM4*P4/100</f>
        <v>157.5</v>
      </c>
      <c r="AO4" s="39">
        <f>AN4*AH4</f>
        <v>0</v>
      </c>
      <c r="AP4" s="39">
        <f t="shared" ref="AP4:AP5" si="12">AO4/(Q4/100)</f>
        <v>0</v>
      </c>
      <c r="AQ4" s="42" t="s">
        <v>85</v>
      </c>
      <c r="AR4" s="25" t="s">
        <v>90</v>
      </c>
      <c r="AS4" s="62" t="s">
        <v>91</v>
      </c>
      <c r="AT4" s="44" t="s">
        <v>92</v>
      </c>
      <c r="AU4" s="45" t="s">
        <v>86</v>
      </c>
      <c r="AV4" s="42"/>
      <c r="AW4" s="25" t="s">
        <v>87</v>
      </c>
      <c r="AX4" s="42"/>
      <c r="AY4" s="46">
        <f t="shared" ref="AY4:AY5" si="13">(V4/10)/P4</f>
        <v>0.6428571428571429</v>
      </c>
      <c r="AZ4" s="25"/>
      <c r="BA4" s="47" t="str">
        <f t="shared" ref="BA4:BA5" si="14">LEFT(G4,3)</f>
        <v>W23</v>
      </c>
      <c r="BB4" s="25" t="str">
        <f t="shared" ref="BB4:BB5" si="15">IF(R4="n/a","Clear","S/B")</f>
        <v>S/B</v>
      </c>
      <c r="BC4" s="48">
        <f t="shared" ref="BC4" si="16">IF(Q4="","",((P4/100*O4)+T4))</f>
        <v>1.2200000000000002</v>
      </c>
      <c r="BD4" s="49">
        <f t="shared" ref="BD4" si="17">IF(BC4="","",((PI()*((51/2)^2-(16.545/2)^2)/(BC4/10))/100))</f>
        <v>149.821972648187</v>
      </c>
      <c r="BE4" s="49">
        <f t="shared" ref="BE4" si="18">IF(BC4="","",(BD4-AK4))</f>
        <v>-13.376961843588134</v>
      </c>
      <c r="BF4" s="50">
        <f t="shared" ref="BF4" si="19">IF(BC4="","",(BE4/AK4))</f>
        <v>-8.1967213114754148E-2</v>
      </c>
      <c r="BG4" s="49">
        <f t="shared" ref="BG4" si="20">IF(BF4="","",((PI()*((70/2)^2-(16.545/2)^2)/(BC4/10))/100))</f>
        <v>297.82446261955852</v>
      </c>
      <c r="BH4" s="49">
        <f t="shared" ref="BH4" si="21">IF(BF4="","",(BG4-AL4))</f>
        <v>-26.591469876746316</v>
      </c>
      <c r="BI4" s="50">
        <f t="shared" ref="BI4" si="22">IF(BG4="","",(BH4/AL4))</f>
        <v>-8.1967213114754162E-2</v>
      </c>
      <c r="BJ4" s="51"/>
      <c r="BK4" s="53"/>
      <c r="BL4" s="52"/>
      <c r="BM4" s="53"/>
      <c r="BN4" s="50"/>
      <c r="BO4" s="53"/>
      <c r="BP4" s="53"/>
      <c r="BQ4" s="52"/>
      <c r="BR4" s="56"/>
      <c r="BS4" s="56"/>
      <c r="BT4" s="47">
        <f>P4-V4/10-120/10</f>
        <v>25.5</v>
      </c>
      <c r="BU4" s="63">
        <f>BT4-Q4</f>
        <v>0.5</v>
      </c>
      <c r="BV4" s="64">
        <f>T4+(O4/100*(P4-BT4))</f>
        <v>1.1180000000000001</v>
      </c>
      <c r="BW4" s="65">
        <f>(AE4-BV4)/AE4</f>
        <v>1.7857142857142872E-3</v>
      </c>
      <c r="BX4" s="63">
        <f>(PI()*((51/2)^2-(16.545/2)^2)/(BV4/10))/100</f>
        <v>163.4908824962327</v>
      </c>
      <c r="BY4" s="63">
        <f>BX4-AK4</f>
        <v>0.29194800445756641</v>
      </c>
      <c r="BZ4" s="65">
        <f>BY4/AK4</f>
        <v>1.7889087656530009E-3</v>
      </c>
      <c r="CA4" s="61"/>
      <c r="CB4" s="66"/>
      <c r="CC4" s="66"/>
      <c r="CD4" s="66"/>
      <c r="CE4" s="66"/>
      <c r="CF4" s="66"/>
      <c r="CG4" s="66"/>
      <c r="CH4" s="66"/>
      <c r="CI4" s="66"/>
      <c r="CJ4" s="66"/>
      <c r="CK4" s="66"/>
      <c r="CL4" s="66"/>
      <c r="CM4" s="66"/>
      <c r="CN4" s="66"/>
      <c r="CO4" s="66"/>
      <c r="CP4" s="66"/>
      <c r="CQ4" s="66"/>
      <c r="CR4" s="66"/>
      <c r="CS4" s="66"/>
    </row>
    <row r="5" spans="1:97" s="57" customFormat="1" x14ac:dyDescent="0.3">
      <c r="A5" s="25" t="s">
        <v>118</v>
      </c>
      <c r="B5" s="25" t="s">
        <v>119</v>
      </c>
      <c r="C5" s="25" t="s">
        <v>120</v>
      </c>
      <c r="D5" s="25" t="s">
        <v>121</v>
      </c>
      <c r="E5" s="26" t="s">
        <v>77</v>
      </c>
      <c r="F5" s="27" t="s">
        <v>78</v>
      </c>
      <c r="G5" s="67" t="s">
        <v>93</v>
      </c>
      <c r="H5" s="25" t="s">
        <v>79</v>
      </c>
      <c r="I5" s="25" t="s">
        <v>80</v>
      </c>
      <c r="J5" s="25" t="s">
        <v>94</v>
      </c>
      <c r="K5" s="30" t="s">
        <v>82</v>
      </c>
      <c r="L5" s="25" t="s">
        <v>95</v>
      </c>
      <c r="M5" s="25" t="s">
        <v>83</v>
      </c>
      <c r="N5" s="30" t="s">
        <v>84</v>
      </c>
      <c r="O5" s="31">
        <v>0.17</v>
      </c>
      <c r="P5" s="32">
        <v>119</v>
      </c>
      <c r="Q5" s="32">
        <v>21</v>
      </c>
      <c r="R5" s="28" t="s">
        <v>87</v>
      </c>
      <c r="S5" s="34" t="str">
        <f t="shared" si="0"/>
        <v>N/A</v>
      </c>
      <c r="T5" s="35">
        <v>0.8</v>
      </c>
      <c r="U5" s="25">
        <v>485</v>
      </c>
      <c r="V5" s="25">
        <v>855</v>
      </c>
      <c r="W5" s="34">
        <f t="shared" si="1"/>
        <v>370</v>
      </c>
      <c r="X5" s="36">
        <f t="shared" si="2"/>
        <v>125</v>
      </c>
      <c r="Y5" s="25">
        <v>455</v>
      </c>
      <c r="Z5" s="25">
        <f>V5</f>
        <v>855</v>
      </c>
      <c r="AA5" s="34">
        <f t="shared" ref="AA5" si="23">Z5-Y5</f>
        <v>400</v>
      </c>
      <c r="AB5" s="36">
        <f t="shared" ref="AB5" si="24">AD5*10-Z5</f>
        <v>125</v>
      </c>
      <c r="AC5" s="34" t="str">
        <f>IF(J5="clear","N/A",((Q5-R5)*10))</f>
        <v>N/A</v>
      </c>
      <c r="AD5" s="34">
        <f t="shared" si="4"/>
        <v>98</v>
      </c>
      <c r="AE5" s="37">
        <f t="shared" si="5"/>
        <v>0.96660000000000013</v>
      </c>
      <c r="AF5" s="37"/>
      <c r="AG5" s="37">
        <f t="shared" si="6"/>
        <v>0.89800000000000002</v>
      </c>
      <c r="AH5" s="37">
        <f t="shared" si="7"/>
        <v>0</v>
      </c>
      <c r="AI5" s="38">
        <f t="shared" si="8"/>
        <v>0</v>
      </c>
      <c r="AJ5" s="39">
        <f t="shared" si="9"/>
        <v>172.94196983225535</v>
      </c>
      <c r="AK5" s="38">
        <f t="shared" si="10"/>
        <v>189.09870332173406</v>
      </c>
      <c r="AL5" s="40">
        <f t="shared" si="11"/>
        <v>375.90093564645292</v>
      </c>
      <c r="AM5" s="41">
        <v>189</v>
      </c>
      <c r="AN5" s="39">
        <f t="shared" ref="AN5" si="25">AM5*P5/100</f>
        <v>224.91</v>
      </c>
      <c r="AO5" s="39">
        <f t="shared" ref="AO5" si="26">AN5*AH5</f>
        <v>0</v>
      </c>
      <c r="AP5" s="39">
        <f t="shared" si="12"/>
        <v>0</v>
      </c>
      <c r="AQ5" s="42">
        <v>44501</v>
      </c>
      <c r="AR5" s="42" t="s">
        <v>96</v>
      </c>
      <c r="AS5" s="62" t="s">
        <v>97</v>
      </c>
      <c r="AT5" s="43" t="s">
        <v>98</v>
      </c>
      <c r="AU5" s="49" t="s">
        <v>99</v>
      </c>
      <c r="AV5" s="42"/>
      <c r="AW5" s="25" t="s">
        <v>87</v>
      </c>
      <c r="AX5" s="42"/>
      <c r="AY5" s="46">
        <f t="shared" si="13"/>
        <v>0.71848739495798319</v>
      </c>
      <c r="AZ5" s="25"/>
      <c r="BA5" s="47" t="str">
        <f t="shared" si="14"/>
        <v>W22</v>
      </c>
      <c r="BB5" s="25" t="str">
        <f t="shared" si="15"/>
        <v>Clear</v>
      </c>
      <c r="BC5" s="48">
        <f>IF(Q5="","",((P5/100*O5)+T5))</f>
        <v>1.0023</v>
      </c>
      <c r="BD5" s="49">
        <f>IF(BC5="","",((PI()*((51/2)^2-(16.545/2)^2)/(BC5/10))/100))</f>
        <v>182.36337087776931</v>
      </c>
      <c r="BE5" s="49">
        <f>IF(BC5="","",(BD5-AK5))</f>
        <v>-6.7353324439647508</v>
      </c>
      <c r="BF5" s="50">
        <f>IF(BC5="","",(BE5/AK5))</f>
        <v>-3.5618078419634651E-2</v>
      </c>
      <c r="BG5" s="49">
        <f>IF(BF5="","",((PI()*((70/2)^2-(16.545/2)^2)/(BC5/10))/100))</f>
        <v>362.51206664258353</v>
      </c>
      <c r="BH5" s="49">
        <f>IF(BF5="","",(BG5-AL5))</f>
        <v>-13.388869003869388</v>
      </c>
      <c r="BI5" s="50">
        <f>IF(BG5="","",(BH5/AL5))</f>
        <v>-3.5618078419634623E-2</v>
      </c>
      <c r="BJ5" s="68">
        <v>26.25</v>
      </c>
      <c r="BK5" s="68">
        <v>23.5</v>
      </c>
      <c r="BL5" s="69">
        <f>AH5</f>
        <v>0</v>
      </c>
      <c r="BM5" s="68" t="e">
        <f>BK5/AH5</f>
        <v>#DIV/0!</v>
      </c>
      <c r="BN5" s="68" t="e">
        <f>BK5-BM5</f>
        <v>#DIV/0!</v>
      </c>
      <c r="BO5" s="68"/>
      <c r="BP5" s="70"/>
      <c r="BQ5" s="71"/>
      <c r="BR5" s="71"/>
      <c r="BS5" s="50"/>
      <c r="BT5" s="25"/>
      <c r="BU5" s="72"/>
      <c r="BV5" s="48"/>
      <c r="BW5" s="73"/>
      <c r="BX5" s="72"/>
      <c r="BY5" s="72"/>
      <c r="BZ5" s="73"/>
      <c r="CA5" s="61"/>
      <c r="CB5" s="25"/>
      <c r="CC5" s="25"/>
      <c r="CD5" s="25"/>
      <c r="CE5" s="25"/>
      <c r="CF5" s="25"/>
      <c r="CG5" s="25"/>
      <c r="CH5" s="25"/>
      <c r="CI5" s="25"/>
      <c r="CJ5" s="25"/>
      <c r="CK5" s="25"/>
      <c r="CL5" s="25"/>
      <c r="CM5" s="25"/>
      <c r="CN5" s="25"/>
      <c r="CO5" s="25"/>
      <c r="CP5" s="25"/>
      <c r="CQ5" s="25"/>
      <c r="CR5" s="25"/>
      <c r="CS5" s="25"/>
    </row>
    <row r="6" spans="1:97" s="80" customFormat="1" x14ac:dyDescent="0.3">
      <c r="A6" s="25" t="s">
        <v>118</v>
      </c>
      <c r="B6" s="25" t="s">
        <v>119</v>
      </c>
      <c r="C6" s="25" t="s">
        <v>120</v>
      </c>
      <c r="D6" s="25" t="s">
        <v>121</v>
      </c>
      <c r="E6" s="26" t="s">
        <v>77</v>
      </c>
      <c r="F6" s="27" t="s">
        <v>78</v>
      </c>
      <c r="G6" s="25" t="s">
        <v>100</v>
      </c>
      <c r="H6" s="25" t="s">
        <v>101</v>
      </c>
      <c r="I6" s="25" t="s">
        <v>80</v>
      </c>
      <c r="J6" s="25" t="s">
        <v>94</v>
      </c>
      <c r="K6" s="30" t="s">
        <v>82</v>
      </c>
      <c r="L6" s="25" t="s">
        <v>102</v>
      </c>
      <c r="M6" s="25" t="s">
        <v>83</v>
      </c>
      <c r="N6" s="74" t="s">
        <v>103</v>
      </c>
      <c r="O6" s="61">
        <v>0.64</v>
      </c>
      <c r="P6" s="32">
        <v>130</v>
      </c>
      <c r="Q6" s="25">
        <v>30</v>
      </c>
      <c r="R6" s="25" t="s">
        <v>87</v>
      </c>
      <c r="S6" s="34" t="str">
        <f>IF(R6="n/a","N/A",P6-R6)</f>
        <v>N/A</v>
      </c>
      <c r="T6" s="35">
        <v>0.8</v>
      </c>
      <c r="U6" s="25" t="s">
        <v>87</v>
      </c>
      <c r="V6" s="25" t="s">
        <v>87</v>
      </c>
      <c r="W6" s="34" t="s">
        <v>87</v>
      </c>
      <c r="X6" s="36" t="s">
        <v>87</v>
      </c>
      <c r="Y6" s="25" t="str">
        <f>U6</f>
        <v>N/A</v>
      </c>
      <c r="Z6" s="25" t="str">
        <f>V6</f>
        <v>N/A</v>
      </c>
      <c r="AA6" s="34" t="s">
        <v>87</v>
      </c>
      <c r="AB6" s="36" t="s">
        <v>87</v>
      </c>
      <c r="AC6" s="34" t="str">
        <f>IF(J6="clear","N/A",((Q6-R6)*10))</f>
        <v>N/A</v>
      </c>
      <c r="AD6" s="34">
        <f>P6-Q6</f>
        <v>100</v>
      </c>
      <c r="AE6" s="37">
        <f>T6+(O6/100*AD6)</f>
        <v>1.44</v>
      </c>
      <c r="AF6" s="75"/>
      <c r="AG6" s="37">
        <f>(((T6+(0.5*(AE6-T6)))*AD6)+(AE6*Q6))/P6</f>
        <v>1.193846153846154</v>
      </c>
      <c r="AH6" s="37">
        <f>IF(MID(G6,2,2)="10",(AG6/1000*$W$2),(IF(MID(G6,2,2)="11",(AG6/1000*$X$2),(IF(MID(G6,2,2)="12",(AG6/1000*$Y$2),(IF(MID(G6,2,2)="13",(AG6/1000*$Z$2),(IF(MID(G6,2,2)="20",(AG6/1000*$AA$2),(IF(MID(G6,2,2)="21",(AG6/1000*$AB$2),(IF(MID(G6,2,2)="22",(AG6/1000*$AC$2),(IF(MID(G6,2,2)="23",(AG6/1000*$AD$2),(IF(MID(G6,2,2)="50",(AG6/1000*$AE$2),(IF(MID(G6,2,2)="51",(AG6/1000*$AG$2),"?")))))))))))))))))))</f>
        <v>0</v>
      </c>
      <c r="AI6" s="38">
        <f>IF(MID(G6,2,2)="10",((T6+O6*(6.142)/100)*$W$2),(IF(MID(G6,2,2)="11",((T6+O6*(6.142)/100)*$X$2),(IF(MID(G6,2,2)="12",((T6+O6*(6.142)/100)*$Y$2),(IF(MID(G6,2,2)="13",((T6+O6*(6.142)/100)*$Z$2),(IF(MID(G6,2,2)="20",((T6+O6*(6.142)/100)*$AA$2),(IF(MID(G6,2,2)="21",((T6+O6*(6.142)/100)*$AB$2),(IF(MID(G6,2,2)="22",((T6+O6*(6.142)/100)*$AC$2),(IF(MID(G6,2,2)="23",((T6+O6*(6.142)/100)*$AD$2),(IF(MID(G6,2,2)="50",((T6+O6*(6.142)/100)*$AE$2),(IF(MID(G6,2,2)="51",((T6+O6*(6.142)/100)*$AG$2),"?")))))))))))))))))))</f>
        <v>0</v>
      </c>
      <c r="AJ6" s="39">
        <f>(PI()*((49/2)^2-(16.51/2)^2)/(AE6/10))/100</f>
        <v>116.08729724990143</v>
      </c>
      <c r="AK6" s="38">
        <f>(PI()*((51/2)^2-(16.545/2)^2)/(AE6/10))/100</f>
        <v>126.93250460471401</v>
      </c>
      <c r="AL6" s="40">
        <f>(PI()*((70/2)^2-(16.545/2)^2)/(AE6/10))/100</f>
        <v>252.32350305268159</v>
      </c>
      <c r="AM6" s="41">
        <v>125</v>
      </c>
      <c r="AN6" s="39">
        <f>AM6*P6/100</f>
        <v>162.5</v>
      </c>
      <c r="AO6" s="39">
        <f>AN6*AH6</f>
        <v>0</v>
      </c>
      <c r="AP6" s="39">
        <f>AO6/(Q6/100)</f>
        <v>0</v>
      </c>
      <c r="AQ6" s="76">
        <v>44409</v>
      </c>
      <c r="AR6" s="25" t="s">
        <v>104</v>
      </c>
      <c r="AS6" s="77" t="s">
        <v>105</v>
      </c>
      <c r="AT6" s="78" t="s">
        <v>106</v>
      </c>
      <c r="AU6" s="79"/>
      <c r="AV6" s="76"/>
      <c r="AW6" s="25" t="s">
        <v>87</v>
      </c>
      <c r="AX6" s="42">
        <v>44409</v>
      </c>
      <c r="AY6" s="50"/>
      <c r="AZ6" s="25" t="s">
        <v>107</v>
      </c>
      <c r="BA6" s="25" t="str">
        <f>LEFT(G6,3)</f>
        <v>W22</v>
      </c>
      <c r="BB6" s="25" t="str">
        <f>IF(R6="n/a","Clear","S/B")</f>
        <v>Clear</v>
      </c>
      <c r="BC6" s="48">
        <f>IF(Q6="","",((P6/100*O6)+T6))</f>
        <v>1.6320000000000001</v>
      </c>
      <c r="BD6" s="49">
        <f>IF(BC6="","",((PI()*((51/2)^2-(16.545/2)^2)/(BC6/10))/100))</f>
        <v>111.99926876886529</v>
      </c>
      <c r="BE6" s="49">
        <f>IF(BC6="","",(BD6-AK6))</f>
        <v>-14.93323583584872</v>
      </c>
      <c r="BF6" s="50">
        <f>IF(BC6="","",(BE6/AK6))</f>
        <v>-0.11764705882352951</v>
      </c>
      <c r="BG6" s="49">
        <f>IF(BF6="","",((PI()*((70/2)^2-(16.545/2)^2)/(BC6/10))/100))</f>
        <v>222.63838504648371</v>
      </c>
      <c r="BH6" s="49">
        <f>IF(BF6="","",(BG6-AL6))</f>
        <v>-29.685118006197882</v>
      </c>
      <c r="BI6" s="50">
        <f>IF(BG6="","",(BH6/AL6))</f>
        <v>-0.1176470588235296</v>
      </c>
      <c r="BJ6" s="68">
        <v>22</v>
      </c>
      <c r="BK6" s="68"/>
      <c r="BL6" s="69"/>
      <c r="BM6" s="68"/>
      <c r="BN6" s="68"/>
      <c r="BO6" s="70"/>
      <c r="BP6" s="70"/>
      <c r="BQ6" s="50"/>
      <c r="BR6" s="50"/>
      <c r="BS6" s="50"/>
      <c r="BT6" s="25"/>
      <c r="BU6" s="25"/>
      <c r="BV6" s="25"/>
      <c r="BW6" s="25"/>
      <c r="BX6" s="25"/>
      <c r="BY6" s="25"/>
      <c r="BZ6" s="25"/>
      <c r="CA6" s="25"/>
      <c r="CB6" s="25"/>
      <c r="CC6" s="25"/>
      <c r="CD6" s="25"/>
      <c r="CE6" s="25"/>
      <c r="CF6" s="25"/>
      <c r="CG6" s="25"/>
      <c r="CH6" s="25"/>
      <c r="CI6" s="25"/>
      <c r="CJ6" s="25"/>
      <c r="CK6" s="25"/>
      <c r="CL6" s="25"/>
      <c r="CM6" s="25"/>
      <c r="CN6" s="25"/>
      <c r="CO6" s="25"/>
      <c r="CP6" s="25"/>
      <c r="CQ6" s="25"/>
      <c r="CR6" s="25"/>
      <c r="CS6" s="25"/>
    </row>
    <row r="7" spans="1:97" s="25" customFormat="1" x14ac:dyDescent="0.3">
      <c r="A7" s="25" t="s">
        <v>118</v>
      </c>
      <c r="B7" s="25" t="s">
        <v>119</v>
      </c>
      <c r="C7" s="25" t="s">
        <v>120</v>
      </c>
      <c r="D7" s="25" t="s">
        <v>121</v>
      </c>
      <c r="E7" s="26" t="s">
        <v>77</v>
      </c>
      <c r="F7" s="27" t="s">
        <v>78</v>
      </c>
      <c r="G7" s="25" t="s">
        <v>108</v>
      </c>
      <c r="H7" s="25" t="s">
        <v>79</v>
      </c>
      <c r="I7" s="25" t="s">
        <v>80</v>
      </c>
      <c r="J7" s="25" t="s">
        <v>94</v>
      </c>
      <c r="K7" s="30" t="s">
        <v>82</v>
      </c>
      <c r="L7" s="25" t="s">
        <v>109</v>
      </c>
      <c r="M7" s="25" t="s">
        <v>83</v>
      </c>
      <c r="N7" s="74" t="s">
        <v>103</v>
      </c>
      <c r="O7" s="61">
        <v>0.64</v>
      </c>
      <c r="P7" s="25">
        <v>96</v>
      </c>
      <c r="Q7" s="25">
        <v>30</v>
      </c>
      <c r="R7" s="25" t="s">
        <v>87</v>
      </c>
      <c r="S7" s="34" t="str">
        <f>IF(R7="n/a","N/A",P7-R7)</f>
        <v>N/A</v>
      </c>
      <c r="T7" s="35">
        <v>0.8</v>
      </c>
      <c r="U7" s="25">
        <v>262</v>
      </c>
      <c r="V7" s="25">
        <v>502</v>
      </c>
      <c r="W7" s="34">
        <f>V7-U7</f>
        <v>240</v>
      </c>
      <c r="X7" s="36">
        <f>AD7*10-V7</f>
        <v>158</v>
      </c>
      <c r="Y7" s="25">
        <v>120</v>
      </c>
      <c r="Z7" s="25">
        <v>580</v>
      </c>
      <c r="AA7" s="34">
        <f>Z7-Y7</f>
        <v>460</v>
      </c>
      <c r="AB7" s="36">
        <f>AD7*10-Z7</f>
        <v>80</v>
      </c>
      <c r="AC7" s="34" t="s">
        <v>87</v>
      </c>
      <c r="AD7" s="34">
        <f>P7-Q7</f>
        <v>66</v>
      </c>
      <c r="AE7" s="37">
        <f>T7+(O7/100*AD7)</f>
        <v>1.2223999999999999</v>
      </c>
      <c r="AF7" s="37"/>
      <c r="AG7" s="37">
        <f>(((T7+(0.5*(AE7-T7)))*AD7)+(AE7*Q7))/P7</f>
        <v>1.0772000000000002</v>
      </c>
      <c r="AH7" s="37">
        <f>IF(MID(G7,2,2)="10",(AG7/1000*$W$2),(IF(MID(G7,2,2)="11",(AG7/1000*$X$2),(IF(MID(G7,2,2)="12",(AG7/1000*$Y$2),(IF(MID(G7,2,2)="13",(AG7/1000*$Z$2),(IF(MID(G7,2,2)="20",(AG7/1000*$AA$2),(IF(MID(G7,2,2)="21",(AG7/1000*$AB$2),(IF(MID(G7,2,2)="22",(AG7/1000*$AC$2),(IF(MID(G7,2,2)="23",(AG7/1000*$AD$2),(IF(MID(G7,2,2)="50",(AG7/1000*$AE$2),(IF(MID(G7,2,2)="51",(AG7/1000*$AG$2),"?")))))))))))))))))))</f>
        <v>0</v>
      </c>
      <c r="AI7" s="38">
        <f>IF(MID(G7,2,2)="10",((T7+O7*(6.142)/100)*$W$2),(IF(MID(G7,2,2)="11",((T7+O7*(6.142)/100)*$X$2),(IF(MID(G7,2,2)="12",((T7+O7*(6.142)/100)*$Y$2),(IF(MID(G7,2,2)="13",((T7+O7*(6.142)/100)*$Z$2),(IF(MID(G7,2,2)="20",((T7+O7*(6.142)/100)*$AA$2),(IF(MID(G7,2,2)="21",((T7+O7*(6.142)/100)*$AB$2),(IF(MID(G7,2,2)="22",((T7+O7*(6.142)/100)*$AC$2),(IF(MID(G7,2,2)="23",((T7+O7*(6.142)/100)*$AD$2),(IF(MID(G7,2,2)="50",((T7+O7*(6.142)/100)*$AE$2),(IF(MID(G7,2,2)="51",((T7+O7*(6.142)/100)*$AG$2),"?")))))))))))))))))))</f>
        <v>0</v>
      </c>
      <c r="AJ7" s="39">
        <f>(PI()*((49/2)^2-(16.51/2)^2)/(AE7/10))/100</f>
        <v>136.75205173417709</v>
      </c>
      <c r="AK7" s="38">
        <f>(PI()*((51/2)^2-(16.545/2)^2)/(AE7/10))/100</f>
        <v>149.52781956052698</v>
      </c>
      <c r="AL7" s="40">
        <f>(PI()*((70/2)^2-(16.545/2)^2)/(AE7/10))/100</f>
        <v>297.23972872698096</v>
      </c>
      <c r="AM7" s="41">
        <v>150</v>
      </c>
      <c r="AN7" s="39">
        <f>AM7*P7/100</f>
        <v>144</v>
      </c>
      <c r="AO7" s="39">
        <f>AN7*AH7</f>
        <v>0</v>
      </c>
      <c r="AP7" s="39">
        <f>AO7/(Q7/100)</f>
        <v>0</v>
      </c>
      <c r="AQ7" s="42">
        <v>44927</v>
      </c>
      <c r="AR7" s="25" t="s">
        <v>110</v>
      </c>
      <c r="AS7" s="81" t="s">
        <v>111</v>
      </c>
      <c r="AT7" s="43" t="s">
        <v>112</v>
      </c>
      <c r="AU7" s="49"/>
      <c r="AV7" s="42"/>
      <c r="AW7" s="25" t="s">
        <v>87</v>
      </c>
      <c r="AX7" s="42"/>
      <c r="AY7" s="46">
        <f>(V7/10)/P7</f>
        <v>0.5229166666666667</v>
      </c>
      <c r="BA7" s="47" t="str">
        <f>LEFT(G7,3)</f>
        <v>W22</v>
      </c>
      <c r="BB7" s="25" t="str">
        <f>IF(R7="n/a","Clear","S/B")</f>
        <v>Clear</v>
      </c>
      <c r="BC7" s="48">
        <f>IF(Q7="","",((P7/100*O7)+T7))</f>
        <v>1.4144000000000001</v>
      </c>
      <c r="BD7" s="49">
        <f>IF(BC7="","",((PI()*((51/2)^2-(16.545/2)^2)/(BC7/10))/100))</f>
        <v>129.22992550253687</v>
      </c>
      <c r="BE7" s="49">
        <f>IF(BC7="","",(BD7-AK7))</f>
        <v>-20.297894057990106</v>
      </c>
      <c r="BF7" s="50">
        <f>IF(BC7="","",(BE7/AK7))</f>
        <v>-0.13574660633484176</v>
      </c>
      <c r="BG7" s="49">
        <f>IF(BF7="","",((PI()*((70/2)^2-(16.545/2)^2)/(BC7/10))/100))</f>
        <v>256.89044428440428</v>
      </c>
      <c r="BH7" s="49">
        <f>IF(BF7="","",(BG7-AL7))</f>
        <v>-40.349284442576675</v>
      </c>
      <c r="BI7" s="50">
        <f>IF(BG7="","",(BH7/AL7))</f>
        <v>-0.13574660633484187</v>
      </c>
      <c r="BJ7" s="68"/>
      <c r="BK7" s="82"/>
      <c r="BL7" s="83"/>
      <c r="BM7" s="82"/>
      <c r="BN7" s="68"/>
      <c r="BO7" s="68"/>
      <c r="BP7" s="82"/>
      <c r="BQ7" s="54"/>
      <c r="BR7" s="55"/>
      <c r="BS7" s="56"/>
      <c r="BT7" s="57"/>
      <c r="BU7" s="58"/>
      <c r="BV7" s="59"/>
      <c r="BW7" s="60"/>
      <c r="BX7" s="58"/>
      <c r="BY7" s="58"/>
      <c r="BZ7" s="60"/>
      <c r="CA7" s="61"/>
      <c r="CB7" s="57"/>
      <c r="CC7" s="57"/>
      <c r="CD7" s="57"/>
      <c r="CE7" s="57"/>
      <c r="CF7" s="57"/>
      <c r="CG7" s="57"/>
      <c r="CH7" s="57"/>
      <c r="CI7" s="57"/>
      <c r="CJ7" s="57"/>
      <c r="CK7" s="57"/>
      <c r="CL7" s="57"/>
      <c r="CM7" s="57"/>
      <c r="CN7" s="57"/>
      <c r="CO7" s="57"/>
      <c r="CP7" s="57"/>
      <c r="CQ7" s="57"/>
      <c r="CR7" s="57"/>
      <c r="CS7" s="57"/>
    </row>
    <row r="8" spans="1:97" s="25" customFormat="1" x14ac:dyDescent="0.3">
      <c r="A8" s="25" t="s">
        <v>118</v>
      </c>
      <c r="B8" s="25" t="s">
        <v>119</v>
      </c>
      <c r="C8" s="25" t="s">
        <v>120</v>
      </c>
      <c r="D8" s="25" t="s">
        <v>121</v>
      </c>
      <c r="E8" s="26" t="s">
        <v>77</v>
      </c>
      <c r="F8" s="27" t="s">
        <v>78</v>
      </c>
      <c r="G8" s="25" t="s">
        <v>113</v>
      </c>
      <c r="H8" s="25" t="s">
        <v>101</v>
      </c>
      <c r="I8" s="25" t="s">
        <v>80</v>
      </c>
      <c r="J8" s="25" t="s">
        <v>94</v>
      </c>
      <c r="K8" s="30" t="s">
        <v>82</v>
      </c>
      <c r="L8" s="25" t="s">
        <v>114</v>
      </c>
      <c r="M8" s="25" t="s">
        <v>83</v>
      </c>
      <c r="N8" s="74" t="s">
        <v>103</v>
      </c>
      <c r="O8" s="61">
        <v>0.64</v>
      </c>
      <c r="P8" s="25">
        <v>110</v>
      </c>
      <c r="Q8" s="25">
        <v>30</v>
      </c>
      <c r="R8" s="25" t="s">
        <v>87</v>
      </c>
      <c r="S8" s="84" t="str">
        <f>IF(R8="n/a","N/A",P8-R8)</f>
        <v>N/A</v>
      </c>
      <c r="T8" s="35">
        <v>0.8</v>
      </c>
      <c r="U8" s="25">
        <v>200</v>
      </c>
      <c r="V8" s="25">
        <v>600</v>
      </c>
      <c r="W8" s="34">
        <f>V8-U8</f>
        <v>400</v>
      </c>
      <c r="X8" s="36">
        <f>AD8*10-V8</f>
        <v>200</v>
      </c>
      <c r="Y8" s="25">
        <v>150</v>
      </c>
      <c r="Z8" s="25">
        <v>600</v>
      </c>
      <c r="AA8" s="34">
        <f>Z8-Y8</f>
        <v>450</v>
      </c>
      <c r="AB8" s="36">
        <f>AD8*10-Z8</f>
        <v>200</v>
      </c>
      <c r="AC8" s="34" t="str">
        <f>IF(J8="clear","N/A",((Q8-R8)*10))</f>
        <v>N/A</v>
      </c>
      <c r="AD8" s="34">
        <f>P8-Q8</f>
        <v>80</v>
      </c>
      <c r="AE8" s="37">
        <f>T8+(O8/100*AD8)</f>
        <v>1.3120000000000001</v>
      </c>
      <c r="AF8" s="37"/>
      <c r="AG8" s="37">
        <f>(((T8+(0.5*(AE8-T8)))*AD8)+(AE8*Q8))/P8</f>
        <v>1.1258181818181818</v>
      </c>
      <c r="AH8" s="37">
        <f>IF(MID(G8,2,2)="10",(AG8/1000*$W$2),(IF(MID(G8,2,2)="11",(AG8/1000*$X$2),(IF(MID(G8,2,2)="12",(AG8/1000*$Y$2),(IF(MID(G8,2,2)="13",(AG8/1000*$Z$2),(IF(MID(G8,2,2)="20",(AG8/1000*$AA$2),(IF(MID(G8,2,2)="21",(AG8/1000*$AB$2),(IF(MID(G8,2,2)="22",(AG8/1000*$AC$2),(IF(MID(G8,2,2)="23",(AG8/1000*$AD$2),(IF(MID(G8,2,2)="50",(AG8/1000*$AE$2),(IF(MID(G8,2,2)="51",(AG8/1000*$AG$2),"?")))))))))))))))))))</f>
        <v>0</v>
      </c>
      <c r="AI8" s="38">
        <f>IF(MID(G8,2,2)="10",((T8+O8*(6.142)/100)*$W$2),(IF(MID(G8,2,2)="11",((T8+O8*(6.142)/100)*$X$2),(IF(MID(G8,2,2)="12",((T8+O8*(6.142)/100)*$Y$2),(IF(MID(G8,2,2)="13",((T8+O8*(6.142)/100)*$Z$2),(IF(MID(G8,2,2)="20",((T8+O8*(6.142)/100)*$AA$2),(IF(MID(G8,2,2)="21",((T8+O8*(6.142)/100)*$AB$2),(IF(MID(G8,2,2)="22",((T8+O8*(6.142)/100)*$AC$2),(IF(MID(G8,2,2)="23",((T8+O8*(6.142)/100)*$AD$2),(IF(MID(G8,2,2)="50",((T8+O8*(6.142)/100)*$AE$2),(IF(MID(G8,2,2)="51",((T8+O8*(6.142)/100)*$AG$2),"?")))))))))))))))))))</f>
        <v>0</v>
      </c>
      <c r="AJ8" s="39">
        <f>(PI()*((49/2)^2-(16.51/2)^2)/(AE8/10))/100</f>
        <v>127.41288722550155</v>
      </c>
      <c r="AK8" s="38">
        <f>(PI()*((51/2)^2-(16.545/2)^2)/(AE8/10))/100</f>
        <v>139.31616359053976</v>
      </c>
      <c r="AL8" s="40">
        <f>(PI()*((70/2)^2-(16.545/2)^2)/(AE8/10))/100</f>
        <v>276.94043017977242</v>
      </c>
      <c r="AM8" s="41">
        <v>120</v>
      </c>
      <c r="AN8" s="39">
        <f>AM8*P8/100</f>
        <v>132</v>
      </c>
      <c r="AO8" s="39">
        <f>AN8*AH8</f>
        <v>0</v>
      </c>
      <c r="AP8" s="39">
        <f>AO8/(Q8/100)</f>
        <v>0</v>
      </c>
      <c r="AQ8" s="42">
        <v>44927</v>
      </c>
      <c r="AR8" s="25" t="s">
        <v>115</v>
      </c>
      <c r="AS8" s="62" t="s">
        <v>116</v>
      </c>
      <c r="AT8" s="43" t="s">
        <v>117</v>
      </c>
      <c r="AU8" s="49"/>
      <c r="AV8" s="42"/>
      <c r="AW8" s="25" t="s">
        <v>87</v>
      </c>
      <c r="AX8" s="42"/>
      <c r="AY8" s="46">
        <f>(V8/10)/P8</f>
        <v>0.54545454545454541</v>
      </c>
      <c r="BA8" s="47" t="str">
        <f>LEFT(G8,3)</f>
        <v>W22</v>
      </c>
      <c r="BB8" s="25" t="str">
        <f>IF(R8="n/a","Clear","S/B")</f>
        <v>Clear</v>
      </c>
      <c r="BC8" s="48">
        <f>IF(Q8="","",((P8/100*O8)+T8))</f>
        <v>1.504</v>
      </c>
      <c r="BD8" s="49">
        <f>IF(BC8="","",((PI()*((51/2)^2-(16.545/2)^2)/(BC8/10))/100))</f>
        <v>121.53112143004532</v>
      </c>
      <c r="BE8" s="49">
        <f>IF(BC8="","",(BD8-AK8))</f>
        <v>-17.785042160494442</v>
      </c>
      <c r="BF8" s="50">
        <f>IF(BC8="","",(BE8/AK8))</f>
        <v>-0.12765957446808512</v>
      </c>
      <c r="BG8" s="49">
        <f>IF(BF8="","",((PI()*((70/2)^2-(16.545/2)^2)/(BC8/10))/100))</f>
        <v>241.58633271001426</v>
      </c>
      <c r="BH8" s="49">
        <f>IF(BF8="","",(BG8-AL8))</f>
        <v>-35.354097469758159</v>
      </c>
      <c r="BI8" s="50">
        <f>IF(BG8="","",(BH8/AL8))</f>
        <v>-0.12765957446808501</v>
      </c>
      <c r="BJ8" s="68"/>
      <c r="BK8" s="70"/>
      <c r="BL8" s="69"/>
      <c r="BM8" s="70"/>
      <c r="BN8" s="50"/>
      <c r="BO8" s="70"/>
      <c r="BP8" s="70"/>
      <c r="BQ8" s="71"/>
      <c r="BR8" s="71"/>
      <c r="BS8" s="50"/>
      <c r="BU8" s="72"/>
      <c r="BV8" s="48"/>
      <c r="BW8" s="73"/>
      <c r="BX8" s="72"/>
      <c r="BY8" s="72"/>
      <c r="BZ8" s="73"/>
      <c r="CA8" s="61"/>
    </row>
    <row r="9" spans="1:97" x14ac:dyDescent="0.3">
      <c r="A9" s="25" t="s">
        <v>1509</v>
      </c>
      <c r="B9" s="25" t="s">
        <v>119</v>
      </c>
      <c r="C9" s="25" t="s">
        <v>120</v>
      </c>
      <c r="D9" s="25" t="s">
        <v>121</v>
      </c>
      <c r="E9" s="86" t="s">
        <v>77</v>
      </c>
      <c r="F9" s="47" t="s">
        <v>122</v>
      </c>
      <c r="G9" s="47" t="s">
        <v>123</v>
      </c>
      <c r="H9" s="47" t="s">
        <v>101</v>
      </c>
      <c r="I9" s="47" t="s">
        <v>124</v>
      </c>
      <c r="J9" s="47" t="s">
        <v>94</v>
      </c>
      <c r="K9" s="87" t="s">
        <v>82</v>
      </c>
      <c r="L9" s="88" t="s">
        <v>125</v>
      </c>
      <c r="M9" s="47" t="s">
        <v>83</v>
      </c>
      <c r="N9" s="89" t="s">
        <v>103</v>
      </c>
      <c r="O9" s="90">
        <v>0.27</v>
      </c>
      <c r="P9" s="47">
        <v>109</v>
      </c>
      <c r="Q9" s="91">
        <v>30</v>
      </c>
      <c r="R9" s="47" t="s">
        <v>87</v>
      </c>
      <c r="S9" s="84" t="s">
        <v>87</v>
      </c>
      <c r="T9" s="92">
        <v>0.8</v>
      </c>
      <c r="U9" s="47">
        <v>150</v>
      </c>
      <c r="V9" s="47">
        <v>450</v>
      </c>
      <c r="W9" s="84">
        <v>300</v>
      </c>
      <c r="X9" s="93">
        <v>340</v>
      </c>
      <c r="Y9" s="47">
        <v>100</v>
      </c>
      <c r="Z9" s="47">
        <v>500</v>
      </c>
      <c r="AA9" s="84">
        <v>400</v>
      </c>
      <c r="AB9" s="93">
        <v>290</v>
      </c>
      <c r="AC9" s="84" t="s">
        <v>87</v>
      </c>
      <c r="AD9" s="94">
        <v>79</v>
      </c>
      <c r="AE9" s="95">
        <v>1.0133000000000001</v>
      </c>
      <c r="AF9" s="95">
        <v>0.93600321100917439</v>
      </c>
      <c r="AG9" s="75">
        <v>0.99216340366972477</v>
      </c>
      <c r="AH9" s="97">
        <v>865.57840400000009</v>
      </c>
      <c r="AI9" s="39">
        <v>164.97158594676603</v>
      </c>
      <c r="AJ9" s="97">
        <v>180.38370337588884</v>
      </c>
      <c r="AK9" s="40">
        <v>358.57677331082749</v>
      </c>
      <c r="AL9" s="98">
        <v>120</v>
      </c>
      <c r="AM9" s="39">
        <v>130.80000000000001</v>
      </c>
      <c r="AN9" s="39">
        <v>129.77497320000001</v>
      </c>
      <c r="AO9" s="39">
        <v>432.58324400000004</v>
      </c>
      <c r="AP9" s="99" t="s">
        <v>128</v>
      </c>
      <c r="AQ9" s="100" t="s">
        <v>129</v>
      </c>
      <c r="AR9" s="88"/>
    </row>
    <row r="10" spans="1:97" x14ac:dyDescent="0.3">
      <c r="A10" s="25" t="s">
        <v>1509</v>
      </c>
      <c r="B10" s="25" t="s">
        <v>119</v>
      </c>
      <c r="C10" s="25" t="s">
        <v>120</v>
      </c>
      <c r="D10" s="25" t="s">
        <v>121</v>
      </c>
      <c r="E10" s="86" t="s">
        <v>77</v>
      </c>
      <c r="F10" s="47" t="s">
        <v>122</v>
      </c>
      <c r="G10" s="47" t="s">
        <v>126</v>
      </c>
      <c r="H10" s="47" t="s">
        <v>101</v>
      </c>
      <c r="I10" s="47" t="s">
        <v>124</v>
      </c>
      <c r="J10" s="47" t="s">
        <v>94</v>
      </c>
      <c r="K10" s="87" t="s">
        <v>82</v>
      </c>
      <c r="L10" s="88"/>
      <c r="M10" s="47" t="s">
        <v>83</v>
      </c>
      <c r="N10" s="89" t="s">
        <v>103</v>
      </c>
      <c r="O10" s="90">
        <v>0.51</v>
      </c>
      <c r="P10" s="47">
        <v>109</v>
      </c>
      <c r="Q10" s="96">
        <v>20</v>
      </c>
      <c r="R10" s="47" t="s">
        <v>87</v>
      </c>
      <c r="S10" s="84" t="s">
        <v>87</v>
      </c>
      <c r="T10" s="92">
        <v>0.8</v>
      </c>
      <c r="U10" s="47">
        <v>170</v>
      </c>
      <c r="V10" s="47">
        <v>500</v>
      </c>
      <c r="W10" s="84">
        <v>330</v>
      </c>
      <c r="X10" s="93">
        <v>390</v>
      </c>
      <c r="Y10" s="47">
        <v>170</v>
      </c>
      <c r="Z10" s="47">
        <v>570</v>
      </c>
      <c r="AA10" s="84">
        <v>400</v>
      </c>
      <c r="AB10" s="93">
        <v>320</v>
      </c>
      <c r="AC10" s="84" t="s">
        <v>87</v>
      </c>
      <c r="AD10" s="94">
        <v>89</v>
      </c>
      <c r="AE10" s="95">
        <v>1.2539</v>
      </c>
      <c r="AF10" s="95">
        <v>1.0685922018348624</v>
      </c>
      <c r="AG10" s="75">
        <v>1.1327077339449541</v>
      </c>
      <c r="AH10" s="97">
        <v>881.20365200000003</v>
      </c>
      <c r="AI10" s="39">
        <v>133.31661858191086</v>
      </c>
      <c r="AJ10" s="97">
        <v>145.77143841677022</v>
      </c>
      <c r="AK10" s="40">
        <v>289.77258505132903</v>
      </c>
      <c r="AL10" s="41">
        <v>290</v>
      </c>
      <c r="AM10" s="39">
        <v>316.10000000000002</v>
      </c>
      <c r="AN10" s="39">
        <v>358.04891470000001</v>
      </c>
      <c r="AO10" s="39">
        <v>1790.2445734999999</v>
      </c>
      <c r="AP10" s="101"/>
      <c r="AQ10" s="100"/>
      <c r="AR10" s="88"/>
    </row>
    <row r="11" spans="1:97" x14ac:dyDescent="0.3">
      <c r="A11" s="25" t="s">
        <v>1509</v>
      </c>
      <c r="B11" s="25" t="s">
        <v>119</v>
      </c>
      <c r="C11" s="25" t="s">
        <v>120</v>
      </c>
      <c r="D11" s="25" t="s">
        <v>121</v>
      </c>
      <c r="E11" s="86" t="s">
        <v>77</v>
      </c>
      <c r="F11" s="47" t="s">
        <v>122</v>
      </c>
      <c r="G11" s="47" t="s">
        <v>127</v>
      </c>
      <c r="H11" s="47" t="s">
        <v>101</v>
      </c>
      <c r="I11" s="47" t="s">
        <v>124</v>
      </c>
      <c r="J11" s="47" t="s">
        <v>94</v>
      </c>
      <c r="K11" s="87" t="s">
        <v>82</v>
      </c>
      <c r="L11" s="88"/>
      <c r="M11" s="47" t="s">
        <v>83</v>
      </c>
      <c r="N11" s="89" t="s">
        <v>103</v>
      </c>
      <c r="O11" s="90">
        <v>0.51</v>
      </c>
      <c r="P11" s="47">
        <v>108</v>
      </c>
      <c r="Q11" s="96">
        <v>20</v>
      </c>
      <c r="R11" s="47" t="s">
        <v>87</v>
      </c>
      <c r="S11" s="84" t="s">
        <v>87</v>
      </c>
      <c r="T11" s="92">
        <v>0.8</v>
      </c>
      <c r="U11" s="47">
        <v>170</v>
      </c>
      <c r="V11" s="47">
        <v>500</v>
      </c>
      <c r="W11" s="84">
        <v>330</v>
      </c>
      <c r="X11" s="93">
        <v>380</v>
      </c>
      <c r="Y11" s="47">
        <v>170</v>
      </c>
      <c r="Z11" s="47">
        <v>570</v>
      </c>
      <c r="AA11" s="84">
        <v>400</v>
      </c>
      <c r="AB11" s="93">
        <v>310</v>
      </c>
      <c r="AC11" s="84" t="s">
        <v>87</v>
      </c>
      <c r="AD11" s="94">
        <v>88</v>
      </c>
      <c r="AE11" s="95">
        <v>1.2488000000000001</v>
      </c>
      <c r="AF11" s="95">
        <v>1.0659555555555555</v>
      </c>
      <c r="AG11" s="75">
        <v>1.1299128888888887</v>
      </c>
      <c r="AH11" s="97">
        <v>881.20365200000003</v>
      </c>
      <c r="AI11" s="39">
        <v>133.86107306202595</v>
      </c>
      <c r="AJ11" s="97">
        <v>146.36675739172657</v>
      </c>
      <c r="AK11" s="40">
        <v>290.95599327022853</v>
      </c>
      <c r="AL11" s="41">
        <v>291</v>
      </c>
      <c r="AM11" s="39">
        <v>314.27999999999997</v>
      </c>
      <c r="AN11" s="39">
        <v>355.10902271999993</v>
      </c>
      <c r="AO11" s="39">
        <v>1775.5451135999995</v>
      </c>
      <c r="AP11" s="101"/>
      <c r="AQ11" s="100"/>
      <c r="AR11" s="88"/>
    </row>
    <row r="12" spans="1:97" x14ac:dyDescent="0.3">
      <c r="A12" s="25" t="s">
        <v>1509</v>
      </c>
      <c r="B12" s="25" t="s">
        <v>119</v>
      </c>
      <c r="C12" s="25" t="s">
        <v>120</v>
      </c>
      <c r="D12" s="25" t="s">
        <v>121</v>
      </c>
      <c r="E12" s="91" t="s">
        <v>130</v>
      </c>
      <c r="F12" s="47" t="s">
        <v>122</v>
      </c>
      <c r="G12" s="47" t="s">
        <v>131</v>
      </c>
      <c r="H12" s="91" t="s">
        <v>79</v>
      </c>
      <c r="I12" s="91" t="s">
        <v>80</v>
      </c>
      <c r="J12" s="47" t="s">
        <v>94</v>
      </c>
      <c r="K12" s="87" t="s">
        <v>82</v>
      </c>
      <c r="L12" s="91" t="s">
        <v>132</v>
      </c>
      <c r="M12" s="91" t="s">
        <v>83</v>
      </c>
      <c r="N12" s="89" t="s">
        <v>103</v>
      </c>
      <c r="O12" s="103">
        <v>0.62</v>
      </c>
      <c r="P12" s="91">
        <v>100</v>
      </c>
      <c r="Q12" s="91">
        <v>30</v>
      </c>
      <c r="R12" s="47" t="s">
        <v>87</v>
      </c>
      <c r="S12" s="84" t="s">
        <v>87</v>
      </c>
      <c r="T12" s="104">
        <v>0.8</v>
      </c>
      <c r="U12" s="91">
        <v>253</v>
      </c>
      <c r="V12" s="91">
        <v>440</v>
      </c>
      <c r="W12" s="84">
        <v>187</v>
      </c>
      <c r="X12" s="93">
        <v>260</v>
      </c>
      <c r="Y12" s="91">
        <v>180</v>
      </c>
      <c r="Z12" s="91">
        <v>580</v>
      </c>
      <c r="AA12" s="84">
        <v>400</v>
      </c>
      <c r="AB12" s="93">
        <v>120</v>
      </c>
      <c r="AC12" s="84" t="s">
        <v>87</v>
      </c>
      <c r="AD12" s="94">
        <v>70</v>
      </c>
      <c r="AE12" s="95">
        <v>1.234</v>
      </c>
      <c r="AF12" s="95">
        <v>1.0820999999999998</v>
      </c>
      <c r="AG12" s="75">
        <v>1.1470259999999999</v>
      </c>
      <c r="AH12" s="97">
        <v>888.36522400000001</v>
      </c>
      <c r="AI12" s="39">
        <v>135.46653811982011</v>
      </c>
      <c r="AJ12" s="97">
        <v>148.12220958734861</v>
      </c>
      <c r="AK12" s="40">
        <v>294.44557892695417</v>
      </c>
      <c r="AL12" s="41">
        <v>148</v>
      </c>
      <c r="AM12" s="39">
        <v>148</v>
      </c>
      <c r="AN12" s="39">
        <v>169.75984799999998</v>
      </c>
      <c r="AO12" s="39">
        <v>565.86615999999992</v>
      </c>
      <c r="AP12" s="105" t="s">
        <v>133</v>
      </c>
      <c r="AR12" s="106" t="s">
        <v>134</v>
      </c>
    </row>
    <row r="13" spans="1:97" x14ac:dyDescent="0.3">
      <c r="A13" s="25" t="s">
        <v>1509</v>
      </c>
      <c r="B13" s="25" t="s">
        <v>119</v>
      </c>
      <c r="C13" s="25" t="s">
        <v>120</v>
      </c>
      <c r="D13" s="25" t="s">
        <v>121</v>
      </c>
      <c r="E13" s="86" t="s">
        <v>77</v>
      </c>
      <c r="F13" s="47" t="s">
        <v>122</v>
      </c>
      <c r="G13" s="47" t="s">
        <v>135</v>
      </c>
      <c r="H13" s="47" t="s">
        <v>79</v>
      </c>
      <c r="I13" s="47" t="s">
        <v>80</v>
      </c>
      <c r="J13" s="47" t="s">
        <v>94</v>
      </c>
      <c r="K13" s="87" t="s">
        <v>82</v>
      </c>
      <c r="L13" s="47"/>
      <c r="M13" s="47" t="s">
        <v>83</v>
      </c>
      <c r="N13" s="89" t="s">
        <v>103</v>
      </c>
      <c r="O13" s="90">
        <v>0.14000000000000001</v>
      </c>
      <c r="P13" s="47">
        <v>116</v>
      </c>
      <c r="Q13" s="96">
        <v>29</v>
      </c>
      <c r="R13" s="47" t="s">
        <v>87</v>
      </c>
      <c r="S13" s="84" t="s">
        <v>87</v>
      </c>
      <c r="T13" s="92">
        <v>0.8</v>
      </c>
      <c r="U13" s="47">
        <v>280</v>
      </c>
      <c r="V13" s="47">
        <v>740</v>
      </c>
      <c r="W13" s="84">
        <v>460</v>
      </c>
      <c r="X13" s="93">
        <v>130</v>
      </c>
      <c r="Y13" s="47">
        <v>280</v>
      </c>
      <c r="Z13" s="47">
        <v>740</v>
      </c>
      <c r="AA13" s="84">
        <v>460</v>
      </c>
      <c r="AB13" s="93">
        <v>130</v>
      </c>
      <c r="AC13" s="84" t="s">
        <v>87</v>
      </c>
      <c r="AD13" s="84">
        <v>87</v>
      </c>
      <c r="AE13" s="75">
        <v>0.92180000000000006</v>
      </c>
      <c r="AF13" s="75">
        <v>0.87612500000000015</v>
      </c>
      <c r="AG13" s="75">
        <v>0.92869250000000014</v>
      </c>
      <c r="AH13" s="97">
        <v>857.11472800000001</v>
      </c>
      <c r="AI13" s="39">
        <v>181.34704712503583</v>
      </c>
      <c r="AJ13" s="97">
        <v>198.28900697633776</v>
      </c>
      <c r="AK13" s="40">
        <v>394.16993316973463</v>
      </c>
      <c r="AL13" s="41">
        <v>200</v>
      </c>
      <c r="AM13" s="39">
        <v>232</v>
      </c>
      <c r="AN13" s="39">
        <v>215.45666000000003</v>
      </c>
      <c r="AO13" s="39">
        <v>742.95400000000018</v>
      </c>
      <c r="AP13" s="107" t="s">
        <v>136</v>
      </c>
      <c r="AQ13" s="108"/>
      <c r="AR13" s="43"/>
    </row>
    <row r="14" spans="1:97" x14ac:dyDescent="0.3">
      <c r="A14" s="25" t="s">
        <v>1509</v>
      </c>
      <c r="B14" s="25" t="s">
        <v>119</v>
      </c>
      <c r="C14" s="25" t="s">
        <v>120</v>
      </c>
      <c r="D14" s="25" t="s">
        <v>121</v>
      </c>
      <c r="E14" s="86" t="s">
        <v>77</v>
      </c>
      <c r="F14" s="47" t="s">
        <v>122</v>
      </c>
      <c r="G14" s="47" t="s">
        <v>137</v>
      </c>
      <c r="H14" s="47" t="s">
        <v>79</v>
      </c>
      <c r="I14" s="47" t="s">
        <v>80</v>
      </c>
      <c r="J14" s="47" t="s">
        <v>94</v>
      </c>
      <c r="K14" s="87" t="s">
        <v>82</v>
      </c>
      <c r="L14" s="47"/>
      <c r="M14" s="47" t="s">
        <v>83</v>
      </c>
      <c r="N14" s="89" t="s">
        <v>103</v>
      </c>
      <c r="O14" s="90">
        <v>0.39</v>
      </c>
      <c r="P14" s="47">
        <v>108</v>
      </c>
      <c r="Q14" s="96">
        <v>24</v>
      </c>
      <c r="R14" s="47" t="s">
        <v>87</v>
      </c>
      <c r="S14" s="84" t="s">
        <v>87</v>
      </c>
      <c r="T14" s="92">
        <v>0.8</v>
      </c>
      <c r="U14" s="47">
        <v>255</v>
      </c>
      <c r="V14" s="47">
        <v>705</v>
      </c>
      <c r="W14" s="84">
        <v>450</v>
      </c>
      <c r="X14" s="93">
        <v>135</v>
      </c>
      <c r="Y14" s="47">
        <v>255</v>
      </c>
      <c r="Z14" s="47">
        <v>705</v>
      </c>
      <c r="AA14" s="84">
        <v>450</v>
      </c>
      <c r="AB14" s="93">
        <v>135</v>
      </c>
      <c r="AC14" s="84" t="s">
        <v>87</v>
      </c>
      <c r="AD14" s="84">
        <v>84</v>
      </c>
      <c r="AE14" s="75">
        <v>1.1276000000000002</v>
      </c>
      <c r="AF14" s="75">
        <v>1.0002</v>
      </c>
      <c r="AG14" s="75">
        <v>1.0602119999999999</v>
      </c>
      <c r="AH14" s="97">
        <v>873.39102800000012</v>
      </c>
      <c r="AI14" s="39">
        <v>148.24912029075736</v>
      </c>
      <c r="AJ14" s="97">
        <v>162.09897714685007</v>
      </c>
      <c r="AK14" s="40">
        <v>322.22937601619492</v>
      </c>
      <c r="AL14" s="41">
        <v>162</v>
      </c>
      <c r="AM14" s="39">
        <v>174.96</v>
      </c>
      <c r="AN14" s="39">
        <v>185.49469152</v>
      </c>
      <c r="AO14" s="39">
        <v>772.8945480000001</v>
      </c>
      <c r="AP14" s="107" t="s">
        <v>136</v>
      </c>
      <c r="AQ14" s="108"/>
      <c r="AR14" s="88" t="s">
        <v>138</v>
      </c>
    </row>
    <row r="15" spans="1:97" x14ac:dyDescent="0.3">
      <c r="A15" s="25" t="s">
        <v>1509</v>
      </c>
      <c r="B15" s="25" t="s">
        <v>119</v>
      </c>
      <c r="C15" s="25" t="s">
        <v>120</v>
      </c>
      <c r="D15" s="25" t="s">
        <v>121</v>
      </c>
      <c r="E15" s="109" t="s">
        <v>77</v>
      </c>
      <c r="F15" s="110" t="s">
        <v>139</v>
      </c>
      <c r="G15" s="66" t="s">
        <v>140</v>
      </c>
      <c r="H15" s="66" t="s">
        <v>79</v>
      </c>
      <c r="I15" s="66" t="s">
        <v>80</v>
      </c>
      <c r="J15" s="66" t="s">
        <v>94</v>
      </c>
      <c r="K15" s="111" t="s">
        <v>82</v>
      </c>
      <c r="L15" s="66" t="s">
        <v>141</v>
      </c>
      <c r="M15" s="66" t="s">
        <v>83</v>
      </c>
      <c r="N15" s="112" t="s">
        <v>142</v>
      </c>
      <c r="O15" s="113">
        <v>0.39</v>
      </c>
      <c r="P15" s="66">
        <v>115</v>
      </c>
      <c r="Q15" s="47">
        <v>35</v>
      </c>
      <c r="R15" s="66" t="s">
        <v>87</v>
      </c>
      <c r="S15" s="84" t="s">
        <v>87</v>
      </c>
      <c r="T15" s="114">
        <v>0.8</v>
      </c>
      <c r="U15" s="66">
        <v>390</v>
      </c>
      <c r="V15" s="66">
        <v>600</v>
      </c>
      <c r="W15" s="115">
        <v>210</v>
      </c>
      <c r="X15" s="93">
        <v>200</v>
      </c>
      <c r="Y15" s="66">
        <v>200</v>
      </c>
      <c r="Z15" s="47">
        <v>600</v>
      </c>
      <c r="AA15" s="84">
        <v>400</v>
      </c>
      <c r="AB15" s="93">
        <v>200</v>
      </c>
      <c r="AC15" s="115" t="s">
        <v>87</v>
      </c>
      <c r="AD15" s="115">
        <v>80</v>
      </c>
      <c r="AE15" s="116">
        <v>1.1120000000000001</v>
      </c>
      <c r="AF15" s="116">
        <v>1.0034782608695654</v>
      </c>
      <c r="AG15" s="116">
        <v>1.0636869565217393</v>
      </c>
      <c r="AH15" s="97">
        <v>873.39102800000012</v>
      </c>
      <c r="AI15" s="117">
        <v>150.32887413656297</v>
      </c>
      <c r="AJ15" s="118">
        <v>164.37302754567281</v>
      </c>
      <c r="AK15" s="119">
        <v>326.74986006822076</v>
      </c>
      <c r="AL15" s="120">
        <v>164</v>
      </c>
      <c r="AM15" s="117">
        <v>188.6</v>
      </c>
      <c r="AN15" s="117">
        <v>200.61136000000002</v>
      </c>
      <c r="AO15" s="39">
        <v>573.17531428571442</v>
      </c>
      <c r="AP15" s="121" t="s">
        <v>143</v>
      </c>
      <c r="AQ15" s="122" t="s">
        <v>144</v>
      </c>
      <c r="AR15" s="123" t="s">
        <v>145</v>
      </c>
    </row>
    <row r="16" spans="1:97" x14ac:dyDescent="0.3">
      <c r="A16" s="25" t="s">
        <v>1509</v>
      </c>
      <c r="B16" s="25" t="s">
        <v>119</v>
      </c>
      <c r="C16" s="25" t="s">
        <v>120</v>
      </c>
      <c r="D16" s="25" t="s">
        <v>121</v>
      </c>
      <c r="E16" s="47"/>
      <c r="F16" s="47" t="s">
        <v>122</v>
      </c>
      <c r="G16" s="47" t="s">
        <v>147</v>
      </c>
      <c r="H16" s="47" t="s">
        <v>79</v>
      </c>
      <c r="I16" s="47" t="s">
        <v>80</v>
      </c>
      <c r="J16" s="47" t="s">
        <v>94</v>
      </c>
      <c r="K16" s="87" t="s">
        <v>82</v>
      </c>
      <c r="L16" s="47" t="s">
        <v>148</v>
      </c>
      <c r="M16" s="47" t="s">
        <v>83</v>
      </c>
      <c r="N16" s="89" t="s">
        <v>103</v>
      </c>
      <c r="O16" s="90">
        <v>0.44</v>
      </c>
      <c r="P16" s="47">
        <v>97</v>
      </c>
      <c r="Q16" s="47">
        <v>30</v>
      </c>
      <c r="R16" s="47" t="s">
        <v>87</v>
      </c>
      <c r="S16" s="84" t="s">
        <v>87</v>
      </c>
      <c r="T16" s="92">
        <v>0.8</v>
      </c>
      <c r="U16" s="47">
        <v>150</v>
      </c>
      <c r="V16" s="47">
        <v>550</v>
      </c>
      <c r="W16" s="84">
        <v>400</v>
      </c>
      <c r="X16" s="93">
        <v>120</v>
      </c>
      <c r="Y16" s="47">
        <v>150</v>
      </c>
      <c r="Z16" s="47">
        <v>550</v>
      </c>
      <c r="AA16" s="84">
        <v>400</v>
      </c>
      <c r="AB16" s="93">
        <v>120</v>
      </c>
      <c r="AC16" s="84" t="s">
        <v>87</v>
      </c>
      <c r="AD16" s="84">
        <v>67</v>
      </c>
      <c r="AE16" s="75">
        <v>1.0948</v>
      </c>
      <c r="AF16" s="75">
        <v>0.99298762886597935</v>
      </c>
      <c r="AG16" s="75">
        <v>1.0525668865979381</v>
      </c>
      <c r="AH16" s="97">
        <v>876.64628800000003</v>
      </c>
      <c r="AI16" s="39">
        <v>152.69063576896059</v>
      </c>
      <c r="AJ16" s="97">
        <v>166.95543170514082</v>
      </c>
      <c r="AK16" s="40">
        <v>331.88330690159069</v>
      </c>
      <c r="AL16" s="98">
        <v>120</v>
      </c>
      <c r="AM16" s="39">
        <v>116.4</v>
      </c>
      <c r="AN16" s="39">
        <v>122.5187856</v>
      </c>
      <c r="AO16" s="39">
        <v>408.39595200000002</v>
      </c>
      <c r="AP16" s="107" t="s">
        <v>149</v>
      </c>
      <c r="AQ16" s="108" t="s">
        <v>150</v>
      </c>
      <c r="AR16" s="88"/>
    </row>
    <row r="17" spans="1:44" x14ac:dyDescent="0.3">
      <c r="A17" s="25" t="s">
        <v>1509</v>
      </c>
      <c r="B17" s="25" t="s">
        <v>119</v>
      </c>
      <c r="C17" s="25" t="s">
        <v>120</v>
      </c>
      <c r="D17" s="25" t="s">
        <v>121</v>
      </c>
      <c r="E17" s="125" t="s">
        <v>77</v>
      </c>
      <c r="F17" s="27" t="s">
        <v>78</v>
      </c>
      <c r="G17" s="124" t="s">
        <v>151</v>
      </c>
      <c r="H17" s="124" t="s">
        <v>101</v>
      </c>
      <c r="I17" s="124" t="s">
        <v>124</v>
      </c>
      <c r="J17" s="124" t="s">
        <v>94</v>
      </c>
      <c r="K17" s="126" t="s">
        <v>82</v>
      </c>
      <c r="L17" s="127" t="s">
        <v>152</v>
      </c>
      <c r="M17" s="124" t="s">
        <v>83</v>
      </c>
      <c r="N17" s="128" t="s">
        <v>103</v>
      </c>
      <c r="O17" s="129">
        <v>0.6</v>
      </c>
      <c r="P17" s="124">
        <v>93</v>
      </c>
      <c r="Q17" s="130">
        <v>29</v>
      </c>
      <c r="R17" s="124" t="s">
        <v>87</v>
      </c>
      <c r="S17" s="131" t="s">
        <v>87</v>
      </c>
      <c r="T17" s="132">
        <v>0.8</v>
      </c>
      <c r="U17" s="124">
        <v>256</v>
      </c>
      <c r="V17" s="124">
        <v>520</v>
      </c>
      <c r="W17" s="131">
        <v>264</v>
      </c>
      <c r="X17" s="133">
        <v>120</v>
      </c>
      <c r="Y17" s="124">
        <v>150</v>
      </c>
      <c r="Z17" s="124">
        <v>550</v>
      </c>
      <c r="AA17" s="131">
        <v>400</v>
      </c>
      <c r="AB17" s="133">
        <v>90</v>
      </c>
      <c r="AC17" s="131" t="s">
        <v>87</v>
      </c>
      <c r="AD17" s="131">
        <v>64</v>
      </c>
      <c r="AE17" s="134">
        <v>1.1840000000000002</v>
      </c>
      <c r="AF17" s="134">
        <v>1.0518709677419356</v>
      </c>
      <c r="AG17" s="134">
        <v>1.1149832258064516</v>
      </c>
      <c r="AH17" s="135">
        <v>887.06312000000003</v>
      </c>
      <c r="AI17" s="39">
        <v>141.18725341204222</v>
      </c>
      <c r="AJ17" s="135">
        <v>154.37737046519268</v>
      </c>
      <c r="AK17" s="40">
        <v>306.87993614515324</v>
      </c>
      <c r="AL17" s="41">
        <v>307</v>
      </c>
      <c r="AM17" s="39">
        <v>285.51</v>
      </c>
      <c r="AN17" s="39">
        <v>318.33886079999996</v>
      </c>
      <c r="AO17" s="39">
        <v>1097.7202096551723</v>
      </c>
      <c r="AP17" s="136" t="s">
        <v>153</v>
      </c>
      <c r="AQ17" s="137" t="s">
        <v>154</v>
      </c>
      <c r="AR17" s="127" t="s">
        <v>155</v>
      </c>
    </row>
    <row r="18" spans="1:44" x14ac:dyDescent="0.3">
      <c r="A18" s="25" t="s">
        <v>1509</v>
      </c>
      <c r="B18" s="25" t="s">
        <v>119</v>
      </c>
      <c r="C18" s="25" t="s">
        <v>120</v>
      </c>
      <c r="D18" s="25" t="s">
        <v>121</v>
      </c>
      <c r="E18" s="86" t="s">
        <v>77</v>
      </c>
      <c r="F18" s="138" t="s">
        <v>122</v>
      </c>
      <c r="G18" s="139" t="s">
        <v>156</v>
      </c>
      <c r="H18" s="91" t="s">
        <v>101</v>
      </c>
      <c r="I18" s="91" t="s">
        <v>80</v>
      </c>
      <c r="J18" s="91" t="s">
        <v>94</v>
      </c>
      <c r="K18" s="140" t="s">
        <v>82</v>
      </c>
      <c r="L18" t="s">
        <v>157</v>
      </c>
      <c r="M18" s="91" t="s">
        <v>83</v>
      </c>
      <c r="N18" s="89" t="s">
        <v>103</v>
      </c>
      <c r="O18" s="103">
        <v>0.28000000000000003</v>
      </c>
      <c r="P18" s="91">
        <v>98</v>
      </c>
      <c r="Q18" s="91">
        <v>15</v>
      </c>
      <c r="R18" s="91" t="s">
        <v>87</v>
      </c>
      <c r="S18" s="94" t="s">
        <v>87</v>
      </c>
      <c r="T18" s="104">
        <v>0.8</v>
      </c>
      <c r="U18" s="91">
        <v>200</v>
      </c>
      <c r="V18" s="91">
        <v>700</v>
      </c>
      <c r="W18" s="84">
        <v>500</v>
      </c>
      <c r="X18" s="93">
        <v>130</v>
      </c>
      <c r="Y18" s="91">
        <v>200</v>
      </c>
      <c r="Z18" s="91">
        <v>700</v>
      </c>
      <c r="AA18" s="84">
        <v>500</v>
      </c>
      <c r="AB18" s="93">
        <v>130</v>
      </c>
      <c r="AC18" s="94" t="s">
        <v>87</v>
      </c>
      <c r="AD18" s="94">
        <v>83</v>
      </c>
      <c r="AE18" s="75">
        <v>1.0324</v>
      </c>
      <c r="AF18" s="75">
        <v>0.93398571428571431</v>
      </c>
      <c r="AG18" s="75">
        <v>0.99002485714285715</v>
      </c>
      <c r="AH18" s="97">
        <v>866.22945600000003</v>
      </c>
      <c r="AI18" s="39">
        <v>161.91951573019958</v>
      </c>
      <c r="AJ18" s="97">
        <v>177.04650002982194</v>
      </c>
      <c r="AK18" s="40">
        <v>351.94289461048191</v>
      </c>
      <c r="AL18" s="41">
        <v>177</v>
      </c>
      <c r="AM18" s="39">
        <v>173.46</v>
      </c>
      <c r="AN18" s="39">
        <v>171.72971172000001</v>
      </c>
      <c r="AO18" s="39">
        <v>1144.8647448000002</v>
      </c>
      <c r="AP18" s="105" t="s">
        <v>161</v>
      </c>
      <c r="AR18" s="141"/>
    </row>
    <row r="19" spans="1:44" x14ac:dyDescent="0.3">
      <c r="A19" s="25" t="s">
        <v>1509</v>
      </c>
      <c r="B19" s="25" t="s">
        <v>119</v>
      </c>
      <c r="C19" s="25" t="s">
        <v>120</v>
      </c>
      <c r="D19" s="25" t="s">
        <v>121</v>
      </c>
      <c r="E19" s="86" t="s">
        <v>77</v>
      </c>
      <c r="F19" s="91" t="s">
        <v>122</v>
      </c>
      <c r="G19" s="91" t="s">
        <v>158</v>
      </c>
      <c r="H19" s="91" t="s">
        <v>101</v>
      </c>
      <c r="I19" s="91" t="s">
        <v>80</v>
      </c>
      <c r="J19" s="91" t="s">
        <v>94</v>
      </c>
      <c r="K19" s="140" t="s">
        <v>82</v>
      </c>
      <c r="L19" s="91"/>
      <c r="M19" s="91" t="s">
        <v>83</v>
      </c>
      <c r="N19" s="89" t="s">
        <v>103</v>
      </c>
      <c r="O19" s="103">
        <v>0.14000000000000001</v>
      </c>
      <c r="P19" s="91">
        <v>111</v>
      </c>
      <c r="Q19" s="96">
        <v>22</v>
      </c>
      <c r="R19" s="47" t="s">
        <v>87</v>
      </c>
      <c r="S19" s="84" t="s">
        <v>87</v>
      </c>
      <c r="T19" s="104">
        <v>0.8</v>
      </c>
      <c r="U19" s="91">
        <v>200</v>
      </c>
      <c r="V19" s="91">
        <v>760</v>
      </c>
      <c r="W19" s="84">
        <v>560</v>
      </c>
      <c r="X19" s="93">
        <v>130</v>
      </c>
      <c r="Y19" s="91">
        <v>200</v>
      </c>
      <c r="Z19" s="91">
        <v>760</v>
      </c>
      <c r="AA19" s="84">
        <v>560</v>
      </c>
      <c r="AB19" s="93">
        <v>130</v>
      </c>
      <c r="AC19" s="84" t="s">
        <v>87</v>
      </c>
      <c r="AD19" s="94">
        <v>89</v>
      </c>
      <c r="AE19" s="75">
        <v>0.92460000000000009</v>
      </c>
      <c r="AF19" s="75">
        <v>0.87464774774774778</v>
      </c>
      <c r="AG19" s="75">
        <v>0.92712661261261264</v>
      </c>
      <c r="AH19" s="97">
        <v>857.11472800000001</v>
      </c>
      <c r="AI19" s="39">
        <v>180.79786722891845</v>
      </c>
      <c r="AJ19" s="97">
        <v>197.68852112350004</v>
      </c>
      <c r="AK19" s="40">
        <v>392.97625394317691</v>
      </c>
      <c r="AL19" s="41">
        <v>198</v>
      </c>
      <c r="AM19" s="39">
        <v>219.78</v>
      </c>
      <c r="AN19" s="39">
        <v>203.76388692</v>
      </c>
      <c r="AO19" s="39">
        <v>926.19948599999998</v>
      </c>
      <c r="AP19" s="105" t="s">
        <v>162</v>
      </c>
      <c r="AR19" s="141"/>
    </row>
    <row r="20" spans="1:44" x14ac:dyDescent="0.3">
      <c r="A20" s="25" t="s">
        <v>1509</v>
      </c>
      <c r="B20" s="25" t="s">
        <v>119</v>
      </c>
      <c r="C20" s="25" t="s">
        <v>120</v>
      </c>
      <c r="D20" s="25" t="s">
        <v>121</v>
      </c>
      <c r="E20" s="47" t="s">
        <v>146</v>
      </c>
      <c r="F20" s="47" t="s">
        <v>122</v>
      </c>
      <c r="G20" s="47" t="s">
        <v>159</v>
      </c>
      <c r="H20" s="47" t="s">
        <v>101</v>
      </c>
      <c r="I20" s="47" t="s">
        <v>80</v>
      </c>
      <c r="J20" s="47" t="s">
        <v>94</v>
      </c>
      <c r="K20" s="87" t="s">
        <v>82</v>
      </c>
      <c r="L20" s="47" t="s">
        <v>160</v>
      </c>
      <c r="M20" s="47" t="s">
        <v>83</v>
      </c>
      <c r="N20" s="89" t="s">
        <v>103</v>
      </c>
      <c r="O20" s="90">
        <v>0.39</v>
      </c>
      <c r="P20" s="47">
        <v>113</v>
      </c>
      <c r="Q20" s="47">
        <v>30</v>
      </c>
      <c r="R20" s="47" t="s">
        <v>87</v>
      </c>
      <c r="S20" s="84" t="s">
        <v>87</v>
      </c>
      <c r="T20" s="92">
        <v>0.8</v>
      </c>
      <c r="U20" s="47">
        <v>228</v>
      </c>
      <c r="V20" s="47">
        <v>622</v>
      </c>
      <c r="W20" s="84">
        <v>394</v>
      </c>
      <c r="X20" s="93">
        <v>208</v>
      </c>
      <c r="Y20" s="47">
        <v>200</v>
      </c>
      <c r="Z20" s="47">
        <v>650</v>
      </c>
      <c r="AA20" s="84">
        <v>450</v>
      </c>
      <c r="AB20" s="93">
        <v>180</v>
      </c>
      <c r="AC20" s="84" t="s">
        <v>87</v>
      </c>
      <c r="AD20" s="84">
        <v>83</v>
      </c>
      <c r="AE20" s="75">
        <v>1.1237000000000001</v>
      </c>
      <c r="AF20" s="75">
        <v>1.0048190265486727</v>
      </c>
      <c r="AG20" s="75">
        <v>1.065108168141593</v>
      </c>
      <c r="AH20" s="97">
        <v>873.39102800000012</v>
      </c>
      <c r="AI20" s="39">
        <v>148.76364513647593</v>
      </c>
      <c r="AJ20" s="97">
        <v>162.66157037535655</v>
      </c>
      <c r="AK20" s="40">
        <v>323.34773017341058</v>
      </c>
      <c r="AL20" s="98">
        <v>120</v>
      </c>
      <c r="AM20" s="39">
        <v>135.6</v>
      </c>
      <c r="AN20" s="39">
        <v>144.42866760000001</v>
      </c>
      <c r="AO20" s="39">
        <v>481.42889200000008</v>
      </c>
      <c r="AP20" s="47" t="s">
        <v>163</v>
      </c>
      <c r="AQ20" s="88" t="s">
        <v>164</v>
      </c>
      <c r="AR20" s="57"/>
    </row>
    <row r="21" spans="1:44" x14ac:dyDescent="0.3">
      <c r="A21" s="25" t="s">
        <v>1509</v>
      </c>
      <c r="B21" s="25" t="s">
        <v>119</v>
      </c>
      <c r="C21" s="25" t="s">
        <v>120</v>
      </c>
      <c r="D21" s="25" t="s">
        <v>121</v>
      </c>
      <c r="E21" s="26" t="s">
        <v>77</v>
      </c>
      <c r="F21" s="27" t="s">
        <v>78</v>
      </c>
      <c r="G21" s="25" t="s">
        <v>100</v>
      </c>
      <c r="H21" s="25" t="s">
        <v>101</v>
      </c>
      <c r="I21" s="25" t="s">
        <v>80</v>
      </c>
      <c r="J21" s="25" t="s">
        <v>94</v>
      </c>
      <c r="K21" s="30" t="s">
        <v>82</v>
      </c>
      <c r="L21" s="25" t="s">
        <v>102</v>
      </c>
      <c r="M21" s="25" t="s">
        <v>83</v>
      </c>
      <c r="N21" s="74" t="s">
        <v>103</v>
      </c>
      <c r="O21" s="61">
        <v>0.64</v>
      </c>
      <c r="P21" s="32">
        <v>130</v>
      </c>
      <c r="Q21" s="25">
        <v>30</v>
      </c>
      <c r="R21" s="25" t="s">
        <v>87</v>
      </c>
      <c r="S21" s="34" t="s">
        <v>87</v>
      </c>
      <c r="T21" s="35">
        <v>0.8</v>
      </c>
      <c r="U21" s="25" t="s">
        <v>87</v>
      </c>
      <c r="V21" s="25" t="s">
        <v>87</v>
      </c>
      <c r="W21" s="34" t="s">
        <v>87</v>
      </c>
      <c r="X21" s="36" t="s">
        <v>87</v>
      </c>
      <c r="Y21" s="25" t="s">
        <v>87</v>
      </c>
      <c r="Z21" s="25" t="s">
        <v>87</v>
      </c>
      <c r="AA21" s="34" t="s">
        <v>87</v>
      </c>
      <c r="AB21" s="36" t="s">
        <v>87</v>
      </c>
      <c r="AC21" s="34" t="s">
        <v>87</v>
      </c>
      <c r="AD21" s="34">
        <v>100</v>
      </c>
      <c r="AE21" s="37">
        <v>1.44</v>
      </c>
      <c r="AF21" s="37">
        <v>1.193846153846154</v>
      </c>
      <c r="AG21" s="37">
        <v>1.2654769230769234</v>
      </c>
      <c r="AH21" s="38">
        <v>889.66732800000011</v>
      </c>
      <c r="AI21" s="39">
        <v>116.08729724990143</v>
      </c>
      <c r="AJ21" s="38">
        <v>126.93250460471401</v>
      </c>
      <c r="AK21" s="40">
        <v>252.32350305268159</v>
      </c>
      <c r="AL21" s="41">
        <v>125</v>
      </c>
      <c r="AM21" s="39">
        <v>162.5</v>
      </c>
      <c r="AN21" s="39">
        <v>205.64000000000004</v>
      </c>
      <c r="AO21" s="39">
        <v>685.46666666666681</v>
      </c>
      <c r="AP21" s="25" t="s">
        <v>104</v>
      </c>
      <c r="AQ21" s="77" t="s">
        <v>105</v>
      </c>
      <c r="AR21" s="78" t="s">
        <v>106</v>
      </c>
    </row>
    <row r="22" spans="1:44" x14ac:dyDescent="0.3">
      <c r="A22" s="25" t="s">
        <v>1509</v>
      </c>
      <c r="B22" s="25" t="s">
        <v>119</v>
      </c>
      <c r="C22" s="25" t="s">
        <v>120</v>
      </c>
      <c r="D22" s="25" t="s">
        <v>121</v>
      </c>
      <c r="E22" s="26" t="s">
        <v>77</v>
      </c>
      <c r="F22" s="27" t="s">
        <v>78</v>
      </c>
      <c r="G22" s="25" t="s">
        <v>165</v>
      </c>
      <c r="H22" s="25" t="s">
        <v>101</v>
      </c>
      <c r="I22" s="25" t="s">
        <v>80</v>
      </c>
      <c r="J22" s="25" t="s">
        <v>94</v>
      </c>
      <c r="K22" s="30" t="s">
        <v>82</v>
      </c>
      <c r="L22" s="25" t="s">
        <v>166</v>
      </c>
      <c r="M22" s="25" t="s">
        <v>83</v>
      </c>
      <c r="N22" s="74" t="s">
        <v>103</v>
      </c>
      <c r="O22" s="61">
        <v>0.25</v>
      </c>
      <c r="P22" s="142">
        <v>194</v>
      </c>
      <c r="Q22" s="25">
        <v>86</v>
      </c>
      <c r="R22" s="25" t="s">
        <v>87</v>
      </c>
      <c r="S22" s="34" t="s">
        <v>87</v>
      </c>
      <c r="T22" s="143">
        <v>0.38</v>
      </c>
      <c r="U22" s="25" t="s">
        <v>87</v>
      </c>
      <c r="V22" s="25" t="s">
        <v>87</v>
      </c>
      <c r="W22" s="34" t="s">
        <v>87</v>
      </c>
      <c r="X22" s="36" t="s">
        <v>87</v>
      </c>
      <c r="Y22" s="25">
        <v>200</v>
      </c>
      <c r="Z22" s="25">
        <v>700</v>
      </c>
      <c r="AA22" s="34">
        <v>500</v>
      </c>
      <c r="AB22" s="36">
        <v>380</v>
      </c>
      <c r="AC22" s="34" t="s">
        <v>87</v>
      </c>
      <c r="AD22" s="34">
        <v>108</v>
      </c>
      <c r="AE22" s="37">
        <v>0.65</v>
      </c>
      <c r="AF22" s="144">
        <v>0.57484536082474236</v>
      </c>
      <c r="AG22" s="144">
        <v>0.60933608247422688</v>
      </c>
      <c r="AH22" s="38">
        <v>419.0763</v>
      </c>
      <c r="AI22" s="39">
        <v>257.17801236901238</v>
      </c>
      <c r="AJ22" s="38">
        <v>281.20431789352028</v>
      </c>
      <c r="AK22" s="40">
        <v>558.99360676286381</v>
      </c>
      <c r="AL22" s="41">
        <v>281</v>
      </c>
      <c r="AM22" s="39">
        <v>545.14</v>
      </c>
      <c r="AN22" s="117">
        <v>332.17347200000006</v>
      </c>
      <c r="AO22" s="39" t="s">
        <v>170</v>
      </c>
      <c r="AP22" s="146" t="s">
        <v>171</v>
      </c>
      <c r="AQ22" s="62"/>
      <c r="AR22" s="78" t="s">
        <v>106</v>
      </c>
    </row>
    <row r="23" spans="1:44" x14ac:dyDescent="0.3">
      <c r="A23" s="25" t="s">
        <v>1509</v>
      </c>
      <c r="B23" s="25" t="s">
        <v>119</v>
      </c>
      <c r="C23" s="25" t="s">
        <v>120</v>
      </c>
      <c r="D23" s="25" t="s">
        <v>121</v>
      </c>
      <c r="E23" s="26" t="s">
        <v>77</v>
      </c>
      <c r="F23" s="27" t="s">
        <v>78</v>
      </c>
      <c r="G23" s="25" t="s">
        <v>167</v>
      </c>
      <c r="H23" s="25" t="s">
        <v>101</v>
      </c>
      <c r="I23" s="25" t="s">
        <v>124</v>
      </c>
      <c r="J23" s="25" t="s">
        <v>94</v>
      </c>
      <c r="K23" s="30" t="s">
        <v>82</v>
      </c>
      <c r="L23" s="25" t="s">
        <v>168</v>
      </c>
      <c r="M23" s="25" t="s">
        <v>169</v>
      </c>
      <c r="N23" s="74" t="s">
        <v>103</v>
      </c>
      <c r="O23" s="61">
        <v>0.6</v>
      </c>
      <c r="P23" s="142">
        <v>183</v>
      </c>
      <c r="Q23" s="25">
        <v>65</v>
      </c>
      <c r="R23" s="25" t="s">
        <v>87</v>
      </c>
      <c r="S23" s="34" t="s">
        <v>87</v>
      </c>
      <c r="T23" s="143">
        <v>0.38</v>
      </c>
      <c r="U23" s="25" t="s">
        <v>87</v>
      </c>
      <c r="V23" s="25" t="s">
        <v>87</v>
      </c>
      <c r="W23" s="34" t="s">
        <v>87</v>
      </c>
      <c r="X23" s="36" t="s">
        <v>87</v>
      </c>
      <c r="Y23" s="25" t="s">
        <v>87</v>
      </c>
      <c r="Z23" s="25" t="s">
        <v>87</v>
      </c>
      <c r="AA23" s="34" t="s">
        <v>87</v>
      </c>
      <c r="AB23" s="36" t="s">
        <v>87</v>
      </c>
      <c r="AC23" s="34" t="s">
        <v>87</v>
      </c>
      <c r="AD23" s="34">
        <v>118</v>
      </c>
      <c r="AE23" s="37">
        <v>1.0880000000000001</v>
      </c>
      <c r="AF23" s="37">
        <v>0.8597377049180327</v>
      </c>
      <c r="AG23" s="37">
        <v>0.91132196721311465</v>
      </c>
      <c r="AH23" s="38">
        <v>441.86311999999998</v>
      </c>
      <c r="AI23" s="39">
        <v>153.64495224251655</v>
      </c>
      <c r="AJ23" s="38">
        <v>167.99890315329793</v>
      </c>
      <c r="AK23" s="40">
        <v>333.95757756972563</v>
      </c>
      <c r="AL23" s="145">
        <v>166</v>
      </c>
      <c r="AM23" s="39">
        <v>303.77999999999997</v>
      </c>
      <c r="AN23" s="39">
        <v>276.84138719999993</v>
      </c>
      <c r="AO23" s="39">
        <v>425.90982646153833</v>
      </c>
      <c r="AP23" s="146" t="s">
        <v>172</v>
      </c>
      <c r="AQ23" s="62" t="s">
        <v>173</v>
      </c>
      <c r="AR23" s="43" t="s">
        <v>174</v>
      </c>
    </row>
    <row r="24" spans="1:44" x14ac:dyDescent="0.3">
      <c r="A24" s="25" t="s">
        <v>1509</v>
      </c>
      <c r="B24" s="25" t="s">
        <v>119</v>
      </c>
      <c r="C24" s="25" t="s">
        <v>120</v>
      </c>
      <c r="D24" s="25" t="s">
        <v>121</v>
      </c>
      <c r="E24" s="147" t="s">
        <v>77</v>
      </c>
      <c r="F24" s="148" t="s">
        <v>139</v>
      </c>
      <c r="G24" s="149" t="s">
        <v>175</v>
      </c>
      <c r="H24" s="102" t="s">
        <v>101</v>
      </c>
      <c r="I24" s="102" t="s">
        <v>80</v>
      </c>
      <c r="J24" s="102" t="s">
        <v>94</v>
      </c>
      <c r="K24" s="150" t="s">
        <v>82</v>
      </c>
      <c r="L24" s="151" t="s">
        <v>176</v>
      </c>
      <c r="M24" s="102" t="s">
        <v>83</v>
      </c>
      <c r="N24" s="152" t="s">
        <v>103</v>
      </c>
      <c r="O24" s="153">
        <v>0.6</v>
      </c>
      <c r="P24" s="154">
        <v>183</v>
      </c>
      <c r="Q24" s="102">
        <v>65</v>
      </c>
      <c r="R24" s="102" t="s">
        <v>87</v>
      </c>
      <c r="S24" s="155" t="s">
        <v>87</v>
      </c>
      <c r="T24" s="156">
        <v>0.38</v>
      </c>
      <c r="U24" s="102">
        <v>300</v>
      </c>
      <c r="V24" s="102">
        <v>650</v>
      </c>
      <c r="W24" s="155">
        <v>350</v>
      </c>
      <c r="X24" s="157">
        <v>530</v>
      </c>
      <c r="Y24" s="149">
        <v>300</v>
      </c>
      <c r="Z24" s="149">
        <v>700</v>
      </c>
      <c r="AA24" s="155">
        <v>400</v>
      </c>
      <c r="AB24" s="157">
        <v>480</v>
      </c>
      <c r="AC24" s="155" t="s">
        <v>87</v>
      </c>
      <c r="AD24" s="158">
        <v>118</v>
      </c>
      <c r="AE24" s="159">
        <v>1.0880000000000001</v>
      </c>
      <c r="AF24" s="159">
        <v>0.8597377049180327</v>
      </c>
      <c r="AG24" s="163">
        <v>0.91132196721311465</v>
      </c>
      <c r="AH24" s="164">
        <v>441.86311999999998</v>
      </c>
      <c r="AI24" s="165">
        <v>153.64495224251655</v>
      </c>
      <c r="AJ24" s="166">
        <v>167.99890315329793</v>
      </c>
      <c r="AK24" s="166">
        <v>333.95757756972563</v>
      </c>
      <c r="AL24" s="167">
        <v>166</v>
      </c>
      <c r="AM24" s="165">
        <v>303.77999999999997</v>
      </c>
      <c r="AN24" s="165">
        <v>276.84138719999993</v>
      </c>
      <c r="AO24" s="165" t="s">
        <v>170</v>
      </c>
      <c r="AP24" s="171" t="s">
        <v>181</v>
      </c>
      <c r="AQ24" s="172" t="s">
        <v>182</v>
      </c>
      <c r="AR24" s="173" t="s">
        <v>183</v>
      </c>
    </row>
    <row r="25" spans="1:44" x14ac:dyDescent="0.3">
      <c r="A25" s="25" t="s">
        <v>1509</v>
      </c>
      <c r="B25" s="25" t="s">
        <v>119</v>
      </c>
      <c r="C25" s="25" t="s">
        <v>120</v>
      </c>
      <c r="D25" s="25" t="s">
        <v>121</v>
      </c>
      <c r="E25" s="160" t="s">
        <v>77</v>
      </c>
      <c r="F25" s="91" t="s">
        <v>122</v>
      </c>
      <c r="G25" s="47" t="s">
        <v>177</v>
      </c>
      <c r="H25" s="91" t="s">
        <v>79</v>
      </c>
      <c r="I25" s="91" t="s">
        <v>80</v>
      </c>
      <c r="J25" s="91" t="s">
        <v>94</v>
      </c>
      <c r="K25" s="140" t="s">
        <v>82</v>
      </c>
      <c r="L25" s="161" t="s">
        <v>178</v>
      </c>
      <c r="M25" s="91" t="s">
        <v>83</v>
      </c>
      <c r="N25" s="162" t="s">
        <v>103</v>
      </c>
      <c r="O25" s="103">
        <v>0.37</v>
      </c>
      <c r="P25" s="47">
        <v>110</v>
      </c>
      <c r="Q25" s="91">
        <v>30</v>
      </c>
      <c r="R25" s="91" t="s">
        <v>87</v>
      </c>
      <c r="S25" s="84" t="s">
        <v>87</v>
      </c>
      <c r="T25" s="104">
        <v>0.8</v>
      </c>
      <c r="U25" s="91">
        <v>110</v>
      </c>
      <c r="V25" s="91">
        <v>550</v>
      </c>
      <c r="W25" s="84">
        <v>440</v>
      </c>
      <c r="X25" s="93">
        <v>250</v>
      </c>
      <c r="Y25" s="47">
        <v>110</v>
      </c>
      <c r="Z25" s="47">
        <v>550</v>
      </c>
      <c r="AA25" s="84">
        <v>440</v>
      </c>
      <c r="AB25" s="93">
        <v>250</v>
      </c>
      <c r="AC25" s="84" t="s">
        <v>87</v>
      </c>
      <c r="AD25" s="84">
        <v>80</v>
      </c>
      <c r="AE25" s="75">
        <v>1.0960000000000001</v>
      </c>
      <c r="AF25" s="75">
        <v>0.98836363636363633</v>
      </c>
      <c r="AG25" s="75">
        <v>1.0476654545454547</v>
      </c>
      <c r="AH25" s="97">
        <v>872.08892400000002</v>
      </c>
      <c r="AI25" s="39">
        <v>152.52345624074638</v>
      </c>
      <c r="AJ25" s="97">
        <v>166.77263378721548</v>
      </c>
      <c r="AK25" s="40">
        <v>331.51993101812178</v>
      </c>
      <c r="AL25" s="168">
        <v>120</v>
      </c>
      <c r="AM25" s="117">
        <v>132</v>
      </c>
      <c r="AN25" s="39">
        <v>138.29184000000001</v>
      </c>
      <c r="AO25" s="39">
        <v>460.97280000000006</v>
      </c>
      <c r="AP25" s="174" t="s">
        <v>184</v>
      </c>
      <c r="AR25" s="141"/>
    </row>
    <row r="26" spans="1:44" x14ac:dyDescent="0.3">
      <c r="A26" s="25" t="s">
        <v>1509</v>
      </c>
      <c r="B26" s="25" t="s">
        <v>119</v>
      </c>
      <c r="C26" s="25" t="s">
        <v>120</v>
      </c>
      <c r="D26" s="25" t="s">
        <v>121</v>
      </c>
      <c r="E26" s="147" t="s">
        <v>77</v>
      </c>
      <c r="F26" s="102" t="s">
        <v>122</v>
      </c>
      <c r="G26" s="149" t="s">
        <v>179</v>
      </c>
      <c r="H26" s="102" t="s">
        <v>79</v>
      </c>
      <c r="I26" s="102" t="s">
        <v>80</v>
      </c>
      <c r="J26" s="102" t="s">
        <v>94</v>
      </c>
      <c r="K26" s="150" t="s">
        <v>82</v>
      </c>
      <c r="L26" s="151" t="s">
        <v>180</v>
      </c>
      <c r="M26" s="102" t="s">
        <v>83</v>
      </c>
      <c r="N26" s="152" t="s">
        <v>103</v>
      </c>
      <c r="O26" s="153">
        <v>0.28000000000000003</v>
      </c>
      <c r="P26" s="149">
        <v>107</v>
      </c>
      <c r="Q26" s="102">
        <v>30</v>
      </c>
      <c r="R26" s="102" t="s">
        <v>87</v>
      </c>
      <c r="S26" s="155" t="s">
        <v>87</v>
      </c>
      <c r="T26" s="153">
        <v>0.8</v>
      </c>
      <c r="U26" s="102">
        <v>100</v>
      </c>
      <c r="V26" s="102">
        <v>533</v>
      </c>
      <c r="W26" s="155">
        <v>433</v>
      </c>
      <c r="X26" s="155">
        <v>237</v>
      </c>
      <c r="Y26" s="149">
        <v>100</v>
      </c>
      <c r="Z26" s="149">
        <v>533</v>
      </c>
      <c r="AA26" s="155">
        <v>433</v>
      </c>
      <c r="AB26" s="155">
        <v>237</v>
      </c>
      <c r="AC26" s="155" t="s">
        <v>87</v>
      </c>
      <c r="AD26" s="155">
        <v>77</v>
      </c>
      <c r="AE26" s="163">
        <v>1.0156000000000001</v>
      </c>
      <c r="AF26" s="163">
        <v>0.93802429906542062</v>
      </c>
      <c r="AG26" s="163">
        <v>0.99430575700934587</v>
      </c>
      <c r="AH26" s="164">
        <v>866.22945600000003</v>
      </c>
      <c r="AI26" s="165">
        <v>164.59797955874166</v>
      </c>
      <c r="AJ26" s="164">
        <v>179.97519361046488</v>
      </c>
      <c r="AK26" s="166">
        <v>357.76471484429049</v>
      </c>
      <c r="AL26" s="169">
        <v>120</v>
      </c>
      <c r="AM26" s="170">
        <v>128.4</v>
      </c>
      <c r="AN26" s="165">
        <v>127.66885920000001</v>
      </c>
      <c r="AO26" s="165">
        <v>425.56286400000005</v>
      </c>
      <c r="AP26" s="175" t="s">
        <v>184</v>
      </c>
      <c r="AQ26" s="172"/>
      <c r="AR26" s="173"/>
    </row>
    <row r="27" spans="1:44" x14ac:dyDescent="0.3">
      <c r="A27" s="25" t="s">
        <v>1509</v>
      </c>
      <c r="B27" s="25" t="s">
        <v>119</v>
      </c>
      <c r="C27" s="25" t="s">
        <v>120</v>
      </c>
      <c r="D27" s="25" t="s">
        <v>121</v>
      </c>
      <c r="E27" s="86" t="s">
        <v>77</v>
      </c>
      <c r="F27" s="47" t="s">
        <v>122</v>
      </c>
      <c r="G27" s="47" t="s">
        <v>185</v>
      </c>
      <c r="H27" s="47" t="s">
        <v>79</v>
      </c>
      <c r="I27" s="47" t="s">
        <v>80</v>
      </c>
      <c r="J27" s="47" t="s">
        <v>94</v>
      </c>
      <c r="K27" s="87" t="s">
        <v>82</v>
      </c>
      <c r="L27" s="47" t="s">
        <v>186</v>
      </c>
      <c r="M27" s="47" t="s">
        <v>83</v>
      </c>
      <c r="N27" s="89" t="s">
        <v>103</v>
      </c>
      <c r="O27" s="90">
        <v>0.28999999999999998</v>
      </c>
      <c r="P27" s="47">
        <v>110</v>
      </c>
      <c r="Q27" s="47">
        <v>30</v>
      </c>
      <c r="R27" s="47" t="s">
        <v>87</v>
      </c>
      <c r="S27" s="84" t="s">
        <v>87</v>
      </c>
      <c r="T27" s="92">
        <v>0.8</v>
      </c>
      <c r="U27" s="47">
        <v>300</v>
      </c>
      <c r="V27" s="47">
        <v>590</v>
      </c>
      <c r="W27" s="84">
        <v>290</v>
      </c>
      <c r="X27" s="93">
        <v>210</v>
      </c>
      <c r="Y27" s="47">
        <v>200</v>
      </c>
      <c r="Z27" s="47">
        <v>600</v>
      </c>
      <c r="AA27" s="84">
        <v>400</v>
      </c>
      <c r="AB27" s="93">
        <v>200</v>
      </c>
      <c r="AC27" s="84" t="s">
        <v>87</v>
      </c>
      <c r="AD27" s="84">
        <v>80</v>
      </c>
      <c r="AE27" s="75">
        <v>1.032</v>
      </c>
      <c r="AF27" s="75">
        <v>0.94763636363636372</v>
      </c>
      <c r="AG27" s="75">
        <v>1.0044945454545455</v>
      </c>
      <c r="AH27" s="97">
        <v>866.88050800000008</v>
      </c>
      <c r="AI27" s="117">
        <v>161.98227523242059</v>
      </c>
      <c r="AJ27" s="97">
        <v>177.11512270425209</v>
      </c>
      <c r="AK27" s="40">
        <v>352.07930658513709</v>
      </c>
      <c r="AL27" s="41">
        <v>177</v>
      </c>
      <c r="AM27" s="39">
        <v>194.7</v>
      </c>
      <c r="AN27" s="39">
        <v>195.57508799999999</v>
      </c>
      <c r="AO27" s="39">
        <v>651.91696000000002</v>
      </c>
      <c r="AP27" s="107"/>
      <c r="AQ27" s="176" t="s">
        <v>187</v>
      </c>
      <c r="AR27" s="177"/>
    </row>
    <row r="28" spans="1:44" ht="82.5" x14ac:dyDescent="0.3">
      <c r="A28" s="25" t="s">
        <v>1509</v>
      </c>
      <c r="B28" s="25" t="s">
        <v>119</v>
      </c>
      <c r="C28" s="25" t="s">
        <v>120</v>
      </c>
      <c r="D28" s="25" t="s">
        <v>121</v>
      </c>
      <c r="E28" s="86" t="s">
        <v>77</v>
      </c>
      <c r="F28" s="47" t="s">
        <v>122</v>
      </c>
      <c r="G28" s="47" t="s">
        <v>188</v>
      </c>
      <c r="H28" s="47" t="s">
        <v>101</v>
      </c>
      <c r="I28" s="47" t="s">
        <v>80</v>
      </c>
      <c r="J28" s="47" t="s">
        <v>94</v>
      </c>
      <c r="K28" s="87" t="s">
        <v>82</v>
      </c>
      <c r="L28" s="91" t="s">
        <v>186</v>
      </c>
      <c r="M28" s="47" t="s">
        <v>83</v>
      </c>
      <c r="N28" s="89" t="s">
        <v>103</v>
      </c>
      <c r="O28" s="90">
        <v>0.27</v>
      </c>
      <c r="P28" s="47">
        <v>98</v>
      </c>
      <c r="Q28" s="142">
        <v>5</v>
      </c>
      <c r="R28" s="47" t="s">
        <v>87</v>
      </c>
      <c r="S28" s="84" t="s">
        <v>87</v>
      </c>
      <c r="T28" s="92">
        <v>0.8</v>
      </c>
      <c r="U28" s="47">
        <v>230</v>
      </c>
      <c r="V28" s="47">
        <v>800</v>
      </c>
      <c r="W28" s="84">
        <v>570</v>
      </c>
      <c r="X28" s="93">
        <v>130</v>
      </c>
      <c r="Y28" s="47">
        <v>230</v>
      </c>
      <c r="Z28" s="47">
        <v>800</v>
      </c>
      <c r="AA28" s="84">
        <v>570</v>
      </c>
      <c r="AB28" s="93">
        <v>130</v>
      </c>
      <c r="AC28" s="84" t="s">
        <v>87</v>
      </c>
      <c r="AD28" s="84">
        <v>93</v>
      </c>
      <c r="AE28" s="75">
        <v>1.0510999999999999</v>
      </c>
      <c r="AF28" s="75">
        <v>0.93195561224489787</v>
      </c>
      <c r="AG28" s="75">
        <v>0.98787294897959166</v>
      </c>
      <c r="AH28" s="97">
        <v>865.57840400000009</v>
      </c>
      <c r="AI28" s="117">
        <v>159.03882412696987</v>
      </c>
      <c r="AJ28" s="97">
        <v>173.89668597734581</v>
      </c>
      <c r="AK28" s="40">
        <v>345.68151878590186</v>
      </c>
      <c r="AL28" s="41">
        <v>174</v>
      </c>
      <c r="AM28" s="39">
        <v>170.52</v>
      </c>
      <c r="AN28" s="39">
        <v>168.45209525999999</v>
      </c>
      <c r="AO28" s="39">
        <v>3369.0419051999997</v>
      </c>
      <c r="AP28" s="47" t="s">
        <v>206</v>
      </c>
      <c r="AQ28" s="180" t="s">
        <v>207</v>
      </c>
      <c r="AR28" s="88"/>
    </row>
    <row r="29" spans="1:44" x14ac:dyDescent="0.3">
      <c r="A29" s="25" t="s">
        <v>1509</v>
      </c>
      <c r="B29" s="25" t="s">
        <v>119</v>
      </c>
      <c r="C29" s="25" t="s">
        <v>120</v>
      </c>
      <c r="D29" s="25" t="s">
        <v>121</v>
      </c>
      <c r="E29" s="86" t="s">
        <v>77</v>
      </c>
      <c r="F29" s="47" t="s">
        <v>122</v>
      </c>
      <c r="G29" s="47" t="s">
        <v>189</v>
      </c>
      <c r="H29" s="47" t="s">
        <v>101</v>
      </c>
      <c r="I29" s="47" t="s">
        <v>80</v>
      </c>
      <c r="J29" s="47" t="s">
        <v>94</v>
      </c>
      <c r="K29" s="87" t="s">
        <v>82</v>
      </c>
      <c r="L29" s="91"/>
      <c r="M29" s="47" t="s">
        <v>83</v>
      </c>
      <c r="N29" s="89" t="s">
        <v>103</v>
      </c>
      <c r="O29" s="90">
        <v>0.27</v>
      </c>
      <c r="P29" s="47">
        <v>108</v>
      </c>
      <c r="Q29" s="142">
        <v>10</v>
      </c>
      <c r="R29" s="47" t="s">
        <v>87</v>
      </c>
      <c r="S29" s="84" t="s">
        <v>87</v>
      </c>
      <c r="T29" s="92">
        <v>0.8</v>
      </c>
      <c r="U29" s="47">
        <v>200</v>
      </c>
      <c r="V29" s="47">
        <v>850</v>
      </c>
      <c r="W29" s="84">
        <v>650</v>
      </c>
      <c r="X29" s="93">
        <v>130</v>
      </c>
      <c r="Y29" s="47">
        <v>200</v>
      </c>
      <c r="Z29" s="47">
        <v>850</v>
      </c>
      <c r="AA29" s="84">
        <v>650</v>
      </c>
      <c r="AB29" s="93">
        <v>130</v>
      </c>
      <c r="AC29" s="84" t="s">
        <v>87</v>
      </c>
      <c r="AD29" s="84">
        <v>98</v>
      </c>
      <c r="AE29" s="75">
        <v>1.0646</v>
      </c>
      <c r="AF29" s="75">
        <v>0.94455000000000011</v>
      </c>
      <c r="AG29" s="75">
        <v>1.0012230000000002</v>
      </c>
      <c r="AH29" s="97">
        <v>865.57840400000009</v>
      </c>
      <c r="AI29" s="117">
        <v>157.02208157040957</v>
      </c>
      <c r="AJ29" s="97">
        <v>171.69153356264152</v>
      </c>
      <c r="AK29" s="40">
        <v>341.29799398446505</v>
      </c>
      <c r="AL29" s="41">
        <v>172</v>
      </c>
      <c r="AM29" s="39">
        <v>185.76</v>
      </c>
      <c r="AN29" s="39">
        <v>185.98718448000002</v>
      </c>
      <c r="AO29" s="39">
        <v>1859.8718448000002</v>
      </c>
      <c r="AP29" s="47" t="s">
        <v>208</v>
      </c>
      <c r="AQ29" s="176"/>
      <c r="AR29" s="88"/>
    </row>
    <row r="30" spans="1:44" x14ac:dyDescent="0.3">
      <c r="A30" s="25" t="s">
        <v>1509</v>
      </c>
      <c r="B30" s="25" t="s">
        <v>119</v>
      </c>
      <c r="C30" s="25" t="s">
        <v>120</v>
      </c>
      <c r="D30" s="25" t="s">
        <v>121</v>
      </c>
      <c r="E30" s="86" t="s">
        <v>77</v>
      </c>
      <c r="F30" s="47" t="s">
        <v>122</v>
      </c>
      <c r="G30" s="47" t="s">
        <v>190</v>
      </c>
      <c r="H30" s="47" t="s">
        <v>101</v>
      </c>
      <c r="I30" s="47" t="s">
        <v>80</v>
      </c>
      <c r="J30" s="47" t="s">
        <v>94</v>
      </c>
      <c r="K30" s="87" t="s">
        <v>82</v>
      </c>
      <c r="L30" s="91" t="s">
        <v>186</v>
      </c>
      <c r="M30" s="47" t="s">
        <v>83</v>
      </c>
      <c r="N30" s="89" t="s">
        <v>103</v>
      </c>
      <c r="O30" s="90">
        <v>0.27</v>
      </c>
      <c r="P30" s="47">
        <v>103</v>
      </c>
      <c r="Q30" s="142">
        <v>5</v>
      </c>
      <c r="R30" s="47" t="s">
        <v>87</v>
      </c>
      <c r="S30" s="84" t="s">
        <v>87</v>
      </c>
      <c r="T30" s="92">
        <v>0.8</v>
      </c>
      <c r="U30" s="47">
        <v>230</v>
      </c>
      <c r="V30" s="47">
        <v>850</v>
      </c>
      <c r="W30" s="84">
        <v>620</v>
      </c>
      <c r="X30" s="93">
        <v>130</v>
      </c>
      <c r="Y30" s="47">
        <v>230</v>
      </c>
      <c r="Z30" s="47">
        <v>850</v>
      </c>
      <c r="AA30" s="84">
        <v>620</v>
      </c>
      <c r="AB30" s="93">
        <v>130</v>
      </c>
      <c r="AC30" s="84" t="s">
        <v>87</v>
      </c>
      <c r="AD30" s="84">
        <v>98</v>
      </c>
      <c r="AE30" s="75">
        <v>1.0646</v>
      </c>
      <c r="AF30" s="75">
        <v>0.93872233009708739</v>
      </c>
      <c r="AG30" s="75">
        <v>0.99504566990291266</v>
      </c>
      <c r="AH30" s="97">
        <v>865.57840400000009</v>
      </c>
      <c r="AI30" s="117">
        <v>157.02208157040957</v>
      </c>
      <c r="AJ30" s="97">
        <v>171.69153356264152</v>
      </c>
      <c r="AK30" s="40">
        <v>341.29799398446505</v>
      </c>
      <c r="AL30" s="41">
        <v>172</v>
      </c>
      <c r="AM30" s="39">
        <v>177.16</v>
      </c>
      <c r="AN30" s="39">
        <v>176.28229088000001</v>
      </c>
      <c r="AO30" s="39">
        <v>3525.6458176000001</v>
      </c>
      <c r="AP30" s="47" t="s">
        <v>206</v>
      </c>
      <c r="AQ30" s="176" t="s">
        <v>209</v>
      </c>
      <c r="AR30" s="88"/>
    </row>
    <row r="31" spans="1:44" x14ac:dyDescent="0.3">
      <c r="A31" s="25" t="s">
        <v>1509</v>
      </c>
      <c r="B31" s="25" t="s">
        <v>119</v>
      </c>
      <c r="C31" s="25" t="s">
        <v>120</v>
      </c>
      <c r="D31" s="25" t="s">
        <v>121</v>
      </c>
      <c r="E31" s="86" t="s">
        <v>77</v>
      </c>
      <c r="F31" s="47" t="s">
        <v>122</v>
      </c>
      <c r="G31" s="47" t="s">
        <v>191</v>
      </c>
      <c r="H31" s="47" t="s">
        <v>101</v>
      </c>
      <c r="I31" s="47" t="s">
        <v>80</v>
      </c>
      <c r="J31" s="47" t="s">
        <v>94</v>
      </c>
      <c r="K31" s="87" t="s">
        <v>82</v>
      </c>
      <c r="L31" s="91"/>
      <c r="M31" s="47" t="s">
        <v>83</v>
      </c>
      <c r="N31" s="89" t="s">
        <v>103</v>
      </c>
      <c r="O31" s="90">
        <v>0.27</v>
      </c>
      <c r="P31" s="47">
        <v>112</v>
      </c>
      <c r="Q31" s="142">
        <v>10</v>
      </c>
      <c r="R31" s="47" t="s">
        <v>87</v>
      </c>
      <c r="S31" s="84" t="s">
        <v>87</v>
      </c>
      <c r="T31" s="92">
        <v>0.8</v>
      </c>
      <c r="U31" s="47">
        <v>200</v>
      </c>
      <c r="V31" s="47">
        <v>890</v>
      </c>
      <c r="W31" s="84">
        <v>690</v>
      </c>
      <c r="X31" s="93">
        <v>130</v>
      </c>
      <c r="Y31" s="47">
        <v>200</v>
      </c>
      <c r="Z31" s="47">
        <v>890</v>
      </c>
      <c r="AA31" s="84">
        <v>690</v>
      </c>
      <c r="AB31" s="93">
        <v>130</v>
      </c>
      <c r="AC31" s="84" t="s">
        <v>87</v>
      </c>
      <c r="AD31" s="84">
        <v>102</v>
      </c>
      <c r="AE31" s="75">
        <v>1.0754000000000001</v>
      </c>
      <c r="AF31" s="75">
        <v>0.94999464285714297</v>
      </c>
      <c r="AG31" s="75">
        <v>1.0069943214285715</v>
      </c>
      <c r="AH31" s="97">
        <v>865.57840400000009</v>
      </c>
      <c r="AI31" s="117">
        <v>155.44514416947928</v>
      </c>
      <c r="AJ31" s="97">
        <v>169.96727415918559</v>
      </c>
      <c r="AK31" s="40">
        <v>337.87041509750924</v>
      </c>
      <c r="AL31" s="41">
        <v>170</v>
      </c>
      <c r="AM31" s="39">
        <v>190.4</v>
      </c>
      <c r="AN31" s="39">
        <v>191.73171880000001</v>
      </c>
      <c r="AO31" s="39">
        <v>1917.317188</v>
      </c>
      <c r="AP31" s="47" t="s">
        <v>208</v>
      </c>
      <c r="AQ31" s="176"/>
      <c r="AR31" s="88"/>
    </row>
    <row r="32" spans="1:44" x14ac:dyDescent="0.3">
      <c r="A32" s="25" t="s">
        <v>1509</v>
      </c>
      <c r="B32" s="25" t="s">
        <v>119</v>
      </c>
      <c r="C32" s="25" t="s">
        <v>120</v>
      </c>
      <c r="D32" s="25" t="s">
        <v>121</v>
      </c>
      <c r="E32" s="26" t="s">
        <v>77</v>
      </c>
      <c r="F32" s="27" t="s">
        <v>78</v>
      </c>
      <c r="G32" s="25" t="s">
        <v>192</v>
      </c>
      <c r="H32" s="25" t="s">
        <v>101</v>
      </c>
      <c r="I32" s="25" t="s">
        <v>80</v>
      </c>
      <c r="J32" s="25" t="s">
        <v>94</v>
      </c>
      <c r="K32" s="30" t="s">
        <v>82</v>
      </c>
      <c r="L32" s="25" t="s">
        <v>193</v>
      </c>
      <c r="M32" s="25" t="s">
        <v>83</v>
      </c>
      <c r="N32" s="74" t="s">
        <v>103</v>
      </c>
      <c r="O32" s="61">
        <v>0.7</v>
      </c>
      <c r="P32" s="25">
        <v>102</v>
      </c>
      <c r="Q32" s="25">
        <v>30</v>
      </c>
      <c r="R32" s="25" t="s">
        <v>87</v>
      </c>
      <c r="S32" s="34" t="s">
        <v>87</v>
      </c>
      <c r="T32" s="35">
        <v>0.8</v>
      </c>
      <c r="U32" s="25">
        <v>263</v>
      </c>
      <c r="V32" s="25">
        <v>538</v>
      </c>
      <c r="W32" s="34">
        <v>275</v>
      </c>
      <c r="X32" s="36">
        <v>182</v>
      </c>
      <c r="Y32" s="25">
        <v>200</v>
      </c>
      <c r="Z32" s="25">
        <v>600</v>
      </c>
      <c r="AA32" s="34">
        <v>400</v>
      </c>
      <c r="AB32" s="36">
        <v>120</v>
      </c>
      <c r="AC32" s="34" t="s">
        <v>87</v>
      </c>
      <c r="AD32" s="34">
        <v>72</v>
      </c>
      <c r="AE32" s="37">
        <v>1.304</v>
      </c>
      <c r="AF32" s="37">
        <v>1.1261176470588237</v>
      </c>
      <c r="AG32" s="37">
        <v>1.193684705882353</v>
      </c>
      <c r="AH32" s="38">
        <v>893.57364000000007</v>
      </c>
      <c r="AI32" s="117">
        <v>128.19456138025922</v>
      </c>
      <c r="AJ32" s="38">
        <v>140.17086398066576</v>
      </c>
      <c r="AK32" s="40">
        <v>278.63945122382012</v>
      </c>
      <c r="AL32" s="41">
        <v>50</v>
      </c>
      <c r="AM32" s="39">
        <v>51</v>
      </c>
      <c r="AN32" s="39">
        <v>60.877920000000003</v>
      </c>
      <c r="AO32" s="39">
        <v>202.92640000000003</v>
      </c>
      <c r="AP32" s="25" t="s">
        <v>210</v>
      </c>
      <c r="AQ32" s="62"/>
      <c r="AR32" s="43" t="s">
        <v>211</v>
      </c>
    </row>
    <row r="33" spans="1:44" x14ac:dyDescent="0.3">
      <c r="A33" s="25" t="s">
        <v>1509</v>
      </c>
      <c r="B33" s="25" t="s">
        <v>119</v>
      </c>
      <c r="C33" s="25" t="s">
        <v>120</v>
      </c>
      <c r="D33" s="25" t="s">
        <v>121</v>
      </c>
      <c r="E33" s="26" t="s">
        <v>77</v>
      </c>
      <c r="F33" s="27" t="s">
        <v>78</v>
      </c>
      <c r="G33" s="25" t="s">
        <v>194</v>
      </c>
      <c r="H33" s="25" t="s">
        <v>101</v>
      </c>
      <c r="I33" s="25" t="s">
        <v>80</v>
      </c>
      <c r="J33" s="25" t="s">
        <v>94</v>
      </c>
      <c r="K33" s="30" t="s">
        <v>82</v>
      </c>
      <c r="L33" s="25" t="s">
        <v>195</v>
      </c>
      <c r="M33" s="25" t="s">
        <v>83</v>
      </c>
      <c r="N33" s="74" t="s">
        <v>103</v>
      </c>
      <c r="O33" s="61">
        <v>0.46</v>
      </c>
      <c r="P33" s="142">
        <v>130</v>
      </c>
      <c r="Q33" s="25">
        <v>30</v>
      </c>
      <c r="R33" s="25" t="s">
        <v>87</v>
      </c>
      <c r="S33" s="34" t="s">
        <v>87</v>
      </c>
      <c r="T33" s="35">
        <v>0.8</v>
      </c>
      <c r="U33" s="25">
        <v>200</v>
      </c>
      <c r="V33" s="25">
        <v>600</v>
      </c>
      <c r="W33" s="34">
        <v>400</v>
      </c>
      <c r="X33" s="36">
        <v>400</v>
      </c>
      <c r="Y33" s="25">
        <v>150</v>
      </c>
      <c r="Z33" s="25">
        <v>600</v>
      </c>
      <c r="AA33" s="34">
        <v>450</v>
      </c>
      <c r="AB33" s="36">
        <v>400</v>
      </c>
      <c r="AC33" s="34" t="s">
        <v>87</v>
      </c>
      <c r="AD33" s="34">
        <v>100</v>
      </c>
      <c r="AE33" s="37">
        <v>1.26</v>
      </c>
      <c r="AF33" s="37">
        <v>1.0830769230769233</v>
      </c>
      <c r="AG33" s="37">
        <v>1.1480615384615387</v>
      </c>
      <c r="AH33" s="38">
        <v>877.94839200000001</v>
      </c>
      <c r="AI33" s="117">
        <v>132.6711968570302</v>
      </c>
      <c r="AJ33" s="38">
        <v>145.06571954824457</v>
      </c>
      <c r="AK33" s="40">
        <v>288.36971777449321</v>
      </c>
      <c r="AL33" s="41">
        <v>120</v>
      </c>
      <c r="AM33" s="39">
        <v>156</v>
      </c>
      <c r="AN33" s="39">
        <v>179.09760000000003</v>
      </c>
      <c r="AO33" s="39">
        <v>596.99200000000008</v>
      </c>
      <c r="AP33" s="25" t="s">
        <v>212</v>
      </c>
      <c r="AQ33" s="62" t="s">
        <v>213</v>
      </c>
      <c r="AR33" s="43"/>
    </row>
    <row r="34" spans="1:44" x14ac:dyDescent="0.3">
      <c r="A34" s="25" t="s">
        <v>1509</v>
      </c>
      <c r="B34" s="25" t="s">
        <v>119</v>
      </c>
      <c r="C34" s="25" t="s">
        <v>120</v>
      </c>
      <c r="D34" s="25" t="s">
        <v>121</v>
      </c>
      <c r="E34" s="26" t="s">
        <v>77</v>
      </c>
      <c r="F34" s="27" t="s">
        <v>78</v>
      </c>
      <c r="G34" s="25" t="s">
        <v>196</v>
      </c>
      <c r="H34" s="25" t="s">
        <v>101</v>
      </c>
      <c r="I34" s="25" t="s">
        <v>80</v>
      </c>
      <c r="J34" s="25" t="s">
        <v>94</v>
      </c>
      <c r="K34" s="30" t="s">
        <v>82</v>
      </c>
      <c r="L34" s="25" t="s">
        <v>197</v>
      </c>
      <c r="M34" s="25" t="s">
        <v>83</v>
      </c>
      <c r="N34" s="74" t="s">
        <v>103</v>
      </c>
      <c r="O34" s="61">
        <v>0.5</v>
      </c>
      <c r="P34" s="25">
        <v>98</v>
      </c>
      <c r="Q34" s="25">
        <v>30</v>
      </c>
      <c r="R34" s="25" t="s">
        <v>87</v>
      </c>
      <c r="S34" s="34" t="s">
        <v>87</v>
      </c>
      <c r="T34" s="35">
        <v>0.8</v>
      </c>
      <c r="U34" s="25">
        <v>160</v>
      </c>
      <c r="V34" s="25">
        <v>560</v>
      </c>
      <c r="W34" s="34">
        <v>400</v>
      </c>
      <c r="X34" s="36">
        <v>120</v>
      </c>
      <c r="Y34" s="25">
        <v>150</v>
      </c>
      <c r="Z34" s="25">
        <v>600</v>
      </c>
      <c r="AA34" s="34">
        <v>450</v>
      </c>
      <c r="AB34" s="36">
        <v>80</v>
      </c>
      <c r="AC34" s="34" t="s">
        <v>87</v>
      </c>
      <c r="AD34" s="34">
        <v>68</v>
      </c>
      <c r="AE34" s="37">
        <v>1.1400000000000001</v>
      </c>
      <c r="AF34" s="37">
        <v>1.0220408163265307</v>
      </c>
      <c r="AG34" s="37">
        <v>1.0833632653061225</v>
      </c>
      <c r="AH34" s="38">
        <v>880.5526000000001</v>
      </c>
      <c r="AI34" s="117">
        <v>146.63658599987545</v>
      </c>
      <c r="AJ34" s="38">
        <v>160.33579529016504</v>
      </c>
      <c r="AK34" s="40">
        <v>318.72442490865035</v>
      </c>
      <c r="AL34" s="41">
        <v>120</v>
      </c>
      <c r="AM34" s="39">
        <v>117.6</v>
      </c>
      <c r="AN34" s="39">
        <v>127.40352</v>
      </c>
      <c r="AO34" s="39">
        <v>424.67840000000001</v>
      </c>
      <c r="AP34" s="25" t="s">
        <v>212</v>
      </c>
      <c r="AQ34" s="62" t="s">
        <v>214</v>
      </c>
      <c r="AR34" s="43"/>
    </row>
    <row r="35" spans="1:44" x14ac:dyDescent="0.3">
      <c r="A35" s="25" t="s">
        <v>1509</v>
      </c>
      <c r="B35" s="25" t="s">
        <v>119</v>
      </c>
      <c r="C35" s="25" t="s">
        <v>120</v>
      </c>
      <c r="D35" s="25" t="s">
        <v>121</v>
      </c>
      <c r="E35" s="26" t="s">
        <v>77</v>
      </c>
      <c r="F35" s="27" t="s">
        <v>78</v>
      </c>
      <c r="G35" s="25" t="s">
        <v>198</v>
      </c>
      <c r="H35" s="25" t="s">
        <v>101</v>
      </c>
      <c r="I35" s="25" t="s">
        <v>80</v>
      </c>
      <c r="J35" s="25" t="s">
        <v>94</v>
      </c>
      <c r="K35" s="30" t="s">
        <v>82</v>
      </c>
      <c r="L35" s="25" t="s">
        <v>199</v>
      </c>
      <c r="M35" s="25" t="s">
        <v>83</v>
      </c>
      <c r="N35" s="74" t="s">
        <v>103</v>
      </c>
      <c r="O35" s="61">
        <v>0.54</v>
      </c>
      <c r="P35" s="25">
        <v>100</v>
      </c>
      <c r="Q35" s="25">
        <v>30</v>
      </c>
      <c r="R35" s="25" t="s">
        <v>87</v>
      </c>
      <c r="S35" s="34" t="s">
        <v>87</v>
      </c>
      <c r="T35" s="35">
        <v>0.8</v>
      </c>
      <c r="U35" s="25">
        <v>180</v>
      </c>
      <c r="V35" s="25">
        <v>580</v>
      </c>
      <c r="W35" s="34">
        <v>400</v>
      </c>
      <c r="X35" s="36">
        <v>120</v>
      </c>
      <c r="Y35" s="25">
        <v>150</v>
      </c>
      <c r="Z35" s="25">
        <v>600</v>
      </c>
      <c r="AA35" s="34">
        <v>450</v>
      </c>
      <c r="AB35" s="36">
        <v>100</v>
      </c>
      <c r="AC35" s="34" t="s">
        <v>87</v>
      </c>
      <c r="AD35" s="34">
        <v>70</v>
      </c>
      <c r="AE35" s="37">
        <v>1.1779999999999999</v>
      </c>
      <c r="AF35" s="37">
        <v>1.0456999999999999</v>
      </c>
      <c r="AG35" s="37">
        <v>1.1084419999999999</v>
      </c>
      <c r="AH35" s="38">
        <v>883.15680800000007</v>
      </c>
      <c r="AI35" s="117">
        <v>141.9063735482666</v>
      </c>
      <c r="AJ35" s="38">
        <v>155.1636728614501</v>
      </c>
      <c r="AK35" s="40">
        <v>308.44299184708109</v>
      </c>
      <c r="AL35" s="41">
        <v>120</v>
      </c>
      <c r="AM35" s="39">
        <v>120</v>
      </c>
      <c r="AN35" s="39">
        <v>133.01303999999999</v>
      </c>
      <c r="AO35" s="39">
        <v>443.3768</v>
      </c>
      <c r="AP35" s="25" t="s">
        <v>212</v>
      </c>
      <c r="AQ35" s="62" t="s">
        <v>215</v>
      </c>
      <c r="AR35" s="43"/>
    </row>
    <row r="36" spans="1:44" x14ac:dyDescent="0.3">
      <c r="A36" s="25" t="s">
        <v>1509</v>
      </c>
      <c r="B36" s="25" t="s">
        <v>119</v>
      </c>
      <c r="C36" s="25" t="s">
        <v>120</v>
      </c>
      <c r="D36" s="25" t="s">
        <v>121</v>
      </c>
      <c r="E36" s="86" t="s">
        <v>77</v>
      </c>
      <c r="F36" s="47" t="s">
        <v>122</v>
      </c>
      <c r="G36" s="88" t="s">
        <v>200</v>
      </c>
      <c r="H36" s="47"/>
      <c r="I36" s="47"/>
      <c r="J36" s="47"/>
      <c r="K36" s="87" t="s">
        <v>82</v>
      </c>
      <c r="L36" s="47" t="s">
        <v>201</v>
      </c>
      <c r="M36" s="47" t="s">
        <v>83</v>
      </c>
      <c r="N36" s="89" t="s">
        <v>103</v>
      </c>
      <c r="O36" s="90"/>
      <c r="P36" s="179"/>
      <c r="Q36" s="47"/>
      <c r="R36" s="47"/>
      <c r="S36" s="84"/>
      <c r="T36" s="92"/>
      <c r="U36" s="47"/>
      <c r="V36" s="47"/>
      <c r="W36" s="84"/>
      <c r="X36" s="93"/>
      <c r="Y36" s="47"/>
      <c r="Z36" s="47"/>
      <c r="AA36" s="84"/>
      <c r="AB36" s="93"/>
      <c r="AC36" s="84"/>
      <c r="AD36" s="84"/>
      <c r="AE36" s="75"/>
      <c r="AF36" s="75"/>
      <c r="AG36" s="75"/>
      <c r="AH36" s="97"/>
      <c r="AI36" s="117"/>
      <c r="AJ36" s="97"/>
      <c r="AK36" s="40"/>
      <c r="AL36" s="41"/>
      <c r="AM36" s="39"/>
      <c r="AN36" s="39"/>
      <c r="AO36" s="39"/>
      <c r="AP36" s="47" t="s">
        <v>87</v>
      </c>
      <c r="AQ36" s="62"/>
      <c r="AR36" s="88" t="s">
        <v>216</v>
      </c>
    </row>
    <row r="37" spans="1:44" x14ac:dyDescent="0.3">
      <c r="A37" s="25" t="s">
        <v>1509</v>
      </c>
      <c r="B37" s="25" t="s">
        <v>119</v>
      </c>
      <c r="C37" s="25" t="s">
        <v>120</v>
      </c>
      <c r="D37" s="25" t="s">
        <v>121</v>
      </c>
      <c r="E37" s="26" t="s">
        <v>77</v>
      </c>
      <c r="F37" s="27" t="s">
        <v>78</v>
      </c>
      <c r="G37" s="25" t="s">
        <v>202</v>
      </c>
      <c r="H37" s="25" t="s">
        <v>101</v>
      </c>
      <c r="I37" s="25" t="s">
        <v>80</v>
      </c>
      <c r="J37" s="25" t="s">
        <v>94</v>
      </c>
      <c r="K37" s="30" t="s">
        <v>82</v>
      </c>
      <c r="L37" s="25" t="s">
        <v>203</v>
      </c>
      <c r="M37" s="25" t="s">
        <v>83</v>
      </c>
      <c r="N37" s="74" t="s">
        <v>103</v>
      </c>
      <c r="O37" s="61">
        <v>0.2</v>
      </c>
      <c r="P37" s="25">
        <v>106</v>
      </c>
      <c r="Q37" s="25">
        <v>30</v>
      </c>
      <c r="R37" s="25" t="s">
        <v>87</v>
      </c>
      <c r="S37" s="34" t="s">
        <v>87</v>
      </c>
      <c r="T37" s="35">
        <v>0.8</v>
      </c>
      <c r="U37" s="25">
        <v>200</v>
      </c>
      <c r="V37" s="25">
        <v>600</v>
      </c>
      <c r="W37" s="34">
        <v>400</v>
      </c>
      <c r="X37" s="36">
        <v>160</v>
      </c>
      <c r="Y37" s="25">
        <v>150</v>
      </c>
      <c r="Z37" s="25">
        <v>600</v>
      </c>
      <c r="AA37" s="34">
        <v>450</v>
      </c>
      <c r="AB37" s="36">
        <v>160</v>
      </c>
      <c r="AC37" s="34" t="s">
        <v>87</v>
      </c>
      <c r="AD37" s="34">
        <v>76</v>
      </c>
      <c r="AE37" s="37">
        <v>0.95200000000000007</v>
      </c>
      <c r="AF37" s="37">
        <v>0.89750943396226424</v>
      </c>
      <c r="AG37" s="37">
        <v>0.95136000000000009</v>
      </c>
      <c r="AH37" s="38">
        <v>861.02103999999997</v>
      </c>
      <c r="AI37" s="117">
        <v>175.59423113430464</v>
      </c>
      <c r="AJ37" s="38">
        <v>191.99874646091195</v>
      </c>
      <c r="AK37" s="40">
        <v>381.66580293682927</v>
      </c>
      <c r="AL37" s="41">
        <v>120</v>
      </c>
      <c r="AM37" s="39">
        <v>127.2</v>
      </c>
      <c r="AN37" s="39">
        <v>121.01299200000001</v>
      </c>
      <c r="AO37" s="39">
        <v>403.37664000000007</v>
      </c>
      <c r="AP37" s="25" t="s">
        <v>212</v>
      </c>
      <c r="AQ37" s="62" t="s">
        <v>217</v>
      </c>
      <c r="AR37" s="43"/>
    </row>
    <row r="38" spans="1:44" x14ac:dyDescent="0.3">
      <c r="A38" s="25" t="s">
        <v>1509</v>
      </c>
      <c r="B38" s="25" t="s">
        <v>119</v>
      </c>
      <c r="C38" s="25" t="s">
        <v>120</v>
      </c>
      <c r="D38" s="25" t="s">
        <v>121</v>
      </c>
      <c r="E38" s="26" t="s">
        <v>77</v>
      </c>
      <c r="F38" s="27" t="s">
        <v>78</v>
      </c>
      <c r="G38" s="25" t="s">
        <v>204</v>
      </c>
      <c r="H38" s="25" t="s">
        <v>101</v>
      </c>
      <c r="I38" s="25" t="s">
        <v>80</v>
      </c>
      <c r="J38" s="25" t="s">
        <v>94</v>
      </c>
      <c r="K38" s="30" t="s">
        <v>82</v>
      </c>
      <c r="L38" s="43" t="s">
        <v>205</v>
      </c>
      <c r="M38" s="25" t="s">
        <v>83</v>
      </c>
      <c r="N38" s="74" t="s">
        <v>103</v>
      </c>
      <c r="O38" s="61">
        <v>0.54</v>
      </c>
      <c r="P38" s="25">
        <v>105</v>
      </c>
      <c r="Q38" s="25">
        <v>30</v>
      </c>
      <c r="R38" s="25" t="s">
        <v>87</v>
      </c>
      <c r="S38" s="34" t="s">
        <v>87</v>
      </c>
      <c r="T38" s="35">
        <v>0.8</v>
      </c>
      <c r="U38" s="25">
        <v>200</v>
      </c>
      <c r="V38" s="25">
        <v>600</v>
      </c>
      <c r="W38" s="34">
        <v>400</v>
      </c>
      <c r="X38" s="36">
        <v>150</v>
      </c>
      <c r="Y38" s="25">
        <v>150</v>
      </c>
      <c r="Z38" s="25">
        <v>600</v>
      </c>
      <c r="AA38" s="34">
        <v>450</v>
      </c>
      <c r="AB38" s="36">
        <v>150</v>
      </c>
      <c r="AC38" s="34" t="s">
        <v>87</v>
      </c>
      <c r="AD38" s="34">
        <v>75</v>
      </c>
      <c r="AE38" s="37">
        <v>1.2050000000000001</v>
      </c>
      <c r="AF38" s="37">
        <v>1.060357142857143</v>
      </c>
      <c r="AG38" s="37">
        <v>1.1239785714285717</v>
      </c>
      <c r="AH38" s="38">
        <v>883.15680800000007</v>
      </c>
      <c r="AI38" s="117">
        <v>138.72672866378261</v>
      </c>
      <c r="AJ38" s="38">
        <v>151.68697645708559</v>
      </c>
      <c r="AK38" s="40">
        <v>301.53182107540368</v>
      </c>
      <c r="AL38" s="41">
        <v>152</v>
      </c>
      <c r="AM38" s="39">
        <v>159.6</v>
      </c>
      <c r="AN38" s="39">
        <v>179.38698000000005</v>
      </c>
      <c r="AO38" s="39">
        <v>597.95660000000021</v>
      </c>
      <c r="AP38" s="25" t="s">
        <v>218</v>
      </c>
      <c r="AQ38" s="62" t="s">
        <v>219</v>
      </c>
      <c r="AR38" s="43" t="s">
        <v>220</v>
      </c>
    </row>
    <row r="39" spans="1:44" x14ac:dyDescent="0.3">
      <c r="A39" s="25" t="s">
        <v>1509</v>
      </c>
      <c r="B39" s="25" t="s">
        <v>119</v>
      </c>
      <c r="C39" s="25" t="s">
        <v>120</v>
      </c>
      <c r="D39" s="25" t="s">
        <v>121</v>
      </c>
      <c r="E39" s="26" t="s">
        <v>77</v>
      </c>
      <c r="F39" s="27" t="s">
        <v>78</v>
      </c>
      <c r="G39" s="25" t="s">
        <v>221</v>
      </c>
      <c r="H39" s="25" t="s">
        <v>101</v>
      </c>
      <c r="I39" s="25" t="s">
        <v>80</v>
      </c>
      <c r="J39" s="25" t="s">
        <v>94</v>
      </c>
      <c r="K39" s="30" t="s">
        <v>82</v>
      </c>
      <c r="L39" s="25" t="s">
        <v>222</v>
      </c>
      <c r="M39" s="25" t="s">
        <v>83</v>
      </c>
      <c r="N39" s="74" t="s">
        <v>103</v>
      </c>
      <c r="O39" s="61">
        <v>0.57999999999999996</v>
      </c>
      <c r="P39" s="25">
        <v>103</v>
      </c>
      <c r="Q39" s="25">
        <v>30</v>
      </c>
      <c r="R39" s="25" t="s">
        <v>87</v>
      </c>
      <c r="S39" s="34" t="s">
        <v>87</v>
      </c>
      <c r="T39" s="35">
        <v>0.8</v>
      </c>
      <c r="U39" s="25">
        <v>210</v>
      </c>
      <c r="V39" s="25">
        <v>430</v>
      </c>
      <c r="W39" s="34">
        <v>220</v>
      </c>
      <c r="X39" s="36">
        <v>300</v>
      </c>
      <c r="Y39" s="25">
        <v>210</v>
      </c>
      <c r="Z39" s="25">
        <v>610</v>
      </c>
      <c r="AA39" s="34">
        <v>400</v>
      </c>
      <c r="AB39" s="36">
        <v>120</v>
      </c>
      <c r="AC39" s="34" t="s">
        <v>87</v>
      </c>
      <c r="AD39" s="34">
        <v>73</v>
      </c>
      <c r="AE39" s="37">
        <v>1.2234</v>
      </c>
      <c r="AF39" s="37">
        <v>1.0733601941747573</v>
      </c>
      <c r="AG39" s="37">
        <v>1.1377618058252426</v>
      </c>
      <c r="AH39" s="38">
        <v>885.76101600000004</v>
      </c>
      <c r="AI39" s="117">
        <v>136.64027140743667</v>
      </c>
      <c r="AJ39" s="38">
        <v>149.40559639593604</v>
      </c>
      <c r="AK39" s="40">
        <v>296.99676671232749</v>
      </c>
      <c r="AL39" s="41">
        <v>50</v>
      </c>
      <c r="AM39" s="39">
        <v>51.5</v>
      </c>
      <c r="AN39" s="39">
        <v>58.594732999999991</v>
      </c>
      <c r="AO39" s="39">
        <v>195.31577666666664</v>
      </c>
      <c r="AP39" s="25" t="s">
        <v>223</v>
      </c>
      <c r="AQ39" s="62" t="s">
        <v>224</v>
      </c>
      <c r="AR39" s="43" t="s">
        <v>225</v>
      </c>
    </row>
    <row r="40" spans="1:44" x14ac:dyDescent="0.3">
      <c r="A40" s="25" t="s">
        <v>1509</v>
      </c>
      <c r="B40" s="25" t="s">
        <v>119</v>
      </c>
      <c r="C40" s="25" t="s">
        <v>120</v>
      </c>
      <c r="D40" s="25" t="s">
        <v>121</v>
      </c>
      <c r="E40" s="26" t="s">
        <v>77</v>
      </c>
      <c r="F40" s="27" t="s">
        <v>78</v>
      </c>
      <c r="G40" s="25" t="s">
        <v>226</v>
      </c>
      <c r="H40" s="25" t="s">
        <v>101</v>
      </c>
      <c r="I40" s="25" t="s">
        <v>80</v>
      </c>
      <c r="J40" s="25" t="s">
        <v>94</v>
      </c>
      <c r="K40" s="30" t="s">
        <v>82</v>
      </c>
      <c r="L40" s="25" t="s">
        <v>227</v>
      </c>
      <c r="M40" s="25" t="s">
        <v>83</v>
      </c>
      <c r="N40" s="74" t="s">
        <v>103</v>
      </c>
      <c r="O40" s="61">
        <v>0.57999999999999996</v>
      </c>
      <c r="P40" s="25">
        <v>105</v>
      </c>
      <c r="Q40" s="25">
        <v>30</v>
      </c>
      <c r="R40" s="25" t="s">
        <v>87</v>
      </c>
      <c r="S40" s="34" t="s">
        <v>87</v>
      </c>
      <c r="T40" s="35">
        <v>0.8</v>
      </c>
      <c r="U40" s="25">
        <v>200</v>
      </c>
      <c r="V40" s="25">
        <v>600</v>
      </c>
      <c r="W40" s="34">
        <v>400</v>
      </c>
      <c r="X40" s="36">
        <v>150</v>
      </c>
      <c r="Y40" s="25">
        <v>150</v>
      </c>
      <c r="Z40" s="25">
        <v>600</v>
      </c>
      <c r="AA40" s="34">
        <v>450</v>
      </c>
      <c r="AB40" s="36">
        <v>150</v>
      </c>
      <c r="AC40" s="34" t="s">
        <v>87</v>
      </c>
      <c r="AD40" s="34">
        <v>75</v>
      </c>
      <c r="AE40" s="37">
        <v>1.2349999999999999</v>
      </c>
      <c r="AF40" s="37">
        <v>1.0796428571428571</v>
      </c>
      <c r="AG40" s="37">
        <v>1.1444214285714285</v>
      </c>
      <c r="AH40" s="38">
        <v>885.76101600000004</v>
      </c>
      <c r="AI40" s="117">
        <v>135.35684861526968</v>
      </c>
      <c r="AJ40" s="38">
        <v>148.00227257553701</v>
      </c>
      <c r="AK40" s="40">
        <v>294.20716145413888</v>
      </c>
      <c r="AL40" s="41">
        <v>120</v>
      </c>
      <c r="AM40" s="39">
        <v>126</v>
      </c>
      <c r="AN40" s="39">
        <v>144.19709999999998</v>
      </c>
      <c r="AO40" s="39">
        <v>480.65699999999993</v>
      </c>
      <c r="AP40" s="25" t="s">
        <v>212</v>
      </c>
      <c r="AQ40" s="62" t="s">
        <v>232</v>
      </c>
      <c r="AR40" s="43" t="s">
        <v>233</v>
      </c>
    </row>
    <row r="41" spans="1:44" x14ac:dyDescent="0.3">
      <c r="A41" s="25" t="s">
        <v>1509</v>
      </c>
      <c r="B41" s="25" t="s">
        <v>119</v>
      </c>
      <c r="C41" s="25" t="s">
        <v>120</v>
      </c>
      <c r="D41" s="25" t="s">
        <v>121</v>
      </c>
      <c r="E41" s="109" t="s">
        <v>77</v>
      </c>
      <c r="F41" s="182" t="s">
        <v>139</v>
      </c>
      <c r="G41" s="66" t="s">
        <v>228</v>
      </c>
      <c r="H41" s="66" t="s">
        <v>101</v>
      </c>
      <c r="I41" s="66" t="s">
        <v>80</v>
      </c>
      <c r="J41" s="66" t="s">
        <v>94</v>
      </c>
      <c r="K41" s="111" t="s">
        <v>82</v>
      </c>
      <c r="L41" s="66" t="s">
        <v>229</v>
      </c>
      <c r="M41" s="66" t="s">
        <v>83</v>
      </c>
      <c r="N41" s="183" t="s">
        <v>103</v>
      </c>
      <c r="O41" s="113">
        <v>0.51</v>
      </c>
      <c r="P41" s="66">
        <v>94</v>
      </c>
      <c r="Q41" s="66">
        <v>25</v>
      </c>
      <c r="R41" s="66" t="s">
        <v>87</v>
      </c>
      <c r="S41" s="115" t="s">
        <v>87</v>
      </c>
      <c r="T41" s="114">
        <v>0.8</v>
      </c>
      <c r="U41" s="66">
        <v>150</v>
      </c>
      <c r="V41" s="66">
        <v>550</v>
      </c>
      <c r="W41" s="115">
        <v>400</v>
      </c>
      <c r="X41" s="184">
        <v>140</v>
      </c>
      <c r="Y41" s="66">
        <v>150</v>
      </c>
      <c r="Z41" s="66">
        <v>550</v>
      </c>
      <c r="AA41" s="115">
        <v>400</v>
      </c>
      <c r="AB41" s="184">
        <v>140</v>
      </c>
      <c r="AC41" s="115" t="s">
        <v>87</v>
      </c>
      <c r="AD41" s="115">
        <v>69</v>
      </c>
      <c r="AE41" s="116">
        <v>1.1519000000000001</v>
      </c>
      <c r="AF41" s="116">
        <v>1.0227452127659575</v>
      </c>
      <c r="AG41" s="116">
        <v>1.0841099255319149</v>
      </c>
      <c r="AH41" s="118">
        <v>881.20365200000003</v>
      </c>
      <c r="AI41" s="117">
        <v>145.12171893381196</v>
      </c>
      <c r="AJ41" s="118">
        <v>158.67940500979958</v>
      </c>
      <c r="AK41" s="119">
        <v>315.43176004502249</v>
      </c>
      <c r="AL41" s="120">
        <v>159</v>
      </c>
      <c r="AM41" s="117">
        <v>149.46</v>
      </c>
      <c r="AN41" s="117">
        <v>162.03106947000001</v>
      </c>
      <c r="AO41" s="117">
        <v>648.12427788000002</v>
      </c>
      <c r="AP41" s="66" t="s">
        <v>234</v>
      </c>
      <c r="AQ41" s="185" t="s">
        <v>235</v>
      </c>
      <c r="AR41" s="186"/>
    </row>
    <row r="42" spans="1:44" x14ac:dyDescent="0.3">
      <c r="A42" s="25" t="s">
        <v>1509</v>
      </c>
      <c r="B42" s="25" t="s">
        <v>119</v>
      </c>
      <c r="C42" s="25" t="s">
        <v>120</v>
      </c>
      <c r="D42" s="25" t="s">
        <v>121</v>
      </c>
      <c r="E42" s="26" t="s">
        <v>77</v>
      </c>
      <c r="F42" s="27" t="s">
        <v>78</v>
      </c>
      <c r="G42" s="25" t="s">
        <v>230</v>
      </c>
      <c r="H42" s="25" t="s">
        <v>101</v>
      </c>
      <c r="I42" s="25" t="s">
        <v>80</v>
      </c>
      <c r="J42" s="25" t="s">
        <v>94</v>
      </c>
      <c r="K42" s="30" t="s">
        <v>82</v>
      </c>
      <c r="L42" s="25" t="s">
        <v>231</v>
      </c>
      <c r="M42" s="25" t="s">
        <v>83</v>
      </c>
      <c r="N42" s="74" t="s">
        <v>103</v>
      </c>
      <c r="O42" s="61">
        <v>0.54</v>
      </c>
      <c r="P42" s="25">
        <v>94</v>
      </c>
      <c r="Q42" s="32">
        <v>25</v>
      </c>
      <c r="R42" s="25" t="s">
        <v>87</v>
      </c>
      <c r="S42" s="34" t="s">
        <v>87</v>
      </c>
      <c r="T42" s="35">
        <v>0.8</v>
      </c>
      <c r="U42" s="25">
        <v>150</v>
      </c>
      <c r="V42" s="25">
        <v>550</v>
      </c>
      <c r="W42" s="34">
        <v>400</v>
      </c>
      <c r="X42" s="36">
        <v>140</v>
      </c>
      <c r="Y42" s="25">
        <v>150</v>
      </c>
      <c r="Z42" s="25">
        <v>550</v>
      </c>
      <c r="AA42" s="34">
        <v>400</v>
      </c>
      <c r="AB42" s="36">
        <v>140</v>
      </c>
      <c r="AC42" s="34" t="s">
        <v>87</v>
      </c>
      <c r="AD42" s="34">
        <v>69</v>
      </c>
      <c r="AE42" s="37">
        <v>1.1726000000000001</v>
      </c>
      <c r="AF42" s="37">
        <v>1.0358478723404256</v>
      </c>
      <c r="AG42" s="37">
        <v>1.0979987446808512</v>
      </c>
      <c r="AH42" s="38">
        <v>883.15680800000007</v>
      </c>
      <c r="AI42" s="117">
        <v>142.55987381874297</v>
      </c>
      <c r="AJ42" s="38">
        <v>155.87822499640811</v>
      </c>
      <c r="AK42" s="40">
        <v>309.86341838296221</v>
      </c>
      <c r="AL42" s="41">
        <v>156</v>
      </c>
      <c r="AM42" s="39">
        <v>146.63999999999999</v>
      </c>
      <c r="AN42" s="39">
        <v>161.01053592000002</v>
      </c>
      <c r="AO42" s="39">
        <v>644.04214368000009</v>
      </c>
      <c r="AP42" s="25" t="s">
        <v>234</v>
      </c>
      <c r="AQ42" s="62" t="s">
        <v>236</v>
      </c>
      <c r="AR42" s="43"/>
    </row>
    <row r="43" spans="1:44" x14ac:dyDescent="0.3">
      <c r="A43" s="25" t="s">
        <v>1509</v>
      </c>
      <c r="B43" s="25" t="s">
        <v>119</v>
      </c>
      <c r="C43" s="25" t="s">
        <v>120</v>
      </c>
      <c r="D43" s="25" t="s">
        <v>121</v>
      </c>
      <c r="E43" s="26" t="s">
        <v>77</v>
      </c>
      <c r="F43" s="27" t="s">
        <v>78</v>
      </c>
      <c r="G43" s="25" t="s">
        <v>237</v>
      </c>
      <c r="H43" s="25" t="s">
        <v>101</v>
      </c>
      <c r="I43" s="25" t="s">
        <v>80</v>
      </c>
      <c r="J43" s="25" t="s">
        <v>94</v>
      </c>
      <c r="K43" s="30" t="s">
        <v>82</v>
      </c>
      <c r="L43" s="25" t="s">
        <v>238</v>
      </c>
      <c r="M43" s="25" t="s">
        <v>83</v>
      </c>
      <c r="N43" s="74" t="s">
        <v>103</v>
      </c>
      <c r="O43" s="61">
        <v>0.33</v>
      </c>
      <c r="P43" s="25">
        <v>112</v>
      </c>
      <c r="Q43" s="25">
        <v>30</v>
      </c>
      <c r="R43" s="25" t="s">
        <v>87</v>
      </c>
      <c r="S43" s="34" t="s">
        <v>87</v>
      </c>
      <c r="T43" s="35">
        <v>0.8</v>
      </c>
      <c r="U43" s="25">
        <v>200</v>
      </c>
      <c r="V43" s="25">
        <v>600</v>
      </c>
      <c r="W43" s="34">
        <v>400</v>
      </c>
      <c r="X43" s="36">
        <v>220</v>
      </c>
      <c r="Y43" s="25">
        <v>150</v>
      </c>
      <c r="Z43" s="25">
        <v>600</v>
      </c>
      <c r="AA43" s="34">
        <v>450</v>
      </c>
      <c r="AB43" s="36">
        <v>220</v>
      </c>
      <c r="AC43" s="34" t="s">
        <v>87</v>
      </c>
      <c r="AD43" s="34">
        <v>82</v>
      </c>
      <c r="AE43" s="37">
        <v>1.0706</v>
      </c>
      <c r="AF43" s="37">
        <v>0.97154107142857149</v>
      </c>
      <c r="AG43" s="37">
        <v>1.0298335357142858</v>
      </c>
      <c r="AH43" s="38">
        <v>869.48471600000005</v>
      </c>
      <c r="AI43" s="39">
        <v>156.14207737703907</v>
      </c>
      <c r="AJ43" s="38">
        <v>170.72931686044103</v>
      </c>
      <c r="AK43" s="40">
        <v>339.38524602639779</v>
      </c>
      <c r="AL43" s="41">
        <v>171</v>
      </c>
      <c r="AM43" s="39">
        <v>191.52</v>
      </c>
      <c r="AN43" s="39">
        <v>197.23371876000004</v>
      </c>
      <c r="AO43" s="39">
        <v>657.44572920000019</v>
      </c>
      <c r="AP43" s="25" t="s">
        <v>243</v>
      </c>
      <c r="AQ43" s="43" t="s">
        <v>244</v>
      </c>
      <c r="AR43" s="43"/>
    </row>
    <row r="44" spans="1:44" x14ac:dyDescent="0.3">
      <c r="A44" s="25" t="s">
        <v>1509</v>
      </c>
      <c r="B44" s="25" t="s">
        <v>119</v>
      </c>
      <c r="C44" s="25" t="s">
        <v>120</v>
      </c>
      <c r="D44" s="25" t="s">
        <v>121</v>
      </c>
      <c r="E44" s="160" t="s">
        <v>87</v>
      </c>
      <c r="F44" s="138" t="s">
        <v>122</v>
      </c>
      <c r="G44" s="91" t="s">
        <v>239</v>
      </c>
      <c r="H44" s="91" t="s">
        <v>101</v>
      </c>
      <c r="I44" s="91" t="s">
        <v>80</v>
      </c>
      <c r="J44" s="91" t="s">
        <v>94</v>
      </c>
      <c r="K44" s="140" t="s">
        <v>82</v>
      </c>
      <c r="L44" s="91"/>
      <c r="M44" s="91"/>
      <c r="N44" s="162" t="s">
        <v>103</v>
      </c>
      <c r="O44" s="103">
        <v>0.22</v>
      </c>
      <c r="P44" s="91">
        <v>112</v>
      </c>
      <c r="Q44" s="91">
        <v>30</v>
      </c>
      <c r="R44" s="91" t="s">
        <v>87</v>
      </c>
      <c r="S44" s="94" t="s">
        <v>87</v>
      </c>
      <c r="T44" s="104">
        <v>0.8</v>
      </c>
      <c r="U44" s="91">
        <v>150</v>
      </c>
      <c r="V44" s="91">
        <v>600</v>
      </c>
      <c r="W44" s="94">
        <v>450</v>
      </c>
      <c r="X44" s="188">
        <v>220</v>
      </c>
      <c r="Y44" s="91">
        <v>150</v>
      </c>
      <c r="Z44" s="91">
        <v>600</v>
      </c>
      <c r="AA44" s="94">
        <v>450</v>
      </c>
      <c r="AB44" s="188">
        <v>220</v>
      </c>
      <c r="AC44" s="94" t="s">
        <v>87</v>
      </c>
      <c r="AD44" s="94">
        <v>82</v>
      </c>
      <c r="AE44" s="95">
        <v>0.98040000000000005</v>
      </c>
      <c r="AF44" s="95">
        <v>0.91436071428571442</v>
      </c>
      <c r="AG44" s="95">
        <v>0.9692223571428572</v>
      </c>
      <c r="AH44" s="40">
        <v>862.32314400000007</v>
      </c>
      <c r="AI44" s="40">
        <v>170.50765813939009</v>
      </c>
      <c r="AJ44" s="40">
        <v>186.43697126763379</v>
      </c>
      <c r="AK44" s="40">
        <v>370.60979640540745</v>
      </c>
      <c r="AL44" s="41">
        <v>186</v>
      </c>
      <c r="AM44" s="40">
        <v>208.32</v>
      </c>
      <c r="AN44" s="40">
        <v>201.90840144000001</v>
      </c>
      <c r="AO44" s="40">
        <v>673.02800480000008</v>
      </c>
      <c r="AP44" s="91"/>
      <c r="AQ44" s="141"/>
      <c r="AR44" s="141"/>
    </row>
    <row r="45" spans="1:44" x14ac:dyDescent="0.3">
      <c r="A45" s="25" t="s">
        <v>1509</v>
      </c>
      <c r="B45" s="25" t="s">
        <v>119</v>
      </c>
      <c r="C45" s="25" t="s">
        <v>120</v>
      </c>
      <c r="D45" s="25" t="s">
        <v>121</v>
      </c>
      <c r="E45" s="86" t="s">
        <v>77</v>
      </c>
      <c r="F45" s="47" t="s">
        <v>122</v>
      </c>
      <c r="G45" s="47" t="s">
        <v>240</v>
      </c>
      <c r="H45" s="47" t="s">
        <v>101</v>
      </c>
      <c r="I45" s="47" t="s">
        <v>80</v>
      </c>
      <c r="J45" s="47" t="s">
        <v>94</v>
      </c>
      <c r="K45" s="87" t="s">
        <v>82</v>
      </c>
      <c r="L45" s="47" t="s">
        <v>201</v>
      </c>
      <c r="M45" s="47"/>
      <c r="N45" s="89" t="s">
        <v>103</v>
      </c>
      <c r="O45" s="90"/>
      <c r="P45" s="47"/>
      <c r="Q45" s="47"/>
      <c r="R45" s="47"/>
      <c r="S45" s="84"/>
      <c r="T45" s="92"/>
      <c r="U45" s="47"/>
      <c r="V45" s="47"/>
      <c r="W45" s="84"/>
      <c r="X45" s="93"/>
      <c r="Y45" s="47"/>
      <c r="Z45" s="47"/>
      <c r="AA45" s="84"/>
      <c r="AB45" s="93"/>
      <c r="AC45" s="84"/>
      <c r="AD45" s="84"/>
      <c r="AE45" s="75"/>
      <c r="AF45" s="75"/>
      <c r="AG45" s="75"/>
      <c r="AH45" s="97"/>
      <c r="AI45" s="39"/>
      <c r="AJ45" s="97"/>
      <c r="AK45" s="40"/>
      <c r="AL45" s="41"/>
      <c r="AM45" s="39"/>
      <c r="AN45" s="39"/>
      <c r="AO45" s="39"/>
      <c r="AP45" s="47" t="s">
        <v>87</v>
      </c>
      <c r="AQ45" s="88"/>
      <c r="AR45" s="88"/>
    </row>
    <row r="46" spans="1:44" x14ac:dyDescent="0.3">
      <c r="A46" s="25" t="s">
        <v>1509</v>
      </c>
      <c r="B46" s="25" t="s">
        <v>119</v>
      </c>
      <c r="C46" s="25" t="s">
        <v>120</v>
      </c>
      <c r="D46" s="25" t="s">
        <v>121</v>
      </c>
      <c r="E46" s="86" t="s">
        <v>77</v>
      </c>
      <c r="F46" s="47" t="s">
        <v>122</v>
      </c>
      <c r="G46" s="47" t="s">
        <v>241</v>
      </c>
      <c r="H46" s="47" t="s">
        <v>101</v>
      </c>
      <c r="I46" s="47" t="s">
        <v>80</v>
      </c>
      <c r="J46" s="47" t="s">
        <v>94</v>
      </c>
      <c r="K46" s="87" t="s">
        <v>82</v>
      </c>
      <c r="L46" s="47" t="s">
        <v>201</v>
      </c>
      <c r="M46" s="47"/>
      <c r="N46" s="89" t="s">
        <v>103</v>
      </c>
      <c r="O46" s="90"/>
      <c r="P46" s="47"/>
      <c r="Q46" s="47"/>
      <c r="R46" s="47"/>
      <c r="S46" s="84"/>
      <c r="T46" s="92"/>
      <c r="U46" s="47"/>
      <c r="V46" s="47"/>
      <c r="W46" s="84"/>
      <c r="X46" s="93"/>
      <c r="Y46" s="47"/>
      <c r="Z46" s="47"/>
      <c r="AA46" s="84"/>
      <c r="AB46" s="93"/>
      <c r="AC46" s="84"/>
      <c r="AD46" s="84"/>
      <c r="AE46" s="75"/>
      <c r="AF46" s="75"/>
      <c r="AG46" s="75"/>
      <c r="AH46" s="97"/>
      <c r="AI46" s="39"/>
      <c r="AJ46" s="97"/>
      <c r="AK46" s="40"/>
      <c r="AL46" s="41"/>
      <c r="AM46" s="39"/>
      <c r="AN46" s="39"/>
      <c r="AO46" s="39"/>
      <c r="AP46" s="47" t="s">
        <v>87</v>
      </c>
      <c r="AQ46" s="88"/>
      <c r="AR46" s="88"/>
    </row>
    <row r="47" spans="1:44" x14ac:dyDescent="0.3">
      <c r="A47" s="25" t="s">
        <v>1509</v>
      </c>
      <c r="B47" s="25" t="s">
        <v>119</v>
      </c>
      <c r="C47" s="25" t="s">
        <v>120</v>
      </c>
      <c r="D47" s="25" t="s">
        <v>121</v>
      </c>
      <c r="E47" s="86" t="s">
        <v>77</v>
      </c>
      <c r="F47" s="182" t="s">
        <v>139</v>
      </c>
      <c r="G47" s="66" t="s">
        <v>175</v>
      </c>
      <c r="H47" s="66" t="s">
        <v>101</v>
      </c>
      <c r="I47" s="66" t="s">
        <v>80</v>
      </c>
      <c r="J47" s="66" t="s">
        <v>94</v>
      </c>
      <c r="K47" s="111" t="s">
        <v>82</v>
      </c>
      <c r="L47" s="190" t="s">
        <v>201</v>
      </c>
      <c r="M47" s="66" t="s">
        <v>83</v>
      </c>
      <c r="N47" s="183" t="s">
        <v>103</v>
      </c>
      <c r="O47" s="66"/>
      <c r="P47" s="191" t="s">
        <v>242</v>
      </c>
      <c r="Q47" s="192"/>
      <c r="R47" s="66"/>
      <c r="S47" s="115"/>
      <c r="T47" s="114"/>
      <c r="U47" s="66"/>
      <c r="V47" s="66"/>
      <c r="W47" s="193"/>
      <c r="X47" s="184"/>
      <c r="Y47" s="66"/>
      <c r="Z47" s="66"/>
      <c r="AA47" s="115"/>
      <c r="AB47" s="184"/>
      <c r="AC47" s="194"/>
      <c r="AD47" s="194"/>
      <c r="AE47" s="144"/>
      <c r="AF47" s="144"/>
      <c r="AG47" s="144"/>
      <c r="AH47" s="195"/>
      <c r="AI47" s="117"/>
      <c r="AJ47" s="195"/>
      <c r="AK47" s="119"/>
      <c r="AL47" s="120"/>
      <c r="AM47" s="117"/>
      <c r="AN47" s="117"/>
      <c r="AO47" s="117"/>
      <c r="AP47" s="66" t="s">
        <v>245</v>
      </c>
      <c r="AQ47" s="185" t="s">
        <v>246</v>
      </c>
      <c r="AR47" s="123" t="s">
        <v>247</v>
      </c>
    </row>
    <row r="48" spans="1:44" x14ac:dyDescent="0.3">
      <c r="A48" s="25" t="s">
        <v>1509</v>
      </c>
      <c r="B48" s="25" t="s">
        <v>119</v>
      </c>
      <c r="C48" s="25" t="s">
        <v>120</v>
      </c>
      <c r="D48" s="25" t="s">
        <v>121</v>
      </c>
      <c r="E48" s="86" t="s">
        <v>77</v>
      </c>
      <c r="F48" s="47" t="s">
        <v>122</v>
      </c>
      <c r="G48" s="47" t="s">
        <v>248</v>
      </c>
      <c r="H48" s="47" t="s">
        <v>249</v>
      </c>
      <c r="I48" s="47" t="s">
        <v>250</v>
      </c>
      <c r="J48" s="47" t="s">
        <v>94</v>
      </c>
      <c r="K48" s="47" t="s">
        <v>251</v>
      </c>
      <c r="L48" s="47"/>
      <c r="M48" s="47" t="s">
        <v>83</v>
      </c>
      <c r="N48" s="47" t="s">
        <v>103</v>
      </c>
      <c r="O48" s="90">
        <v>0.26</v>
      </c>
      <c r="P48" s="47">
        <v>102</v>
      </c>
      <c r="Q48" s="96">
        <v>19</v>
      </c>
      <c r="R48" s="47" t="s">
        <v>87</v>
      </c>
      <c r="S48" s="84" t="s">
        <v>87</v>
      </c>
      <c r="T48" s="92">
        <v>0.76</v>
      </c>
      <c r="U48" s="47">
        <v>200</v>
      </c>
      <c r="V48" s="47">
        <v>700</v>
      </c>
      <c r="W48" s="84">
        <v>500</v>
      </c>
      <c r="X48" s="93">
        <v>130</v>
      </c>
      <c r="Y48" s="47">
        <v>200</v>
      </c>
      <c r="Z48" s="47">
        <v>700</v>
      </c>
      <c r="AA48" s="84">
        <v>500</v>
      </c>
      <c r="AB48" s="93">
        <v>130</v>
      </c>
      <c r="AC48" s="84" t="s">
        <v>87</v>
      </c>
      <c r="AD48" s="84">
        <v>83</v>
      </c>
      <c r="AE48" s="75">
        <v>0.9758</v>
      </c>
      <c r="AF48" s="75">
        <v>0.88799901960784322</v>
      </c>
      <c r="AG48" s="75">
        <v>0.945718955882353</v>
      </c>
      <c r="AH48" s="97">
        <v>826.40719799999999</v>
      </c>
      <c r="AI48" s="39">
        <v>171.31144500907772</v>
      </c>
      <c r="AJ48" s="97">
        <v>187.31585020576776</v>
      </c>
      <c r="AK48" s="40">
        <v>372.35688091397975</v>
      </c>
      <c r="AL48" s="41">
        <v>187</v>
      </c>
      <c r="AM48" s="39">
        <v>190.74</v>
      </c>
      <c r="AN48" s="39">
        <v>180.38643364500001</v>
      </c>
      <c r="AO48" s="39">
        <v>949.40228234210531</v>
      </c>
      <c r="AP48" s="47"/>
      <c r="AQ48" s="88"/>
      <c r="AR48" s="57"/>
    </row>
    <row r="49" spans="1:44" x14ac:dyDescent="0.25">
      <c r="A49" s="25" t="s">
        <v>1509</v>
      </c>
      <c r="B49" s="25" t="s">
        <v>119</v>
      </c>
      <c r="C49" s="25" t="s">
        <v>120</v>
      </c>
      <c r="D49" s="25" t="s">
        <v>121</v>
      </c>
      <c r="E49" s="26" t="s">
        <v>77</v>
      </c>
      <c r="F49" s="27" t="s">
        <v>78</v>
      </c>
      <c r="G49" s="25" t="s">
        <v>252</v>
      </c>
      <c r="H49" s="25" t="s">
        <v>101</v>
      </c>
      <c r="I49" s="25" t="s">
        <v>80</v>
      </c>
      <c r="J49" s="25" t="s">
        <v>94</v>
      </c>
      <c r="K49" s="30" t="s">
        <v>82</v>
      </c>
      <c r="L49" s="25" t="s">
        <v>253</v>
      </c>
      <c r="M49" s="25" t="s">
        <v>83</v>
      </c>
      <c r="N49" s="74" t="s">
        <v>103</v>
      </c>
      <c r="O49" s="61">
        <v>0.62</v>
      </c>
      <c r="P49" s="25">
        <v>103</v>
      </c>
      <c r="Q49" s="25">
        <v>30</v>
      </c>
      <c r="R49" s="25" t="s">
        <v>87</v>
      </c>
      <c r="S49" s="34" t="s">
        <v>87</v>
      </c>
      <c r="T49" s="35">
        <v>0.8</v>
      </c>
      <c r="U49" s="25">
        <v>262</v>
      </c>
      <c r="V49" s="25">
        <v>480</v>
      </c>
      <c r="W49" s="34">
        <v>218</v>
      </c>
      <c r="X49" s="36">
        <v>250</v>
      </c>
      <c r="Y49" s="25">
        <v>160</v>
      </c>
      <c r="Z49" s="25">
        <v>560</v>
      </c>
      <c r="AA49" s="34">
        <v>400</v>
      </c>
      <c r="AB49" s="36">
        <v>170</v>
      </c>
      <c r="AC49" s="34" t="s">
        <v>87</v>
      </c>
      <c r="AD49" s="34">
        <v>73</v>
      </c>
      <c r="AE49" s="37">
        <v>1.2526000000000002</v>
      </c>
      <c r="AF49" s="37">
        <v>1.0922126213592234</v>
      </c>
      <c r="AG49" s="37">
        <v>1.1577453786407768</v>
      </c>
      <c r="AH49" s="38">
        <v>888.36522400000001</v>
      </c>
      <c r="AI49" s="39">
        <v>133.45498007333387</v>
      </c>
      <c r="AJ49" s="38">
        <v>145.92272603447881</v>
      </c>
      <c r="AK49" s="40">
        <v>290.0733230048391</v>
      </c>
      <c r="AL49" s="41">
        <v>50</v>
      </c>
      <c r="AM49" s="39">
        <v>51.5</v>
      </c>
      <c r="AN49" s="39">
        <v>59.623887000000003</v>
      </c>
      <c r="AO49" s="39">
        <v>198.74629000000002</v>
      </c>
      <c r="AP49" s="25" t="s">
        <v>210</v>
      </c>
      <c r="AQ49" s="196"/>
      <c r="AR49" s="43" t="s">
        <v>256</v>
      </c>
    </row>
    <row r="50" spans="1:44" x14ac:dyDescent="0.3">
      <c r="A50" s="25" t="s">
        <v>1509</v>
      </c>
      <c r="B50" s="25" t="s">
        <v>119</v>
      </c>
      <c r="C50" s="25" t="s">
        <v>120</v>
      </c>
      <c r="D50" s="25" t="s">
        <v>121</v>
      </c>
      <c r="E50" s="86" t="s">
        <v>77</v>
      </c>
      <c r="F50" s="47" t="s">
        <v>122</v>
      </c>
      <c r="G50" s="47" t="s">
        <v>254</v>
      </c>
      <c r="H50" s="47" t="s">
        <v>101</v>
      </c>
      <c r="I50" s="47" t="s">
        <v>80</v>
      </c>
      <c r="J50" s="47" t="s">
        <v>94</v>
      </c>
      <c r="K50" s="87" t="s">
        <v>82</v>
      </c>
      <c r="L50" s="47" t="s">
        <v>255</v>
      </c>
      <c r="M50" s="47" t="s">
        <v>83</v>
      </c>
      <c r="N50" s="89" t="s">
        <v>103</v>
      </c>
      <c r="O50" s="90">
        <v>0.64</v>
      </c>
      <c r="P50" s="47">
        <v>103</v>
      </c>
      <c r="Q50" s="47">
        <v>30</v>
      </c>
      <c r="R50" s="47" t="s">
        <v>87</v>
      </c>
      <c r="S50" s="84" t="s">
        <v>87</v>
      </c>
      <c r="T50" s="92">
        <v>0.8</v>
      </c>
      <c r="U50" s="47">
        <v>200</v>
      </c>
      <c r="V50" s="47">
        <v>600</v>
      </c>
      <c r="W50" s="84">
        <v>400</v>
      </c>
      <c r="X50" s="93">
        <v>130</v>
      </c>
      <c r="Y50" s="47">
        <v>150</v>
      </c>
      <c r="Z50" s="47">
        <v>600</v>
      </c>
      <c r="AA50" s="84">
        <v>450</v>
      </c>
      <c r="AB50" s="93">
        <v>130</v>
      </c>
      <c r="AC50" s="84" t="s">
        <v>87</v>
      </c>
      <c r="AD50" s="84">
        <v>73</v>
      </c>
      <c r="AE50" s="75">
        <v>1.2672000000000001</v>
      </c>
      <c r="AF50" s="75">
        <v>1.1016388349514565</v>
      </c>
      <c r="AG50" s="75">
        <v>1.167737165048544</v>
      </c>
      <c r="AH50" s="97">
        <v>889.66732800000011</v>
      </c>
      <c r="AI50" s="39">
        <v>131.91738323852434</v>
      </c>
      <c r="AJ50" s="97">
        <v>144.24148250535683</v>
      </c>
      <c r="AK50" s="40">
        <v>286.73125346895637</v>
      </c>
      <c r="AL50" s="41">
        <v>144</v>
      </c>
      <c r="AM50" s="39">
        <v>148.32</v>
      </c>
      <c r="AN50" s="39">
        <v>173.19877632000004</v>
      </c>
      <c r="AO50" s="39">
        <v>577.3292544000002</v>
      </c>
      <c r="AP50" s="47" t="s">
        <v>257</v>
      </c>
      <c r="AQ50" s="88" t="s">
        <v>258</v>
      </c>
      <c r="AR50" s="88" t="s">
        <v>259</v>
      </c>
    </row>
    <row r="51" spans="1:44" x14ac:dyDescent="0.3">
      <c r="A51" s="25" t="s">
        <v>1509</v>
      </c>
      <c r="B51" s="25" t="s">
        <v>119</v>
      </c>
      <c r="C51" s="25" t="s">
        <v>120</v>
      </c>
      <c r="D51" s="25" t="s">
        <v>121</v>
      </c>
      <c r="E51" s="25" t="s">
        <v>130</v>
      </c>
      <c r="F51" s="27" t="s">
        <v>78</v>
      </c>
      <c r="G51" s="25" t="s">
        <v>260</v>
      </c>
      <c r="H51" s="25" t="s">
        <v>101</v>
      </c>
      <c r="I51" s="25" t="s">
        <v>80</v>
      </c>
      <c r="J51" s="25" t="s">
        <v>94</v>
      </c>
      <c r="K51" s="30" t="s">
        <v>82</v>
      </c>
      <c r="L51" s="43" t="s">
        <v>261</v>
      </c>
      <c r="M51" s="25" t="s">
        <v>83</v>
      </c>
      <c r="N51" s="74" t="s">
        <v>103</v>
      </c>
      <c r="O51" s="61">
        <v>0.2</v>
      </c>
      <c r="P51" s="32">
        <v>120</v>
      </c>
      <c r="Q51" s="25">
        <v>30</v>
      </c>
      <c r="R51" s="25" t="s">
        <v>87</v>
      </c>
      <c r="S51" s="34" t="s">
        <v>87</v>
      </c>
      <c r="T51" s="35">
        <v>0.8</v>
      </c>
      <c r="U51" s="25">
        <v>200</v>
      </c>
      <c r="V51" s="25">
        <v>600</v>
      </c>
      <c r="W51" s="194">
        <v>400</v>
      </c>
      <c r="X51" s="36">
        <v>300</v>
      </c>
      <c r="Y51" s="25">
        <v>150</v>
      </c>
      <c r="Z51" s="25">
        <v>600</v>
      </c>
      <c r="AA51" s="34">
        <v>450</v>
      </c>
      <c r="AB51" s="36">
        <v>300</v>
      </c>
      <c r="AC51" s="34" t="s">
        <v>87</v>
      </c>
      <c r="AD51" s="34">
        <v>90</v>
      </c>
      <c r="AE51" s="37">
        <v>0.98</v>
      </c>
      <c r="AF51" s="37">
        <v>0.91249999999999998</v>
      </c>
      <c r="AG51" s="37">
        <v>0.96725000000000005</v>
      </c>
      <c r="AH51" s="38">
        <v>861.02103999999997</v>
      </c>
      <c r="AI51" s="39">
        <v>170.57725310189596</v>
      </c>
      <c r="AJ51" s="38">
        <v>186.51306799060018</v>
      </c>
      <c r="AK51" s="40">
        <v>370.76106571006267</v>
      </c>
      <c r="AL51" s="41">
        <v>187</v>
      </c>
      <c r="AM51" s="39">
        <v>224.4</v>
      </c>
      <c r="AN51" s="39">
        <v>217.05090000000001</v>
      </c>
      <c r="AO51" s="39">
        <v>723.50300000000004</v>
      </c>
      <c r="AP51" s="25" t="s">
        <v>257</v>
      </c>
      <c r="AQ51" s="62" t="s">
        <v>284</v>
      </c>
      <c r="AR51" s="43"/>
    </row>
    <row r="52" spans="1:44" x14ac:dyDescent="0.3">
      <c r="A52" s="25" t="s">
        <v>1509</v>
      </c>
      <c r="B52" s="25" t="s">
        <v>119</v>
      </c>
      <c r="C52" s="25" t="s">
        <v>120</v>
      </c>
      <c r="D52" s="25" t="s">
        <v>121</v>
      </c>
      <c r="E52" s="25" t="s">
        <v>130</v>
      </c>
      <c r="F52" s="27" t="s">
        <v>78</v>
      </c>
      <c r="G52" s="25" t="s">
        <v>262</v>
      </c>
      <c r="H52" s="25" t="s">
        <v>101</v>
      </c>
      <c r="I52" s="25" t="s">
        <v>80</v>
      </c>
      <c r="J52" s="25" t="s">
        <v>94</v>
      </c>
      <c r="K52" s="30" t="s">
        <v>82</v>
      </c>
      <c r="L52" s="43" t="s">
        <v>263</v>
      </c>
      <c r="M52" s="25" t="s">
        <v>83</v>
      </c>
      <c r="N52" s="74" t="s">
        <v>103</v>
      </c>
      <c r="O52" s="61">
        <v>0.3</v>
      </c>
      <c r="P52" s="32">
        <v>120</v>
      </c>
      <c r="Q52" s="25">
        <v>30</v>
      </c>
      <c r="R52" s="25" t="s">
        <v>87</v>
      </c>
      <c r="S52" s="34" t="s">
        <v>87</v>
      </c>
      <c r="T52" s="35">
        <v>0.8</v>
      </c>
      <c r="U52" s="25">
        <v>200</v>
      </c>
      <c r="V52" s="25">
        <v>600</v>
      </c>
      <c r="W52" s="194">
        <v>400</v>
      </c>
      <c r="X52" s="36">
        <v>300</v>
      </c>
      <c r="Y52" s="25">
        <v>150</v>
      </c>
      <c r="Z52" s="25">
        <v>600</v>
      </c>
      <c r="AA52" s="34">
        <v>450</v>
      </c>
      <c r="AB52" s="36">
        <v>300</v>
      </c>
      <c r="AC52" s="34" t="s">
        <v>87</v>
      </c>
      <c r="AD52" s="34">
        <v>90</v>
      </c>
      <c r="AE52" s="37">
        <v>1.07</v>
      </c>
      <c r="AF52" s="37">
        <v>0.96875</v>
      </c>
      <c r="AG52" s="37">
        <v>1.026875</v>
      </c>
      <c r="AH52" s="38">
        <v>867.53156000000013</v>
      </c>
      <c r="AI52" s="39">
        <v>156.22963368211029</v>
      </c>
      <c r="AJ52" s="38">
        <v>170.82505292597023</v>
      </c>
      <c r="AK52" s="40">
        <v>339.57555551015088</v>
      </c>
      <c r="AL52" s="41">
        <v>171</v>
      </c>
      <c r="AM52" s="39">
        <v>205.2</v>
      </c>
      <c r="AN52" s="39">
        <v>210.71474999999998</v>
      </c>
      <c r="AO52" s="39">
        <v>702.38249999999994</v>
      </c>
      <c r="AP52" s="25" t="s">
        <v>257</v>
      </c>
      <c r="AQ52" s="62" t="s">
        <v>285</v>
      </c>
      <c r="AR52" s="43"/>
    </row>
    <row r="53" spans="1:44" x14ac:dyDescent="0.3">
      <c r="A53" s="25" t="s">
        <v>1509</v>
      </c>
      <c r="B53" s="25" t="s">
        <v>119</v>
      </c>
      <c r="C53" s="25" t="s">
        <v>120</v>
      </c>
      <c r="D53" s="25" t="s">
        <v>121</v>
      </c>
      <c r="E53" s="25" t="s">
        <v>130</v>
      </c>
      <c r="F53" s="27" t="s">
        <v>78</v>
      </c>
      <c r="G53" s="25" t="s">
        <v>264</v>
      </c>
      <c r="H53" s="25" t="s">
        <v>101</v>
      </c>
      <c r="I53" s="25" t="s">
        <v>80</v>
      </c>
      <c r="J53" s="25" t="s">
        <v>94</v>
      </c>
      <c r="K53" s="30" t="s">
        <v>82</v>
      </c>
      <c r="L53" s="25" t="s">
        <v>265</v>
      </c>
      <c r="M53" s="25" t="s">
        <v>83</v>
      </c>
      <c r="N53" s="74" t="s">
        <v>103</v>
      </c>
      <c r="O53" s="61">
        <v>0.35</v>
      </c>
      <c r="P53" s="25">
        <v>99</v>
      </c>
      <c r="Q53" s="25">
        <v>30</v>
      </c>
      <c r="R53" s="25" t="s">
        <v>87</v>
      </c>
      <c r="S53" s="84" t="s">
        <v>87</v>
      </c>
      <c r="T53" s="35">
        <v>0.8</v>
      </c>
      <c r="U53" s="25">
        <v>150</v>
      </c>
      <c r="V53" s="25">
        <v>550</v>
      </c>
      <c r="W53" s="194">
        <v>400</v>
      </c>
      <c r="X53" s="36">
        <v>140</v>
      </c>
      <c r="Y53" s="25">
        <v>150</v>
      </c>
      <c r="Z53" s="25">
        <v>600</v>
      </c>
      <c r="AA53" s="34">
        <v>450</v>
      </c>
      <c r="AB53" s="36">
        <v>90</v>
      </c>
      <c r="AC53" s="34" t="s">
        <v>87</v>
      </c>
      <c r="AD53" s="34">
        <v>69</v>
      </c>
      <c r="AE53" s="37">
        <v>1.0415000000000001</v>
      </c>
      <c r="AF53" s="37">
        <v>0.95734090909090919</v>
      </c>
      <c r="AG53" s="37">
        <v>1.0147813636363638</v>
      </c>
      <c r="AH53" s="38">
        <v>870.78682000000003</v>
      </c>
      <c r="AI53" s="39">
        <v>160.5047604799405</v>
      </c>
      <c r="AJ53" s="38">
        <v>175.49957429744424</v>
      </c>
      <c r="AK53" s="40">
        <v>348.86782947274259</v>
      </c>
      <c r="AL53" s="41">
        <v>175</v>
      </c>
      <c r="AM53" s="39">
        <v>173.25</v>
      </c>
      <c r="AN53" s="39">
        <v>175.81087125000005</v>
      </c>
      <c r="AO53" s="39">
        <v>586.0362375000002</v>
      </c>
      <c r="AP53" s="25" t="s">
        <v>257</v>
      </c>
      <c r="AQ53" s="62" t="s">
        <v>286</v>
      </c>
      <c r="AR53" s="43"/>
    </row>
    <row r="54" spans="1:44" x14ac:dyDescent="0.3">
      <c r="A54" s="25" t="s">
        <v>1509</v>
      </c>
      <c r="B54" s="25" t="s">
        <v>119</v>
      </c>
      <c r="C54" s="25" t="s">
        <v>120</v>
      </c>
      <c r="D54" s="25" t="s">
        <v>121</v>
      </c>
      <c r="E54" s="25" t="s">
        <v>130</v>
      </c>
      <c r="F54" s="27" t="s">
        <v>78</v>
      </c>
      <c r="G54" s="25" t="s">
        <v>266</v>
      </c>
      <c r="H54" s="25" t="s">
        <v>101</v>
      </c>
      <c r="I54" s="25" t="s">
        <v>80</v>
      </c>
      <c r="J54" s="25" t="s">
        <v>94</v>
      </c>
      <c r="K54" s="30" t="s">
        <v>82</v>
      </c>
      <c r="L54" s="25" t="s">
        <v>267</v>
      </c>
      <c r="M54" s="25" t="s">
        <v>83</v>
      </c>
      <c r="N54" s="74" t="s">
        <v>103</v>
      </c>
      <c r="O54" s="61">
        <v>0.35</v>
      </c>
      <c r="P54" s="27">
        <v>120</v>
      </c>
      <c r="Q54" s="25">
        <v>30</v>
      </c>
      <c r="R54" s="25" t="s">
        <v>87</v>
      </c>
      <c r="S54" s="84" t="s">
        <v>87</v>
      </c>
      <c r="T54" s="35">
        <v>0.8</v>
      </c>
      <c r="U54" s="25">
        <v>200</v>
      </c>
      <c r="V54" s="25">
        <v>600</v>
      </c>
      <c r="W54" s="194">
        <v>400</v>
      </c>
      <c r="X54" s="36">
        <v>300</v>
      </c>
      <c r="Y54" s="25">
        <v>150</v>
      </c>
      <c r="Z54" s="25">
        <v>600</v>
      </c>
      <c r="AA54" s="34">
        <v>450</v>
      </c>
      <c r="AB54" s="36">
        <v>300</v>
      </c>
      <c r="AC54" s="34" t="s">
        <v>87</v>
      </c>
      <c r="AD54" s="34">
        <v>90</v>
      </c>
      <c r="AE54" s="37">
        <v>1.115</v>
      </c>
      <c r="AF54" s="37">
        <v>0.99687499999999996</v>
      </c>
      <c r="AG54" s="37">
        <v>1.0566875</v>
      </c>
      <c r="AH54" s="38">
        <v>870.78682000000003</v>
      </c>
      <c r="AI54" s="39">
        <v>149.92440182946908</v>
      </c>
      <c r="AJ54" s="38">
        <v>163.93076827873378</v>
      </c>
      <c r="AK54" s="40">
        <v>325.870712462656</v>
      </c>
      <c r="AL54" s="41">
        <v>164</v>
      </c>
      <c r="AM54" s="39">
        <v>196.8</v>
      </c>
      <c r="AN54" s="39">
        <v>207.95610000000002</v>
      </c>
      <c r="AO54" s="39">
        <v>693.18700000000013</v>
      </c>
      <c r="AP54" s="25" t="s">
        <v>257</v>
      </c>
      <c r="AQ54" s="62" t="s">
        <v>287</v>
      </c>
      <c r="AR54" s="43" t="s">
        <v>288</v>
      </c>
    </row>
    <row r="55" spans="1:44" x14ac:dyDescent="0.3">
      <c r="A55" s="25" t="s">
        <v>1509</v>
      </c>
      <c r="B55" s="25" t="s">
        <v>119</v>
      </c>
      <c r="C55" s="25" t="s">
        <v>120</v>
      </c>
      <c r="D55" s="25" t="s">
        <v>121</v>
      </c>
      <c r="E55" s="25" t="s">
        <v>130</v>
      </c>
      <c r="F55" s="27" t="s">
        <v>78</v>
      </c>
      <c r="G55" s="25" t="s">
        <v>268</v>
      </c>
      <c r="H55" s="25" t="s">
        <v>101</v>
      </c>
      <c r="I55" s="25" t="s">
        <v>80</v>
      </c>
      <c r="J55" s="25" t="s">
        <v>94</v>
      </c>
      <c r="K55" s="30" t="s">
        <v>82</v>
      </c>
      <c r="L55" s="43" t="s">
        <v>269</v>
      </c>
      <c r="M55" s="25" t="s">
        <v>83</v>
      </c>
      <c r="N55" s="74" t="s">
        <v>103</v>
      </c>
      <c r="O55" s="61">
        <v>0.4</v>
      </c>
      <c r="P55" s="25">
        <v>85</v>
      </c>
      <c r="Q55" s="32">
        <v>20</v>
      </c>
      <c r="R55" s="25" t="s">
        <v>87</v>
      </c>
      <c r="S55" s="84" t="s">
        <v>87</v>
      </c>
      <c r="T55" s="35">
        <v>0.8</v>
      </c>
      <c r="U55" s="25">
        <v>150</v>
      </c>
      <c r="V55" s="25">
        <v>500</v>
      </c>
      <c r="W55" s="194">
        <v>350</v>
      </c>
      <c r="X55" s="36">
        <v>150</v>
      </c>
      <c r="Y55" s="25">
        <v>150</v>
      </c>
      <c r="Z55" s="25">
        <v>550</v>
      </c>
      <c r="AA55" s="34">
        <v>400</v>
      </c>
      <c r="AB55" s="36">
        <v>100</v>
      </c>
      <c r="AC55" s="34" t="s">
        <v>87</v>
      </c>
      <c r="AD55" s="34">
        <v>65</v>
      </c>
      <c r="AE55" s="37">
        <v>1.06</v>
      </c>
      <c r="AF55" s="37">
        <v>0.96058823529411774</v>
      </c>
      <c r="AG55" s="37">
        <v>1.0182235294117647</v>
      </c>
      <c r="AH55" s="38">
        <v>874.04208000000006</v>
      </c>
      <c r="AI55" s="39">
        <v>157.70349815080945</v>
      </c>
      <c r="AJ55" s="38">
        <v>172.43661002904545</v>
      </c>
      <c r="AK55" s="40">
        <v>342.77909848666172</v>
      </c>
      <c r="AL55" s="41">
        <v>172</v>
      </c>
      <c r="AM55" s="39">
        <v>146.19999999999999</v>
      </c>
      <c r="AN55" s="39">
        <v>148.86428000000001</v>
      </c>
      <c r="AO55" s="39">
        <v>744.32140000000004</v>
      </c>
      <c r="AP55" s="25" t="s">
        <v>257</v>
      </c>
      <c r="AQ55" s="62" t="s">
        <v>289</v>
      </c>
      <c r="AR55" s="43"/>
    </row>
    <row r="56" spans="1:44" x14ac:dyDescent="0.3">
      <c r="A56" s="25" t="s">
        <v>1509</v>
      </c>
      <c r="B56" s="25" t="s">
        <v>119</v>
      </c>
      <c r="C56" s="25" t="s">
        <v>120</v>
      </c>
      <c r="D56" s="25" t="s">
        <v>121</v>
      </c>
      <c r="E56" s="25" t="s">
        <v>130</v>
      </c>
      <c r="F56" s="27" t="s">
        <v>78</v>
      </c>
      <c r="G56" s="25" t="s">
        <v>270</v>
      </c>
      <c r="H56" s="25" t="s">
        <v>101</v>
      </c>
      <c r="I56" s="25" t="s">
        <v>80</v>
      </c>
      <c r="J56" s="25" t="s">
        <v>94</v>
      </c>
      <c r="K56" s="30" t="s">
        <v>82</v>
      </c>
      <c r="L56" s="43" t="s">
        <v>271</v>
      </c>
      <c r="M56" s="25" t="s">
        <v>83</v>
      </c>
      <c r="N56" s="74" t="s">
        <v>103</v>
      </c>
      <c r="O56" s="61">
        <v>0.4</v>
      </c>
      <c r="P56" s="25">
        <v>99</v>
      </c>
      <c r="Q56" s="25">
        <v>30</v>
      </c>
      <c r="R56" s="25" t="s">
        <v>87</v>
      </c>
      <c r="S56" s="84" t="s">
        <v>87</v>
      </c>
      <c r="T56" s="35">
        <v>0.8</v>
      </c>
      <c r="U56" s="25">
        <v>150</v>
      </c>
      <c r="V56" s="25">
        <v>550</v>
      </c>
      <c r="W56" s="194">
        <v>400</v>
      </c>
      <c r="X56" s="36">
        <v>140</v>
      </c>
      <c r="Y56" s="25">
        <v>150</v>
      </c>
      <c r="Z56" s="25">
        <v>600</v>
      </c>
      <c r="AA56" s="34">
        <v>450</v>
      </c>
      <c r="AB56" s="36">
        <v>90</v>
      </c>
      <c r="AC56" s="34" t="s">
        <v>87</v>
      </c>
      <c r="AD56" s="34">
        <v>69</v>
      </c>
      <c r="AE56" s="37">
        <v>1.0760000000000001</v>
      </c>
      <c r="AF56" s="37">
        <v>0.97981818181818192</v>
      </c>
      <c r="AG56" s="37">
        <v>1.0386072727272728</v>
      </c>
      <c r="AH56" s="38">
        <v>874.04208000000006</v>
      </c>
      <c r="AI56" s="39">
        <v>155.35846472105766</v>
      </c>
      <c r="AJ56" s="38">
        <v>169.87249686876225</v>
      </c>
      <c r="AK56" s="40">
        <v>337.6820115203173</v>
      </c>
      <c r="AL56" s="41">
        <v>170</v>
      </c>
      <c r="AM56" s="39">
        <v>168.3</v>
      </c>
      <c r="AN56" s="39">
        <v>174.79760400000004</v>
      </c>
      <c r="AO56" s="39">
        <v>582.65868000000012</v>
      </c>
      <c r="AP56" s="25" t="s">
        <v>257</v>
      </c>
      <c r="AQ56" s="62" t="s">
        <v>290</v>
      </c>
      <c r="AR56" s="43"/>
    </row>
    <row r="57" spans="1:44" x14ac:dyDescent="0.3">
      <c r="A57" s="25" t="s">
        <v>1509</v>
      </c>
      <c r="B57" s="25" t="s">
        <v>119</v>
      </c>
      <c r="C57" s="25" t="s">
        <v>120</v>
      </c>
      <c r="D57" s="25" t="s">
        <v>121</v>
      </c>
      <c r="E57" s="25" t="s">
        <v>130</v>
      </c>
      <c r="F57" s="27" t="s">
        <v>78</v>
      </c>
      <c r="G57" s="25" t="s">
        <v>272</v>
      </c>
      <c r="H57" s="25" t="s">
        <v>101</v>
      </c>
      <c r="I57" s="25" t="s">
        <v>80</v>
      </c>
      <c r="J57" s="25" t="s">
        <v>94</v>
      </c>
      <c r="K57" s="30" t="s">
        <v>82</v>
      </c>
      <c r="L57" s="43" t="s">
        <v>273</v>
      </c>
      <c r="M57" s="25" t="s">
        <v>83</v>
      </c>
      <c r="N57" s="74" t="s">
        <v>103</v>
      </c>
      <c r="O57" s="61">
        <v>0.4</v>
      </c>
      <c r="P57" s="197">
        <v>120</v>
      </c>
      <c r="Q57" s="25">
        <v>30</v>
      </c>
      <c r="R57" s="25" t="s">
        <v>87</v>
      </c>
      <c r="S57" s="84" t="s">
        <v>87</v>
      </c>
      <c r="T57" s="35">
        <v>0.8</v>
      </c>
      <c r="U57" s="25">
        <v>200</v>
      </c>
      <c r="V57" s="25">
        <v>600</v>
      </c>
      <c r="W57" s="194">
        <v>400</v>
      </c>
      <c r="X57" s="36">
        <v>300</v>
      </c>
      <c r="Y57" s="25">
        <v>150</v>
      </c>
      <c r="Z57" s="25">
        <v>600</v>
      </c>
      <c r="AA57" s="34">
        <v>450</v>
      </c>
      <c r="AB57" s="36">
        <v>300</v>
      </c>
      <c r="AC57" s="34" t="s">
        <v>87</v>
      </c>
      <c r="AD57" s="34">
        <v>90</v>
      </c>
      <c r="AE57" s="37">
        <v>1.1600000000000001</v>
      </c>
      <c r="AF57" s="37">
        <v>1.0249999999999999</v>
      </c>
      <c r="AG57" s="37">
        <v>1.0864999999999998</v>
      </c>
      <c r="AH57" s="38">
        <v>874.04208000000006</v>
      </c>
      <c r="AI57" s="39">
        <v>144.1083689998776</v>
      </c>
      <c r="AJ57" s="38">
        <v>157.57138502654149</v>
      </c>
      <c r="AK57" s="40">
        <v>313.22917620332879</v>
      </c>
      <c r="AL57" s="41">
        <v>158</v>
      </c>
      <c r="AM57" s="39">
        <v>189.6</v>
      </c>
      <c r="AN57" s="39">
        <v>206.00039999999996</v>
      </c>
      <c r="AO57" s="39">
        <v>686.66799999999989</v>
      </c>
      <c r="AP57" s="25" t="s">
        <v>257</v>
      </c>
      <c r="AQ57" s="62" t="s">
        <v>291</v>
      </c>
      <c r="AR57" s="43"/>
    </row>
    <row r="58" spans="1:44" x14ac:dyDescent="0.3">
      <c r="A58" s="25" t="s">
        <v>1509</v>
      </c>
      <c r="B58" s="25" t="s">
        <v>119</v>
      </c>
      <c r="C58" s="25" t="s">
        <v>120</v>
      </c>
      <c r="D58" s="25" t="s">
        <v>121</v>
      </c>
      <c r="E58" s="25" t="s">
        <v>130</v>
      </c>
      <c r="F58" s="27" t="s">
        <v>78</v>
      </c>
      <c r="G58" s="25" t="s">
        <v>274</v>
      </c>
      <c r="H58" s="25" t="s">
        <v>101</v>
      </c>
      <c r="I58" s="25" t="s">
        <v>80</v>
      </c>
      <c r="J58" s="25" t="s">
        <v>94</v>
      </c>
      <c r="K58" s="30" t="s">
        <v>82</v>
      </c>
      <c r="L58" s="43" t="s">
        <v>275</v>
      </c>
      <c r="M58" s="25" t="s">
        <v>83</v>
      </c>
      <c r="N58" s="74" t="s">
        <v>103</v>
      </c>
      <c r="O58" s="61">
        <v>0.44</v>
      </c>
      <c r="P58" s="25">
        <v>99</v>
      </c>
      <c r="Q58" s="25">
        <v>30</v>
      </c>
      <c r="R58" s="25" t="s">
        <v>87</v>
      </c>
      <c r="S58" s="84" t="s">
        <v>87</v>
      </c>
      <c r="T58" s="35">
        <v>0.8</v>
      </c>
      <c r="U58" s="25">
        <v>170</v>
      </c>
      <c r="V58" s="25">
        <v>570</v>
      </c>
      <c r="W58" s="34">
        <v>400</v>
      </c>
      <c r="X58" s="36">
        <v>120</v>
      </c>
      <c r="Y58" s="25">
        <v>150</v>
      </c>
      <c r="Z58" s="25">
        <v>600</v>
      </c>
      <c r="AA58" s="34">
        <v>450</v>
      </c>
      <c r="AB58" s="36">
        <v>90</v>
      </c>
      <c r="AC58" s="34" t="s">
        <v>87</v>
      </c>
      <c r="AD58" s="34">
        <v>69</v>
      </c>
      <c r="AE58" s="37">
        <v>1.1036000000000001</v>
      </c>
      <c r="AF58" s="37">
        <v>0.99780000000000013</v>
      </c>
      <c r="AG58" s="37">
        <v>1.0576680000000001</v>
      </c>
      <c r="AH58" s="38">
        <v>876.64628800000003</v>
      </c>
      <c r="AI58" s="39">
        <v>151.47309536050926</v>
      </c>
      <c r="AJ58" s="38">
        <v>165.62414518918823</v>
      </c>
      <c r="AK58" s="40">
        <v>329.23690140980557</v>
      </c>
      <c r="AL58" s="41">
        <v>166</v>
      </c>
      <c r="AM58" s="39">
        <v>164.34</v>
      </c>
      <c r="AN58" s="39">
        <v>173.81715912000001</v>
      </c>
      <c r="AO58" s="39">
        <v>579.3905304000001</v>
      </c>
      <c r="AP58" s="25" t="s">
        <v>292</v>
      </c>
      <c r="AQ58" s="62" t="s">
        <v>293</v>
      </c>
      <c r="AR58" s="43" t="s">
        <v>294</v>
      </c>
    </row>
    <row r="59" spans="1:44" x14ac:dyDescent="0.3">
      <c r="A59" s="25" t="s">
        <v>1509</v>
      </c>
      <c r="B59" s="25" t="s">
        <v>119</v>
      </c>
      <c r="C59" s="25" t="s">
        <v>120</v>
      </c>
      <c r="D59" s="25" t="s">
        <v>121</v>
      </c>
      <c r="E59" s="47" t="s">
        <v>130</v>
      </c>
      <c r="F59" s="47" t="s">
        <v>122</v>
      </c>
      <c r="G59" s="47" t="s">
        <v>276</v>
      </c>
      <c r="H59" s="47" t="s">
        <v>101</v>
      </c>
      <c r="I59" s="47" t="s">
        <v>80</v>
      </c>
      <c r="J59" s="47" t="s">
        <v>94</v>
      </c>
      <c r="K59" s="87" t="s">
        <v>82</v>
      </c>
      <c r="L59" s="47" t="s">
        <v>277</v>
      </c>
      <c r="M59" s="47" t="s">
        <v>83</v>
      </c>
      <c r="N59" s="89" t="s">
        <v>103</v>
      </c>
      <c r="O59" s="90">
        <v>0.44</v>
      </c>
      <c r="P59" s="47">
        <v>99</v>
      </c>
      <c r="Q59" s="47">
        <v>25</v>
      </c>
      <c r="R59" s="47" t="s">
        <v>87</v>
      </c>
      <c r="S59" s="84" t="s">
        <v>87</v>
      </c>
      <c r="T59" s="92">
        <v>0.8</v>
      </c>
      <c r="U59" s="47">
        <v>170</v>
      </c>
      <c r="V59" s="47">
        <v>570</v>
      </c>
      <c r="W59" s="84">
        <v>400</v>
      </c>
      <c r="X59" s="93">
        <v>170</v>
      </c>
      <c r="Y59" s="47">
        <v>150</v>
      </c>
      <c r="Z59" s="47">
        <v>600</v>
      </c>
      <c r="AA59" s="84">
        <v>450</v>
      </c>
      <c r="AB59" s="93">
        <v>140</v>
      </c>
      <c r="AC59" s="84" t="s">
        <v>87</v>
      </c>
      <c r="AD59" s="84">
        <v>74</v>
      </c>
      <c r="AE59" s="75">
        <v>1.1255999999999999</v>
      </c>
      <c r="AF59" s="75">
        <v>1.003911111111111</v>
      </c>
      <c r="AG59" s="75">
        <v>1.0641457777777776</v>
      </c>
      <c r="AH59" s="97">
        <v>876.64628800000003</v>
      </c>
      <c r="AI59" s="39">
        <v>148.51253379518303</v>
      </c>
      <c r="AJ59" s="97">
        <v>162.38699949430367</v>
      </c>
      <c r="AK59" s="40">
        <v>322.80192288189539</v>
      </c>
      <c r="AL59" s="41">
        <v>162</v>
      </c>
      <c r="AM59" s="39">
        <v>160.38</v>
      </c>
      <c r="AN59" s="39">
        <v>170.66769983999998</v>
      </c>
      <c r="AO59" s="39">
        <v>682.67079935999993</v>
      </c>
      <c r="AP59" s="47" t="s">
        <v>295</v>
      </c>
      <c r="AQ59" s="108" t="s">
        <v>296</v>
      </c>
      <c r="AR59" s="88" t="s">
        <v>297</v>
      </c>
    </row>
    <row r="60" spans="1:44" x14ac:dyDescent="0.3">
      <c r="A60" s="25" t="s">
        <v>1509</v>
      </c>
      <c r="B60" s="25" t="s">
        <v>119</v>
      </c>
      <c r="C60" s="25" t="s">
        <v>120</v>
      </c>
      <c r="D60" s="25" t="s">
        <v>121</v>
      </c>
      <c r="E60" s="25" t="s">
        <v>130</v>
      </c>
      <c r="F60" s="27" t="s">
        <v>78</v>
      </c>
      <c r="G60" s="25" t="s">
        <v>278</v>
      </c>
      <c r="H60" s="25" t="s">
        <v>101</v>
      </c>
      <c r="I60" s="25" t="s">
        <v>80</v>
      </c>
      <c r="J60" s="25" t="s">
        <v>94</v>
      </c>
      <c r="K60" s="30" t="s">
        <v>82</v>
      </c>
      <c r="L60" s="43" t="s">
        <v>279</v>
      </c>
      <c r="M60" s="25" t="s">
        <v>83</v>
      </c>
      <c r="N60" s="74" t="s">
        <v>103</v>
      </c>
      <c r="O60" s="61">
        <v>0.44</v>
      </c>
      <c r="P60" s="25">
        <v>106</v>
      </c>
      <c r="Q60" s="25">
        <v>30</v>
      </c>
      <c r="R60" s="25" t="s">
        <v>87</v>
      </c>
      <c r="S60" s="34" t="s">
        <v>87</v>
      </c>
      <c r="T60" s="35">
        <v>0.8</v>
      </c>
      <c r="U60" s="25">
        <v>200</v>
      </c>
      <c r="V60" s="25">
        <v>600</v>
      </c>
      <c r="W60" s="34">
        <v>400</v>
      </c>
      <c r="X60" s="36">
        <v>160</v>
      </c>
      <c r="Y60" s="25">
        <v>150</v>
      </c>
      <c r="Z60" s="25">
        <v>600</v>
      </c>
      <c r="AA60" s="34">
        <v>450</v>
      </c>
      <c r="AB60" s="36">
        <v>160</v>
      </c>
      <c r="AC60" s="34" t="s">
        <v>87</v>
      </c>
      <c r="AD60" s="34">
        <v>76</v>
      </c>
      <c r="AE60" s="37">
        <v>1.1344000000000001</v>
      </c>
      <c r="AF60" s="37">
        <v>1.0145207547169814</v>
      </c>
      <c r="AG60" s="37">
        <v>1.0753920000000003</v>
      </c>
      <c r="AH60" s="38">
        <v>876.64628800000003</v>
      </c>
      <c r="AI60" s="39">
        <v>147.3604619533304</v>
      </c>
      <c r="AJ60" s="38">
        <v>161.12729780570183</v>
      </c>
      <c r="AK60" s="40">
        <v>320.29781769733904</v>
      </c>
      <c r="AL60" s="41">
        <v>161</v>
      </c>
      <c r="AM60" s="39">
        <v>170.66</v>
      </c>
      <c r="AN60" s="39">
        <v>183.52639872000006</v>
      </c>
      <c r="AO60" s="39">
        <v>611.75466240000026</v>
      </c>
      <c r="AP60" s="25" t="s">
        <v>292</v>
      </c>
      <c r="AQ60" s="62" t="s">
        <v>298</v>
      </c>
      <c r="AR60" s="43"/>
    </row>
    <row r="61" spans="1:44" x14ac:dyDescent="0.3">
      <c r="A61" s="25" t="s">
        <v>1509</v>
      </c>
      <c r="B61" s="25" t="s">
        <v>119</v>
      </c>
      <c r="C61" s="25" t="s">
        <v>120</v>
      </c>
      <c r="D61" s="25" t="s">
        <v>121</v>
      </c>
      <c r="E61" s="25" t="s">
        <v>130</v>
      </c>
      <c r="F61" s="27" t="s">
        <v>78</v>
      </c>
      <c r="G61" s="25" t="s">
        <v>280</v>
      </c>
      <c r="H61" s="25" t="s">
        <v>101</v>
      </c>
      <c r="I61" s="25" t="s">
        <v>80</v>
      </c>
      <c r="J61" s="25" t="s">
        <v>94</v>
      </c>
      <c r="K61" s="30" t="s">
        <v>82</v>
      </c>
      <c r="L61" s="43" t="s">
        <v>281</v>
      </c>
      <c r="M61" s="25" t="s">
        <v>83</v>
      </c>
      <c r="N61" s="74" t="s">
        <v>103</v>
      </c>
      <c r="O61" s="61">
        <v>0.44</v>
      </c>
      <c r="P61" s="25">
        <v>91</v>
      </c>
      <c r="Q61" s="32">
        <v>25</v>
      </c>
      <c r="R61" s="25" t="s">
        <v>87</v>
      </c>
      <c r="S61" s="84" t="s">
        <v>87</v>
      </c>
      <c r="T61" s="35">
        <v>0.8</v>
      </c>
      <c r="U61" s="25">
        <v>150</v>
      </c>
      <c r="V61" s="25">
        <v>500</v>
      </c>
      <c r="W61" s="194">
        <v>350</v>
      </c>
      <c r="X61" s="36">
        <v>160</v>
      </c>
      <c r="Y61" s="25">
        <v>150</v>
      </c>
      <c r="Z61" s="25">
        <v>550</v>
      </c>
      <c r="AA61" s="34">
        <v>400</v>
      </c>
      <c r="AB61" s="36">
        <v>110</v>
      </c>
      <c r="AC61" s="34" t="s">
        <v>87</v>
      </c>
      <c r="AD61" s="34">
        <v>66</v>
      </c>
      <c r="AE61" s="37">
        <v>1.0904</v>
      </c>
      <c r="AF61" s="37">
        <v>0.98509010989010992</v>
      </c>
      <c r="AG61" s="37">
        <v>1.0441955164835166</v>
      </c>
      <c r="AH61" s="38">
        <v>876.64628800000003</v>
      </c>
      <c r="AI61" s="39">
        <v>153.30677553178469</v>
      </c>
      <c r="AJ61" s="38">
        <v>167.62913300695908</v>
      </c>
      <c r="AK61" s="40">
        <v>333.22252787588178</v>
      </c>
      <c r="AL61" s="41">
        <v>168</v>
      </c>
      <c r="AM61" s="39">
        <v>152.88</v>
      </c>
      <c r="AN61" s="39">
        <v>159.63661056000001</v>
      </c>
      <c r="AO61" s="39">
        <v>638.54644224000003</v>
      </c>
      <c r="AP61" s="25" t="s">
        <v>257</v>
      </c>
      <c r="AQ61" s="62" t="s">
        <v>299</v>
      </c>
      <c r="AR61" s="43"/>
    </row>
    <row r="62" spans="1:44" x14ac:dyDescent="0.3">
      <c r="A62" s="25" t="s">
        <v>1509</v>
      </c>
      <c r="B62" s="25" t="s">
        <v>119</v>
      </c>
      <c r="C62" s="25" t="s">
        <v>120</v>
      </c>
      <c r="D62" s="25" t="s">
        <v>121</v>
      </c>
      <c r="E62" s="25" t="s">
        <v>130</v>
      </c>
      <c r="F62" s="27" t="s">
        <v>78</v>
      </c>
      <c r="G62" s="25" t="s">
        <v>282</v>
      </c>
      <c r="H62" s="25" t="s">
        <v>101</v>
      </c>
      <c r="I62" s="25" t="s">
        <v>80</v>
      </c>
      <c r="J62" s="25" t="s">
        <v>94</v>
      </c>
      <c r="K62" s="30" t="s">
        <v>82</v>
      </c>
      <c r="L62" s="43" t="s">
        <v>283</v>
      </c>
      <c r="M62" s="25" t="s">
        <v>83</v>
      </c>
      <c r="N62" s="74" t="s">
        <v>103</v>
      </c>
      <c r="O62" s="61">
        <v>0.44</v>
      </c>
      <c r="P62" s="25">
        <v>115</v>
      </c>
      <c r="Q62" s="25">
        <v>30</v>
      </c>
      <c r="R62" s="25" t="s">
        <v>87</v>
      </c>
      <c r="S62" s="34" t="s">
        <v>87</v>
      </c>
      <c r="T62" s="35">
        <v>0.8</v>
      </c>
      <c r="U62" s="25">
        <v>200</v>
      </c>
      <c r="V62" s="25">
        <v>600</v>
      </c>
      <c r="W62" s="194">
        <v>400</v>
      </c>
      <c r="X62" s="36">
        <v>250</v>
      </c>
      <c r="Y62" s="25">
        <v>150</v>
      </c>
      <c r="Z62" s="25">
        <v>600</v>
      </c>
      <c r="AA62" s="34">
        <v>450</v>
      </c>
      <c r="AB62" s="36">
        <v>250</v>
      </c>
      <c r="AC62" s="34" t="s">
        <v>87</v>
      </c>
      <c r="AD62" s="34">
        <v>85</v>
      </c>
      <c r="AE62" s="37">
        <v>1.1739999999999999</v>
      </c>
      <c r="AF62" s="37">
        <v>1.0357826086956521</v>
      </c>
      <c r="AG62" s="37">
        <v>1.0979295652173913</v>
      </c>
      <c r="AH62" s="38">
        <v>876.64628800000003</v>
      </c>
      <c r="AI62" s="39">
        <v>142.38987056205966</v>
      </c>
      <c r="AJ62" s="38">
        <v>155.69233954922333</v>
      </c>
      <c r="AK62" s="40">
        <v>309.49390493684967</v>
      </c>
      <c r="AL62" s="41">
        <v>156</v>
      </c>
      <c r="AM62" s="39">
        <v>179.4</v>
      </c>
      <c r="AN62" s="39">
        <v>196.96856399999999</v>
      </c>
      <c r="AO62" s="39">
        <v>656.56187999999997</v>
      </c>
      <c r="AP62" s="25" t="s">
        <v>257</v>
      </c>
      <c r="AQ62" s="62" t="s">
        <v>300</v>
      </c>
      <c r="AR62" s="43"/>
    </row>
    <row r="63" spans="1:44" x14ac:dyDescent="0.3">
      <c r="A63" s="25" t="s">
        <v>1509</v>
      </c>
      <c r="B63" s="25" t="s">
        <v>119</v>
      </c>
      <c r="C63" s="25" t="s">
        <v>120</v>
      </c>
      <c r="D63" s="25" t="s">
        <v>121</v>
      </c>
      <c r="E63" s="25" t="s">
        <v>130</v>
      </c>
      <c r="F63" s="27" t="s">
        <v>78</v>
      </c>
      <c r="G63" s="25" t="s">
        <v>301</v>
      </c>
      <c r="H63" s="25" t="s">
        <v>101</v>
      </c>
      <c r="I63" s="25" t="s">
        <v>80</v>
      </c>
      <c r="J63" s="25" t="s">
        <v>94</v>
      </c>
      <c r="K63" s="30" t="s">
        <v>82</v>
      </c>
      <c r="L63" s="43" t="s">
        <v>302</v>
      </c>
      <c r="M63" s="25" t="s">
        <v>83</v>
      </c>
      <c r="N63" s="74" t="s">
        <v>103</v>
      </c>
      <c r="O63" s="61">
        <v>0.48</v>
      </c>
      <c r="P63" s="25">
        <v>100</v>
      </c>
      <c r="Q63" s="25">
        <v>30</v>
      </c>
      <c r="R63" s="25" t="s">
        <v>87</v>
      </c>
      <c r="S63" s="34" t="s">
        <v>87</v>
      </c>
      <c r="T63" s="35">
        <v>0.8</v>
      </c>
      <c r="U63" s="25">
        <v>150</v>
      </c>
      <c r="V63" s="25">
        <v>550</v>
      </c>
      <c r="W63" s="194">
        <v>400</v>
      </c>
      <c r="X63" s="36">
        <v>150</v>
      </c>
      <c r="Y63" s="25">
        <v>150</v>
      </c>
      <c r="Z63" s="25">
        <v>600</v>
      </c>
      <c r="AA63" s="34">
        <v>450</v>
      </c>
      <c r="AB63" s="36">
        <v>100</v>
      </c>
      <c r="AC63" s="34" t="s">
        <v>87</v>
      </c>
      <c r="AD63" s="34">
        <v>70</v>
      </c>
      <c r="AE63" s="37">
        <v>1.1360000000000001</v>
      </c>
      <c r="AF63" s="37">
        <v>1.0184</v>
      </c>
      <c r="AG63" s="37">
        <v>1.079504</v>
      </c>
      <c r="AH63" s="38">
        <v>879.250496</v>
      </c>
      <c r="AI63" s="39">
        <v>147.15291200691726</v>
      </c>
      <c r="AJ63" s="38">
        <v>160.90035794963748</v>
      </c>
      <c r="AK63" s="40">
        <v>319.84669401044141</v>
      </c>
      <c r="AL63" s="41">
        <v>161</v>
      </c>
      <c r="AM63" s="39">
        <v>161</v>
      </c>
      <c r="AN63" s="39">
        <v>173.80014399999999</v>
      </c>
      <c r="AO63" s="39">
        <v>579.3338133333333</v>
      </c>
      <c r="AP63" s="25" t="s">
        <v>257</v>
      </c>
      <c r="AQ63" s="62" t="s">
        <v>315</v>
      </c>
      <c r="AR63" s="43"/>
    </row>
    <row r="64" spans="1:44" x14ac:dyDescent="0.3">
      <c r="A64" s="25" t="s">
        <v>1509</v>
      </c>
      <c r="B64" s="25" t="s">
        <v>119</v>
      </c>
      <c r="C64" s="25" t="s">
        <v>120</v>
      </c>
      <c r="D64" s="25" t="s">
        <v>121</v>
      </c>
      <c r="E64" s="25" t="s">
        <v>130</v>
      </c>
      <c r="F64" s="27" t="s">
        <v>78</v>
      </c>
      <c r="G64" s="25" t="s">
        <v>303</v>
      </c>
      <c r="H64" s="25" t="s">
        <v>101</v>
      </c>
      <c r="I64" s="25" t="s">
        <v>80</v>
      </c>
      <c r="J64" s="25" t="s">
        <v>94</v>
      </c>
      <c r="K64" s="30" t="s">
        <v>82</v>
      </c>
      <c r="L64" s="43" t="s">
        <v>304</v>
      </c>
      <c r="M64" s="25" t="s">
        <v>83</v>
      </c>
      <c r="N64" s="74" t="s">
        <v>103</v>
      </c>
      <c r="O64" s="61">
        <v>0.52</v>
      </c>
      <c r="P64" s="25">
        <v>90</v>
      </c>
      <c r="Q64" s="25">
        <v>30</v>
      </c>
      <c r="R64" s="25" t="s">
        <v>87</v>
      </c>
      <c r="S64" s="34" t="s">
        <v>87</v>
      </c>
      <c r="T64" s="35">
        <v>0.8</v>
      </c>
      <c r="U64" s="25">
        <v>80</v>
      </c>
      <c r="V64" s="25">
        <v>480</v>
      </c>
      <c r="W64" s="34">
        <v>400</v>
      </c>
      <c r="X64" s="36">
        <v>120</v>
      </c>
      <c r="Y64" s="25">
        <v>80</v>
      </c>
      <c r="Z64" s="25">
        <v>500</v>
      </c>
      <c r="AA64" s="34">
        <v>420</v>
      </c>
      <c r="AB64" s="36">
        <v>100</v>
      </c>
      <c r="AC64" s="34" t="s">
        <v>87</v>
      </c>
      <c r="AD64" s="34">
        <v>60</v>
      </c>
      <c r="AE64" s="37">
        <v>1.1120000000000001</v>
      </c>
      <c r="AF64" s="37">
        <v>1.008</v>
      </c>
      <c r="AG64" s="37">
        <v>1.0684800000000001</v>
      </c>
      <c r="AH64" s="38">
        <v>881.85470400000008</v>
      </c>
      <c r="AI64" s="39">
        <v>150.32887413656297</v>
      </c>
      <c r="AJ64" s="38">
        <v>164.37302754567281</v>
      </c>
      <c r="AK64" s="40">
        <v>326.74986006822076</v>
      </c>
      <c r="AL64" s="41">
        <v>164</v>
      </c>
      <c r="AM64" s="39">
        <v>147.6</v>
      </c>
      <c r="AN64" s="39">
        <v>157.70764800000001</v>
      </c>
      <c r="AO64" s="39">
        <v>525.69216000000006</v>
      </c>
      <c r="AP64" s="25" t="s">
        <v>292</v>
      </c>
      <c r="AQ64" s="62" t="s">
        <v>316</v>
      </c>
      <c r="AR64" s="43"/>
    </row>
    <row r="65" spans="1:44" x14ac:dyDescent="0.3">
      <c r="A65" s="25" t="s">
        <v>1509</v>
      </c>
      <c r="B65" s="25" t="s">
        <v>119</v>
      </c>
      <c r="C65" s="25" t="s">
        <v>120</v>
      </c>
      <c r="D65" s="25" t="s">
        <v>121</v>
      </c>
      <c r="E65" s="25" t="s">
        <v>130</v>
      </c>
      <c r="F65" s="32" t="s">
        <v>78</v>
      </c>
      <c r="G65" s="25" t="s">
        <v>305</v>
      </c>
      <c r="H65" s="25" t="s">
        <v>101</v>
      </c>
      <c r="I65" s="25" t="s">
        <v>80</v>
      </c>
      <c r="J65" s="25" t="s">
        <v>94</v>
      </c>
      <c r="K65" s="30" t="s">
        <v>82</v>
      </c>
      <c r="L65" s="43" t="s">
        <v>306</v>
      </c>
      <c r="M65" s="25" t="s">
        <v>83</v>
      </c>
      <c r="N65" s="74" t="s">
        <v>103</v>
      </c>
      <c r="O65" s="61">
        <v>0.52</v>
      </c>
      <c r="P65" s="25">
        <v>100</v>
      </c>
      <c r="Q65" s="25">
        <v>30</v>
      </c>
      <c r="R65" s="25" t="s">
        <v>87</v>
      </c>
      <c r="S65" s="84" t="s">
        <v>87</v>
      </c>
      <c r="T65" s="35">
        <v>0.8</v>
      </c>
      <c r="U65" s="25">
        <v>180</v>
      </c>
      <c r="V65" s="25">
        <v>580</v>
      </c>
      <c r="W65" s="34">
        <v>400</v>
      </c>
      <c r="X65" s="36">
        <v>120</v>
      </c>
      <c r="Y65" s="25">
        <v>150</v>
      </c>
      <c r="Z65" s="25">
        <v>600</v>
      </c>
      <c r="AA65" s="34">
        <v>450</v>
      </c>
      <c r="AB65" s="36">
        <v>100</v>
      </c>
      <c r="AC65" s="34" t="s">
        <v>87</v>
      </c>
      <c r="AD65" s="34">
        <v>70</v>
      </c>
      <c r="AE65" s="37">
        <v>1.1640000000000001</v>
      </c>
      <c r="AF65" s="37">
        <v>1.0366000000000002</v>
      </c>
      <c r="AG65" s="37">
        <v>1.0987960000000001</v>
      </c>
      <c r="AH65" s="38">
        <v>881.85470400000008</v>
      </c>
      <c r="AI65" s="39">
        <v>143.61315123699143</v>
      </c>
      <c r="AJ65" s="38">
        <v>157.02990260376987</v>
      </c>
      <c r="AK65" s="40">
        <v>312.15278728166788</v>
      </c>
      <c r="AL65" s="41">
        <v>157</v>
      </c>
      <c r="AM65" s="39">
        <v>157</v>
      </c>
      <c r="AN65" s="39">
        <v>172.51097200000001</v>
      </c>
      <c r="AO65" s="39">
        <v>575.03657333333342</v>
      </c>
      <c r="AP65" s="25" t="s">
        <v>292</v>
      </c>
      <c r="AQ65" s="62" t="s">
        <v>317</v>
      </c>
      <c r="AR65" s="43" t="s">
        <v>318</v>
      </c>
    </row>
    <row r="66" spans="1:44" x14ac:dyDescent="0.3">
      <c r="A66" s="25" t="s">
        <v>1509</v>
      </c>
      <c r="B66" s="25" t="s">
        <v>119</v>
      </c>
      <c r="C66" s="25" t="s">
        <v>120</v>
      </c>
      <c r="D66" s="25" t="s">
        <v>121</v>
      </c>
      <c r="E66" s="47" t="s">
        <v>130</v>
      </c>
      <c r="F66" s="47" t="s">
        <v>122</v>
      </c>
      <c r="G66" s="47" t="s">
        <v>307</v>
      </c>
      <c r="H66" s="47" t="s">
        <v>101</v>
      </c>
      <c r="I66" s="47" t="s">
        <v>80</v>
      </c>
      <c r="J66" s="47" t="s">
        <v>94</v>
      </c>
      <c r="K66" s="87" t="s">
        <v>82</v>
      </c>
      <c r="L66" s="47" t="s">
        <v>308</v>
      </c>
      <c r="M66" s="47" t="s">
        <v>83</v>
      </c>
      <c r="N66" s="89" t="s">
        <v>103</v>
      </c>
      <c r="O66" s="90">
        <v>0.52</v>
      </c>
      <c r="P66" s="47">
        <v>100</v>
      </c>
      <c r="Q66" s="96">
        <v>25</v>
      </c>
      <c r="R66" s="47" t="s">
        <v>87</v>
      </c>
      <c r="S66" s="84" t="s">
        <v>87</v>
      </c>
      <c r="T66" s="92">
        <v>0.8</v>
      </c>
      <c r="U66" s="47">
        <v>180</v>
      </c>
      <c r="V66" s="47">
        <v>580</v>
      </c>
      <c r="W66" s="84">
        <v>400</v>
      </c>
      <c r="X66" s="93">
        <v>170</v>
      </c>
      <c r="Y66" s="47">
        <v>150</v>
      </c>
      <c r="Z66" s="47">
        <v>600</v>
      </c>
      <c r="AA66" s="84">
        <v>450</v>
      </c>
      <c r="AB66" s="93">
        <v>150</v>
      </c>
      <c r="AC66" s="84" t="s">
        <v>87</v>
      </c>
      <c r="AD66" s="84">
        <v>75</v>
      </c>
      <c r="AE66" s="75">
        <v>1.19</v>
      </c>
      <c r="AF66" s="75">
        <v>1.04375</v>
      </c>
      <c r="AG66" s="75">
        <v>1.1063749999999999</v>
      </c>
      <c r="AH66" s="97">
        <v>881.85470400000008</v>
      </c>
      <c r="AI66" s="39">
        <v>140.47538490744373</v>
      </c>
      <c r="AJ66" s="97">
        <v>153.59899716872957</v>
      </c>
      <c r="AK66" s="40">
        <v>305.33264234946341</v>
      </c>
      <c r="AL66" s="41">
        <v>154</v>
      </c>
      <c r="AM66" s="39">
        <v>154</v>
      </c>
      <c r="AN66" s="39">
        <v>170.38174999999998</v>
      </c>
      <c r="AO66" s="39">
        <v>681.52699999999993</v>
      </c>
      <c r="AP66" s="47" t="s">
        <v>295</v>
      </c>
      <c r="AQ66" s="108" t="s">
        <v>319</v>
      </c>
      <c r="AR66" s="108" t="s">
        <v>320</v>
      </c>
    </row>
    <row r="67" spans="1:44" x14ac:dyDescent="0.3">
      <c r="A67" s="25" t="s">
        <v>1509</v>
      </c>
      <c r="B67" s="25" t="s">
        <v>119</v>
      </c>
      <c r="C67" s="25" t="s">
        <v>120</v>
      </c>
      <c r="D67" s="25" t="s">
        <v>121</v>
      </c>
      <c r="E67" s="25" t="s">
        <v>130</v>
      </c>
      <c r="F67" s="27" t="s">
        <v>78</v>
      </c>
      <c r="G67" s="25" t="s">
        <v>309</v>
      </c>
      <c r="H67" s="25" t="s">
        <v>101</v>
      </c>
      <c r="I67" s="25" t="s">
        <v>80</v>
      </c>
      <c r="J67" s="25" t="s">
        <v>94</v>
      </c>
      <c r="K67" s="30" t="s">
        <v>82</v>
      </c>
      <c r="L67" s="43" t="s">
        <v>310</v>
      </c>
      <c r="M67" s="25" t="s">
        <v>83</v>
      </c>
      <c r="N67" s="74" t="s">
        <v>103</v>
      </c>
      <c r="O67" s="61">
        <v>0.52</v>
      </c>
      <c r="P67" s="25">
        <v>103</v>
      </c>
      <c r="Q67" s="25">
        <v>30</v>
      </c>
      <c r="R67" s="25" t="s">
        <v>87</v>
      </c>
      <c r="S67" s="34" t="s">
        <v>87</v>
      </c>
      <c r="T67" s="35">
        <v>0.8</v>
      </c>
      <c r="U67" s="25">
        <v>180</v>
      </c>
      <c r="V67" s="25">
        <v>580</v>
      </c>
      <c r="W67" s="34">
        <v>400</v>
      </c>
      <c r="X67" s="36">
        <v>150</v>
      </c>
      <c r="Y67" s="25">
        <v>150</v>
      </c>
      <c r="Z67" s="25">
        <v>600</v>
      </c>
      <c r="AA67" s="34">
        <v>450</v>
      </c>
      <c r="AB67" s="36">
        <v>130</v>
      </c>
      <c r="AC67" s="34" t="s">
        <v>87</v>
      </c>
      <c r="AD67" s="34">
        <v>73</v>
      </c>
      <c r="AE67" s="37">
        <v>1.1796</v>
      </c>
      <c r="AF67" s="37">
        <v>1.0450815533980582</v>
      </c>
      <c r="AG67" s="37">
        <v>1.1077864466019418</v>
      </c>
      <c r="AH67" s="38">
        <v>881.85470400000008</v>
      </c>
      <c r="AI67" s="39">
        <v>141.71389287882167</v>
      </c>
      <c r="AJ67" s="38">
        <v>154.95321009731111</v>
      </c>
      <c r="AK67" s="40">
        <v>308.02462224132034</v>
      </c>
      <c r="AL67" s="41">
        <v>155</v>
      </c>
      <c r="AM67" s="39">
        <v>159.65</v>
      </c>
      <c r="AN67" s="39">
        <v>176.85810620000001</v>
      </c>
      <c r="AO67" s="39">
        <v>589.52702066666677</v>
      </c>
      <c r="AP67" s="25" t="s">
        <v>292</v>
      </c>
      <c r="AQ67" s="62" t="s">
        <v>321</v>
      </c>
      <c r="AR67" s="43"/>
    </row>
    <row r="68" spans="1:44" x14ac:dyDescent="0.3">
      <c r="A68" s="25" t="s">
        <v>1509</v>
      </c>
      <c r="B68" s="25" t="s">
        <v>119</v>
      </c>
      <c r="C68" s="25" t="s">
        <v>120</v>
      </c>
      <c r="D68" s="25" t="s">
        <v>121</v>
      </c>
      <c r="E68" s="25" t="s">
        <v>130</v>
      </c>
      <c r="F68" s="27" t="s">
        <v>78</v>
      </c>
      <c r="G68" s="25" t="s">
        <v>311</v>
      </c>
      <c r="H68" s="25" t="s">
        <v>101</v>
      </c>
      <c r="I68" s="25" t="s">
        <v>80</v>
      </c>
      <c r="J68" s="25" t="s">
        <v>94</v>
      </c>
      <c r="K68" s="30" t="s">
        <v>82</v>
      </c>
      <c r="L68" s="25" t="s">
        <v>312</v>
      </c>
      <c r="M68" s="25" t="s">
        <v>83</v>
      </c>
      <c r="N68" s="74" t="s">
        <v>103</v>
      </c>
      <c r="O68" s="61">
        <v>0.52</v>
      </c>
      <c r="P68" s="25">
        <v>107</v>
      </c>
      <c r="Q68" s="25">
        <v>30</v>
      </c>
      <c r="R68" s="25" t="s">
        <v>87</v>
      </c>
      <c r="S68" s="34" t="s">
        <v>87</v>
      </c>
      <c r="T68" s="35">
        <v>0.8</v>
      </c>
      <c r="U68" s="25">
        <v>180</v>
      </c>
      <c r="V68" s="25">
        <v>580</v>
      </c>
      <c r="W68" s="34">
        <v>400</v>
      </c>
      <c r="X68" s="36">
        <v>190</v>
      </c>
      <c r="Y68" s="25">
        <v>150</v>
      </c>
      <c r="Z68" s="25">
        <v>600</v>
      </c>
      <c r="AA68" s="34">
        <v>450</v>
      </c>
      <c r="AB68" s="36">
        <v>170</v>
      </c>
      <c r="AC68" s="34" t="s">
        <v>87</v>
      </c>
      <c r="AD68" s="34">
        <v>77</v>
      </c>
      <c r="AE68" s="37">
        <v>1.2004000000000001</v>
      </c>
      <c r="AF68" s="37">
        <v>1.0563308411214953</v>
      </c>
      <c r="AG68" s="37">
        <v>1.1197106915887849</v>
      </c>
      <c r="AH68" s="38">
        <v>881.85470400000008</v>
      </c>
      <c r="AI68" s="39">
        <v>139.25833725413031</v>
      </c>
      <c r="AJ68" s="38">
        <v>152.2682494425093</v>
      </c>
      <c r="AK68" s="40">
        <v>302.68730789391992</v>
      </c>
      <c r="AL68" s="41">
        <v>152</v>
      </c>
      <c r="AM68" s="39">
        <v>162.63999999999999</v>
      </c>
      <c r="AN68" s="39">
        <v>182.10974687999996</v>
      </c>
      <c r="AO68" s="39">
        <v>607.03248959999985</v>
      </c>
      <c r="AP68" s="25" t="s">
        <v>322</v>
      </c>
      <c r="AQ68" s="62" t="s">
        <v>323</v>
      </c>
      <c r="AR68" s="43" t="s">
        <v>324</v>
      </c>
    </row>
    <row r="69" spans="1:44" x14ac:dyDescent="0.3">
      <c r="A69" s="25" t="s">
        <v>1509</v>
      </c>
      <c r="B69" s="25" t="s">
        <v>119</v>
      </c>
      <c r="C69" s="25" t="s">
        <v>120</v>
      </c>
      <c r="D69" s="25" t="s">
        <v>121</v>
      </c>
      <c r="E69" s="25" t="s">
        <v>130</v>
      </c>
      <c r="F69" s="27" t="s">
        <v>78</v>
      </c>
      <c r="G69" s="25" t="s">
        <v>313</v>
      </c>
      <c r="H69" s="25" t="s">
        <v>101</v>
      </c>
      <c r="I69" s="25" t="s">
        <v>80</v>
      </c>
      <c r="J69" s="25" t="s">
        <v>94</v>
      </c>
      <c r="K69" s="30" t="s">
        <v>82</v>
      </c>
      <c r="L69" s="43" t="s">
        <v>314</v>
      </c>
      <c r="M69" s="25" t="s">
        <v>83</v>
      </c>
      <c r="N69" s="74" t="s">
        <v>103</v>
      </c>
      <c r="O69" s="61">
        <v>0.52</v>
      </c>
      <c r="P69" s="25">
        <v>85</v>
      </c>
      <c r="Q69" s="96">
        <v>20</v>
      </c>
      <c r="R69" s="25" t="s">
        <v>87</v>
      </c>
      <c r="S69" s="84" t="s">
        <v>87</v>
      </c>
      <c r="T69" s="35">
        <v>0.8</v>
      </c>
      <c r="U69" s="25">
        <v>150</v>
      </c>
      <c r="V69" s="25">
        <v>500</v>
      </c>
      <c r="W69" s="194">
        <v>350</v>
      </c>
      <c r="X69" s="36">
        <v>150</v>
      </c>
      <c r="Y69" s="25">
        <v>150</v>
      </c>
      <c r="Z69" s="25">
        <v>550</v>
      </c>
      <c r="AA69" s="34">
        <v>400</v>
      </c>
      <c r="AB69" s="36">
        <v>100</v>
      </c>
      <c r="AC69" s="34" t="s">
        <v>87</v>
      </c>
      <c r="AD69" s="34">
        <v>65</v>
      </c>
      <c r="AE69" s="37">
        <v>1.1379999999999999</v>
      </c>
      <c r="AF69" s="37">
        <v>1.008764705882353</v>
      </c>
      <c r="AG69" s="37">
        <v>1.0692905882352943</v>
      </c>
      <c r="AH69" s="38">
        <v>881.85470400000008</v>
      </c>
      <c r="AI69" s="39">
        <v>146.89429528985769</v>
      </c>
      <c r="AJ69" s="38">
        <v>160.61758051914606</v>
      </c>
      <c r="AK69" s="40">
        <v>319.28457328283088</v>
      </c>
      <c r="AL69" s="41">
        <v>161</v>
      </c>
      <c r="AM69" s="39">
        <v>136.85</v>
      </c>
      <c r="AN69" s="39">
        <v>146.33241700000002</v>
      </c>
      <c r="AO69" s="39">
        <v>731.66208500000005</v>
      </c>
      <c r="AP69" s="25" t="s">
        <v>257</v>
      </c>
      <c r="AQ69" s="62" t="s">
        <v>325</v>
      </c>
      <c r="AR69" s="43"/>
    </row>
    <row r="70" spans="1:44" x14ac:dyDescent="0.3">
      <c r="A70" s="25" t="s">
        <v>1509</v>
      </c>
      <c r="B70" s="25" t="s">
        <v>119</v>
      </c>
      <c r="C70" s="25" t="s">
        <v>120</v>
      </c>
      <c r="D70" s="25" t="s">
        <v>121</v>
      </c>
      <c r="E70" s="25" t="s">
        <v>130</v>
      </c>
      <c r="F70" s="27" t="s">
        <v>78</v>
      </c>
      <c r="G70" s="25" t="s">
        <v>326</v>
      </c>
      <c r="H70" s="25" t="s">
        <v>101</v>
      </c>
      <c r="I70" s="25" t="s">
        <v>80</v>
      </c>
      <c r="J70" s="25" t="s">
        <v>94</v>
      </c>
      <c r="K70" s="30" t="s">
        <v>82</v>
      </c>
      <c r="L70" s="43" t="s">
        <v>327</v>
      </c>
      <c r="M70" s="25" t="s">
        <v>83</v>
      </c>
      <c r="N70" s="74" t="s">
        <v>103</v>
      </c>
      <c r="O70" s="61">
        <v>0.59</v>
      </c>
      <c r="P70" s="25">
        <v>91</v>
      </c>
      <c r="Q70" s="25">
        <v>30</v>
      </c>
      <c r="R70" s="25" t="s">
        <v>87</v>
      </c>
      <c r="S70" s="34" t="s">
        <v>87</v>
      </c>
      <c r="T70" s="35">
        <v>0.8</v>
      </c>
      <c r="U70" s="25">
        <v>90</v>
      </c>
      <c r="V70" s="25">
        <v>490</v>
      </c>
      <c r="W70" s="34">
        <v>400</v>
      </c>
      <c r="X70" s="36">
        <v>120</v>
      </c>
      <c r="Y70" s="25">
        <v>90</v>
      </c>
      <c r="Z70" s="25">
        <v>500</v>
      </c>
      <c r="AA70" s="34">
        <v>410</v>
      </c>
      <c r="AB70" s="36">
        <v>110</v>
      </c>
      <c r="AC70" s="34" t="s">
        <v>87</v>
      </c>
      <c r="AD70" s="34">
        <v>61</v>
      </c>
      <c r="AE70" s="37">
        <v>1.1598999999999999</v>
      </c>
      <c r="AF70" s="37">
        <v>1.0392741758241757</v>
      </c>
      <c r="AG70" s="37">
        <v>1.1016306263736262</v>
      </c>
      <c r="AH70" s="38">
        <v>886.41206799999998</v>
      </c>
      <c r="AI70" s="39">
        <v>144.12079320618849</v>
      </c>
      <c r="AJ70" s="38">
        <v>157.58496993774307</v>
      </c>
      <c r="AK70" s="40">
        <v>313.25618104652256</v>
      </c>
      <c r="AL70" s="41">
        <v>158</v>
      </c>
      <c r="AM70" s="39">
        <v>143.78</v>
      </c>
      <c r="AN70" s="39">
        <v>158.39245145999996</v>
      </c>
      <c r="AO70" s="39">
        <v>527.97483819999991</v>
      </c>
      <c r="AP70" s="25" t="s">
        <v>292</v>
      </c>
      <c r="AQ70" s="62" t="s">
        <v>348</v>
      </c>
      <c r="AR70" s="43"/>
    </row>
    <row r="71" spans="1:44" x14ac:dyDescent="0.3">
      <c r="A71" s="25" t="s">
        <v>1509</v>
      </c>
      <c r="B71" s="25" t="s">
        <v>119</v>
      </c>
      <c r="C71" s="25" t="s">
        <v>120</v>
      </c>
      <c r="D71" s="25" t="s">
        <v>121</v>
      </c>
      <c r="E71" s="25" t="s">
        <v>130</v>
      </c>
      <c r="F71" s="27" t="s">
        <v>78</v>
      </c>
      <c r="G71" s="25" t="s">
        <v>328</v>
      </c>
      <c r="H71" s="25" t="s">
        <v>101</v>
      </c>
      <c r="I71" s="25" t="s">
        <v>80</v>
      </c>
      <c r="J71" s="25" t="s">
        <v>94</v>
      </c>
      <c r="K71" s="30" t="s">
        <v>82</v>
      </c>
      <c r="L71" s="43" t="s">
        <v>329</v>
      </c>
      <c r="M71" s="25" t="s">
        <v>83</v>
      </c>
      <c r="N71" s="74" t="s">
        <v>103</v>
      </c>
      <c r="O71" s="61">
        <v>0.59</v>
      </c>
      <c r="P71" s="25">
        <v>115</v>
      </c>
      <c r="Q71" s="25">
        <v>30</v>
      </c>
      <c r="R71" s="25" t="s">
        <v>87</v>
      </c>
      <c r="S71" s="34" t="s">
        <v>87</v>
      </c>
      <c r="T71" s="35">
        <v>0.8</v>
      </c>
      <c r="U71" s="25">
        <v>200</v>
      </c>
      <c r="V71" s="25">
        <v>600</v>
      </c>
      <c r="W71" s="34">
        <v>400</v>
      </c>
      <c r="X71" s="36">
        <v>250</v>
      </c>
      <c r="Y71" s="25">
        <v>150</v>
      </c>
      <c r="Z71" s="25">
        <v>600</v>
      </c>
      <c r="AA71" s="34">
        <v>450</v>
      </c>
      <c r="AB71" s="36">
        <v>250</v>
      </c>
      <c r="AC71" s="34" t="s">
        <v>87</v>
      </c>
      <c r="AD71" s="34">
        <v>85</v>
      </c>
      <c r="AE71" s="37">
        <v>1.3014999999999999</v>
      </c>
      <c r="AF71" s="37">
        <v>1.1161630434782608</v>
      </c>
      <c r="AG71" s="37">
        <v>1.1831328260869565</v>
      </c>
      <c r="AH71" s="38">
        <v>886.41206799999998</v>
      </c>
      <c r="AI71" s="39">
        <v>128.44080525536538</v>
      </c>
      <c r="AJ71" s="38">
        <v>140.4401126629183</v>
      </c>
      <c r="AK71" s="40">
        <v>279.17467875210258</v>
      </c>
      <c r="AL71" s="41">
        <v>140</v>
      </c>
      <c r="AM71" s="39">
        <v>161</v>
      </c>
      <c r="AN71" s="39">
        <v>190.484385</v>
      </c>
      <c r="AO71" s="39">
        <v>634.94794999999999</v>
      </c>
      <c r="AP71" s="25" t="s">
        <v>292</v>
      </c>
      <c r="AQ71" s="62" t="s">
        <v>349</v>
      </c>
      <c r="AR71" s="43"/>
    </row>
    <row r="72" spans="1:44" x14ac:dyDescent="0.3">
      <c r="A72" s="25" t="s">
        <v>1509</v>
      </c>
      <c r="B72" s="25" t="s">
        <v>119</v>
      </c>
      <c r="C72" s="25" t="s">
        <v>120</v>
      </c>
      <c r="D72" s="25" t="s">
        <v>121</v>
      </c>
      <c r="E72" s="25" t="s">
        <v>130</v>
      </c>
      <c r="F72" s="27" t="s">
        <v>78</v>
      </c>
      <c r="G72" s="25" t="s">
        <v>330</v>
      </c>
      <c r="H72" s="25" t="s">
        <v>101</v>
      </c>
      <c r="I72" s="25" t="s">
        <v>80</v>
      </c>
      <c r="J72" s="25" t="s">
        <v>94</v>
      </c>
      <c r="K72" s="30" t="s">
        <v>82</v>
      </c>
      <c r="L72" s="43" t="s">
        <v>331</v>
      </c>
      <c r="M72" s="25" t="s">
        <v>83</v>
      </c>
      <c r="N72" s="74" t="s">
        <v>103</v>
      </c>
      <c r="O72" s="61">
        <v>0.59</v>
      </c>
      <c r="P72" s="25">
        <v>85</v>
      </c>
      <c r="Q72" s="32">
        <v>20</v>
      </c>
      <c r="R72" s="25" t="s">
        <v>87</v>
      </c>
      <c r="S72" s="84" t="s">
        <v>87</v>
      </c>
      <c r="T72" s="35">
        <v>0.8</v>
      </c>
      <c r="U72" s="25">
        <v>150</v>
      </c>
      <c r="V72" s="25">
        <v>500</v>
      </c>
      <c r="W72" s="194">
        <v>350</v>
      </c>
      <c r="X72" s="36">
        <v>150</v>
      </c>
      <c r="Y72" s="25">
        <v>150</v>
      </c>
      <c r="Z72" s="25">
        <v>550</v>
      </c>
      <c r="AA72" s="34">
        <v>400</v>
      </c>
      <c r="AB72" s="36">
        <v>100</v>
      </c>
      <c r="AC72" s="34" t="s">
        <v>87</v>
      </c>
      <c r="AD72" s="34">
        <v>65</v>
      </c>
      <c r="AE72" s="37">
        <v>1.1835</v>
      </c>
      <c r="AF72" s="37">
        <v>1.0368676470588236</v>
      </c>
      <c r="AG72" s="37">
        <v>1.0990797058823529</v>
      </c>
      <c r="AH72" s="38">
        <v>886.41206799999998</v>
      </c>
      <c r="AI72" s="39">
        <v>141.24690159683823</v>
      </c>
      <c r="AJ72" s="38">
        <v>154.44259115402465</v>
      </c>
      <c r="AK72" s="40">
        <v>307.00958546333879</v>
      </c>
      <c r="AL72" s="41">
        <v>154</v>
      </c>
      <c r="AM72" s="39">
        <v>130.9</v>
      </c>
      <c r="AN72" s="39">
        <v>143.86953350000002</v>
      </c>
      <c r="AO72" s="39">
        <v>719.34766750000006</v>
      </c>
      <c r="AP72" s="25" t="s">
        <v>257</v>
      </c>
      <c r="AQ72" s="62" t="s">
        <v>350</v>
      </c>
      <c r="AR72" s="43"/>
    </row>
    <row r="73" spans="1:44" x14ac:dyDescent="0.3">
      <c r="A73" s="25" t="s">
        <v>1509</v>
      </c>
      <c r="B73" s="25" t="s">
        <v>119</v>
      </c>
      <c r="C73" s="25" t="s">
        <v>120</v>
      </c>
      <c r="D73" s="25" t="s">
        <v>121</v>
      </c>
      <c r="E73" s="25" t="s">
        <v>130</v>
      </c>
      <c r="F73" s="27" t="s">
        <v>78</v>
      </c>
      <c r="G73" s="25" t="s">
        <v>332</v>
      </c>
      <c r="H73" s="25" t="s">
        <v>101</v>
      </c>
      <c r="I73" s="25" t="s">
        <v>80</v>
      </c>
      <c r="J73" s="25" t="s">
        <v>94</v>
      </c>
      <c r="K73" s="30" t="s">
        <v>82</v>
      </c>
      <c r="L73" s="43" t="s">
        <v>333</v>
      </c>
      <c r="M73" s="25" t="s">
        <v>83</v>
      </c>
      <c r="N73" s="74" t="s">
        <v>103</v>
      </c>
      <c r="O73" s="61">
        <v>0.59</v>
      </c>
      <c r="P73" s="197">
        <v>117</v>
      </c>
      <c r="Q73" s="25">
        <v>30</v>
      </c>
      <c r="R73" s="25" t="s">
        <v>87</v>
      </c>
      <c r="S73" s="84" t="s">
        <v>87</v>
      </c>
      <c r="T73" s="35">
        <v>0.8</v>
      </c>
      <c r="U73" s="25">
        <v>200</v>
      </c>
      <c r="V73" s="25">
        <v>600</v>
      </c>
      <c r="W73" s="194">
        <v>400</v>
      </c>
      <c r="X73" s="36">
        <v>270</v>
      </c>
      <c r="Y73" s="25">
        <v>150</v>
      </c>
      <c r="Z73" s="25">
        <v>600</v>
      </c>
      <c r="AA73" s="34">
        <v>450</v>
      </c>
      <c r="AB73" s="36">
        <v>270</v>
      </c>
      <c r="AC73" s="34" t="s">
        <v>87</v>
      </c>
      <c r="AD73" s="34">
        <v>87</v>
      </c>
      <c r="AE73" s="37">
        <v>1.3132999999999999</v>
      </c>
      <c r="AF73" s="37">
        <v>1.1224576923076921</v>
      </c>
      <c r="AG73" s="37">
        <v>1.1898051538461536</v>
      </c>
      <c r="AH73" s="38">
        <v>886.41206799999998</v>
      </c>
      <c r="AI73" s="39">
        <v>127.28676466904594</v>
      </c>
      <c r="AJ73" s="38">
        <v>139.17825830411039</v>
      </c>
      <c r="AK73" s="40">
        <v>276.66629436980236</v>
      </c>
      <c r="AL73" s="41">
        <v>139</v>
      </c>
      <c r="AM73" s="39">
        <v>162.63</v>
      </c>
      <c r="AN73" s="39">
        <v>193.49801216999995</v>
      </c>
      <c r="AO73" s="39">
        <v>644.99337389999982</v>
      </c>
      <c r="AP73" s="25" t="s">
        <v>257</v>
      </c>
      <c r="AQ73" s="62" t="s">
        <v>351</v>
      </c>
      <c r="AR73" s="43"/>
    </row>
    <row r="74" spans="1:44" x14ac:dyDescent="0.3">
      <c r="A74" s="25" t="s">
        <v>1509</v>
      </c>
      <c r="B74" s="25" t="s">
        <v>119</v>
      </c>
      <c r="C74" s="25" t="s">
        <v>120</v>
      </c>
      <c r="D74" s="25" t="s">
        <v>121</v>
      </c>
      <c r="E74" s="25" t="s">
        <v>130</v>
      </c>
      <c r="F74" s="27" t="s">
        <v>78</v>
      </c>
      <c r="G74" s="25" t="s">
        <v>334</v>
      </c>
      <c r="H74" s="25" t="s">
        <v>101</v>
      </c>
      <c r="I74" s="25" t="s">
        <v>80</v>
      </c>
      <c r="J74" s="25" t="s">
        <v>94</v>
      </c>
      <c r="K74" s="30" t="s">
        <v>82</v>
      </c>
      <c r="L74" s="43" t="s">
        <v>335</v>
      </c>
      <c r="M74" s="25" t="s">
        <v>83</v>
      </c>
      <c r="N74" s="74" t="s">
        <v>103</v>
      </c>
      <c r="O74" s="61">
        <v>0.59</v>
      </c>
      <c r="P74" s="25">
        <v>100</v>
      </c>
      <c r="Q74" s="25">
        <v>30</v>
      </c>
      <c r="R74" s="25" t="s">
        <v>87</v>
      </c>
      <c r="S74" s="34" t="s">
        <v>87</v>
      </c>
      <c r="T74" s="35">
        <v>0.8</v>
      </c>
      <c r="U74" s="25">
        <v>150</v>
      </c>
      <c r="V74" s="25">
        <v>550</v>
      </c>
      <c r="W74" s="34">
        <v>400</v>
      </c>
      <c r="X74" s="36">
        <v>150</v>
      </c>
      <c r="Y74" s="25">
        <v>150</v>
      </c>
      <c r="Z74" s="25">
        <v>600</v>
      </c>
      <c r="AA74" s="34">
        <v>450</v>
      </c>
      <c r="AB74" s="36">
        <v>100</v>
      </c>
      <c r="AC74" s="34" t="s">
        <v>87</v>
      </c>
      <c r="AD74" s="34">
        <v>70</v>
      </c>
      <c r="AE74" s="37">
        <v>1.2130000000000001</v>
      </c>
      <c r="AF74" s="37">
        <v>1.0684499999999999</v>
      </c>
      <c r="AG74" s="37">
        <v>1.1325569999999998</v>
      </c>
      <c r="AH74" s="38">
        <v>886.41206799999998</v>
      </c>
      <c r="AI74" s="39">
        <v>137.81179558108659</v>
      </c>
      <c r="AJ74" s="38">
        <v>150.68656770881134</v>
      </c>
      <c r="AK74" s="40">
        <v>299.54315284077614</v>
      </c>
      <c r="AL74" s="41">
        <v>151</v>
      </c>
      <c r="AM74" s="39">
        <v>151</v>
      </c>
      <c r="AN74" s="39">
        <v>171.01610699999998</v>
      </c>
      <c r="AO74" s="39">
        <v>570.05368999999996</v>
      </c>
      <c r="AP74" s="25" t="s">
        <v>352</v>
      </c>
      <c r="AQ74" s="62" t="s">
        <v>353</v>
      </c>
      <c r="AR74" s="43" t="s">
        <v>354</v>
      </c>
    </row>
    <row r="75" spans="1:44" x14ac:dyDescent="0.3">
      <c r="A75" s="25" t="s">
        <v>1509</v>
      </c>
      <c r="B75" s="25" t="s">
        <v>119</v>
      </c>
      <c r="C75" s="25" t="s">
        <v>120</v>
      </c>
      <c r="D75" s="25" t="s">
        <v>121</v>
      </c>
      <c r="E75" s="25" t="s">
        <v>130</v>
      </c>
      <c r="F75" s="27" t="s">
        <v>78</v>
      </c>
      <c r="G75" s="25" t="s">
        <v>336</v>
      </c>
      <c r="H75" s="25" t="s">
        <v>101</v>
      </c>
      <c r="I75" s="25" t="s">
        <v>80</v>
      </c>
      <c r="J75" s="25" t="s">
        <v>94</v>
      </c>
      <c r="K75" s="30" t="s">
        <v>82</v>
      </c>
      <c r="L75" s="25" t="s">
        <v>337</v>
      </c>
      <c r="M75" s="25" t="s">
        <v>83</v>
      </c>
      <c r="N75" s="198" t="s">
        <v>142</v>
      </c>
      <c r="O75" s="61">
        <v>0.59</v>
      </c>
      <c r="P75" s="25">
        <v>100</v>
      </c>
      <c r="Q75" s="32">
        <v>25</v>
      </c>
      <c r="R75" s="25" t="s">
        <v>87</v>
      </c>
      <c r="S75" s="84" t="s">
        <v>87</v>
      </c>
      <c r="T75" s="35">
        <v>0.8</v>
      </c>
      <c r="U75" s="25">
        <v>150</v>
      </c>
      <c r="V75" s="25">
        <v>630</v>
      </c>
      <c r="W75" s="34">
        <v>480</v>
      </c>
      <c r="X75" s="36">
        <v>120</v>
      </c>
      <c r="Y75" s="25">
        <v>150</v>
      </c>
      <c r="Z75" s="25">
        <v>630</v>
      </c>
      <c r="AA75" s="34">
        <v>480</v>
      </c>
      <c r="AB75" s="36">
        <v>120</v>
      </c>
      <c r="AC75" s="34" t="s">
        <v>87</v>
      </c>
      <c r="AD75" s="34">
        <v>75</v>
      </c>
      <c r="AE75" s="37">
        <v>1.2425000000000002</v>
      </c>
      <c r="AF75" s="37">
        <v>1.0765625000000001</v>
      </c>
      <c r="AG75" s="37">
        <v>1.1411562500000001</v>
      </c>
      <c r="AH75" s="38">
        <v>886.41206799999998</v>
      </c>
      <c r="AI75" s="39">
        <v>134.5398052634672</v>
      </c>
      <c r="AJ75" s="38">
        <v>147.10889869681139</v>
      </c>
      <c r="AK75" s="40">
        <v>292.4312630952607</v>
      </c>
      <c r="AL75" s="41">
        <v>147</v>
      </c>
      <c r="AM75" s="39">
        <v>147</v>
      </c>
      <c r="AN75" s="39">
        <v>167.74996875000002</v>
      </c>
      <c r="AO75" s="39">
        <v>670.99987500000009</v>
      </c>
      <c r="AP75" s="25" t="s">
        <v>355</v>
      </c>
      <c r="AQ75" s="62" t="s">
        <v>356</v>
      </c>
      <c r="AR75" s="43" t="s">
        <v>357</v>
      </c>
    </row>
    <row r="76" spans="1:44" x14ac:dyDescent="0.3">
      <c r="A76" s="25" t="s">
        <v>1509</v>
      </c>
      <c r="B76" s="25" t="s">
        <v>119</v>
      </c>
      <c r="C76" s="25" t="s">
        <v>120</v>
      </c>
      <c r="D76" s="25" t="s">
        <v>121</v>
      </c>
      <c r="E76" s="25" t="s">
        <v>130</v>
      </c>
      <c r="F76" s="27" t="s">
        <v>78</v>
      </c>
      <c r="G76" s="25" t="s">
        <v>338</v>
      </c>
      <c r="H76" s="25" t="s">
        <v>101</v>
      </c>
      <c r="I76" s="25" t="s">
        <v>80</v>
      </c>
      <c r="J76" s="25" t="s">
        <v>94</v>
      </c>
      <c r="K76" s="30" t="s">
        <v>82</v>
      </c>
      <c r="L76" s="43" t="s">
        <v>339</v>
      </c>
      <c r="M76" s="25" t="s">
        <v>83</v>
      </c>
      <c r="N76" s="74" t="s">
        <v>103</v>
      </c>
      <c r="O76" s="61">
        <v>0.65</v>
      </c>
      <c r="P76" s="25">
        <v>108</v>
      </c>
      <c r="Q76" s="25">
        <v>30</v>
      </c>
      <c r="R76" s="25" t="s">
        <v>87</v>
      </c>
      <c r="S76" s="34" t="s">
        <v>87</v>
      </c>
      <c r="T76" s="35">
        <v>0.8</v>
      </c>
      <c r="U76" s="25">
        <v>200</v>
      </c>
      <c r="V76" s="25">
        <v>600</v>
      </c>
      <c r="W76" s="34">
        <v>400</v>
      </c>
      <c r="X76" s="36">
        <v>180</v>
      </c>
      <c r="Y76" s="25">
        <v>150</v>
      </c>
      <c r="Z76" s="25">
        <v>600</v>
      </c>
      <c r="AA76" s="34">
        <v>450</v>
      </c>
      <c r="AB76" s="36">
        <v>180</v>
      </c>
      <c r="AC76" s="34" t="s">
        <v>87</v>
      </c>
      <c r="AD76" s="34">
        <v>78</v>
      </c>
      <c r="AE76" s="37">
        <v>1.3069999999999999</v>
      </c>
      <c r="AF76" s="37">
        <v>1.1239166666666667</v>
      </c>
      <c r="AG76" s="37">
        <v>1.1913516666666668</v>
      </c>
      <c r="AH76" s="38">
        <v>890.31838000000005</v>
      </c>
      <c r="AI76" s="39">
        <v>127.9003121957598</v>
      </c>
      <c r="AJ76" s="38">
        <v>139.84912519570634</v>
      </c>
      <c r="AK76" s="40">
        <v>277.99988094557119</v>
      </c>
      <c r="AL76" s="41">
        <v>140</v>
      </c>
      <c r="AM76" s="39">
        <v>151.19999999999999</v>
      </c>
      <c r="AN76" s="39">
        <v>180.132372</v>
      </c>
      <c r="AO76" s="39">
        <v>600.44123999999999</v>
      </c>
      <c r="AP76" s="25" t="s">
        <v>292</v>
      </c>
      <c r="AQ76" s="62" t="s">
        <v>358</v>
      </c>
      <c r="AR76" s="43"/>
    </row>
    <row r="77" spans="1:44" x14ac:dyDescent="0.3">
      <c r="A77" s="25" t="s">
        <v>1509</v>
      </c>
      <c r="B77" s="25" t="s">
        <v>119</v>
      </c>
      <c r="C77" s="25" t="s">
        <v>120</v>
      </c>
      <c r="D77" s="25" t="s">
        <v>121</v>
      </c>
      <c r="E77" s="25" t="s">
        <v>130</v>
      </c>
      <c r="F77" s="27" t="s">
        <v>78</v>
      </c>
      <c r="G77" s="25" t="s">
        <v>340</v>
      </c>
      <c r="H77" s="25" t="s">
        <v>101</v>
      </c>
      <c r="I77" s="25" t="s">
        <v>80</v>
      </c>
      <c r="J77" s="25" t="s">
        <v>94</v>
      </c>
      <c r="K77" s="30" t="s">
        <v>82</v>
      </c>
      <c r="L77" s="43" t="s">
        <v>341</v>
      </c>
      <c r="M77" s="25" t="s">
        <v>83</v>
      </c>
      <c r="N77" s="74" t="s">
        <v>103</v>
      </c>
      <c r="O77" s="61">
        <v>0.65</v>
      </c>
      <c r="P77" s="32">
        <v>120</v>
      </c>
      <c r="Q77" s="25">
        <v>30</v>
      </c>
      <c r="R77" s="25" t="s">
        <v>87</v>
      </c>
      <c r="S77" s="84" t="s">
        <v>87</v>
      </c>
      <c r="T77" s="35">
        <v>0.8</v>
      </c>
      <c r="U77" s="25">
        <v>200</v>
      </c>
      <c r="V77" s="25">
        <v>600</v>
      </c>
      <c r="W77" s="194">
        <v>400</v>
      </c>
      <c r="X77" s="36">
        <v>300</v>
      </c>
      <c r="Y77" s="25">
        <v>150</v>
      </c>
      <c r="Z77" s="25">
        <v>600</v>
      </c>
      <c r="AA77" s="34">
        <v>450</v>
      </c>
      <c r="AB77" s="36">
        <v>300</v>
      </c>
      <c r="AC77" s="34" t="s">
        <v>87</v>
      </c>
      <c r="AD77" s="34">
        <v>90</v>
      </c>
      <c r="AE77" s="37">
        <v>1.3850000000000002</v>
      </c>
      <c r="AF77" s="37">
        <v>1.1656250000000001</v>
      </c>
      <c r="AG77" s="37">
        <v>1.2355625000000001</v>
      </c>
      <c r="AH77" s="38">
        <v>890.31838000000005</v>
      </c>
      <c r="AI77" s="39">
        <v>120.69726212264116</v>
      </c>
      <c r="AJ77" s="38">
        <v>131.9731455817965</v>
      </c>
      <c r="AK77" s="40">
        <v>262.34356996091077</v>
      </c>
      <c r="AL77" s="41">
        <v>132</v>
      </c>
      <c r="AM77" s="39">
        <v>158.4</v>
      </c>
      <c r="AN77" s="39">
        <v>195.71310000000003</v>
      </c>
      <c r="AO77" s="39">
        <v>652.37700000000007</v>
      </c>
      <c r="AP77" s="25" t="s">
        <v>257</v>
      </c>
      <c r="AQ77" s="62" t="s">
        <v>359</v>
      </c>
      <c r="AR77" s="43"/>
    </row>
    <row r="78" spans="1:44" x14ac:dyDescent="0.3">
      <c r="A78" s="25" t="s">
        <v>1509</v>
      </c>
      <c r="B78" s="25" t="s">
        <v>119</v>
      </c>
      <c r="C78" s="25" t="s">
        <v>120</v>
      </c>
      <c r="D78" s="25" t="s">
        <v>121</v>
      </c>
      <c r="E78" s="25" t="s">
        <v>130</v>
      </c>
      <c r="F78" s="27" t="s">
        <v>78</v>
      </c>
      <c r="G78" s="25" t="s">
        <v>342</v>
      </c>
      <c r="H78" s="25" t="s">
        <v>101</v>
      </c>
      <c r="I78" s="25" t="s">
        <v>80</v>
      </c>
      <c r="J78" s="25" t="s">
        <v>94</v>
      </c>
      <c r="K78" s="30" t="s">
        <v>82</v>
      </c>
      <c r="L78" s="43" t="s">
        <v>343</v>
      </c>
      <c r="M78" s="25" t="s">
        <v>83</v>
      </c>
      <c r="N78" s="74" t="s">
        <v>103</v>
      </c>
      <c r="O78" s="61">
        <v>0.68</v>
      </c>
      <c r="P78" s="25">
        <v>100</v>
      </c>
      <c r="Q78" s="25">
        <v>30</v>
      </c>
      <c r="R78" s="25" t="s">
        <v>87</v>
      </c>
      <c r="S78" s="84" t="s">
        <v>87</v>
      </c>
      <c r="T78" s="35">
        <v>0.8</v>
      </c>
      <c r="U78" s="25">
        <v>180</v>
      </c>
      <c r="V78" s="25">
        <v>580</v>
      </c>
      <c r="W78" s="34">
        <v>400</v>
      </c>
      <c r="X78" s="36">
        <v>120</v>
      </c>
      <c r="Y78" s="25">
        <v>150</v>
      </c>
      <c r="Z78" s="25">
        <v>600</v>
      </c>
      <c r="AA78" s="34">
        <v>450</v>
      </c>
      <c r="AB78" s="36">
        <v>100</v>
      </c>
      <c r="AC78" s="34" t="s">
        <v>87</v>
      </c>
      <c r="AD78" s="34">
        <v>70</v>
      </c>
      <c r="AE78" s="37">
        <v>1.276</v>
      </c>
      <c r="AF78" s="37">
        <v>1.1093999999999999</v>
      </c>
      <c r="AG78" s="37">
        <v>1.175964</v>
      </c>
      <c r="AH78" s="38">
        <v>892.27153599999997</v>
      </c>
      <c r="AI78" s="39">
        <v>131.00760818170693</v>
      </c>
      <c r="AJ78" s="38">
        <v>143.2467136604923</v>
      </c>
      <c r="AK78" s="40">
        <v>284.75379654848081</v>
      </c>
      <c r="AL78" s="41">
        <v>143</v>
      </c>
      <c r="AM78" s="39">
        <v>143</v>
      </c>
      <c r="AN78" s="39">
        <v>168.16285200000002</v>
      </c>
      <c r="AO78" s="39">
        <v>560.54284000000007</v>
      </c>
      <c r="AP78" s="25" t="s">
        <v>292</v>
      </c>
      <c r="AQ78" s="62" t="s">
        <v>360</v>
      </c>
      <c r="AR78" s="43" t="s">
        <v>361</v>
      </c>
    </row>
    <row r="79" spans="1:44" x14ac:dyDescent="0.3">
      <c r="A79" s="25" t="s">
        <v>1509</v>
      </c>
      <c r="B79" s="25" t="s">
        <v>119</v>
      </c>
      <c r="C79" s="25" t="s">
        <v>120</v>
      </c>
      <c r="D79" s="25" t="s">
        <v>121</v>
      </c>
      <c r="E79" s="25" t="s">
        <v>130</v>
      </c>
      <c r="F79" s="27" t="s">
        <v>78</v>
      </c>
      <c r="G79" s="25" t="s">
        <v>344</v>
      </c>
      <c r="H79" s="25" t="s">
        <v>101</v>
      </c>
      <c r="I79" s="25" t="s">
        <v>80</v>
      </c>
      <c r="J79" s="25" t="s">
        <v>94</v>
      </c>
      <c r="K79" s="30" t="s">
        <v>82</v>
      </c>
      <c r="L79" s="25" t="s">
        <v>345</v>
      </c>
      <c r="M79" s="25" t="s">
        <v>83</v>
      </c>
      <c r="N79" s="74" t="s">
        <v>103</v>
      </c>
      <c r="O79" s="61">
        <v>0.68</v>
      </c>
      <c r="P79" s="25">
        <v>100</v>
      </c>
      <c r="Q79" s="32">
        <v>25</v>
      </c>
      <c r="R79" s="25" t="s">
        <v>87</v>
      </c>
      <c r="S79" s="34" t="s">
        <v>87</v>
      </c>
      <c r="T79" s="35">
        <v>0.8</v>
      </c>
      <c r="U79" s="25">
        <v>180</v>
      </c>
      <c r="V79" s="25">
        <v>580</v>
      </c>
      <c r="W79" s="34">
        <v>400</v>
      </c>
      <c r="X79" s="36">
        <v>170</v>
      </c>
      <c r="Y79" s="25">
        <v>150</v>
      </c>
      <c r="Z79" s="25">
        <v>600</v>
      </c>
      <c r="AA79" s="34">
        <v>450</v>
      </c>
      <c r="AB79" s="36">
        <v>150</v>
      </c>
      <c r="AC79" s="34" t="s">
        <v>87</v>
      </c>
      <c r="AD79" s="34">
        <v>75</v>
      </c>
      <c r="AE79" s="37">
        <v>1.31</v>
      </c>
      <c r="AF79" s="37">
        <v>1.1187500000000001</v>
      </c>
      <c r="AG79" s="37">
        <v>1.1858750000000002</v>
      </c>
      <c r="AH79" s="38">
        <v>892.27153599999997</v>
      </c>
      <c r="AI79" s="39">
        <v>127.60741071744887</v>
      </c>
      <c r="AJ79" s="38">
        <v>139.52886002350243</v>
      </c>
      <c r="AK79" s="40">
        <v>277.36323999684083</v>
      </c>
      <c r="AL79" s="41">
        <v>140</v>
      </c>
      <c r="AM79" s="39">
        <v>140</v>
      </c>
      <c r="AN79" s="39">
        <v>166.02250000000004</v>
      </c>
      <c r="AO79" s="39">
        <v>664.09000000000015</v>
      </c>
      <c r="AP79" s="25" t="s">
        <v>295</v>
      </c>
      <c r="AQ79" s="62" t="s">
        <v>362</v>
      </c>
      <c r="AR79" s="62" t="s">
        <v>363</v>
      </c>
    </row>
    <row r="80" spans="1:44" x14ac:dyDescent="0.3">
      <c r="A80" s="25" t="s">
        <v>1509</v>
      </c>
      <c r="B80" s="25" t="s">
        <v>119</v>
      </c>
      <c r="C80" s="25" t="s">
        <v>120</v>
      </c>
      <c r="D80" s="25" t="s">
        <v>121</v>
      </c>
      <c r="E80" s="25" t="s">
        <v>130</v>
      </c>
      <c r="F80" s="27" t="s">
        <v>78</v>
      </c>
      <c r="G80" s="25" t="s">
        <v>346</v>
      </c>
      <c r="H80" s="25" t="s">
        <v>101</v>
      </c>
      <c r="I80" s="25" t="s">
        <v>80</v>
      </c>
      <c r="J80" s="25" t="s">
        <v>94</v>
      </c>
      <c r="K80" s="30" t="s">
        <v>82</v>
      </c>
      <c r="L80" s="43" t="s">
        <v>347</v>
      </c>
      <c r="M80" s="25" t="s">
        <v>83</v>
      </c>
      <c r="N80" s="74" t="s">
        <v>103</v>
      </c>
      <c r="O80" s="61">
        <v>0.68</v>
      </c>
      <c r="P80" s="25">
        <v>115</v>
      </c>
      <c r="Q80" s="25">
        <v>30</v>
      </c>
      <c r="R80" s="25" t="s">
        <v>87</v>
      </c>
      <c r="S80" s="34" t="s">
        <v>87</v>
      </c>
      <c r="T80" s="35">
        <v>0.8</v>
      </c>
      <c r="U80" s="25">
        <v>180</v>
      </c>
      <c r="V80" s="25">
        <v>580</v>
      </c>
      <c r="W80" s="34">
        <v>400</v>
      </c>
      <c r="X80" s="36">
        <v>270</v>
      </c>
      <c r="Y80" s="25">
        <v>150</v>
      </c>
      <c r="Z80" s="25">
        <v>600</v>
      </c>
      <c r="AA80" s="34">
        <v>450</v>
      </c>
      <c r="AB80" s="36">
        <v>250</v>
      </c>
      <c r="AC80" s="34" t="s">
        <v>87</v>
      </c>
      <c r="AD80" s="34">
        <v>85</v>
      </c>
      <c r="AE80" s="37">
        <v>1.3780000000000001</v>
      </c>
      <c r="AF80" s="37">
        <v>1.164391304347826</v>
      </c>
      <c r="AG80" s="37">
        <v>1.2342547826086956</v>
      </c>
      <c r="AH80" s="38">
        <v>892.27153599999997</v>
      </c>
      <c r="AI80" s="39">
        <v>121.31038319293035</v>
      </c>
      <c r="AJ80" s="38">
        <v>132.64354617618881</v>
      </c>
      <c r="AK80" s="40">
        <v>263.67622960512443</v>
      </c>
      <c r="AL80" s="41">
        <v>133</v>
      </c>
      <c r="AM80" s="39">
        <v>152.94999999999999</v>
      </c>
      <c r="AN80" s="39">
        <v>188.77926899999997</v>
      </c>
      <c r="AO80" s="39">
        <v>629.26422999999988</v>
      </c>
      <c r="AP80" s="25" t="s">
        <v>292</v>
      </c>
      <c r="AQ80" s="62" t="s">
        <v>364</v>
      </c>
      <c r="AR80" s="43" t="s">
        <v>365</v>
      </c>
    </row>
    <row r="81" spans="1:44" x14ac:dyDescent="0.3">
      <c r="A81" s="25" t="s">
        <v>1509</v>
      </c>
      <c r="B81" s="25" t="s">
        <v>119</v>
      </c>
      <c r="C81" s="25" t="s">
        <v>120</v>
      </c>
      <c r="D81" s="25" t="s">
        <v>121</v>
      </c>
      <c r="E81" s="26" t="s">
        <v>77</v>
      </c>
      <c r="F81" s="27" t="s">
        <v>78</v>
      </c>
      <c r="G81" s="25" t="s">
        <v>366</v>
      </c>
      <c r="H81" s="25" t="s">
        <v>101</v>
      </c>
      <c r="I81" s="25" t="s">
        <v>80</v>
      </c>
      <c r="J81" s="25" t="s">
        <v>94</v>
      </c>
      <c r="K81" s="30" t="s">
        <v>82</v>
      </c>
      <c r="L81" s="25" t="s">
        <v>367</v>
      </c>
      <c r="M81" s="25" t="s">
        <v>83</v>
      </c>
      <c r="N81" s="74" t="s">
        <v>103</v>
      </c>
      <c r="O81" s="61">
        <v>0.22</v>
      </c>
      <c r="P81" s="25">
        <v>115</v>
      </c>
      <c r="Q81" s="25">
        <v>30</v>
      </c>
      <c r="R81" s="25" t="s">
        <v>87</v>
      </c>
      <c r="S81" s="84" t="s">
        <v>87</v>
      </c>
      <c r="T81" s="35">
        <v>0.8</v>
      </c>
      <c r="U81" s="25">
        <v>229</v>
      </c>
      <c r="V81" s="25">
        <v>629</v>
      </c>
      <c r="W81" s="34">
        <v>400</v>
      </c>
      <c r="X81" s="36">
        <v>221</v>
      </c>
      <c r="Y81" s="25">
        <v>200</v>
      </c>
      <c r="Z81" s="25">
        <v>650</v>
      </c>
      <c r="AA81" s="34">
        <v>450</v>
      </c>
      <c r="AB81" s="36">
        <v>200</v>
      </c>
      <c r="AC81" s="34" t="s">
        <v>87</v>
      </c>
      <c r="AD81" s="34">
        <v>85</v>
      </c>
      <c r="AE81" s="37">
        <v>0.9870000000000001</v>
      </c>
      <c r="AF81" s="37">
        <v>0.91789130434782618</v>
      </c>
      <c r="AG81" s="37">
        <v>0.97296478260869568</v>
      </c>
      <c r="AH81" s="38">
        <v>862.32314400000007</v>
      </c>
      <c r="AI81" s="117">
        <v>169.36748534940023</v>
      </c>
      <c r="AJ81" s="38">
        <v>185.19028027435476</v>
      </c>
      <c r="AK81" s="40">
        <v>368.13155460573603</v>
      </c>
      <c r="AL81" s="41">
        <v>120</v>
      </c>
      <c r="AM81" s="39">
        <v>138</v>
      </c>
      <c r="AN81" s="39">
        <v>134.26913999999999</v>
      </c>
      <c r="AO81" s="39">
        <v>447.56380000000001</v>
      </c>
      <c r="AP81" s="25" t="s">
        <v>115</v>
      </c>
      <c r="AQ81" s="201" t="s">
        <v>378</v>
      </c>
      <c r="AR81" s="43"/>
    </row>
    <row r="82" spans="1:44" x14ac:dyDescent="0.3">
      <c r="A82" s="25" t="s">
        <v>1509</v>
      </c>
      <c r="B82" s="25" t="s">
        <v>119</v>
      </c>
      <c r="C82" s="25" t="s">
        <v>120</v>
      </c>
      <c r="D82" s="25" t="s">
        <v>121</v>
      </c>
      <c r="E82" s="26" t="s">
        <v>77</v>
      </c>
      <c r="F82" s="27" t="s">
        <v>78</v>
      </c>
      <c r="G82" s="25" t="s">
        <v>368</v>
      </c>
      <c r="H82" s="25" t="s">
        <v>101</v>
      </c>
      <c r="I82" s="25" t="s">
        <v>80</v>
      </c>
      <c r="J82" s="25" t="s">
        <v>94</v>
      </c>
      <c r="K82" s="30" t="s">
        <v>82</v>
      </c>
      <c r="L82" s="25" t="s">
        <v>369</v>
      </c>
      <c r="M82" s="25" t="s">
        <v>83</v>
      </c>
      <c r="N82" s="74" t="s">
        <v>103</v>
      </c>
      <c r="O82" s="61">
        <v>0.3</v>
      </c>
      <c r="P82" s="25">
        <v>115</v>
      </c>
      <c r="Q82" s="25">
        <v>25</v>
      </c>
      <c r="R82" s="25" t="s">
        <v>87</v>
      </c>
      <c r="S82" s="34" t="s">
        <v>87</v>
      </c>
      <c r="T82" s="35">
        <v>0.8</v>
      </c>
      <c r="U82" s="25">
        <v>150</v>
      </c>
      <c r="V82" s="25">
        <v>650</v>
      </c>
      <c r="W82" s="34">
        <v>500</v>
      </c>
      <c r="X82" s="36">
        <v>250</v>
      </c>
      <c r="Y82" s="25">
        <v>150</v>
      </c>
      <c r="Z82" s="25">
        <v>650</v>
      </c>
      <c r="AA82" s="34">
        <v>500</v>
      </c>
      <c r="AB82" s="36">
        <v>250</v>
      </c>
      <c r="AC82" s="34" t="s">
        <v>87</v>
      </c>
      <c r="AD82" s="34">
        <v>90</v>
      </c>
      <c r="AE82" s="37">
        <v>1.07</v>
      </c>
      <c r="AF82" s="37">
        <v>0.96434782608695657</v>
      </c>
      <c r="AG82" s="37">
        <v>1.0222086956521741</v>
      </c>
      <c r="AH82" s="38">
        <v>867.53156000000013</v>
      </c>
      <c r="AI82" s="117">
        <v>156.22963368211029</v>
      </c>
      <c r="AJ82" s="38">
        <v>170.82505292597023</v>
      </c>
      <c r="AK82" s="40">
        <v>339.57555551015088</v>
      </c>
      <c r="AL82" s="41">
        <v>171</v>
      </c>
      <c r="AM82" s="39">
        <v>196.65</v>
      </c>
      <c r="AN82" s="39">
        <v>201.01734000000005</v>
      </c>
      <c r="AO82" s="39">
        <v>804.06936000000019</v>
      </c>
      <c r="AP82" s="25" t="s">
        <v>379</v>
      </c>
      <c r="AQ82" s="62" t="s">
        <v>380</v>
      </c>
      <c r="AR82" s="43" t="s">
        <v>381</v>
      </c>
    </row>
    <row r="83" spans="1:44" x14ac:dyDescent="0.3">
      <c r="A83" s="25" t="s">
        <v>1509</v>
      </c>
      <c r="B83" s="25" t="s">
        <v>119</v>
      </c>
      <c r="C83" s="25" t="s">
        <v>120</v>
      </c>
      <c r="D83" s="25" t="s">
        <v>121</v>
      </c>
      <c r="E83" s="86" t="s">
        <v>77</v>
      </c>
      <c r="F83" s="27" t="s">
        <v>78</v>
      </c>
      <c r="G83" s="199" t="s">
        <v>241</v>
      </c>
      <c r="H83" s="47" t="s">
        <v>101</v>
      </c>
      <c r="I83" s="47" t="s">
        <v>80</v>
      </c>
      <c r="J83" s="47" t="s">
        <v>94</v>
      </c>
      <c r="K83" s="87" t="s">
        <v>82</v>
      </c>
      <c r="L83" s="47" t="s">
        <v>370</v>
      </c>
      <c r="M83" s="47" t="s">
        <v>83</v>
      </c>
      <c r="N83" s="89" t="s">
        <v>103</v>
      </c>
      <c r="O83" s="90">
        <v>0.33</v>
      </c>
      <c r="P83" s="47">
        <v>116</v>
      </c>
      <c r="Q83" s="47">
        <v>30</v>
      </c>
      <c r="R83" s="47" t="s">
        <v>87</v>
      </c>
      <c r="S83" s="84" t="s">
        <v>87</v>
      </c>
      <c r="T83" s="92">
        <v>0.8</v>
      </c>
      <c r="U83" s="47">
        <v>200</v>
      </c>
      <c r="V83" s="47">
        <v>600</v>
      </c>
      <c r="W83" s="84">
        <v>400</v>
      </c>
      <c r="X83" s="93">
        <v>260</v>
      </c>
      <c r="Y83" s="47">
        <v>200</v>
      </c>
      <c r="Z83" s="47">
        <v>600</v>
      </c>
      <c r="AA83" s="84">
        <v>400</v>
      </c>
      <c r="AB83" s="93">
        <v>260</v>
      </c>
      <c r="AC83" s="84" t="s">
        <v>87</v>
      </c>
      <c r="AD83" s="84">
        <v>86</v>
      </c>
      <c r="AE83" s="75">
        <v>1.0838000000000001</v>
      </c>
      <c r="AF83" s="75">
        <v>0.97859827586206904</v>
      </c>
      <c r="AG83" s="75">
        <v>1.0373141724137933</v>
      </c>
      <c r="AH83" s="97">
        <v>869.48471600000005</v>
      </c>
      <c r="AI83" s="39">
        <v>154.24036541784281</v>
      </c>
      <c r="AJ83" s="97">
        <v>168.64994153052976</v>
      </c>
      <c r="AK83" s="40">
        <v>335.25174792015264</v>
      </c>
      <c r="AL83" s="41">
        <v>169</v>
      </c>
      <c r="AM83" s="39">
        <v>196.04</v>
      </c>
      <c r="AN83" s="39">
        <v>203.35507036000004</v>
      </c>
      <c r="AO83" s="39">
        <v>677.85023453333349</v>
      </c>
      <c r="AP83" s="47" t="s">
        <v>382</v>
      </c>
      <c r="AQ83" s="108" t="s">
        <v>383</v>
      </c>
      <c r="AR83" s="202" t="s">
        <v>384</v>
      </c>
    </row>
    <row r="84" spans="1:44" x14ac:dyDescent="0.3">
      <c r="A84" s="25" t="s">
        <v>1509</v>
      </c>
      <c r="B84" s="25" t="s">
        <v>119</v>
      </c>
      <c r="C84" s="25" t="s">
        <v>120</v>
      </c>
      <c r="D84" s="25" t="s">
        <v>121</v>
      </c>
      <c r="E84" s="109" t="s">
        <v>77</v>
      </c>
      <c r="F84" s="182" t="s">
        <v>139</v>
      </c>
      <c r="G84" s="66" t="s">
        <v>240</v>
      </c>
      <c r="H84" s="66" t="s">
        <v>101</v>
      </c>
      <c r="I84" s="66" t="s">
        <v>80</v>
      </c>
      <c r="J84" s="66" t="s">
        <v>94</v>
      </c>
      <c r="K84" s="111" t="s">
        <v>82</v>
      </c>
      <c r="L84" s="66" t="s">
        <v>371</v>
      </c>
      <c r="M84" s="66" t="s">
        <v>83</v>
      </c>
      <c r="N84" s="183" t="s">
        <v>103</v>
      </c>
      <c r="O84" s="113">
        <v>0.32</v>
      </c>
      <c r="P84" s="200">
        <v>116</v>
      </c>
      <c r="Q84" s="66">
        <v>30</v>
      </c>
      <c r="R84" s="66" t="s">
        <v>87</v>
      </c>
      <c r="S84" s="115" t="s">
        <v>87</v>
      </c>
      <c r="T84" s="114">
        <v>0.8</v>
      </c>
      <c r="U84" s="66">
        <v>200</v>
      </c>
      <c r="V84" s="66">
        <v>600</v>
      </c>
      <c r="W84" s="115">
        <v>400</v>
      </c>
      <c r="X84" s="184">
        <v>260</v>
      </c>
      <c r="Y84" s="66">
        <v>200</v>
      </c>
      <c r="Z84" s="66">
        <v>600</v>
      </c>
      <c r="AA84" s="115">
        <v>400</v>
      </c>
      <c r="AB84" s="184">
        <v>260</v>
      </c>
      <c r="AC84" s="115" t="s">
        <v>87</v>
      </c>
      <c r="AD84" s="115">
        <v>86</v>
      </c>
      <c r="AE84" s="116">
        <v>1.0752000000000002</v>
      </c>
      <c r="AF84" s="116">
        <v>0.973186206896552</v>
      </c>
      <c r="AG84" s="116">
        <v>1.0315773793103451</v>
      </c>
      <c r="AH84" s="118">
        <v>868.833664</v>
      </c>
      <c r="AI84" s="117">
        <v>155.47405881683221</v>
      </c>
      <c r="AJ84" s="118">
        <v>169.99889009559908</v>
      </c>
      <c r="AK84" s="119">
        <v>337.9332630169842</v>
      </c>
      <c r="AL84" s="120">
        <v>170</v>
      </c>
      <c r="AM84" s="117">
        <v>197.2</v>
      </c>
      <c r="AN84" s="117">
        <v>203.42705920000003</v>
      </c>
      <c r="AO84" s="117">
        <v>678.09019733333344</v>
      </c>
      <c r="AP84" s="66" t="s">
        <v>385</v>
      </c>
      <c r="AQ84" s="185" t="s">
        <v>386</v>
      </c>
      <c r="AR84" s="123" t="s">
        <v>387</v>
      </c>
    </row>
    <row r="85" spans="1:44" x14ac:dyDescent="0.3">
      <c r="A85" s="25" t="s">
        <v>1509</v>
      </c>
      <c r="B85" s="25" t="s">
        <v>119</v>
      </c>
      <c r="C85" s="25" t="s">
        <v>120</v>
      </c>
      <c r="D85" s="25" t="s">
        <v>121</v>
      </c>
      <c r="E85" s="26" t="s">
        <v>77</v>
      </c>
      <c r="F85" s="27" t="s">
        <v>78</v>
      </c>
      <c r="G85" s="25" t="s">
        <v>372</v>
      </c>
      <c r="H85" s="25" t="s">
        <v>101</v>
      </c>
      <c r="I85" s="25" t="s">
        <v>80</v>
      </c>
      <c r="J85" s="25" t="s">
        <v>94</v>
      </c>
      <c r="K85" s="30" t="s">
        <v>82</v>
      </c>
      <c r="L85" s="25" t="s">
        <v>373</v>
      </c>
      <c r="M85" s="25" t="s">
        <v>83</v>
      </c>
      <c r="N85" s="74" t="s">
        <v>103</v>
      </c>
      <c r="O85" s="61">
        <v>0.35</v>
      </c>
      <c r="P85" s="25">
        <v>116</v>
      </c>
      <c r="Q85" s="25">
        <v>30</v>
      </c>
      <c r="R85" s="25" t="s">
        <v>87</v>
      </c>
      <c r="S85" s="84" t="s">
        <v>87</v>
      </c>
      <c r="T85" s="35">
        <v>0.8</v>
      </c>
      <c r="U85" s="25">
        <v>200</v>
      </c>
      <c r="V85" s="25">
        <v>600</v>
      </c>
      <c r="W85" s="34">
        <v>400</v>
      </c>
      <c r="X85" s="36">
        <v>260</v>
      </c>
      <c r="Y85" s="25">
        <v>200</v>
      </c>
      <c r="Z85" s="25">
        <v>600</v>
      </c>
      <c r="AA85" s="34">
        <v>400</v>
      </c>
      <c r="AB85" s="36">
        <v>260</v>
      </c>
      <c r="AC85" s="34" t="s">
        <v>87</v>
      </c>
      <c r="AD85" s="34">
        <v>86</v>
      </c>
      <c r="AE85" s="37">
        <v>1.101</v>
      </c>
      <c r="AF85" s="37">
        <v>0.98942241379310336</v>
      </c>
      <c r="AG85" s="37">
        <v>1.0487877586206895</v>
      </c>
      <c r="AH85" s="38">
        <v>870.78682000000003</v>
      </c>
      <c r="AI85" s="117">
        <v>151.83079749305907</v>
      </c>
      <c r="AJ85" s="38">
        <v>166.01526487810006</v>
      </c>
      <c r="AK85" s="40">
        <v>330.01439091358895</v>
      </c>
      <c r="AL85" s="41">
        <v>166</v>
      </c>
      <c r="AM85" s="39">
        <v>192.56</v>
      </c>
      <c r="AN85" s="39">
        <v>201.95457079999997</v>
      </c>
      <c r="AO85" s="39">
        <v>673.18190266666659</v>
      </c>
      <c r="AP85" s="25" t="s">
        <v>388</v>
      </c>
      <c r="AQ85" s="62" t="s">
        <v>389</v>
      </c>
      <c r="AR85" s="43"/>
    </row>
    <row r="86" spans="1:44" x14ac:dyDescent="0.3">
      <c r="A86" s="25" t="s">
        <v>1509</v>
      </c>
      <c r="B86" s="25" t="s">
        <v>119</v>
      </c>
      <c r="C86" s="25" t="s">
        <v>120</v>
      </c>
      <c r="D86" s="25" t="s">
        <v>121</v>
      </c>
      <c r="E86" s="26" t="s">
        <v>77</v>
      </c>
      <c r="F86" s="27" t="s">
        <v>78</v>
      </c>
      <c r="G86" s="25" t="s">
        <v>374</v>
      </c>
      <c r="H86" s="25" t="s">
        <v>101</v>
      </c>
      <c r="I86" s="25" t="s">
        <v>80</v>
      </c>
      <c r="J86" s="25" t="s">
        <v>94</v>
      </c>
      <c r="K86" s="30" t="s">
        <v>82</v>
      </c>
      <c r="L86" s="25" t="s">
        <v>375</v>
      </c>
      <c r="M86" s="25" t="s">
        <v>83</v>
      </c>
      <c r="N86" s="74" t="s">
        <v>103</v>
      </c>
      <c r="O86" s="61">
        <v>0.4</v>
      </c>
      <c r="P86" s="25">
        <v>110</v>
      </c>
      <c r="Q86" s="25">
        <v>30</v>
      </c>
      <c r="R86" s="25" t="s">
        <v>87</v>
      </c>
      <c r="S86" s="34" t="s">
        <v>87</v>
      </c>
      <c r="T86" s="35">
        <v>0.8</v>
      </c>
      <c r="U86" s="25">
        <v>200</v>
      </c>
      <c r="V86" s="25">
        <v>600</v>
      </c>
      <c r="W86" s="194">
        <v>400</v>
      </c>
      <c r="X86" s="36">
        <v>200</v>
      </c>
      <c r="Y86" s="25">
        <v>150</v>
      </c>
      <c r="Z86" s="25">
        <v>600</v>
      </c>
      <c r="AA86" s="34">
        <v>450</v>
      </c>
      <c r="AB86" s="36">
        <v>200</v>
      </c>
      <c r="AC86" s="34" t="s">
        <v>87</v>
      </c>
      <c r="AD86" s="34">
        <v>80</v>
      </c>
      <c r="AE86" s="37">
        <v>1.1200000000000001</v>
      </c>
      <c r="AF86" s="37">
        <v>1.0036363636363637</v>
      </c>
      <c r="AG86" s="37">
        <v>1.0638545454545454</v>
      </c>
      <c r="AH86" s="38">
        <v>874.04208000000006</v>
      </c>
      <c r="AI86" s="39">
        <v>149.25509646415895</v>
      </c>
      <c r="AJ86" s="38">
        <v>163.19893449177513</v>
      </c>
      <c r="AK86" s="40">
        <v>324.41593249630483</v>
      </c>
      <c r="AL86" s="41">
        <v>163</v>
      </c>
      <c r="AM86" s="39">
        <v>179.3</v>
      </c>
      <c r="AN86" s="39">
        <v>190.74912</v>
      </c>
      <c r="AO86" s="39">
        <v>635.83040000000005</v>
      </c>
      <c r="AP86" s="25" t="s">
        <v>390</v>
      </c>
      <c r="AQ86" s="62" t="s">
        <v>391</v>
      </c>
      <c r="AR86" s="43" t="s">
        <v>392</v>
      </c>
    </row>
    <row r="87" spans="1:44" x14ac:dyDescent="0.3">
      <c r="A87" s="25" t="s">
        <v>1509</v>
      </c>
      <c r="B87" s="25" t="s">
        <v>119</v>
      </c>
      <c r="C87" s="25" t="s">
        <v>120</v>
      </c>
      <c r="D87" s="25" t="s">
        <v>121</v>
      </c>
      <c r="E87" s="86" t="s">
        <v>77</v>
      </c>
      <c r="F87" s="47" t="s">
        <v>122</v>
      </c>
      <c r="G87" s="47" t="s">
        <v>376</v>
      </c>
      <c r="H87" s="47" t="s">
        <v>101</v>
      </c>
      <c r="I87" s="47" t="s">
        <v>80</v>
      </c>
      <c r="J87" s="47" t="s">
        <v>94</v>
      </c>
      <c r="K87" s="87" t="s">
        <v>82</v>
      </c>
      <c r="L87" s="47" t="s">
        <v>377</v>
      </c>
      <c r="M87" s="47" t="s">
        <v>83</v>
      </c>
      <c r="N87" s="89" t="s">
        <v>103</v>
      </c>
      <c r="O87" s="90">
        <v>0.23</v>
      </c>
      <c r="P87" s="47">
        <v>108</v>
      </c>
      <c r="Q87" s="47">
        <v>30</v>
      </c>
      <c r="R87" s="47" t="s">
        <v>87</v>
      </c>
      <c r="S87" s="84" t="s">
        <v>87</v>
      </c>
      <c r="T87" s="92">
        <v>0.8</v>
      </c>
      <c r="U87" s="47">
        <v>200</v>
      </c>
      <c r="V87" s="47">
        <v>600</v>
      </c>
      <c r="W87" s="84">
        <v>400</v>
      </c>
      <c r="X87" s="93">
        <v>180</v>
      </c>
      <c r="Y87" s="47">
        <v>200</v>
      </c>
      <c r="Z87" s="47">
        <v>600</v>
      </c>
      <c r="AA87" s="84">
        <v>400</v>
      </c>
      <c r="AB87" s="93">
        <v>180</v>
      </c>
      <c r="AC87" s="84" t="s">
        <v>87</v>
      </c>
      <c r="AD87" s="84">
        <v>78</v>
      </c>
      <c r="AE87" s="75">
        <v>0.97940000000000005</v>
      </c>
      <c r="AF87" s="75">
        <v>0.91461666666666674</v>
      </c>
      <c r="AG87" s="75">
        <v>0.96949366666666681</v>
      </c>
      <c r="AH87" s="97">
        <v>862.97419600000001</v>
      </c>
      <c r="AI87" s="117">
        <v>170.68175213381463</v>
      </c>
      <c r="AJ87" s="97">
        <v>186.62732962098039</v>
      </c>
      <c r="AK87" s="40">
        <v>370.98820134353838</v>
      </c>
      <c r="AL87" s="41">
        <v>187</v>
      </c>
      <c r="AM87" s="39">
        <v>201.96</v>
      </c>
      <c r="AN87" s="39">
        <v>195.79894092000004</v>
      </c>
      <c r="AO87" s="39">
        <v>652.6631364000001</v>
      </c>
      <c r="AP87" s="47" t="s">
        <v>393</v>
      </c>
      <c r="AQ87" s="176" t="s">
        <v>394</v>
      </c>
      <c r="AR87" s="88"/>
    </row>
    <row r="88" spans="1:44" x14ac:dyDescent="0.3">
      <c r="A88" s="25" t="s">
        <v>1509</v>
      </c>
      <c r="B88" s="25" t="s">
        <v>119</v>
      </c>
      <c r="C88" s="25" t="s">
        <v>120</v>
      </c>
      <c r="D88" s="25" t="s">
        <v>121</v>
      </c>
      <c r="E88" s="86" t="s">
        <v>77</v>
      </c>
      <c r="F88" s="47" t="s">
        <v>122</v>
      </c>
      <c r="G88" s="47" t="s">
        <v>395</v>
      </c>
      <c r="H88" s="47" t="s">
        <v>101</v>
      </c>
      <c r="I88" s="47" t="s">
        <v>80</v>
      </c>
      <c r="J88" s="47" t="s">
        <v>94</v>
      </c>
      <c r="K88" s="87" t="s">
        <v>82</v>
      </c>
      <c r="L88" s="47" t="s">
        <v>186</v>
      </c>
      <c r="M88" s="47" t="s">
        <v>83</v>
      </c>
      <c r="N88" s="89" t="s">
        <v>103</v>
      </c>
      <c r="O88" s="90">
        <v>0.39</v>
      </c>
      <c r="P88" s="47">
        <v>108</v>
      </c>
      <c r="Q88" s="47">
        <v>30</v>
      </c>
      <c r="R88" s="47" t="s">
        <v>87</v>
      </c>
      <c r="S88" s="84" t="s">
        <v>87</v>
      </c>
      <c r="T88" s="92">
        <v>0.8</v>
      </c>
      <c r="U88" s="47">
        <v>150</v>
      </c>
      <c r="V88" s="47">
        <v>650</v>
      </c>
      <c r="W88" s="84">
        <v>500</v>
      </c>
      <c r="X88" s="93">
        <v>130</v>
      </c>
      <c r="Y88" s="47">
        <v>150</v>
      </c>
      <c r="Z88" s="47">
        <v>650</v>
      </c>
      <c r="AA88" s="84">
        <v>500</v>
      </c>
      <c r="AB88" s="93">
        <v>130</v>
      </c>
      <c r="AC88" s="84" t="s">
        <v>87</v>
      </c>
      <c r="AD88" s="84">
        <v>78</v>
      </c>
      <c r="AE88" s="75">
        <v>1.1042000000000001</v>
      </c>
      <c r="AF88" s="75">
        <v>0.99435000000000007</v>
      </c>
      <c r="AG88" s="75">
        <v>1.054011</v>
      </c>
      <c r="AH88" s="97">
        <v>873.39102800000012</v>
      </c>
      <c r="AI88" s="117">
        <v>151.39078793683936</v>
      </c>
      <c r="AJ88" s="97">
        <v>165.53414837057434</v>
      </c>
      <c r="AK88" s="40">
        <v>329.0580007207584</v>
      </c>
      <c r="AL88" s="41">
        <v>166</v>
      </c>
      <c r="AM88" s="39">
        <v>179.28</v>
      </c>
      <c r="AN88" s="39">
        <v>188.96309208</v>
      </c>
      <c r="AO88" s="39">
        <v>629.87697360000004</v>
      </c>
      <c r="AP88" s="47" t="s">
        <v>429</v>
      </c>
      <c r="AQ88" s="108"/>
      <c r="AR88" s="207"/>
    </row>
    <row r="89" spans="1:44" x14ac:dyDescent="0.3">
      <c r="A89" s="25" t="s">
        <v>1509</v>
      </c>
      <c r="B89" s="25" t="s">
        <v>119</v>
      </c>
      <c r="C89" s="25" t="s">
        <v>120</v>
      </c>
      <c r="D89" s="25" t="s">
        <v>121</v>
      </c>
      <c r="E89" s="86" t="s">
        <v>77</v>
      </c>
      <c r="F89" s="47" t="s">
        <v>122</v>
      </c>
      <c r="G89" s="47" t="s">
        <v>396</v>
      </c>
      <c r="H89" s="47" t="s">
        <v>101</v>
      </c>
      <c r="I89" s="47" t="s">
        <v>80</v>
      </c>
      <c r="J89" s="47" t="s">
        <v>94</v>
      </c>
      <c r="K89" s="87" t="s">
        <v>82</v>
      </c>
      <c r="L89" s="47"/>
      <c r="M89" s="47" t="s">
        <v>83</v>
      </c>
      <c r="N89" s="89" t="s">
        <v>103</v>
      </c>
      <c r="O89" s="90">
        <v>0.28000000000000003</v>
      </c>
      <c r="P89" s="47">
        <v>110</v>
      </c>
      <c r="Q89" s="47">
        <v>30</v>
      </c>
      <c r="R89" s="47" t="s">
        <v>87</v>
      </c>
      <c r="S89" s="84" t="s">
        <v>87</v>
      </c>
      <c r="T89" s="92">
        <v>0.8</v>
      </c>
      <c r="U89" s="47">
        <v>200</v>
      </c>
      <c r="V89" s="47">
        <v>600</v>
      </c>
      <c r="W89" s="84">
        <v>400</v>
      </c>
      <c r="X89" s="93">
        <v>200</v>
      </c>
      <c r="Y89" s="47">
        <v>200</v>
      </c>
      <c r="Z89" s="47">
        <v>600</v>
      </c>
      <c r="AA89" s="84">
        <v>400</v>
      </c>
      <c r="AB89" s="93">
        <v>200</v>
      </c>
      <c r="AC89" s="84" t="s">
        <v>87</v>
      </c>
      <c r="AD89" s="84">
        <v>80</v>
      </c>
      <c r="AE89" s="75">
        <v>1.024</v>
      </c>
      <c r="AF89" s="75">
        <v>0.94254545454545458</v>
      </c>
      <c r="AG89" s="75">
        <v>0.99909818181818189</v>
      </c>
      <c r="AH89" s="97">
        <v>866.22945600000003</v>
      </c>
      <c r="AI89" s="117">
        <v>163.24776175767386</v>
      </c>
      <c r="AJ89" s="97">
        <v>178.49883460037904</v>
      </c>
      <c r="AK89" s="40">
        <v>354.82992616783349</v>
      </c>
      <c r="AL89" s="41">
        <v>178</v>
      </c>
      <c r="AM89" s="39">
        <v>195.8</v>
      </c>
      <c r="AN89" s="39">
        <v>195.62342400000003</v>
      </c>
      <c r="AO89" s="39">
        <v>652.07808000000011</v>
      </c>
      <c r="AP89" s="47" t="s">
        <v>430</v>
      </c>
      <c r="AQ89" s="62"/>
      <c r="AR89" s="88" t="s">
        <v>381</v>
      </c>
    </row>
    <row r="90" spans="1:44" x14ac:dyDescent="0.3">
      <c r="A90" s="25" t="s">
        <v>1509</v>
      </c>
      <c r="B90" s="25" t="s">
        <v>119</v>
      </c>
      <c r="C90" s="25" t="s">
        <v>120</v>
      </c>
      <c r="D90" s="25" t="s">
        <v>121</v>
      </c>
      <c r="E90" s="86" t="s">
        <v>77</v>
      </c>
      <c r="F90" s="47" t="s">
        <v>122</v>
      </c>
      <c r="G90" s="47" t="s">
        <v>397</v>
      </c>
      <c r="H90" s="47" t="s">
        <v>101</v>
      </c>
      <c r="I90" s="47" t="s">
        <v>80</v>
      </c>
      <c r="J90" s="47" t="s">
        <v>94</v>
      </c>
      <c r="K90" s="87" t="s">
        <v>82</v>
      </c>
      <c r="L90" s="47"/>
      <c r="M90" s="47" t="s">
        <v>83</v>
      </c>
      <c r="N90" s="89" t="s">
        <v>103</v>
      </c>
      <c r="O90" s="90">
        <v>0.36</v>
      </c>
      <c r="P90" s="47">
        <v>105</v>
      </c>
      <c r="Q90" s="47">
        <v>30</v>
      </c>
      <c r="R90" s="47" t="s">
        <v>87</v>
      </c>
      <c r="S90" s="84" t="s">
        <v>87</v>
      </c>
      <c r="T90" s="92">
        <v>0.8</v>
      </c>
      <c r="U90" s="47">
        <v>200</v>
      </c>
      <c r="V90" s="47">
        <v>600</v>
      </c>
      <c r="W90" s="84">
        <v>400</v>
      </c>
      <c r="X90" s="93">
        <v>150</v>
      </c>
      <c r="Y90" s="47">
        <v>200</v>
      </c>
      <c r="Z90" s="47">
        <v>600</v>
      </c>
      <c r="AA90" s="84">
        <v>400</v>
      </c>
      <c r="AB90" s="93">
        <v>150</v>
      </c>
      <c r="AC90" s="84" t="s">
        <v>87</v>
      </c>
      <c r="AD90" s="84">
        <v>75</v>
      </c>
      <c r="AE90" s="75">
        <v>1.07</v>
      </c>
      <c r="AF90" s="75">
        <v>0.97357142857142853</v>
      </c>
      <c r="AG90" s="75">
        <v>1.0319857142857143</v>
      </c>
      <c r="AH90" s="97">
        <v>871.43787200000008</v>
      </c>
      <c r="AI90" s="117">
        <v>156.22963368211029</v>
      </c>
      <c r="AJ90" s="97">
        <v>170.82505292597023</v>
      </c>
      <c r="AK90" s="40">
        <v>339.57555551015088</v>
      </c>
      <c r="AL90" s="41">
        <v>171</v>
      </c>
      <c r="AM90" s="39">
        <v>179.55</v>
      </c>
      <c r="AN90" s="39">
        <v>185.293035</v>
      </c>
      <c r="AO90" s="39">
        <v>617.64345000000003</v>
      </c>
      <c r="AP90" s="47" t="s">
        <v>431</v>
      </c>
      <c r="AQ90" s="62"/>
      <c r="AR90" s="88" t="s">
        <v>432</v>
      </c>
    </row>
    <row r="91" spans="1:44" x14ac:dyDescent="0.3">
      <c r="A91" s="25" t="s">
        <v>1509</v>
      </c>
      <c r="B91" s="25" t="s">
        <v>119</v>
      </c>
      <c r="C91" s="25" t="s">
        <v>120</v>
      </c>
      <c r="D91" s="25" t="s">
        <v>121</v>
      </c>
      <c r="E91" s="86" t="s">
        <v>77</v>
      </c>
      <c r="F91" s="47" t="s">
        <v>122</v>
      </c>
      <c r="G91" s="47" t="s">
        <v>398</v>
      </c>
      <c r="H91" s="47" t="s">
        <v>101</v>
      </c>
      <c r="I91" s="47" t="s">
        <v>80</v>
      </c>
      <c r="J91" s="47" t="s">
        <v>94</v>
      </c>
      <c r="K91" s="87" t="s">
        <v>82</v>
      </c>
      <c r="L91" s="47" t="s">
        <v>399</v>
      </c>
      <c r="M91" s="47" t="s">
        <v>83</v>
      </c>
      <c r="N91" s="89" t="s">
        <v>103</v>
      </c>
      <c r="O91" s="90">
        <v>0.37</v>
      </c>
      <c r="P91" s="47">
        <v>107</v>
      </c>
      <c r="Q91" s="47">
        <v>30</v>
      </c>
      <c r="R91" s="47" t="s">
        <v>87</v>
      </c>
      <c r="S91" s="84" t="s">
        <v>87</v>
      </c>
      <c r="T91" s="92">
        <v>0.8</v>
      </c>
      <c r="U91" s="47">
        <v>213</v>
      </c>
      <c r="V91" s="47">
        <v>428</v>
      </c>
      <c r="W91" s="84">
        <v>215</v>
      </c>
      <c r="X91" s="93">
        <v>342</v>
      </c>
      <c r="Y91" s="47">
        <v>200</v>
      </c>
      <c r="Z91" s="47">
        <v>600</v>
      </c>
      <c r="AA91" s="84">
        <v>400</v>
      </c>
      <c r="AB91" s="93">
        <v>170</v>
      </c>
      <c r="AC91" s="84" t="s">
        <v>87</v>
      </c>
      <c r="AD91" s="84">
        <v>77</v>
      </c>
      <c r="AE91" s="75">
        <v>1.0849</v>
      </c>
      <c r="AF91" s="75">
        <v>0.98238925233644858</v>
      </c>
      <c r="AG91" s="75">
        <v>1.0413326074766356</v>
      </c>
      <c r="AH91" s="97">
        <v>872.08892400000002</v>
      </c>
      <c r="AI91" s="117">
        <v>154.08397828358193</v>
      </c>
      <c r="AJ91" s="97">
        <v>168.47894426287047</v>
      </c>
      <c r="AK91" s="40">
        <v>334.91183002660284</v>
      </c>
      <c r="AL91" s="98">
        <v>120</v>
      </c>
      <c r="AM91" s="39">
        <v>128.4</v>
      </c>
      <c r="AN91" s="39">
        <v>133.70710680000002</v>
      </c>
      <c r="AO91" s="39">
        <v>445.69035600000007</v>
      </c>
      <c r="AP91" s="47" t="s">
        <v>115</v>
      </c>
      <c r="AQ91" s="108" t="s">
        <v>433</v>
      </c>
      <c r="AR91" s="88" t="s">
        <v>432</v>
      </c>
    </row>
    <row r="92" spans="1:44" x14ac:dyDescent="0.3">
      <c r="A92" s="25" t="s">
        <v>1509</v>
      </c>
      <c r="B92" s="25" t="s">
        <v>119</v>
      </c>
      <c r="C92" s="25" t="s">
        <v>120</v>
      </c>
      <c r="D92" s="25" t="s">
        <v>121</v>
      </c>
      <c r="E92" s="86" t="s">
        <v>77</v>
      </c>
      <c r="F92" s="47" t="s">
        <v>122</v>
      </c>
      <c r="G92" s="47" t="s">
        <v>400</v>
      </c>
      <c r="H92" s="47" t="s">
        <v>101</v>
      </c>
      <c r="I92" s="47" t="s">
        <v>80</v>
      </c>
      <c r="J92" s="47" t="s">
        <v>94</v>
      </c>
      <c r="K92" s="87" t="s">
        <v>82</v>
      </c>
      <c r="L92" s="47" t="s">
        <v>401</v>
      </c>
      <c r="M92" s="47" t="s">
        <v>83</v>
      </c>
      <c r="N92" s="89" t="s">
        <v>103</v>
      </c>
      <c r="O92" s="90">
        <v>0.21</v>
      </c>
      <c r="P92" s="203">
        <v>131</v>
      </c>
      <c r="Q92" s="47">
        <v>25</v>
      </c>
      <c r="R92" s="47" t="s">
        <v>87</v>
      </c>
      <c r="S92" s="84" t="s">
        <v>87</v>
      </c>
      <c r="T92" s="92">
        <v>0.8</v>
      </c>
      <c r="U92" s="47" t="s">
        <v>87</v>
      </c>
      <c r="V92" s="47" t="s">
        <v>87</v>
      </c>
      <c r="W92" s="84" t="s">
        <v>87</v>
      </c>
      <c r="X92" s="93" t="s">
        <v>87</v>
      </c>
      <c r="Y92" s="47">
        <v>540</v>
      </c>
      <c r="Z92" s="47">
        <v>940</v>
      </c>
      <c r="AA92" s="84">
        <v>400</v>
      </c>
      <c r="AB92" s="93">
        <v>120</v>
      </c>
      <c r="AC92" s="84" t="s">
        <v>87</v>
      </c>
      <c r="AD92" s="84">
        <v>106</v>
      </c>
      <c r="AE92" s="75">
        <v>1.0226</v>
      </c>
      <c r="AF92" s="75">
        <v>0.93254045801526719</v>
      </c>
      <c r="AG92" s="75">
        <v>0.9884928854961833</v>
      </c>
      <c r="AH92" s="97">
        <v>861.67209200000002</v>
      </c>
      <c r="AI92" s="117">
        <v>163.47125761769806</v>
      </c>
      <c r="AJ92" s="97">
        <v>178.74321008291435</v>
      </c>
      <c r="AK92" s="40">
        <v>355.31570936422992</v>
      </c>
      <c r="AL92" s="41">
        <v>179</v>
      </c>
      <c r="AM92" s="39">
        <v>234.49</v>
      </c>
      <c r="AN92" s="39">
        <v>231.79169672000003</v>
      </c>
      <c r="AO92" s="39">
        <v>927.16678688000013</v>
      </c>
      <c r="AP92" s="47" t="s">
        <v>434</v>
      </c>
      <c r="AQ92" s="108" t="s">
        <v>435</v>
      </c>
      <c r="AR92" s="88" t="s">
        <v>436</v>
      </c>
    </row>
    <row r="93" spans="1:44" x14ac:dyDescent="0.3">
      <c r="A93" s="25" t="s">
        <v>1509</v>
      </c>
      <c r="B93" s="25" t="s">
        <v>119</v>
      </c>
      <c r="C93" s="25" t="s">
        <v>120</v>
      </c>
      <c r="D93" s="25" t="s">
        <v>121</v>
      </c>
      <c r="E93" s="26" t="s">
        <v>77</v>
      </c>
      <c r="F93" s="27" t="s">
        <v>78</v>
      </c>
      <c r="G93" s="25" t="s">
        <v>402</v>
      </c>
      <c r="H93" s="25" t="s">
        <v>101</v>
      </c>
      <c r="I93" s="25" t="s">
        <v>80</v>
      </c>
      <c r="J93" s="25" t="s">
        <v>94</v>
      </c>
      <c r="K93" s="30" t="s">
        <v>82</v>
      </c>
      <c r="L93" s="25" t="s">
        <v>403</v>
      </c>
      <c r="M93" s="25" t="s">
        <v>83</v>
      </c>
      <c r="N93" s="74" t="s">
        <v>103</v>
      </c>
      <c r="O93" s="61">
        <v>0.28999999999999998</v>
      </c>
      <c r="P93" s="203">
        <v>122</v>
      </c>
      <c r="Q93" s="204">
        <v>15</v>
      </c>
      <c r="R93" s="25" t="s">
        <v>87</v>
      </c>
      <c r="S93" s="34" t="s">
        <v>87</v>
      </c>
      <c r="T93" s="35">
        <v>0.8</v>
      </c>
      <c r="U93" s="25" t="s">
        <v>87</v>
      </c>
      <c r="V93" s="25" t="s">
        <v>87</v>
      </c>
      <c r="W93" s="34" t="s">
        <v>87</v>
      </c>
      <c r="X93" s="36" t="s">
        <v>87</v>
      </c>
      <c r="Y93" s="25">
        <v>540</v>
      </c>
      <c r="Z93" s="25">
        <v>940</v>
      </c>
      <c r="AA93" s="34">
        <v>400</v>
      </c>
      <c r="AB93" s="36">
        <v>130</v>
      </c>
      <c r="AC93" s="34" t="s">
        <v>87</v>
      </c>
      <c r="AD93" s="34">
        <v>107</v>
      </c>
      <c r="AE93" s="37">
        <v>1.1103000000000001</v>
      </c>
      <c r="AF93" s="37">
        <v>0.97422581967213118</v>
      </c>
      <c r="AG93" s="37">
        <v>1.0326793688524591</v>
      </c>
      <c r="AH93" s="38">
        <v>866.88050800000008</v>
      </c>
      <c r="AI93" s="117">
        <v>150.55904533896967</v>
      </c>
      <c r="AJ93" s="38">
        <v>164.62470200016949</v>
      </c>
      <c r="AK93" s="40">
        <v>327.25015256764971</v>
      </c>
      <c r="AL93" s="41">
        <v>165</v>
      </c>
      <c r="AM93" s="39">
        <v>201.3</v>
      </c>
      <c r="AN93" s="39">
        <v>207.87835695000004</v>
      </c>
      <c r="AO93" s="39">
        <v>1385.8557130000004</v>
      </c>
      <c r="AP93" s="25" t="s">
        <v>437</v>
      </c>
      <c r="AQ93" s="62" t="s">
        <v>438</v>
      </c>
      <c r="AR93" s="43" t="s">
        <v>439</v>
      </c>
    </row>
    <row r="94" spans="1:44" x14ac:dyDescent="0.3">
      <c r="A94" s="25" t="s">
        <v>1509</v>
      </c>
      <c r="B94" s="25" t="s">
        <v>119</v>
      </c>
      <c r="C94" s="25" t="s">
        <v>120</v>
      </c>
      <c r="D94" s="25" t="s">
        <v>121</v>
      </c>
      <c r="E94" s="86" t="s">
        <v>77</v>
      </c>
      <c r="F94" s="47" t="s">
        <v>122</v>
      </c>
      <c r="G94" s="47" t="s">
        <v>404</v>
      </c>
      <c r="H94" s="47" t="s">
        <v>101</v>
      </c>
      <c r="I94" s="47" t="s">
        <v>80</v>
      </c>
      <c r="J94" s="47" t="s">
        <v>94</v>
      </c>
      <c r="K94" s="87" t="s">
        <v>82</v>
      </c>
      <c r="L94" s="47" t="s">
        <v>405</v>
      </c>
      <c r="M94" s="47" t="s">
        <v>83</v>
      </c>
      <c r="N94" s="89" t="s">
        <v>103</v>
      </c>
      <c r="O94" s="90">
        <v>0.5</v>
      </c>
      <c r="P94" s="47">
        <v>102</v>
      </c>
      <c r="Q94" s="47">
        <v>30</v>
      </c>
      <c r="R94" s="47" t="s">
        <v>87</v>
      </c>
      <c r="S94" s="84" t="s">
        <v>87</v>
      </c>
      <c r="T94" s="92">
        <v>0.8</v>
      </c>
      <c r="U94" s="47">
        <v>193</v>
      </c>
      <c r="V94" s="47">
        <v>356</v>
      </c>
      <c r="W94" s="84">
        <v>163</v>
      </c>
      <c r="X94" s="93">
        <v>364</v>
      </c>
      <c r="Y94" s="47">
        <v>150</v>
      </c>
      <c r="Z94" s="47">
        <v>550</v>
      </c>
      <c r="AA94" s="84">
        <v>400</v>
      </c>
      <c r="AB94" s="93">
        <v>170</v>
      </c>
      <c r="AC94" s="84" t="s">
        <v>87</v>
      </c>
      <c r="AD94" s="84">
        <v>72</v>
      </c>
      <c r="AE94" s="75">
        <v>1.1600000000000001</v>
      </c>
      <c r="AF94" s="75">
        <v>1.0329411764705885</v>
      </c>
      <c r="AG94" s="75">
        <v>1.0949176470588238</v>
      </c>
      <c r="AH94" s="97">
        <v>880.5526000000001</v>
      </c>
      <c r="AI94" s="39">
        <v>144.1083689998776</v>
      </c>
      <c r="AJ94" s="97">
        <v>157.57138502654149</v>
      </c>
      <c r="AK94" s="40">
        <v>313.22917620332879</v>
      </c>
      <c r="AL94" s="41">
        <v>158</v>
      </c>
      <c r="AM94" s="39">
        <v>161.16</v>
      </c>
      <c r="AN94" s="39">
        <v>176.45692800000003</v>
      </c>
      <c r="AO94" s="39">
        <v>588.18976000000009</v>
      </c>
      <c r="AP94" s="47" t="s">
        <v>440</v>
      </c>
      <c r="AQ94" s="108" t="s">
        <v>441</v>
      </c>
      <c r="AR94" s="88"/>
    </row>
    <row r="95" spans="1:44" x14ac:dyDescent="0.3">
      <c r="A95" s="25" t="s">
        <v>1509</v>
      </c>
      <c r="B95" s="25" t="s">
        <v>119</v>
      </c>
      <c r="C95" s="25" t="s">
        <v>120</v>
      </c>
      <c r="D95" s="25" t="s">
        <v>121</v>
      </c>
      <c r="E95" s="26" t="s">
        <v>77</v>
      </c>
      <c r="F95" s="27" t="s">
        <v>78</v>
      </c>
      <c r="G95" s="25" t="s">
        <v>406</v>
      </c>
      <c r="H95" s="25" t="s">
        <v>101</v>
      </c>
      <c r="I95" s="25" t="s">
        <v>80</v>
      </c>
      <c r="J95" s="25" t="s">
        <v>94</v>
      </c>
      <c r="K95" s="30" t="s">
        <v>82</v>
      </c>
      <c r="L95" s="25" t="s">
        <v>407</v>
      </c>
      <c r="M95" s="25" t="s">
        <v>83</v>
      </c>
      <c r="N95" s="74" t="s">
        <v>103</v>
      </c>
      <c r="O95" s="61">
        <v>0.5</v>
      </c>
      <c r="P95" s="25">
        <v>104</v>
      </c>
      <c r="Q95" s="25">
        <v>30</v>
      </c>
      <c r="R95" s="25" t="s">
        <v>87</v>
      </c>
      <c r="S95" s="84" t="s">
        <v>87</v>
      </c>
      <c r="T95" s="35">
        <v>0.8</v>
      </c>
      <c r="U95" s="25">
        <v>193</v>
      </c>
      <c r="V95" s="25">
        <v>356</v>
      </c>
      <c r="W95" s="34">
        <v>163</v>
      </c>
      <c r="X95" s="36">
        <v>384</v>
      </c>
      <c r="Y95" s="25">
        <v>150</v>
      </c>
      <c r="Z95" s="25">
        <v>550</v>
      </c>
      <c r="AA95" s="34">
        <v>400</v>
      </c>
      <c r="AB95" s="36">
        <v>190</v>
      </c>
      <c r="AC95" s="34" t="s">
        <v>87</v>
      </c>
      <c r="AD95" s="34">
        <v>74</v>
      </c>
      <c r="AE95" s="37">
        <v>1.17</v>
      </c>
      <c r="AF95" s="37">
        <v>1.0383653846153846</v>
      </c>
      <c r="AG95" s="37">
        <v>1.1006673076923077</v>
      </c>
      <c r="AH95" s="38">
        <v>880.5526000000001</v>
      </c>
      <c r="AI95" s="117">
        <v>142.87667353834021</v>
      </c>
      <c r="AJ95" s="38">
        <v>156.22462105195572</v>
      </c>
      <c r="AK95" s="40">
        <v>310.55200375714657</v>
      </c>
      <c r="AL95" s="41">
        <v>120</v>
      </c>
      <c r="AM95" s="39">
        <v>124.8</v>
      </c>
      <c r="AN95" s="39">
        <v>137.36328</v>
      </c>
      <c r="AO95" s="39">
        <v>457.87760000000003</v>
      </c>
      <c r="AP95" s="25" t="s">
        <v>115</v>
      </c>
      <c r="AQ95" s="201" t="s">
        <v>442</v>
      </c>
      <c r="AR95" s="43"/>
    </row>
    <row r="96" spans="1:44" x14ac:dyDescent="0.3">
      <c r="A96" s="25" t="s">
        <v>1509</v>
      </c>
      <c r="B96" s="25" t="s">
        <v>119</v>
      </c>
      <c r="C96" s="25" t="s">
        <v>120</v>
      </c>
      <c r="D96" s="25" t="s">
        <v>121</v>
      </c>
      <c r="E96" s="86" t="s">
        <v>77</v>
      </c>
      <c r="F96" s="182" t="s">
        <v>139</v>
      </c>
      <c r="G96" s="66" t="s">
        <v>408</v>
      </c>
      <c r="H96" s="66" t="s">
        <v>101</v>
      </c>
      <c r="I96" s="66" t="s">
        <v>80</v>
      </c>
      <c r="J96" s="66" t="s">
        <v>94</v>
      </c>
      <c r="K96" s="111" t="s">
        <v>82</v>
      </c>
      <c r="L96" s="66" t="s">
        <v>409</v>
      </c>
      <c r="M96" s="66" t="s">
        <v>83</v>
      </c>
      <c r="N96" s="183" t="s">
        <v>103</v>
      </c>
      <c r="O96" s="113">
        <v>0.19</v>
      </c>
      <c r="P96" s="66">
        <v>105</v>
      </c>
      <c r="Q96" s="66">
        <v>25</v>
      </c>
      <c r="R96" s="66" t="s">
        <v>87</v>
      </c>
      <c r="S96" s="115" t="s">
        <v>87</v>
      </c>
      <c r="T96" s="114">
        <v>0.8</v>
      </c>
      <c r="U96" s="66">
        <v>200</v>
      </c>
      <c r="V96" s="66">
        <v>600</v>
      </c>
      <c r="W96" s="115">
        <v>400</v>
      </c>
      <c r="X96" s="184">
        <v>200</v>
      </c>
      <c r="Y96" s="66">
        <v>200</v>
      </c>
      <c r="Z96" s="66">
        <v>600</v>
      </c>
      <c r="AA96" s="115">
        <v>400</v>
      </c>
      <c r="AB96" s="184">
        <v>200</v>
      </c>
      <c r="AC96" s="115" t="s">
        <v>87</v>
      </c>
      <c r="AD96" s="115">
        <v>80</v>
      </c>
      <c r="AE96" s="116">
        <v>0.95200000000000007</v>
      </c>
      <c r="AF96" s="116">
        <v>0.89409523809523817</v>
      </c>
      <c r="AG96" s="116">
        <v>0.94774095238095246</v>
      </c>
      <c r="AH96" s="118">
        <v>860.36998800000003</v>
      </c>
      <c r="AI96" s="117">
        <v>175.59423113430464</v>
      </c>
      <c r="AJ96" s="118">
        <v>191.99874646091195</v>
      </c>
      <c r="AK96" s="119">
        <v>381.66580293682927</v>
      </c>
      <c r="AL96" s="120">
        <v>192</v>
      </c>
      <c r="AM96" s="117">
        <v>201.6</v>
      </c>
      <c r="AN96" s="117">
        <v>191.06457600000002</v>
      </c>
      <c r="AO96" s="117">
        <v>764.25830400000007</v>
      </c>
      <c r="AP96" s="66" t="s">
        <v>443</v>
      </c>
      <c r="AQ96" s="123" t="s">
        <v>444</v>
      </c>
      <c r="AR96" s="208"/>
    </row>
    <row r="97" spans="1:44" x14ac:dyDescent="0.3">
      <c r="A97" s="25" t="s">
        <v>1509</v>
      </c>
      <c r="B97" s="25" t="s">
        <v>119</v>
      </c>
      <c r="C97" s="25" t="s">
        <v>120</v>
      </c>
      <c r="D97" s="25" t="s">
        <v>121</v>
      </c>
      <c r="E97" s="86" t="s">
        <v>77</v>
      </c>
      <c r="F97" s="27" t="s">
        <v>78</v>
      </c>
      <c r="G97" s="25" t="s">
        <v>410</v>
      </c>
      <c r="H97" s="25" t="s">
        <v>101</v>
      </c>
      <c r="I97" s="25" t="s">
        <v>80</v>
      </c>
      <c r="J97" s="25" t="s">
        <v>94</v>
      </c>
      <c r="K97" s="30" t="s">
        <v>82</v>
      </c>
      <c r="L97" s="25" t="s">
        <v>411</v>
      </c>
      <c r="M97" s="25" t="s">
        <v>83</v>
      </c>
      <c r="N97" s="74" t="s">
        <v>103</v>
      </c>
      <c r="O97" s="61">
        <v>0.27</v>
      </c>
      <c r="P97" s="25">
        <v>102</v>
      </c>
      <c r="Q97" s="25">
        <v>25</v>
      </c>
      <c r="R97" s="25" t="s">
        <v>87</v>
      </c>
      <c r="S97" s="34" t="s">
        <v>87</v>
      </c>
      <c r="T97" s="35">
        <v>0.8</v>
      </c>
      <c r="U97" s="25">
        <v>200</v>
      </c>
      <c r="V97" s="25">
        <v>600</v>
      </c>
      <c r="W97" s="34">
        <v>400</v>
      </c>
      <c r="X97" s="36">
        <v>170</v>
      </c>
      <c r="Y97" s="25">
        <v>200</v>
      </c>
      <c r="Z97" s="25">
        <v>600</v>
      </c>
      <c r="AA97" s="34">
        <v>400</v>
      </c>
      <c r="AB97" s="36">
        <v>170</v>
      </c>
      <c r="AC97" s="34" t="s">
        <v>87</v>
      </c>
      <c r="AD97" s="34">
        <v>77</v>
      </c>
      <c r="AE97" s="37">
        <v>1.0079</v>
      </c>
      <c r="AF97" s="37">
        <v>0.92942794117647065</v>
      </c>
      <c r="AG97" s="37">
        <v>0.98519361764705893</v>
      </c>
      <c r="AH97" s="38">
        <v>865.57840400000009</v>
      </c>
      <c r="AI97" s="117">
        <v>165.8554499849767</v>
      </c>
      <c r="AJ97" s="38">
        <v>181.35014052067484</v>
      </c>
      <c r="AK97" s="40">
        <v>360.49791089975338</v>
      </c>
      <c r="AL97" s="41">
        <v>181</v>
      </c>
      <c r="AM97" s="39">
        <v>184.62</v>
      </c>
      <c r="AN97" s="39">
        <v>181.88644569000002</v>
      </c>
      <c r="AO97" s="39">
        <v>727.54578276000007</v>
      </c>
      <c r="AP97" s="25" t="s">
        <v>379</v>
      </c>
      <c r="AQ97" s="62" t="s">
        <v>445</v>
      </c>
      <c r="AR97" s="43"/>
    </row>
    <row r="98" spans="1:44" x14ac:dyDescent="0.3">
      <c r="A98" s="25" t="s">
        <v>1509</v>
      </c>
      <c r="B98" s="25" t="s">
        <v>119</v>
      </c>
      <c r="C98" s="25" t="s">
        <v>120</v>
      </c>
      <c r="D98" s="25" t="s">
        <v>121</v>
      </c>
      <c r="E98" s="86" t="s">
        <v>77</v>
      </c>
      <c r="F98" s="47" t="s">
        <v>122</v>
      </c>
      <c r="G98" s="47" t="s">
        <v>412</v>
      </c>
      <c r="H98" s="47" t="s">
        <v>101</v>
      </c>
      <c r="I98" s="47" t="s">
        <v>80</v>
      </c>
      <c r="J98" s="47" t="s">
        <v>94</v>
      </c>
      <c r="K98" s="87" t="s">
        <v>82</v>
      </c>
      <c r="L98" s="47" t="s">
        <v>413</v>
      </c>
      <c r="M98" s="47" t="s">
        <v>83</v>
      </c>
      <c r="N98" s="89" t="s">
        <v>103</v>
      </c>
      <c r="O98" s="90">
        <v>0.22</v>
      </c>
      <c r="P98" s="47">
        <v>115</v>
      </c>
      <c r="Q98" s="47">
        <v>30</v>
      </c>
      <c r="R98" s="47" t="s">
        <v>87</v>
      </c>
      <c r="S98" s="84" t="s">
        <v>87</v>
      </c>
      <c r="T98" s="92">
        <v>0.8</v>
      </c>
      <c r="U98" s="47">
        <v>200</v>
      </c>
      <c r="V98" s="47">
        <v>600</v>
      </c>
      <c r="W98" s="84">
        <v>400</v>
      </c>
      <c r="X98" s="93">
        <v>250</v>
      </c>
      <c r="Y98" s="47">
        <v>200</v>
      </c>
      <c r="Z98" s="47">
        <v>600</v>
      </c>
      <c r="AA98" s="84">
        <v>400</v>
      </c>
      <c r="AB98" s="93">
        <v>250</v>
      </c>
      <c r="AC98" s="84" t="s">
        <v>87</v>
      </c>
      <c r="AD98" s="84">
        <v>85</v>
      </c>
      <c r="AE98" s="75">
        <v>0.9870000000000001</v>
      </c>
      <c r="AF98" s="75">
        <v>0.91789130434782618</v>
      </c>
      <c r="AG98" s="75">
        <v>0.97296478260869568</v>
      </c>
      <c r="AH98" s="97">
        <v>862.32314400000007</v>
      </c>
      <c r="AI98" s="117">
        <v>169.36748534940023</v>
      </c>
      <c r="AJ98" s="97">
        <v>185.19028027435476</v>
      </c>
      <c r="AK98" s="40">
        <v>368.13155460573603</v>
      </c>
      <c r="AL98" s="41">
        <v>185</v>
      </c>
      <c r="AM98" s="39">
        <v>212.75</v>
      </c>
      <c r="AN98" s="39">
        <v>206.99825749999999</v>
      </c>
      <c r="AO98" s="39">
        <v>689.99419166666667</v>
      </c>
      <c r="AP98" s="47" t="s">
        <v>446</v>
      </c>
      <c r="AQ98" s="108" t="s">
        <v>447</v>
      </c>
      <c r="AR98" s="88" t="s">
        <v>381</v>
      </c>
    </row>
    <row r="99" spans="1:44" x14ac:dyDescent="0.3">
      <c r="A99" s="25" t="s">
        <v>1509</v>
      </c>
      <c r="B99" s="25" t="s">
        <v>119</v>
      </c>
      <c r="C99" s="25" t="s">
        <v>120</v>
      </c>
      <c r="D99" s="25" t="s">
        <v>121</v>
      </c>
      <c r="E99" s="86" t="s">
        <v>77</v>
      </c>
      <c r="F99" s="47" t="s">
        <v>122</v>
      </c>
      <c r="G99" s="47" t="s">
        <v>414</v>
      </c>
      <c r="H99" s="47" t="s">
        <v>101</v>
      </c>
      <c r="I99" s="47" t="s">
        <v>80</v>
      </c>
      <c r="J99" s="47" t="s">
        <v>94</v>
      </c>
      <c r="K99" s="87" t="s">
        <v>82</v>
      </c>
      <c r="L99" s="47" t="s">
        <v>415</v>
      </c>
      <c r="M99" s="47" t="s">
        <v>83</v>
      </c>
      <c r="N99" s="89" t="s">
        <v>103</v>
      </c>
      <c r="O99" s="90">
        <v>0.3</v>
      </c>
      <c r="P99" s="47">
        <v>109</v>
      </c>
      <c r="Q99" s="47">
        <v>30</v>
      </c>
      <c r="R99" s="47" t="s">
        <v>87</v>
      </c>
      <c r="S99" s="84" t="s">
        <v>87</v>
      </c>
      <c r="T99" s="92">
        <v>0.8</v>
      </c>
      <c r="U99" s="47">
        <v>200</v>
      </c>
      <c r="V99" s="47">
        <v>600</v>
      </c>
      <c r="W99" s="84">
        <v>400</v>
      </c>
      <c r="X99" s="93">
        <v>190</v>
      </c>
      <c r="Y99" s="47">
        <v>200</v>
      </c>
      <c r="Z99" s="47">
        <v>600</v>
      </c>
      <c r="AA99" s="84">
        <v>400</v>
      </c>
      <c r="AB99" s="93">
        <v>190</v>
      </c>
      <c r="AC99" s="84" t="s">
        <v>87</v>
      </c>
      <c r="AD99" s="84">
        <v>79</v>
      </c>
      <c r="AE99" s="75">
        <v>1.0370000000000001</v>
      </c>
      <c r="AF99" s="75">
        <v>0.95111467889908263</v>
      </c>
      <c r="AG99" s="75">
        <v>1.0081815596330277</v>
      </c>
      <c r="AH99" s="97">
        <v>867.53156000000013</v>
      </c>
      <c r="AI99" s="117">
        <v>161.20126136919768</v>
      </c>
      <c r="AJ99" s="97">
        <v>176.26114429198472</v>
      </c>
      <c r="AK99" s="40">
        <v>350.38172072889239</v>
      </c>
      <c r="AL99" s="41">
        <v>176</v>
      </c>
      <c r="AM99" s="39">
        <v>191.84</v>
      </c>
      <c r="AN99" s="39">
        <v>193.40955040000003</v>
      </c>
      <c r="AO99" s="39">
        <v>644.69850133333341</v>
      </c>
      <c r="AP99" s="47" t="s">
        <v>448</v>
      </c>
      <c r="AQ99" s="108" t="s">
        <v>449</v>
      </c>
      <c r="AR99" s="88" t="s">
        <v>432</v>
      </c>
    </row>
    <row r="100" spans="1:44" x14ac:dyDescent="0.3">
      <c r="A100" s="25" t="s">
        <v>1509</v>
      </c>
      <c r="B100" s="25" t="s">
        <v>119</v>
      </c>
      <c r="C100" s="25" t="s">
        <v>120</v>
      </c>
      <c r="D100" s="25" t="s">
        <v>121</v>
      </c>
      <c r="E100" s="26" t="s">
        <v>77</v>
      </c>
      <c r="F100" s="27" t="s">
        <v>78</v>
      </c>
      <c r="G100" s="25" t="s">
        <v>416</v>
      </c>
      <c r="H100" s="25" t="s">
        <v>101</v>
      </c>
      <c r="I100" s="25" t="s">
        <v>80</v>
      </c>
      <c r="J100" s="25" t="s">
        <v>94</v>
      </c>
      <c r="K100" s="30" t="s">
        <v>82</v>
      </c>
      <c r="L100" s="25" t="s">
        <v>417</v>
      </c>
      <c r="M100" s="25" t="s">
        <v>83</v>
      </c>
      <c r="N100" s="74" t="s">
        <v>103</v>
      </c>
      <c r="O100" s="61">
        <v>0.47</v>
      </c>
      <c r="P100" s="25">
        <v>96</v>
      </c>
      <c r="Q100" s="25">
        <v>30</v>
      </c>
      <c r="R100" s="25" t="s">
        <v>87</v>
      </c>
      <c r="S100" s="84" t="s">
        <v>87</v>
      </c>
      <c r="T100" s="35">
        <v>0.8</v>
      </c>
      <c r="U100" s="25">
        <v>171</v>
      </c>
      <c r="V100" s="25">
        <v>375</v>
      </c>
      <c r="W100" s="34">
        <v>204</v>
      </c>
      <c r="X100" s="36">
        <v>285</v>
      </c>
      <c r="Y100" s="25">
        <v>150</v>
      </c>
      <c r="Z100" s="25">
        <v>550</v>
      </c>
      <c r="AA100" s="34">
        <v>400</v>
      </c>
      <c r="AB100" s="36">
        <v>110</v>
      </c>
      <c r="AC100" s="34" t="s">
        <v>87</v>
      </c>
      <c r="AD100" s="34">
        <v>66</v>
      </c>
      <c r="AE100" s="37">
        <v>1.1102000000000001</v>
      </c>
      <c r="AF100" s="37">
        <v>1.0035687500000001</v>
      </c>
      <c r="AG100" s="37">
        <v>1.063782875</v>
      </c>
      <c r="AH100" s="38">
        <v>878.59944400000006</v>
      </c>
      <c r="AI100" s="117">
        <v>150.57260677342643</v>
      </c>
      <c r="AJ100" s="38">
        <v>164.63953038262309</v>
      </c>
      <c r="AK100" s="40">
        <v>327.27962925226217</v>
      </c>
      <c r="AL100" s="41">
        <v>120</v>
      </c>
      <c r="AM100" s="39">
        <v>115.2</v>
      </c>
      <c r="AN100" s="39">
        <v>122.5477872</v>
      </c>
      <c r="AO100" s="39">
        <v>408.49262400000003</v>
      </c>
      <c r="AP100" s="25" t="s">
        <v>115</v>
      </c>
      <c r="AQ100" s="201" t="s">
        <v>450</v>
      </c>
      <c r="AR100" s="43" t="s">
        <v>451</v>
      </c>
    </row>
    <row r="101" spans="1:44" x14ac:dyDescent="0.3">
      <c r="A101" s="25" t="s">
        <v>1509</v>
      </c>
      <c r="B101" s="25" t="s">
        <v>119</v>
      </c>
      <c r="C101" s="25" t="s">
        <v>120</v>
      </c>
      <c r="D101" s="25" t="s">
        <v>121</v>
      </c>
      <c r="E101" s="26" t="s">
        <v>77</v>
      </c>
      <c r="F101" s="27" t="s">
        <v>78</v>
      </c>
      <c r="G101" s="25" t="s">
        <v>418</v>
      </c>
      <c r="H101" s="25" t="s">
        <v>101</v>
      </c>
      <c r="I101" s="25" t="s">
        <v>80</v>
      </c>
      <c r="J101" s="25" t="s">
        <v>94</v>
      </c>
      <c r="K101" s="30" t="s">
        <v>82</v>
      </c>
      <c r="L101" s="25" t="s">
        <v>419</v>
      </c>
      <c r="M101" s="25" t="s">
        <v>83</v>
      </c>
      <c r="N101" s="74" t="s">
        <v>103</v>
      </c>
      <c r="O101" s="61">
        <v>0.47</v>
      </c>
      <c r="P101" s="25">
        <v>96</v>
      </c>
      <c r="Q101" s="25">
        <v>30</v>
      </c>
      <c r="R101" s="25" t="s">
        <v>87</v>
      </c>
      <c r="S101" s="84" t="s">
        <v>87</v>
      </c>
      <c r="T101" s="35">
        <v>0.8</v>
      </c>
      <c r="U101" s="25">
        <v>150</v>
      </c>
      <c r="V101" s="25">
        <v>500</v>
      </c>
      <c r="W101" s="34">
        <v>350</v>
      </c>
      <c r="X101" s="36">
        <v>160</v>
      </c>
      <c r="Y101" s="25">
        <v>150</v>
      </c>
      <c r="Z101" s="25">
        <v>550</v>
      </c>
      <c r="AA101" s="34">
        <v>400</v>
      </c>
      <c r="AB101" s="36">
        <v>110</v>
      </c>
      <c r="AC101" s="34" t="s">
        <v>87</v>
      </c>
      <c r="AD101" s="34">
        <v>66</v>
      </c>
      <c r="AE101" s="37">
        <v>1.1102000000000001</v>
      </c>
      <c r="AF101" s="37">
        <v>1.0035687500000001</v>
      </c>
      <c r="AG101" s="37">
        <v>1.063782875</v>
      </c>
      <c r="AH101" s="38">
        <v>878.59944400000006</v>
      </c>
      <c r="AI101" s="117">
        <v>150.57260677342643</v>
      </c>
      <c r="AJ101" s="38">
        <v>164.63953038262309</v>
      </c>
      <c r="AK101" s="40">
        <v>327.27962925226217</v>
      </c>
      <c r="AL101" s="41">
        <v>165</v>
      </c>
      <c r="AM101" s="39">
        <v>158.4</v>
      </c>
      <c r="AN101" s="39">
        <v>168.50320740000001</v>
      </c>
      <c r="AO101" s="39">
        <v>561.67735800000003</v>
      </c>
      <c r="AP101" s="25" t="s">
        <v>452</v>
      </c>
      <c r="AQ101" s="62" t="s">
        <v>453</v>
      </c>
      <c r="AR101" s="43" t="s">
        <v>454</v>
      </c>
    </row>
    <row r="102" spans="1:44" x14ac:dyDescent="0.3">
      <c r="A102" s="25" t="s">
        <v>1509</v>
      </c>
      <c r="B102" s="25" t="s">
        <v>119</v>
      </c>
      <c r="C102" s="25" t="s">
        <v>120</v>
      </c>
      <c r="D102" s="25" t="s">
        <v>121</v>
      </c>
      <c r="E102" s="26" t="s">
        <v>77</v>
      </c>
      <c r="F102" s="27" t="s">
        <v>78</v>
      </c>
      <c r="G102" s="25" t="s">
        <v>420</v>
      </c>
      <c r="H102" s="25" t="s">
        <v>101</v>
      </c>
      <c r="I102" s="25" t="s">
        <v>80</v>
      </c>
      <c r="J102" s="25" t="s">
        <v>94</v>
      </c>
      <c r="K102" s="30" t="s">
        <v>82</v>
      </c>
      <c r="L102" s="25" t="s">
        <v>421</v>
      </c>
      <c r="M102" s="25" t="s">
        <v>83</v>
      </c>
      <c r="N102" s="74" t="s">
        <v>103</v>
      </c>
      <c r="O102" s="61">
        <v>0.5</v>
      </c>
      <c r="P102" s="25">
        <v>96</v>
      </c>
      <c r="Q102" s="96">
        <v>25</v>
      </c>
      <c r="R102" s="25" t="s">
        <v>87</v>
      </c>
      <c r="S102" s="84" t="s">
        <v>87</v>
      </c>
      <c r="T102" s="35">
        <v>0.8</v>
      </c>
      <c r="U102" s="25">
        <v>150</v>
      </c>
      <c r="V102" s="25">
        <v>550</v>
      </c>
      <c r="W102" s="34">
        <v>400</v>
      </c>
      <c r="X102" s="36">
        <v>160</v>
      </c>
      <c r="Y102" s="25">
        <v>150</v>
      </c>
      <c r="Z102" s="25">
        <v>550</v>
      </c>
      <c r="AA102" s="34">
        <v>400</v>
      </c>
      <c r="AB102" s="36">
        <v>160</v>
      </c>
      <c r="AC102" s="34" t="s">
        <v>87</v>
      </c>
      <c r="AD102" s="34">
        <v>71</v>
      </c>
      <c r="AE102" s="37">
        <v>1.155</v>
      </c>
      <c r="AF102" s="37">
        <v>1.0237239583333333</v>
      </c>
      <c r="AG102" s="37">
        <v>1.0851473958333333</v>
      </c>
      <c r="AH102" s="38">
        <v>880.5526000000001</v>
      </c>
      <c r="AI102" s="39">
        <v>144.73221475312383</v>
      </c>
      <c r="AJ102" s="38">
        <v>158.25351223444864</v>
      </c>
      <c r="AK102" s="40">
        <v>314.58514666308349</v>
      </c>
      <c r="AL102" s="41">
        <v>158</v>
      </c>
      <c r="AM102" s="39">
        <v>151.68</v>
      </c>
      <c r="AN102" s="39">
        <v>164.595157</v>
      </c>
      <c r="AO102" s="39">
        <v>658.380628</v>
      </c>
      <c r="AP102" s="25" t="s">
        <v>455</v>
      </c>
      <c r="AQ102" s="201" t="s">
        <v>456</v>
      </c>
      <c r="AR102" s="43"/>
    </row>
    <row r="103" spans="1:44" x14ac:dyDescent="0.3">
      <c r="A103" s="25" t="s">
        <v>1509</v>
      </c>
      <c r="B103" s="25" t="s">
        <v>119</v>
      </c>
      <c r="C103" s="25" t="s">
        <v>120</v>
      </c>
      <c r="D103" s="25" t="s">
        <v>121</v>
      </c>
      <c r="E103" s="109" t="s">
        <v>77</v>
      </c>
      <c r="F103" s="205" t="s">
        <v>139</v>
      </c>
      <c r="G103" s="66" t="s">
        <v>422</v>
      </c>
      <c r="H103" s="66" t="s">
        <v>101</v>
      </c>
      <c r="I103" s="66" t="s">
        <v>80</v>
      </c>
      <c r="J103" s="66" t="s">
        <v>94</v>
      </c>
      <c r="K103" s="111" t="s">
        <v>82</v>
      </c>
      <c r="L103" s="66" t="s">
        <v>423</v>
      </c>
      <c r="M103" s="66" t="s">
        <v>83</v>
      </c>
      <c r="N103" s="183" t="s">
        <v>103</v>
      </c>
      <c r="O103" s="113">
        <v>0.52</v>
      </c>
      <c r="P103" s="66">
        <v>96</v>
      </c>
      <c r="Q103" s="96">
        <v>25</v>
      </c>
      <c r="R103" s="66" t="s">
        <v>87</v>
      </c>
      <c r="S103" s="84" t="s">
        <v>87</v>
      </c>
      <c r="T103" s="114">
        <v>0.8</v>
      </c>
      <c r="U103" s="66">
        <v>140</v>
      </c>
      <c r="V103" s="66">
        <v>540</v>
      </c>
      <c r="W103" s="115">
        <v>400</v>
      </c>
      <c r="X103" s="184">
        <v>170</v>
      </c>
      <c r="Y103" s="66">
        <v>140</v>
      </c>
      <c r="Z103" s="66">
        <v>540</v>
      </c>
      <c r="AA103" s="115">
        <v>400</v>
      </c>
      <c r="AB103" s="184">
        <v>170</v>
      </c>
      <c r="AC103" s="115" t="s">
        <v>87</v>
      </c>
      <c r="AD103" s="115">
        <v>71</v>
      </c>
      <c r="AE103" s="116">
        <v>1.1692</v>
      </c>
      <c r="AF103" s="116">
        <v>1.0326729166666666</v>
      </c>
      <c r="AG103" s="116">
        <v>1.0946332916666666</v>
      </c>
      <c r="AH103" s="118">
        <v>881.85470400000008</v>
      </c>
      <c r="AI103" s="117">
        <v>142.97443383497949</v>
      </c>
      <c r="AJ103" s="118">
        <v>156.33151439513188</v>
      </c>
      <c r="AK103" s="119">
        <v>310.76449229888937</v>
      </c>
      <c r="AL103" s="120" t="s">
        <v>428</v>
      </c>
      <c r="AM103" s="117"/>
      <c r="AN103" s="117"/>
      <c r="AO103" s="117"/>
      <c r="AP103" s="66" t="s">
        <v>457</v>
      </c>
      <c r="AQ103" s="185" t="s">
        <v>458</v>
      </c>
      <c r="AR103" s="123" t="s">
        <v>459</v>
      </c>
    </row>
    <row r="104" spans="1:44" x14ac:dyDescent="0.3">
      <c r="A104" s="25" t="s">
        <v>1509</v>
      </c>
      <c r="B104" s="25" t="s">
        <v>119</v>
      </c>
      <c r="C104" s="25" t="s">
        <v>120</v>
      </c>
      <c r="D104" s="25" t="s">
        <v>121</v>
      </c>
      <c r="E104" s="26" t="s">
        <v>77</v>
      </c>
      <c r="F104" s="206" t="s">
        <v>78</v>
      </c>
      <c r="G104" s="25" t="s">
        <v>424</v>
      </c>
      <c r="H104" s="25" t="s">
        <v>101</v>
      </c>
      <c r="I104" s="25" t="s">
        <v>80</v>
      </c>
      <c r="J104" s="25" t="s">
        <v>94</v>
      </c>
      <c r="K104" s="30" t="s">
        <v>82</v>
      </c>
      <c r="L104" s="25" t="s">
        <v>425</v>
      </c>
      <c r="M104" s="25" t="s">
        <v>83</v>
      </c>
      <c r="N104" s="74" t="s">
        <v>103</v>
      </c>
      <c r="O104" s="61">
        <v>0.52</v>
      </c>
      <c r="P104" s="25">
        <v>96</v>
      </c>
      <c r="Q104" s="25">
        <v>30</v>
      </c>
      <c r="R104" s="25" t="s">
        <v>87</v>
      </c>
      <c r="S104" s="84" t="s">
        <v>87</v>
      </c>
      <c r="T104" s="35">
        <v>0.8</v>
      </c>
      <c r="U104" s="25">
        <v>140</v>
      </c>
      <c r="V104" s="25">
        <v>540</v>
      </c>
      <c r="W104" s="34">
        <v>400</v>
      </c>
      <c r="X104" s="36">
        <v>120</v>
      </c>
      <c r="Y104" s="25">
        <v>140</v>
      </c>
      <c r="Z104" s="25">
        <v>540</v>
      </c>
      <c r="AA104" s="34">
        <v>400</v>
      </c>
      <c r="AB104" s="36">
        <v>120</v>
      </c>
      <c r="AC104" s="34" t="s">
        <v>87</v>
      </c>
      <c r="AD104" s="34">
        <v>66</v>
      </c>
      <c r="AE104" s="37">
        <v>1.1432</v>
      </c>
      <c r="AF104" s="37">
        <v>1.0252250000000001</v>
      </c>
      <c r="AG104" s="37">
        <v>1.0867385000000001</v>
      </c>
      <c r="AH104" s="38">
        <v>881.85470400000008</v>
      </c>
      <c r="AI104" s="39">
        <v>146.22612669686671</v>
      </c>
      <c r="AJ104" s="38">
        <v>159.88698970502813</v>
      </c>
      <c r="AK104" s="40">
        <v>317.83226416712864</v>
      </c>
      <c r="AL104" s="41">
        <v>160</v>
      </c>
      <c r="AM104" s="39">
        <v>153.6</v>
      </c>
      <c r="AN104" s="39">
        <v>166.9230336</v>
      </c>
      <c r="AO104" s="39">
        <v>556.41011200000003</v>
      </c>
      <c r="AP104" s="25" t="s">
        <v>440</v>
      </c>
      <c r="AQ104" s="62" t="s">
        <v>460</v>
      </c>
      <c r="AR104" s="43"/>
    </row>
    <row r="105" spans="1:44" x14ac:dyDescent="0.3">
      <c r="A105" s="25" t="s">
        <v>1509</v>
      </c>
      <c r="B105" s="25" t="s">
        <v>119</v>
      </c>
      <c r="C105" s="25" t="s">
        <v>120</v>
      </c>
      <c r="D105" s="25" t="s">
        <v>121</v>
      </c>
      <c r="E105" s="86" t="s">
        <v>77</v>
      </c>
      <c r="F105" s="47" t="s">
        <v>122</v>
      </c>
      <c r="G105" s="47" t="s">
        <v>426</v>
      </c>
      <c r="H105" s="47" t="s">
        <v>101</v>
      </c>
      <c r="I105" s="47" t="s">
        <v>80</v>
      </c>
      <c r="J105" s="47" t="s">
        <v>94</v>
      </c>
      <c r="K105" s="87" t="s">
        <v>82</v>
      </c>
      <c r="L105" s="47" t="s">
        <v>427</v>
      </c>
      <c r="M105" s="47" t="s">
        <v>83</v>
      </c>
      <c r="N105" s="89" t="s">
        <v>103</v>
      </c>
      <c r="O105" s="90">
        <v>0.28999999999999998</v>
      </c>
      <c r="P105" s="47">
        <v>110</v>
      </c>
      <c r="Q105" s="47">
        <v>30</v>
      </c>
      <c r="R105" s="47" t="s">
        <v>87</v>
      </c>
      <c r="S105" s="84" t="s">
        <v>87</v>
      </c>
      <c r="T105" s="92">
        <v>0.8</v>
      </c>
      <c r="U105" s="47">
        <v>200</v>
      </c>
      <c r="V105" s="47">
        <v>600</v>
      </c>
      <c r="W105" s="84">
        <v>400</v>
      </c>
      <c r="X105" s="93">
        <v>200</v>
      </c>
      <c r="Y105" s="47">
        <v>200</v>
      </c>
      <c r="Z105" s="47">
        <v>600</v>
      </c>
      <c r="AA105" s="84">
        <v>400</v>
      </c>
      <c r="AB105" s="93">
        <v>200</v>
      </c>
      <c r="AC105" s="84" t="s">
        <v>87</v>
      </c>
      <c r="AD105" s="84">
        <v>80</v>
      </c>
      <c r="AE105" s="75">
        <v>1.032</v>
      </c>
      <c r="AF105" s="75">
        <v>0.94763636363636372</v>
      </c>
      <c r="AG105" s="75">
        <v>1.0044945454545455</v>
      </c>
      <c r="AH105" s="97">
        <v>866.88050800000008</v>
      </c>
      <c r="AI105" s="39">
        <v>161.98227523242059</v>
      </c>
      <c r="AJ105" s="97">
        <v>177.11512270425209</v>
      </c>
      <c r="AK105" s="40">
        <v>352.07930658513709</v>
      </c>
      <c r="AL105" s="41">
        <v>177</v>
      </c>
      <c r="AM105" s="39">
        <v>194.7</v>
      </c>
      <c r="AN105" s="39">
        <v>195.57508799999999</v>
      </c>
      <c r="AO105" s="39">
        <v>651.91696000000002</v>
      </c>
      <c r="AP105" s="47" t="s">
        <v>461</v>
      </c>
      <c r="AQ105" s="88" t="s">
        <v>462</v>
      </c>
      <c r="AR105" s="88" t="s">
        <v>463</v>
      </c>
    </row>
    <row r="106" spans="1:44" x14ac:dyDescent="0.3">
      <c r="A106" s="25" t="s">
        <v>1509</v>
      </c>
      <c r="B106" s="25" t="s">
        <v>119</v>
      </c>
      <c r="C106" s="25" t="s">
        <v>120</v>
      </c>
      <c r="D106" s="25" t="s">
        <v>121</v>
      </c>
      <c r="E106" s="26" t="s">
        <v>77</v>
      </c>
      <c r="F106" s="27" t="s">
        <v>78</v>
      </c>
      <c r="G106" s="25" t="s">
        <v>464</v>
      </c>
      <c r="H106" s="25" t="s">
        <v>101</v>
      </c>
      <c r="I106" s="25" t="s">
        <v>80</v>
      </c>
      <c r="J106" s="25" t="s">
        <v>94</v>
      </c>
      <c r="K106" s="30" t="s">
        <v>82</v>
      </c>
      <c r="L106" s="25" t="s">
        <v>465</v>
      </c>
      <c r="M106" s="25" t="s">
        <v>83</v>
      </c>
      <c r="N106" s="74" t="s">
        <v>103</v>
      </c>
      <c r="O106" s="61">
        <v>0.48</v>
      </c>
      <c r="P106" s="25">
        <v>106</v>
      </c>
      <c r="Q106" s="25">
        <v>30</v>
      </c>
      <c r="R106" s="25" t="s">
        <v>87</v>
      </c>
      <c r="S106" s="84" t="s">
        <v>87</v>
      </c>
      <c r="T106" s="35">
        <v>0.8</v>
      </c>
      <c r="U106" s="25">
        <v>267</v>
      </c>
      <c r="V106" s="25">
        <v>459</v>
      </c>
      <c r="W106" s="34">
        <v>192</v>
      </c>
      <c r="X106" s="36">
        <v>301</v>
      </c>
      <c r="Y106" s="25">
        <v>200</v>
      </c>
      <c r="Z106" s="25">
        <v>600</v>
      </c>
      <c r="AA106" s="34">
        <v>400</v>
      </c>
      <c r="AB106" s="36">
        <v>160</v>
      </c>
      <c r="AC106" s="34" t="s">
        <v>87</v>
      </c>
      <c r="AD106" s="34">
        <v>76</v>
      </c>
      <c r="AE106" s="37">
        <v>1.1648000000000001</v>
      </c>
      <c r="AF106" s="37">
        <v>1.034022641509434</v>
      </c>
      <c r="AG106" s="37">
        <v>1.0960640000000001</v>
      </c>
      <c r="AH106" s="38">
        <v>879.250496</v>
      </c>
      <c r="AI106" s="117">
        <v>143.51451583092208</v>
      </c>
      <c r="AJ106" s="38">
        <v>156.92205239593764</v>
      </c>
      <c r="AK106" s="40">
        <v>311.9383966310624</v>
      </c>
      <c r="AL106" s="41">
        <v>120</v>
      </c>
      <c r="AM106" s="39">
        <v>127.2</v>
      </c>
      <c r="AN106" s="39">
        <v>139.41934080000001</v>
      </c>
      <c r="AO106" s="39">
        <v>464.73113600000005</v>
      </c>
      <c r="AP106" s="25" t="s">
        <v>115</v>
      </c>
      <c r="AQ106" s="62" t="s">
        <v>468</v>
      </c>
      <c r="AR106" s="43" t="s">
        <v>469</v>
      </c>
    </row>
    <row r="107" spans="1:44" x14ac:dyDescent="0.3">
      <c r="A107" s="25" t="s">
        <v>1509</v>
      </c>
      <c r="B107" s="25" t="s">
        <v>119</v>
      </c>
      <c r="C107" s="25" t="s">
        <v>120</v>
      </c>
      <c r="D107" s="25" t="s">
        <v>121</v>
      </c>
      <c r="E107" s="109" t="s">
        <v>77</v>
      </c>
      <c r="F107" s="182" t="s">
        <v>139</v>
      </c>
      <c r="G107" s="66" t="s">
        <v>466</v>
      </c>
      <c r="H107" s="66" t="s">
        <v>101</v>
      </c>
      <c r="I107" s="66" t="s">
        <v>80</v>
      </c>
      <c r="J107" s="66" t="s">
        <v>94</v>
      </c>
      <c r="K107" s="111" t="s">
        <v>82</v>
      </c>
      <c r="L107" s="66" t="s">
        <v>467</v>
      </c>
      <c r="M107" s="66" t="s">
        <v>83</v>
      </c>
      <c r="N107" s="183" t="s">
        <v>103</v>
      </c>
      <c r="O107" s="113">
        <v>0.49</v>
      </c>
      <c r="P107" s="66">
        <v>102</v>
      </c>
      <c r="Q107" s="66">
        <v>30</v>
      </c>
      <c r="R107" s="66" t="s">
        <v>87</v>
      </c>
      <c r="S107" s="84" t="s">
        <v>87</v>
      </c>
      <c r="T107" s="114">
        <v>0.8</v>
      </c>
      <c r="U107" s="66">
        <v>150</v>
      </c>
      <c r="V107" s="66">
        <v>550</v>
      </c>
      <c r="W107" s="115">
        <v>400</v>
      </c>
      <c r="X107" s="184">
        <v>170</v>
      </c>
      <c r="Y107" s="66">
        <v>150</v>
      </c>
      <c r="Z107" s="66">
        <v>550</v>
      </c>
      <c r="AA107" s="115">
        <v>400</v>
      </c>
      <c r="AB107" s="184">
        <v>170</v>
      </c>
      <c r="AC107" s="115" t="s">
        <v>87</v>
      </c>
      <c r="AD107" s="115">
        <v>72</v>
      </c>
      <c r="AE107" s="116">
        <v>1.1528</v>
      </c>
      <c r="AF107" s="116">
        <v>1.0282823529411766</v>
      </c>
      <c r="AG107" s="116">
        <v>1.0899792941176472</v>
      </c>
      <c r="AH107" s="118">
        <v>879.90154800000005</v>
      </c>
      <c r="AI107" s="117">
        <v>145.00842126982826</v>
      </c>
      <c r="AJ107" s="118">
        <v>158.55552275398003</v>
      </c>
      <c r="AK107" s="119">
        <v>315.18549999640999</v>
      </c>
      <c r="AL107" s="120">
        <v>159</v>
      </c>
      <c r="AM107" s="117">
        <v>162.18</v>
      </c>
      <c r="AN107" s="117">
        <v>176.77284192000002</v>
      </c>
      <c r="AO107" s="117">
        <v>589.24280640000006</v>
      </c>
      <c r="AP107" s="66" t="s">
        <v>470</v>
      </c>
      <c r="AQ107" s="185" t="s">
        <v>471</v>
      </c>
      <c r="AR107" s="123"/>
    </row>
    <row r="108" spans="1:44" x14ac:dyDescent="0.3">
      <c r="A108" s="25" t="s">
        <v>1509</v>
      </c>
      <c r="B108" s="25" t="s">
        <v>119</v>
      </c>
      <c r="C108" s="25" t="s">
        <v>120</v>
      </c>
      <c r="D108" s="25" t="s">
        <v>121</v>
      </c>
      <c r="E108" s="109" t="s">
        <v>77</v>
      </c>
      <c r="F108" s="182" t="s">
        <v>139</v>
      </c>
      <c r="G108" s="66" t="s">
        <v>472</v>
      </c>
      <c r="H108" s="66" t="s">
        <v>101</v>
      </c>
      <c r="I108" s="66" t="s">
        <v>80</v>
      </c>
      <c r="J108" s="66" t="s">
        <v>94</v>
      </c>
      <c r="K108" s="111" t="s">
        <v>82</v>
      </c>
      <c r="L108" s="66" t="s">
        <v>473</v>
      </c>
      <c r="M108" s="66" t="s">
        <v>83</v>
      </c>
      <c r="N108" s="183" t="s">
        <v>103</v>
      </c>
      <c r="O108" s="113">
        <v>0.32</v>
      </c>
      <c r="P108" s="209">
        <v>118</v>
      </c>
      <c r="Q108" s="66">
        <v>30</v>
      </c>
      <c r="R108" s="66" t="s">
        <v>87</v>
      </c>
      <c r="S108" s="84" t="s">
        <v>87</v>
      </c>
      <c r="T108" s="114">
        <v>0.8</v>
      </c>
      <c r="U108" s="66">
        <v>273</v>
      </c>
      <c r="V108" s="66">
        <v>448</v>
      </c>
      <c r="W108" s="115">
        <v>175</v>
      </c>
      <c r="X108" s="184">
        <v>432</v>
      </c>
      <c r="Y108" s="66">
        <v>160</v>
      </c>
      <c r="Z108" s="66">
        <v>560</v>
      </c>
      <c r="AA108" s="115">
        <v>400</v>
      </c>
      <c r="AB108" s="184">
        <v>320</v>
      </c>
      <c r="AC108" s="115" t="s">
        <v>87</v>
      </c>
      <c r="AD108" s="115">
        <v>88</v>
      </c>
      <c r="AE108" s="116">
        <v>1.0816000000000001</v>
      </c>
      <c r="AF108" s="116">
        <v>0.97659661016949162</v>
      </c>
      <c r="AG108" s="116">
        <v>1.0351924067796612</v>
      </c>
      <c r="AH108" s="118">
        <v>868.833664</v>
      </c>
      <c r="AI108" s="117">
        <v>154.55409397176223</v>
      </c>
      <c r="AJ108" s="118">
        <v>168.99297950331749</v>
      </c>
      <c r="AK108" s="119">
        <v>335.93365791037485</v>
      </c>
      <c r="AL108" s="120">
        <v>169</v>
      </c>
      <c r="AM108" s="117">
        <v>199.42</v>
      </c>
      <c r="AN108" s="117">
        <v>206.43806976000002</v>
      </c>
      <c r="AO108" s="117">
        <v>688.12689920000014</v>
      </c>
      <c r="AP108" s="66" t="s">
        <v>480</v>
      </c>
      <c r="AQ108" s="185" t="s">
        <v>481</v>
      </c>
      <c r="AR108" s="123" t="s">
        <v>482</v>
      </c>
    </row>
    <row r="109" spans="1:44" x14ac:dyDescent="0.3">
      <c r="A109" s="25" t="s">
        <v>1509</v>
      </c>
      <c r="B109" s="25" t="s">
        <v>119</v>
      </c>
      <c r="C109" s="25" t="s">
        <v>120</v>
      </c>
      <c r="D109" s="25" t="s">
        <v>121</v>
      </c>
      <c r="E109" s="26" t="s">
        <v>77</v>
      </c>
      <c r="F109" s="27" t="s">
        <v>78</v>
      </c>
      <c r="G109" s="25" t="s">
        <v>474</v>
      </c>
      <c r="H109" s="25" t="s">
        <v>101</v>
      </c>
      <c r="I109" s="25" t="s">
        <v>80</v>
      </c>
      <c r="J109" s="25" t="s">
        <v>94</v>
      </c>
      <c r="K109" s="30" t="s">
        <v>82</v>
      </c>
      <c r="L109" s="25" t="s">
        <v>475</v>
      </c>
      <c r="M109" s="25" t="s">
        <v>83</v>
      </c>
      <c r="N109" s="74" t="s">
        <v>103</v>
      </c>
      <c r="O109" s="61">
        <v>0.32</v>
      </c>
      <c r="P109" s="25">
        <v>115</v>
      </c>
      <c r="Q109" s="25">
        <v>30</v>
      </c>
      <c r="R109" s="25" t="s">
        <v>87</v>
      </c>
      <c r="S109" s="84" t="s">
        <v>87</v>
      </c>
      <c r="T109" s="35">
        <v>0.8</v>
      </c>
      <c r="U109" s="25">
        <v>273</v>
      </c>
      <c r="V109" s="25">
        <v>448</v>
      </c>
      <c r="W109" s="34">
        <v>175</v>
      </c>
      <c r="X109" s="36">
        <v>402</v>
      </c>
      <c r="Y109" s="25">
        <v>160</v>
      </c>
      <c r="Z109" s="25">
        <v>560</v>
      </c>
      <c r="AA109" s="34">
        <v>400</v>
      </c>
      <c r="AB109" s="36">
        <v>290</v>
      </c>
      <c r="AC109" s="34" t="s">
        <v>87</v>
      </c>
      <c r="AD109" s="34">
        <v>85</v>
      </c>
      <c r="AE109" s="37">
        <v>1.0720000000000001</v>
      </c>
      <c r="AF109" s="37">
        <v>0.97147826086956524</v>
      </c>
      <c r="AG109" s="37">
        <v>1.0297669565217391</v>
      </c>
      <c r="AH109" s="38">
        <v>868.833664</v>
      </c>
      <c r="AI109" s="39">
        <v>155.93816048494219</v>
      </c>
      <c r="AJ109" s="38">
        <v>170.50634946901883</v>
      </c>
      <c r="AK109" s="40">
        <v>338.94201902599013</v>
      </c>
      <c r="AL109" s="41">
        <v>171</v>
      </c>
      <c r="AM109" s="39">
        <v>196.65</v>
      </c>
      <c r="AN109" s="39">
        <v>202.50367199999999</v>
      </c>
      <c r="AO109" s="39">
        <v>675.01224000000002</v>
      </c>
      <c r="AP109" s="25" t="s">
        <v>483</v>
      </c>
      <c r="AQ109" s="62" t="s">
        <v>484</v>
      </c>
      <c r="AR109" s="43" t="s">
        <v>485</v>
      </c>
    </row>
    <row r="110" spans="1:44" x14ac:dyDescent="0.3">
      <c r="A110" s="25" t="s">
        <v>1509</v>
      </c>
      <c r="B110" s="25" t="s">
        <v>119</v>
      </c>
      <c r="C110" s="25" t="s">
        <v>120</v>
      </c>
      <c r="D110" s="25" t="s">
        <v>121</v>
      </c>
      <c r="E110" s="86" t="s">
        <v>77</v>
      </c>
      <c r="F110" s="47" t="s">
        <v>122</v>
      </c>
      <c r="G110" s="47" t="s">
        <v>476</v>
      </c>
      <c r="H110" s="47" t="s">
        <v>101</v>
      </c>
      <c r="I110" s="47" t="s">
        <v>80</v>
      </c>
      <c r="J110" s="47" t="s">
        <v>94</v>
      </c>
      <c r="K110" s="87" t="s">
        <v>82</v>
      </c>
      <c r="L110" s="47"/>
      <c r="M110" s="47" t="s">
        <v>83</v>
      </c>
      <c r="N110" s="89" t="s">
        <v>103</v>
      </c>
      <c r="O110" s="90">
        <v>0.28999999999999998</v>
      </c>
      <c r="P110" s="47">
        <v>108</v>
      </c>
      <c r="Q110" s="47">
        <v>30</v>
      </c>
      <c r="R110" s="47" t="s">
        <v>87</v>
      </c>
      <c r="S110" s="84" t="s">
        <v>87</v>
      </c>
      <c r="T110" s="92">
        <v>0.8</v>
      </c>
      <c r="U110" s="47">
        <v>200</v>
      </c>
      <c r="V110" s="47">
        <v>600</v>
      </c>
      <c r="W110" s="84">
        <v>400</v>
      </c>
      <c r="X110" s="93">
        <v>180</v>
      </c>
      <c r="Y110" s="47">
        <v>200</v>
      </c>
      <c r="Z110" s="47">
        <v>600</v>
      </c>
      <c r="AA110" s="84">
        <v>400</v>
      </c>
      <c r="AB110" s="93">
        <v>180</v>
      </c>
      <c r="AC110" s="84" t="s">
        <v>87</v>
      </c>
      <c r="AD110" s="84">
        <v>78</v>
      </c>
      <c r="AE110" s="75">
        <v>1.0262</v>
      </c>
      <c r="AF110" s="75">
        <v>0.94451666666666667</v>
      </c>
      <c r="AG110" s="75">
        <v>1.0011876666666668</v>
      </c>
      <c r="AH110" s="97">
        <v>866.88050800000008</v>
      </c>
      <c r="AI110" s="117">
        <v>162.8977860454668</v>
      </c>
      <c r="AJ110" s="97">
        <v>178.11616315609837</v>
      </c>
      <c r="AK110" s="40">
        <v>354.06923055531223</v>
      </c>
      <c r="AL110" s="41">
        <v>178</v>
      </c>
      <c r="AM110" s="39">
        <v>192.24</v>
      </c>
      <c r="AN110" s="39">
        <v>192.46831704000004</v>
      </c>
      <c r="AO110" s="39">
        <v>641.56105680000019</v>
      </c>
      <c r="AP110" s="47" t="s">
        <v>430</v>
      </c>
      <c r="AQ110" s="62"/>
      <c r="AR110" s="43"/>
    </row>
    <row r="111" spans="1:44" x14ac:dyDescent="0.3">
      <c r="A111" s="25" t="s">
        <v>1509</v>
      </c>
      <c r="B111" s="25" t="s">
        <v>119</v>
      </c>
      <c r="C111" s="25" t="s">
        <v>120</v>
      </c>
      <c r="D111" s="25" t="s">
        <v>121</v>
      </c>
      <c r="E111" s="86" t="s">
        <v>77</v>
      </c>
      <c r="F111" s="47" t="s">
        <v>122</v>
      </c>
      <c r="G111" s="47" t="s">
        <v>477</v>
      </c>
      <c r="H111" s="47" t="s">
        <v>101</v>
      </c>
      <c r="I111" s="47" t="s">
        <v>80</v>
      </c>
      <c r="J111" s="47" t="s">
        <v>94</v>
      </c>
      <c r="K111" s="87" t="s">
        <v>82</v>
      </c>
      <c r="L111" s="47" t="s">
        <v>478</v>
      </c>
      <c r="M111" s="47" t="s">
        <v>83</v>
      </c>
      <c r="N111" s="89" t="s">
        <v>103</v>
      </c>
      <c r="O111" s="90">
        <v>0.35</v>
      </c>
      <c r="P111" s="47">
        <v>105</v>
      </c>
      <c r="Q111" s="47">
        <v>30</v>
      </c>
      <c r="R111" s="47" t="s">
        <v>87</v>
      </c>
      <c r="S111" s="84" t="s">
        <v>87</v>
      </c>
      <c r="T111" s="92">
        <v>0.8</v>
      </c>
      <c r="U111" s="47">
        <v>200</v>
      </c>
      <c r="V111" s="47">
        <v>600</v>
      </c>
      <c r="W111" s="84">
        <v>400</v>
      </c>
      <c r="X111" s="93">
        <v>150</v>
      </c>
      <c r="Y111" s="47">
        <v>200</v>
      </c>
      <c r="Z111" s="47">
        <v>600</v>
      </c>
      <c r="AA111" s="84">
        <v>400</v>
      </c>
      <c r="AB111" s="93">
        <v>150</v>
      </c>
      <c r="AC111" s="84" t="s">
        <v>87</v>
      </c>
      <c r="AD111" s="84">
        <v>75</v>
      </c>
      <c r="AE111" s="75">
        <v>1.0625</v>
      </c>
      <c r="AF111" s="75">
        <v>0.96875</v>
      </c>
      <c r="AG111" s="75">
        <v>1.026875</v>
      </c>
      <c r="AH111" s="97">
        <v>870.78682000000003</v>
      </c>
      <c r="AI111" s="117">
        <v>157.33243109633696</v>
      </c>
      <c r="AJ111" s="97">
        <v>172.03087682897711</v>
      </c>
      <c r="AK111" s="40">
        <v>341.97255943139908</v>
      </c>
      <c r="AL111" s="41">
        <v>172</v>
      </c>
      <c r="AM111" s="39">
        <v>180.6</v>
      </c>
      <c r="AN111" s="39">
        <v>185.45362499999999</v>
      </c>
      <c r="AO111" s="39">
        <v>618.17875000000004</v>
      </c>
      <c r="AP111" s="47" t="s">
        <v>446</v>
      </c>
      <c r="AQ111" s="108" t="s">
        <v>486</v>
      </c>
      <c r="AR111" s="207"/>
    </row>
    <row r="112" spans="1:44" x14ac:dyDescent="0.3">
      <c r="A112" s="25" t="s">
        <v>1509</v>
      </c>
      <c r="B112" s="25" t="s">
        <v>119</v>
      </c>
      <c r="C112" s="25" t="s">
        <v>120</v>
      </c>
      <c r="D112" s="25" t="s">
        <v>121</v>
      </c>
      <c r="E112" s="86" t="s">
        <v>77</v>
      </c>
      <c r="F112" s="47" t="s">
        <v>122</v>
      </c>
      <c r="G112" s="47" t="s">
        <v>479</v>
      </c>
      <c r="H112" s="47" t="s">
        <v>101</v>
      </c>
      <c r="I112" s="47" t="s">
        <v>80</v>
      </c>
      <c r="J112" s="47" t="s">
        <v>94</v>
      </c>
      <c r="K112" s="87" t="s">
        <v>82</v>
      </c>
      <c r="L112" s="47" t="s">
        <v>186</v>
      </c>
      <c r="M112" s="47" t="s">
        <v>83</v>
      </c>
      <c r="N112" s="89" t="s">
        <v>103</v>
      </c>
      <c r="O112" s="90">
        <v>0.28999999999999998</v>
      </c>
      <c r="P112" s="203">
        <v>118</v>
      </c>
      <c r="Q112" s="47">
        <v>30</v>
      </c>
      <c r="R112" s="47" t="s">
        <v>87</v>
      </c>
      <c r="S112" s="84" t="s">
        <v>87</v>
      </c>
      <c r="T112" s="92">
        <v>0.8</v>
      </c>
      <c r="U112" s="47">
        <v>150</v>
      </c>
      <c r="V112" s="47">
        <v>750</v>
      </c>
      <c r="W112" s="84">
        <v>600</v>
      </c>
      <c r="X112" s="93">
        <v>130</v>
      </c>
      <c r="Y112" s="47">
        <v>150</v>
      </c>
      <c r="Z112" s="47">
        <v>750</v>
      </c>
      <c r="AA112" s="84">
        <v>600</v>
      </c>
      <c r="AB112" s="93">
        <v>130</v>
      </c>
      <c r="AC112" s="84" t="s">
        <v>87</v>
      </c>
      <c r="AD112" s="84">
        <v>88</v>
      </c>
      <c r="AE112" s="75">
        <v>1.0552000000000001</v>
      </c>
      <c r="AF112" s="75">
        <v>0.96004067796610182</v>
      </c>
      <c r="AG112" s="75">
        <v>1.017643118644068</v>
      </c>
      <c r="AH112" s="97">
        <v>866.88050800000008</v>
      </c>
      <c r="AI112" s="117">
        <v>158.4208757011543</v>
      </c>
      <c r="AJ112" s="97">
        <v>173.22100704206608</v>
      </c>
      <c r="AK112" s="40">
        <v>344.33836656165789</v>
      </c>
      <c r="AL112" s="41">
        <v>173</v>
      </c>
      <c r="AM112" s="39">
        <v>204.14</v>
      </c>
      <c r="AN112" s="39">
        <v>207.74166624000003</v>
      </c>
      <c r="AO112" s="39">
        <v>692.47222080000017</v>
      </c>
      <c r="AP112" s="47" t="s">
        <v>487</v>
      </c>
      <c r="AQ112" s="108"/>
      <c r="AR112" s="207"/>
    </row>
    <row r="113" spans="1:44" x14ac:dyDescent="0.3">
      <c r="A113" s="25" t="s">
        <v>1509</v>
      </c>
      <c r="B113" s="25" t="s">
        <v>119</v>
      </c>
      <c r="C113" s="25" t="s">
        <v>120</v>
      </c>
      <c r="D113" s="25" t="s">
        <v>121</v>
      </c>
      <c r="E113" s="86" t="s">
        <v>77</v>
      </c>
      <c r="F113" s="47" t="s">
        <v>122</v>
      </c>
      <c r="G113" s="47" t="s">
        <v>488</v>
      </c>
      <c r="H113" s="47" t="s">
        <v>101</v>
      </c>
      <c r="I113" s="47" t="s">
        <v>80</v>
      </c>
      <c r="J113" s="47" t="s">
        <v>94</v>
      </c>
      <c r="K113" s="87" t="s">
        <v>82</v>
      </c>
      <c r="L113" s="47" t="s">
        <v>489</v>
      </c>
      <c r="M113" s="47" t="s">
        <v>83</v>
      </c>
      <c r="N113" s="89" t="s">
        <v>103</v>
      </c>
      <c r="O113" s="90">
        <v>0.4</v>
      </c>
      <c r="P113" s="47">
        <v>108</v>
      </c>
      <c r="Q113" s="47">
        <v>25</v>
      </c>
      <c r="R113" s="47" t="s">
        <v>87</v>
      </c>
      <c r="S113" s="84" t="s">
        <v>87</v>
      </c>
      <c r="T113" s="92">
        <v>0.8</v>
      </c>
      <c r="U113" s="47">
        <v>200</v>
      </c>
      <c r="V113" s="47">
        <v>600</v>
      </c>
      <c r="W113" s="84">
        <v>400</v>
      </c>
      <c r="X113" s="93">
        <v>230</v>
      </c>
      <c r="Y113" s="47">
        <v>200</v>
      </c>
      <c r="Z113" s="47">
        <v>600</v>
      </c>
      <c r="AA113" s="84">
        <v>400</v>
      </c>
      <c r="AB113" s="93">
        <v>230</v>
      </c>
      <c r="AC113" s="84" t="s">
        <v>87</v>
      </c>
      <c r="AD113" s="84">
        <v>83</v>
      </c>
      <c r="AE113" s="75">
        <v>1.1320000000000001</v>
      </c>
      <c r="AF113" s="75">
        <v>1.0044259259259261</v>
      </c>
      <c r="AG113" s="75">
        <v>1.0646914814814816</v>
      </c>
      <c r="AH113" s="97">
        <v>874.04208000000006</v>
      </c>
      <c r="AI113" s="117">
        <v>147.6728869610053</v>
      </c>
      <c r="AJ113" s="97">
        <v>161.46891045122629</v>
      </c>
      <c r="AK113" s="40">
        <v>320.97689434263378</v>
      </c>
      <c r="AL113" s="41">
        <v>161</v>
      </c>
      <c r="AM113" s="39">
        <v>173.88</v>
      </c>
      <c r="AN113" s="39">
        <v>185.12855480000002</v>
      </c>
      <c r="AO113" s="39">
        <v>740.51421920000007</v>
      </c>
      <c r="AP113" s="47" t="s">
        <v>379</v>
      </c>
      <c r="AQ113" s="108" t="s">
        <v>490</v>
      </c>
      <c r="AR113" s="207"/>
    </row>
    <row r="114" spans="1:44" x14ac:dyDescent="0.3">
      <c r="A114" s="25" t="s">
        <v>1509</v>
      </c>
      <c r="B114" s="25" t="s">
        <v>119</v>
      </c>
      <c r="C114" s="25" t="s">
        <v>120</v>
      </c>
      <c r="D114" s="25" t="s">
        <v>121</v>
      </c>
      <c r="E114" s="26" t="s">
        <v>77</v>
      </c>
      <c r="F114" s="27" t="s">
        <v>78</v>
      </c>
      <c r="G114" s="25" t="s">
        <v>491</v>
      </c>
      <c r="H114" s="25" t="s">
        <v>101</v>
      </c>
      <c r="I114" s="25" t="s">
        <v>80</v>
      </c>
      <c r="J114" s="25" t="s">
        <v>94</v>
      </c>
      <c r="K114" s="30" t="s">
        <v>82</v>
      </c>
      <c r="L114" s="25" t="s">
        <v>492</v>
      </c>
      <c r="M114" s="25" t="s">
        <v>83</v>
      </c>
      <c r="N114" s="74" t="s">
        <v>103</v>
      </c>
      <c r="O114" s="61">
        <v>0.5</v>
      </c>
      <c r="P114" s="197">
        <v>131</v>
      </c>
      <c r="Q114" s="25">
        <v>30</v>
      </c>
      <c r="R114" s="25" t="s">
        <v>87</v>
      </c>
      <c r="S114" s="84" t="s">
        <v>87</v>
      </c>
      <c r="T114" s="35">
        <v>0.8</v>
      </c>
      <c r="U114" s="25">
        <v>200</v>
      </c>
      <c r="V114" s="25">
        <v>700</v>
      </c>
      <c r="W114" s="34">
        <v>500</v>
      </c>
      <c r="X114" s="36">
        <v>310</v>
      </c>
      <c r="Y114" s="25">
        <v>200</v>
      </c>
      <c r="Z114" s="25">
        <v>700</v>
      </c>
      <c r="AA114" s="34">
        <v>500</v>
      </c>
      <c r="AB114" s="36">
        <v>310</v>
      </c>
      <c r="AC114" s="34" t="s">
        <v>87</v>
      </c>
      <c r="AD114" s="34">
        <v>101</v>
      </c>
      <c r="AE114" s="37">
        <v>1.3050000000000002</v>
      </c>
      <c r="AF114" s="37">
        <v>1.1103244274809163</v>
      </c>
      <c r="AG114" s="37">
        <v>1.1769438931297713</v>
      </c>
      <c r="AH114" s="38">
        <v>880.5526000000001</v>
      </c>
      <c r="AI114" s="39">
        <v>128.0963279998912</v>
      </c>
      <c r="AJ114" s="38">
        <v>140.06345335692581</v>
      </c>
      <c r="AK114" s="40">
        <v>278.42593440295894</v>
      </c>
      <c r="AL114" s="41">
        <v>140</v>
      </c>
      <c r="AM114" s="39">
        <v>183.4</v>
      </c>
      <c r="AN114" s="39">
        <v>215.85151000000008</v>
      </c>
      <c r="AO114" s="39">
        <v>719.50503333333359</v>
      </c>
      <c r="AP114" s="25" t="s">
        <v>506</v>
      </c>
      <c r="AQ114" s="62" t="s">
        <v>507</v>
      </c>
      <c r="AR114" s="43"/>
    </row>
    <row r="115" spans="1:44" x14ac:dyDescent="0.3">
      <c r="A115" s="25" t="s">
        <v>1509</v>
      </c>
      <c r="B115" s="25" t="s">
        <v>119</v>
      </c>
      <c r="C115" s="25" t="s">
        <v>120</v>
      </c>
      <c r="D115" s="25" t="s">
        <v>121</v>
      </c>
      <c r="E115" s="26" t="s">
        <v>77</v>
      </c>
      <c r="F115" s="27" t="s">
        <v>78</v>
      </c>
      <c r="G115" s="25" t="s">
        <v>493</v>
      </c>
      <c r="H115" s="25" t="s">
        <v>101</v>
      </c>
      <c r="I115" s="25" t="s">
        <v>80</v>
      </c>
      <c r="J115" s="25" t="s">
        <v>94</v>
      </c>
      <c r="K115" s="30" t="s">
        <v>82</v>
      </c>
      <c r="L115" s="25" t="s">
        <v>494</v>
      </c>
      <c r="M115" s="25" t="s">
        <v>83</v>
      </c>
      <c r="N115" s="74" t="s">
        <v>103</v>
      </c>
      <c r="O115" s="61">
        <v>0.49</v>
      </c>
      <c r="P115" s="25">
        <v>116</v>
      </c>
      <c r="Q115" s="25">
        <v>30</v>
      </c>
      <c r="R115" s="25" t="s">
        <v>87</v>
      </c>
      <c r="S115" s="34" t="s">
        <v>87</v>
      </c>
      <c r="T115" s="35">
        <v>0.8</v>
      </c>
      <c r="U115" s="25">
        <v>200</v>
      </c>
      <c r="V115" s="25">
        <v>600</v>
      </c>
      <c r="W115" s="34">
        <v>400</v>
      </c>
      <c r="X115" s="36">
        <v>260</v>
      </c>
      <c r="Y115" s="25">
        <v>150</v>
      </c>
      <c r="Z115" s="25">
        <v>600</v>
      </c>
      <c r="AA115" s="34">
        <v>450</v>
      </c>
      <c r="AB115" s="36">
        <v>260</v>
      </c>
      <c r="AC115" s="34" t="s">
        <v>87</v>
      </c>
      <c r="AD115" s="34">
        <v>86</v>
      </c>
      <c r="AE115" s="37">
        <v>1.2214</v>
      </c>
      <c r="AF115" s="37">
        <v>1.0651913793103447</v>
      </c>
      <c r="AG115" s="37">
        <v>1.1291028620689654</v>
      </c>
      <c r="AH115" s="38">
        <v>879.90154800000005</v>
      </c>
      <c r="AI115" s="39">
        <v>136.86401509731294</v>
      </c>
      <c r="AJ115" s="38">
        <v>149.65024286129702</v>
      </c>
      <c r="AK115" s="40">
        <v>297.48308858347917</v>
      </c>
      <c r="AL115" s="41">
        <v>150</v>
      </c>
      <c r="AM115" s="39">
        <v>174</v>
      </c>
      <c r="AN115" s="39">
        <v>196.46389799999997</v>
      </c>
      <c r="AO115" s="39">
        <v>654.87965999999994</v>
      </c>
      <c r="AP115" s="25" t="s">
        <v>440</v>
      </c>
      <c r="AQ115" s="62" t="s">
        <v>508</v>
      </c>
      <c r="AR115" s="43" t="s">
        <v>509</v>
      </c>
    </row>
    <row r="116" spans="1:44" x14ac:dyDescent="0.3">
      <c r="A116" s="25" t="s">
        <v>1509</v>
      </c>
      <c r="B116" s="25" t="s">
        <v>119</v>
      </c>
      <c r="C116" s="25" t="s">
        <v>120</v>
      </c>
      <c r="D116" s="25" t="s">
        <v>121</v>
      </c>
      <c r="E116" s="26" t="s">
        <v>77</v>
      </c>
      <c r="F116" s="27" t="s">
        <v>78</v>
      </c>
      <c r="G116" s="25" t="s">
        <v>495</v>
      </c>
      <c r="H116" s="25" t="s">
        <v>101</v>
      </c>
      <c r="I116" s="25" t="s">
        <v>80</v>
      </c>
      <c r="J116" s="25" t="s">
        <v>94</v>
      </c>
      <c r="K116" s="30" t="s">
        <v>82</v>
      </c>
      <c r="L116" s="25" t="s">
        <v>496</v>
      </c>
      <c r="M116" s="25" t="s">
        <v>83</v>
      </c>
      <c r="N116" s="74" t="s">
        <v>103</v>
      </c>
      <c r="O116" s="61">
        <v>0.51</v>
      </c>
      <c r="P116" s="25">
        <v>116</v>
      </c>
      <c r="Q116" s="25">
        <v>30</v>
      </c>
      <c r="R116" s="25" t="s">
        <v>87</v>
      </c>
      <c r="S116" s="84" t="s">
        <v>87</v>
      </c>
      <c r="T116" s="35">
        <v>0.8</v>
      </c>
      <c r="U116" s="25">
        <v>200</v>
      </c>
      <c r="V116" s="25">
        <v>700</v>
      </c>
      <c r="W116" s="34">
        <v>500</v>
      </c>
      <c r="X116" s="36">
        <v>160</v>
      </c>
      <c r="Y116" s="25">
        <v>200</v>
      </c>
      <c r="Z116" s="25">
        <v>700</v>
      </c>
      <c r="AA116" s="34">
        <v>500</v>
      </c>
      <c r="AB116" s="36">
        <v>160</v>
      </c>
      <c r="AC116" s="34" t="s">
        <v>87</v>
      </c>
      <c r="AD116" s="34">
        <v>86</v>
      </c>
      <c r="AE116" s="37">
        <v>1.2386000000000001</v>
      </c>
      <c r="AF116" s="37">
        <v>1.0760155172413794</v>
      </c>
      <c r="AG116" s="37">
        <v>1.1405764482758622</v>
      </c>
      <c r="AH116" s="38">
        <v>881.20365200000003</v>
      </c>
      <c r="AI116" s="39">
        <v>134.96343294030197</v>
      </c>
      <c r="AJ116" s="38">
        <v>147.57210288292276</v>
      </c>
      <c r="AK116" s="40">
        <v>293.35204617783097</v>
      </c>
      <c r="AL116" s="41">
        <v>148</v>
      </c>
      <c r="AM116" s="39">
        <v>171.68</v>
      </c>
      <c r="AN116" s="39">
        <v>195.81416464000003</v>
      </c>
      <c r="AO116" s="39">
        <v>652.71388213333341</v>
      </c>
      <c r="AP116" s="25" t="s">
        <v>510</v>
      </c>
      <c r="AQ116" s="62" t="s">
        <v>511</v>
      </c>
      <c r="AR116" s="43" t="s">
        <v>512</v>
      </c>
    </row>
    <row r="117" spans="1:44" x14ac:dyDescent="0.3">
      <c r="A117" s="25" t="s">
        <v>1509</v>
      </c>
      <c r="B117" s="25" t="s">
        <v>119</v>
      </c>
      <c r="C117" s="25" t="s">
        <v>120</v>
      </c>
      <c r="D117" s="25" t="s">
        <v>121</v>
      </c>
      <c r="E117" s="86" t="s">
        <v>77</v>
      </c>
      <c r="F117" s="210" t="s">
        <v>139</v>
      </c>
      <c r="G117" s="47" t="s">
        <v>497</v>
      </c>
      <c r="H117" s="47" t="s">
        <v>101</v>
      </c>
      <c r="I117" s="47" t="s">
        <v>80</v>
      </c>
      <c r="J117" s="47" t="s">
        <v>94</v>
      </c>
      <c r="K117" s="87" t="s">
        <v>82</v>
      </c>
      <c r="L117" s="47" t="s">
        <v>498</v>
      </c>
      <c r="M117" s="47" t="s">
        <v>83</v>
      </c>
      <c r="N117" s="89" t="s">
        <v>103</v>
      </c>
      <c r="O117" s="90">
        <v>0.5</v>
      </c>
      <c r="P117" s="47">
        <v>116</v>
      </c>
      <c r="Q117" s="47">
        <v>30</v>
      </c>
      <c r="R117" s="47" t="s">
        <v>87</v>
      </c>
      <c r="S117" s="84" t="s">
        <v>87</v>
      </c>
      <c r="T117" s="92">
        <v>0.8</v>
      </c>
      <c r="U117" s="47">
        <v>150</v>
      </c>
      <c r="V117" s="47">
        <v>650</v>
      </c>
      <c r="W117" s="84">
        <v>500</v>
      </c>
      <c r="X117" s="93">
        <v>210</v>
      </c>
      <c r="Y117" s="47">
        <v>150</v>
      </c>
      <c r="Z117" s="47">
        <v>650</v>
      </c>
      <c r="AA117" s="84">
        <v>500</v>
      </c>
      <c r="AB117" s="93">
        <v>210</v>
      </c>
      <c r="AC117" s="84" t="s">
        <v>87</v>
      </c>
      <c r="AD117" s="84">
        <v>86</v>
      </c>
      <c r="AE117" s="75">
        <v>1.23</v>
      </c>
      <c r="AF117" s="75">
        <v>1.070603448275862</v>
      </c>
      <c r="AG117" s="75">
        <v>1.1348396551724138</v>
      </c>
      <c r="AH117" s="97">
        <v>880.5526000000001</v>
      </c>
      <c r="AI117" s="117">
        <v>135.90707970720166</v>
      </c>
      <c r="AJ117" s="97">
        <v>148.6039078299091</v>
      </c>
      <c r="AK117" s="40">
        <v>295.40312552509062</v>
      </c>
      <c r="AL117" s="41">
        <v>149</v>
      </c>
      <c r="AM117" s="39">
        <v>172.84</v>
      </c>
      <c r="AN117" s="39">
        <v>196.14568600000001</v>
      </c>
      <c r="AO117" s="39">
        <v>653.81895333333341</v>
      </c>
      <c r="AP117" s="47" t="s">
        <v>470</v>
      </c>
      <c r="AQ117" s="108" t="s">
        <v>513</v>
      </c>
      <c r="AR117" s="88" t="s">
        <v>514</v>
      </c>
    </row>
    <row r="118" spans="1:44" x14ac:dyDescent="0.3">
      <c r="A118" s="25" t="s">
        <v>1509</v>
      </c>
      <c r="B118" s="25" t="s">
        <v>119</v>
      </c>
      <c r="C118" s="25" t="s">
        <v>120</v>
      </c>
      <c r="D118" s="25" t="s">
        <v>121</v>
      </c>
      <c r="E118" s="86" t="s">
        <v>77</v>
      </c>
      <c r="F118" s="47" t="s">
        <v>122</v>
      </c>
      <c r="G118" s="47" t="s">
        <v>499</v>
      </c>
      <c r="H118" s="47" t="s">
        <v>101</v>
      </c>
      <c r="I118" s="47" t="s">
        <v>80</v>
      </c>
      <c r="J118" s="47" t="s">
        <v>94</v>
      </c>
      <c r="K118" s="87" t="s">
        <v>82</v>
      </c>
      <c r="L118" s="47" t="s">
        <v>500</v>
      </c>
      <c r="M118" s="47" t="s">
        <v>83</v>
      </c>
      <c r="N118" s="89" t="s">
        <v>103</v>
      </c>
      <c r="O118" s="90">
        <v>0.5</v>
      </c>
      <c r="P118" s="47">
        <v>114</v>
      </c>
      <c r="Q118" s="47">
        <v>30</v>
      </c>
      <c r="R118" s="47" t="s">
        <v>87</v>
      </c>
      <c r="S118" s="84" t="s">
        <v>87</v>
      </c>
      <c r="T118" s="92">
        <v>0.8</v>
      </c>
      <c r="U118" s="47">
        <v>150</v>
      </c>
      <c r="V118" s="47">
        <v>650</v>
      </c>
      <c r="W118" s="84">
        <v>500</v>
      </c>
      <c r="X118" s="93">
        <v>190</v>
      </c>
      <c r="Y118" s="47">
        <v>150</v>
      </c>
      <c r="Z118" s="47">
        <v>650</v>
      </c>
      <c r="AA118" s="84">
        <v>500</v>
      </c>
      <c r="AB118" s="93">
        <v>190</v>
      </c>
      <c r="AC118" s="84" t="s">
        <v>87</v>
      </c>
      <c r="AD118" s="84">
        <v>84</v>
      </c>
      <c r="AE118" s="75">
        <v>1.22</v>
      </c>
      <c r="AF118" s="75">
        <v>1.0652631578947369</v>
      </c>
      <c r="AG118" s="75">
        <v>1.1291789473684211</v>
      </c>
      <c r="AH118" s="97">
        <v>880.5526000000001</v>
      </c>
      <c r="AI118" s="39">
        <v>137.02107216381808</v>
      </c>
      <c r="AJ118" s="97">
        <v>149.82197264818703</v>
      </c>
      <c r="AK118" s="40">
        <v>297.82446261955857</v>
      </c>
      <c r="AL118" s="41">
        <v>150</v>
      </c>
      <c r="AM118" s="39">
        <v>171</v>
      </c>
      <c r="AN118" s="39">
        <v>193.08959999999999</v>
      </c>
      <c r="AO118" s="39">
        <v>643.63199999999995</v>
      </c>
      <c r="AP118" s="47" t="s">
        <v>515</v>
      </c>
      <c r="AQ118" s="108" t="s">
        <v>516</v>
      </c>
      <c r="AR118" s="88" t="s">
        <v>517</v>
      </c>
    </row>
    <row r="119" spans="1:44" x14ac:dyDescent="0.3">
      <c r="A119" s="25" t="s">
        <v>1509</v>
      </c>
      <c r="B119" s="25" t="s">
        <v>119</v>
      </c>
      <c r="C119" s="25" t="s">
        <v>120</v>
      </c>
      <c r="D119" s="25" t="s">
        <v>121</v>
      </c>
      <c r="E119" s="86" t="s">
        <v>77</v>
      </c>
      <c r="F119" s="47" t="s">
        <v>122</v>
      </c>
      <c r="G119" s="47" t="s">
        <v>501</v>
      </c>
      <c r="H119" s="47" t="s">
        <v>101</v>
      </c>
      <c r="I119" s="47" t="s">
        <v>80</v>
      </c>
      <c r="J119" s="47" t="s">
        <v>94</v>
      </c>
      <c r="K119" s="87" t="s">
        <v>82</v>
      </c>
      <c r="L119" s="47" t="s">
        <v>502</v>
      </c>
      <c r="M119" s="47" t="s">
        <v>83</v>
      </c>
      <c r="N119" s="89" t="s">
        <v>103</v>
      </c>
      <c r="O119" s="90">
        <v>0.25</v>
      </c>
      <c r="P119" s="47">
        <v>106</v>
      </c>
      <c r="Q119" s="96">
        <v>25</v>
      </c>
      <c r="R119" s="47" t="s">
        <v>87</v>
      </c>
      <c r="S119" s="84" t="s">
        <v>87</v>
      </c>
      <c r="T119" s="92">
        <v>0.8</v>
      </c>
      <c r="U119" s="47">
        <v>200</v>
      </c>
      <c r="V119" s="47">
        <v>600</v>
      </c>
      <c r="W119" s="84">
        <v>400</v>
      </c>
      <c r="X119" s="93">
        <v>210</v>
      </c>
      <c r="Y119" s="47">
        <v>200</v>
      </c>
      <c r="Z119" s="47">
        <v>600</v>
      </c>
      <c r="AA119" s="84">
        <v>400</v>
      </c>
      <c r="AB119" s="93">
        <v>210</v>
      </c>
      <c r="AC119" s="84" t="s">
        <v>87</v>
      </c>
      <c r="AD119" s="84">
        <v>81</v>
      </c>
      <c r="AE119" s="75">
        <v>1.0024999999999999</v>
      </c>
      <c r="AF119" s="75">
        <v>0.92512971698113211</v>
      </c>
      <c r="AG119" s="75">
        <v>0.98063750000000005</v>
      </c>
      <c r="AH119" s="97">
        <v>864.27630000000011</v>
      </c>
      <c r="AI119" s="39">
        <v>166.74883594998309</v>
      </c>
      <c r="AJ119" s="97">
        <v>182.32698915789345</v>
      </c>
      <c r="AK119" s="40">
        <v>362.43974503327831</v>
      </c>
      <c r="AL119" s="41">
        <v>182</v>
      </c>
      <c r="AM119" s="39">
        <v>192.92</v>
      </c>
      <c r="AN119" s="39">
        <v>189.18458649999999</v>
      </c>
      <c r="AO119" s="39">
        <v>756.73834599999998</v>
      </c>
      <c r="AP119" s="47" t="s">
        <v>515</v>
      </c>
      <c r="AQ119" s="108" t="s">
        <v>518</v>
      </c>
      <c r="AR119" s="207"/>
    </row>
    <row r="120" spans="1:44" x14ac:dyDescent="0.3">
      <c r="A120" s="25" t="s">
        <v>1509</v>
      </c>
      <c r="B120" s="25" t="s">
        <v>119</v>
      </c>
      <c r="C120" s="25" t="s">
        <v>120</v>
      </c>
      <c r="D120" s="25" t="s">
        <v>121</v>
      </c>
      <c r="E120" s="86" t="s">
        <v>77</v>
      </c>
      <c r="F120" s="47" t="s">
        <v>122</v>
      </c>
      <c r="G120" s="47" t="s">
        <v>503</v>
      </c>
      <c r="H120" s="47" t="s">
        <v>101</v>
      </c>
      <c r="I120" s="47" t="s">
        <v>80</v>
      </c>
      <c r="J120" s="47" t="s">
        <v>94</v>
      </c>
      <c r="K120" s="87" t="s">
        <v>82</v>
      </c>
      <c r="L120" s="47" t="s">
        <v>504</v>
      </c>
      <c r="M120" s="47" t="s">
        <v>83</v>
      </c>
      <c r="N120" s="89" t="s">
        <v>103</v>
      </c>
      <c r="O120" s="90">
        <v>0.25</v>
      </c>
      <c r="P120" s="47">
        <v>106</v>
      </c>
      <c r="Q120" s="96">
        <v>20</v>
      </c>
      <c r="R120" s="47" t="s">
        <v>87</v>
      </c>
      <c r="S120" s="84" t="s">
        <v>87</v>
      </c>
      <c r="T120" s="92">
        <v>0.8</v>
      </c>
      <c r="U120" s="47">
        <v>250</v>
      </c>
      <c r="V120" s="47">
        <v>700</v>
      </c>
      <c r="W120" s="84">
        <v>450</v>
      </c>
      <c r="X120" s="93">
        <v>160</v>
      </c>
      <c r="Y120" s="47">
        <v>250</v>
      </c>
      <c r="Z120" s="47">
        <v>700</v>
      </c>
      <c r="AA120" s="84">
        <v>450</v>
      </c>
      <c r="AB120" s="93">
        <v>160</v>
      </c>
      <c r="AC120" s="84" t="s">
        <v>87</v>
      </c>
      <c r="AD120" s="84">
        <v>86</v>
      </c>
      <c r="AE120" s="75">
        <v>1.0150000000000001</v>
      </c>
      <c r="AF120" s="75">
        <v>0.92778301886792447</v>
      </c>
      <c r="AG120" s="75">
        <v>0.98344999999999994</v>
      </c>
      <c r="AH120" s="97">
        <v>864.27630000000011</v>
      </c>
      <c r="AI120" s="39">
        <v>164.69527885700296</v>
      </c>
      <c r="AJ120" s="97">
        <v>180.08158288747603</v>
      </c>
      <c r="AK120" s="40">
        <v>357.9762013752329</v>
      </c>
      <c r="AL120" s="41">
        <v>180</v>
      </c>
      <c r="AM120" s="39">
        <v>190.8</v>
      </c>
      <c r="AN120" s="39">
        <v>187.64225999999999</v>
      </c>
      <c r="AO120" s="39">
        <v>938.21129999999994</v>
      </c>
      <c r="AP120" s="47" t="s">
        <v>519</v>
      </c>
      <c r="AQ120" s="108" t="s">
        <v>520</v>
      </c>
      <c r="AR120" s="88" t="s">
        <v>521</v>
      </c>
    </row>
    <row r="121" spans="1:44" x14ac:dyDescent="0.3">
      <c r="A121" s="25" t="s">
        <v>1509</v>
      </c>
      <c r="B121" s="25" t="s">
        <v>119</v>
      </c>
      <c r="C121" s="25" t="s">
        <v>120</v>
      </c>
      <c r="D121" s="25" t="s">
        <v>121</v>
      </c>
      <c r="E121" s="86" t="s">
        <v>77</v>
      </c>
      <c r="F121" s="47" t="s">
        <v>122</v>
      </c>
      <c r="G121" s="47" t="s">
        <v>505</v>
      </c>
      <c r="H121" s="47" t="s">
        <v>101</v>
      </c>
      <c r="I121" s="47" t="s">
        <v>80</v>
      </c>
      <c r="J121" s="47" t="s">
        <v>94</v>
      </c>
      <c r="K121" s="87" t="s">
        <v>82</v>
      </c>
      <c r="L121" s="47"/>
      <c r="M121" s="47" t="s">
        <v>83</v>
      </c>
      <c r="N121" s="89" t="s">
        <v>103</v>
      </c>
      <c r="O121" s="90">
        <v>0.25</v>
      </c>
      <c r="P121" s="47">
        <v>106</v>
      </c>
      <c r="Q121" s="211">
        <v>10</v>
      </c>
      <c r="R121" s="47" t="s">
        <v>87</v>
      </c>
      <c r="S121" s="84" t="s">
        <v>87</v>
      </c>
      <c r="T121" s="92">
        <v>0.8</v>
      </c>
      <c r="U121" s="47">
        <v>330</v>
      </c>
      <c r="V121" s="47">
        <v>830</v>
      </c>
      <c r="W121" s="84">
        <v>500</v>
      </c>
      <c r="X121" s="93">
        <v>130</v>
      </c>
      <c r="Y121" s="47">
        <v>330</v>
      </c>
      <c r="Z121" s="47">
        <v>830</v>
      </c>
      <c r="AA121" s="84">
        <v>500</v>
      </c>
      <c r="AB121" s="93">
        <v>130</v>
      </c>
      <c r="AC121" s="84" t="s">
        <v>87</v>
      </c>
      <c r="AD121" s="84">
        <v>96</v>
      </c>
      <c r="AE121" s="75">
        <v>1.04</v>
      </c>
      <c r="AF121" s="75">
        <v>0.93132075471698128</v>
      </c>
      <c r="AG121" s="75">
        <v>0.98720000000000019</v>
      </c>
      <c r="AH121" s="97">
        <v>864.27630000000011</v>
      </c>
      <c r="AI121" s="39">
        <v>160.7362577306327</v>
      </c>
      <c r="AJ121" s="97">
        <v>175.75269868345015</v>
      </c>
      <c r="AK121" s="40">
        <v>349.37100422678981</v>
      </c>
      <c r="AL121" s="212">
        <v>120</v>
      </c>
      <c r="AM121" s="39">
        <v>127.2</v>
      </c>
      <c r="AN121" s="39">
        <v>125.57184000000002</v>
      </c>
      <c r="AO121" s="39">
        <v>1255.7184000000002</v>
      </c>
      <c r="AP121" s="47" t="s">
        <v>522</v>
      </c>
      <c r="AQ121" s="108"/>
      <c r="AR121" s="202" t="s">
        <v>523</v>
      </c>
    </row>
    <row r="122" spans="1:44" x14ac:dyDescent="0.3">
      <c r="A122" s="25" t="s">
        <v>1509</v>
      </c>
      <c r="B122" s="25" t="s">
        <v>119</v>
      </c>
      <c r="C122" s="25" t="s">
        <v>120</v>
      </c>
      <c r="D122" s="25" t="s">
        <v>121</v>
      </c>
      <c r="E122" s="86" t="s">
        <v>77</v>
      </c>
      <c r="F122" s="47" t="s">
        <v>122</v>
      </c>
      <c r="G122" s="47" t="s">
        <v>524</v>
      </c>
      <c r="H122" s="47" t="s">
        <v>101</v>
      </c>
      <c r="I122" s="47" t="s">
        <v>80</v>
      </c>
      <c r="J122" s="47" t="s">
        <v>94</v>
      </c>
      <c r="K122" s="87" t="s">
        <v>82</v>
      </c>
      <c r="L122" s="47" t="s">
        <v>525</v>
      </c>
      <c r="M122" s="47" t="s">
        <v>83</v>
      </c>
      <c r="N122" s="89" t="s">
        <v>103</v>
      </c>
      <c r="O122" s="90">
        <v>0.56000000000000005</v>
      </c>
      <c r="P122" s="47">
        <v>101</v>
      </c>
      <c r="Q122" s="47">
        <v>30</v>
      </c>
      <c r="R122" s="47" t="s">
        <v>87</v>
      </c>
      <c r="S122" s="84" t="s">
        <v>87</v>
      </c>
      <c r="T122" s="92">
        <v>0.8</v>
      </c>
      <c r="U122" s="47">
        <v>180</v>
      </c>
      <c r="V122" s="47">
        <v>580</v>
      </c>
      <c r="W122" s="84">
        <v>400</v>
      </c>
      <c r="X122" s="93">
        <v>130</v>
      </c>
      <c r="Y122" s="47">
        <v>150</v>
      </c>
      <c r="Z122" s="47">
        <v>600</v>
      </c>
      <c r="AA122" s="84">
        <v>450</v>
      </c>
      <c r="AB122" s="93">
        <v>110</v>
      </c>
      <c r="AC122" s="84" t="s">
        <v>87</v>
      </c>
      <c r="AD122" s="84">
        <v>71</v>
      </c>
      <c r="AE122" s="75">
        <v>1.1976</v>
      </c>
      <c r="AF122" s="75">
        <v>1.057849504950495</v>
      </c>
      <c r="AG122" s="75">
        <v>1.1213204752475248</v>
      </c>
      <c r="AH122" s="97">
        <v>884.45891200000005</v>
      </c>
      <c r="AI122" s="117">
        <v>139.58392454897964</v>
      </c>
      <c r="AJ122" s="97">
        <v>152.62425403372424</v>
      </c>
      <c r="AK122" s="40">
        <v>303.39499365051893</v>
      </c>
      <c r="AL122" s="41">
        <v>153</v>
      </c>
      <c r="AM122" s="39">
        <v>154.53</v>
      </c>
      <c r="AN122" s="39">
        <v>173.27765303999999</v>
      </c>
      <c r="AO122" s="39">
        <v>577.59217679999995</v>
      </c>
      <c r="AP122" s="47" t="s">
        <v>440</v>
      </c>
      <c r="AQ122" s="108" t="s">
        <v>532</v>
      </c>
      <c r="AR122" s="207"/>
    </row>
    <row r="123" spans="1:44" x14ac:dyDescent="0.3">
      <c r="A123" s="25" t="s">
        <v>1509</v>
      </c>
      <c r="B123" s="25" t="s">
        <v>119</v>
      </c>
      <c r="C123" s="25" t="s">
        <v>120</v>
      </c>
      <c r="D123" s="25" t="s">
        <v>121</v>
      </c>
      <c r="E123" s="26" t="s">
        <v>77</v>
      </c>
      <c r="F123" s="27" t="s">
        <v>78</v>
      </c>
      <c r="G123" s="25" t="s">
        <v>526</v>
      </c>
      <c r="H123" s="25" t="s">
        <v>101</v>
      </c>
      <c r="I123" s="25" t="s">
        <v>80</v>
      </c>
      <c r="J123" s="25" t="s">
        <v>94</v>
      </c>
      <c r="K123" s="30" t="s">
        <v>82</v>
      </c>
      <c r="L123" s="25" t="s">
        <v>527</v>
      </c>
      <c r="M123" s="25" t="s">
        <v>83</v>
      </c>
      <c r="N123" s="74" t="s">
        <v>103</v>
      </c>
      <c r="O123" s="61">
        <v>0.56000000000000005</v>
      </c>
      <c r="P123" s="25">
        <v>100</v>
      </c>
      <c r="Q123" s="25">
        <v>30</v>
      </c>
      <c r="R123" s="25" t="s">
        <v>87</v>
      </c>
      <c r="S123" s="84" t="s">
        <v>87</v>
      </c>
      <c r="T123" s="35">
        <v>0.8</v>
      </c>
      <c r="U123" s="25">
        <v>180</v>
      </c>
      <c r="V123" s="25">
        <v>580</v>
      </c>
      <c r="W123" s="34">
        <v>400</v>
      </c>
      <c r="X123" s="36">
        <v>120</v>
      </c>
      <c r="Y123" s="25">
        <v>150</v>
      </c>
      <c r="Z123" s="25">
        <v>600</v>
      </c>
      <c r="AA123" s="34">
        <v>450</v>
      </c>
      <c r="AB123" s="36">
        <v>100</v>
      </c>
      <c r="AC123" s="34" t="s">
        <v>87</v>
      </c>
      <c r="AD123" s="34">
        <v>70</v>
      </c>
      <c r="AE123" s="37">
        <v>1.1920000000000002</v>
      </c>
      <c r="AF123" s="37">
        <v>1.0548000000000002</v>
      </c>
      <c r="AG123" s="37">
        <v>1.1180880000000002</v>
      </c>
      <c r="AH123" s="38">
        <v>884.45891200000005</v>
      </c>
      <c r="AI123" s="117">
        <v>140.23968795290102</v>
      </c>
      <c r="AJ123" s="38">
        <v>153.34128073052699</v>
      </c>
      <c r="AK123" s="40">
        <v>304.82033925827301</v>
      </c>
      <c r="AL123" s="41">
        <v>120</v>
      </c>
      <c r="AM123" s="39">
        <v>120</v>
      </c>
      <c r="AN123" s="39">
        <v>134.17056000000002</v>
      </c>
      <c r="AO123" s="39">
        <v>447.23520000000008</v>
      </c>
      <c r="AP123" s="25" t="s">
        <v>533</v>
      </c>
      <c r="AQ123" s="43" t="s">
        <v>534</v>
      </c>
      <c r="AR123" s="43"/>
    </row>
    <row r="124" spans="1:44" x14ac:dyDescent="0.3">
      <c r="A124" s="25" t="s">
        <v>1509</v>
      </c>
      <c r="B124" s="25" t="s">
        <v>119</v>
      </c>
      <c r="C124" s="25" t="s">
        <v>120</v>
      </c>
      <c r="D124" s="25" t="s">
        <v>121</v>
      </c>
      <c r="E124" s="86" t="s">
        <v>77</v>
      </c>
      <c r="F124" s="47" t="s">
        <v>122</v>
      </c>
      <c r="G124" s="47" t="s">
        <v>528</v>
      </c>
      <c r="H124" s="47" t="s">
        <v>101</v>
      </c>
      <c r="I124" s="47" t="s">
        <v>80</v>
      </c>
      <c r="J124" s="47" t="s">
        <v>94</v>
      </c>
      <c r="K124" s="87" t="s">
        <v>82</v>
      </c>
      <c r="L124" s="47" t="s">
        <v>529</v>
      </c>
      <c r="M124" s="47" t="s">
        <v>83</v>
      </c>
      <c r="N124" s="89" t="s">
        <v>103</v>
      </c>
      <c r="O124" s="90">
        <v>0.56999999999999995</v>
      </c>
      <c r="P124" s="47">
        <v>102</v>
      </c>
      <c r="Q124" s="47">
        <v>30</v>
      </c>
      <c r="R124" s="47" t="s">
        <v>87</v>
      </c>
      <c r="S124" s="84" t="s">
        <v>87</v>
      </c>
      <c r="T124" s="92">
        <v>0.8</v>
      </c>
      <c r="U124" s="47">
        <v>200</v>
      </c>
      <c r="V124" s="47">
        <v>600</v>
      </c>
      <c r="W124" s="84">
        <v>400</v>
      </c>
      <c r="X124" s="93">
        <v>120</v>
      </c>
      <c r="Y124" s="47">
        <v>150</v>
      </c>
      <c r="Z124" s="47">
        <v>600</v>
      </c>
      <c r="AA124" s="84">
        <v>450</v>
      </c>
      <c r="AB124" s="93">
        <v>120</v>
      </c>
      <c r="AC124" s="84" t="s">
        <v>87</v>
      </c>
      <c r="AD124" s="84">
        <v>72</v>
      </c>
      <c r="AE124" s="75">
        <v>1.2103999999999999</v>
      </c>
      <c r="AF124" s="75">
        <v>1.0655529411764706</v>
      </c>
      <c r="AG124" s="75">
        <v>1.1294861176470588</v>
      </c>
      <c r="AH124" s="97">
        <v>885.10996399999999</v>
      </c>
      <c r="AI124" s="117">
        <v>138.10782224046434</v>
      </c>
      <c r="AJ124" s="97">
        <v>151.01025002543636</v>
      </c>
      <c r="AK124" s="40">
        <v>300.18658657952869</v>
      </c>
      <c r="AL124" s="41">
        <v>151</v>
      </c>
      <c r="AM124" s="39">
        <v>154.02000000000001</v>
      </c>
      <c r="AN124" s="39">
        <v>173.96345184</v>
      </c>
      <c r="AO124" s="39">
        <v>579.87817280000002</v>
      </c>
      <c r="AP124" s="47" t="s">
        <v>440</v>
      </c>
      <c r="AQ124" s="108" t="s">
        <v>535</v>
      </c>
      <c r="AR124" s="207"/>
    </row>
    <row r="125" spans="1:44" x14ac:dyDescent="0.3">
      <c r="A125" s="25" t="s">
        <v>1509</v>
      </c>
      <c r="B125" s="25" t="s">
        <v>119</v>
      </c>
      <c r="C125" s="25" t="s">
        <v>120</v>
      </c>
      <c r="D125" s="25" t="s">
        <v>121</v>
      </c>
      <c r="E125" s="26" t="s">
        <v>77</v>
      </c>
      <c r="F125" s="27" t="s">
        <v>78</v>
      </c>
      <c r="G125" s="25" t="s">
        <v>530</v>
      </c>
      <c r="H125" s="25" t="s">
        <v>101</v>
      </c>
      <c r="I125" s="25" t="s">
        <v>80</v>
      </c>
      <c r="J125" s="25" t="s">
        <v>94</v>
      </c>
      <c r="K125" s="30" t="s">
        <v>82</v>
      </c>
      <c r="L125" s="25" t="s">
        <v>531</v>
      </c>
      <c r="M125" s="25" t="s">
        <v>83</v>
      </c>
      <c r="N125" s="74" t="s">
        <v>103</v>
      </c>
      <c r="O125" s="61">
        <v>0.57999999999999996</v>
      </c>
      <c r="P125" s="25">
        <v>100</v>
      </c>
      <c r="Q125" s="25">
        <v>30</v>
      </c>
      <c r="R125" s="25" t="s">
        <v>87</v>
      </c>
      <c r="S125" s="34" t="s">
        <v>87</v>
      </c>
      <c r="T125" s="35">
        <v>0.8</v>
      </c>
      <c r="U125" s="25">
        <v>150</v>
      </c>
      <c r="V125" s="25">
        <v>550</v>
      </c>
      <c r="W125" s="34">
        <v>400</v>
      </c>
      <c r="X125" s="36">
        <v>150</v>
      </c>
      <c r="Y125" s="25">
        <v>150</v>
      </c>
      <c r="Z125" s="25">
        <v>600</v>
      </c>
      <c r="AA125" s="34">
        <v>450</v>
      </c>
      <c r="AB125" s="36">
        <v>100</v>
      </c>
      <c r="AC125" s="34" t="s">
        <v>87</v>
      </c>
      <c r="AD125" s="34">
        <v>70</v>
      </c>
      <c r="AE125" s="37">
        <v>1.206</v>
      </c>
      <c r="AF125" s="37">
        <v>1.0639000000000001</v>
      </c>
      <c r="AG125" s="37">
        <v>1.127734</v>
      </c>
      <c r="AH125" s="38">
        <v>885.76101600000004</v>
      </c>
      <c r="AI125" s="39">
        <v>138.61169820883751</v>
      </c>
      <c r="AJ125" s="38">
        <v>151.56119952801674</v>
      </c>
      <c r="AK125" s="40">
        <v>301.28179468976907</v>
      </c>
      <c r="AL125" s="41">
        <v>152</v>
      </c>
      <c r="AM125" s="39">
        <v>152</v>
      </c>
      <c r="AN125" s="39">
        <v>171.41556800000001</v>
      </c>
      <c r="AO125" s="39">
        <v>571.38522666666677</v>
      </c>
      <c r="AP125" s="25" t="s">
        <v>352</v>
      </c>
      <c r="AQ125" s="62" t="s">
        <v>536</v>
      </c>
      <c r="AR125" s="43"/>
    </row>
    <row r="126" spans="1:44" x14ac:dyDescent="0.3">
      <c r="A126" s="25" t="s">
        <v>1509</v>
      </c>
      <c r="B126" s="25" t="s">
        <v>119</v>
      </c>
      <c r="C126" s="25" t="s">
        <v>120</v>
      </c>
      <c r="D126" s="25" t="s">
        <v>121</v>
      </c>
      <c r="E126" s="26" t="s">
        <v>77</v>
      </c>
      <c r="F126" s="27" t="s">
        <v>78</v>
      </c>
      <c r="G126" s="25" t="s">
        <v>537</v>
      </c>
      <c r="H126" s="25" t="s">
        <v>101</v>
      </c>
      <c r="I126" s="25" t="s">
        <v>80</v>
      </c>
      <c r="J126" s="25" t="s">
        <v>94</v>
      </c>
      <c r="K126" s="30" t="s">
        <v>82</v>
      </c>
      <c r="L126" s="25" t="s">
        <v>538</v>
      </c>
      <c r="M126" s="25" t="s">
        <v>83</v>
      </c>
      <c r="N126" s="74" t="s">
        <v>103</v>
      </c>
      <c r="O126" s="61">
        <v>0.55000000000000004</v>
      </c>
      <c r="P126" s="25">
        <v>105</v>
      </c>
      <c r="Q126" s="25">
        <v>30</v>
      </c>
      <c r="R126" s="25" t="s">
        <v>87</v>
      </c>
      <c r="S126" s="34" t="s">
        <v>87</v>
      </c>
      <c r="T126" s="35">
        <v>0.8</v>
      </c>
      <c r="U126" s="25">
        <v>200</v>
      </c>
      <c r="V126" s="25">
        <v>600</v>
      </c>
      <c r="W126" s="34">
        <v>400</v>
      </c>
      <c r="X126" s="36">
        <v>150</v>
      </c>
      <c r="Y126" s="25">
        <v>150</v>
      </c>
      <c r="Z126" s="25">
        <v>600</v>
      </c>
      <c r="AA126" s="34">
        <v>450</v>
      </c>
      <c r="AB126" s="36">
        <v>150</v>
      </c>
      <c r="AC126" s="34" t="s">
        <v>87</v>
      </c>
      <c r="AD126" s="34">
        <v>75</v>
      </c>
      <c r="AE126" s="37">
        <v>1.2125000000000001</v>
      </c>
      <c r="AF126" s="37">
        <v>1.0651785714285715</v>
      </c>
      <c r="AG126" s="37">
        <v>1.1290892857142858</v>
      </c>
      <c r="AH126" s="38">
        <v>883.80786000000012</v>
      </c>
      <c r="AI126" s="117">
        <v>137.86862518751178</v>
      </c>
      <c r="AJ126" s="38">
        <v>150.74870649961909</v>
      </c>
      <c r="AK126" s="40">
        <v>299.66667579040114</v>
      </c>
      <c r="AL126" s="41">
        <v>151</v>
      </c>
      <c r="AM126" s="39">
        <v>158.55000000000001</v>
      </c>
      <c r="AN126" s="39">
        <v>179.01710625000001</v>
      </c>
      <c r="AO126" s="39">
        <v>596.7236875000001</v>
      </c>
      <c r="AP126" s="25" t="s">
        <v>557</v>
      </c>
      <c r="AQ126" s="62" t="s">
        <v>558</v>
      </c>
      <c r="AR126" s="43"/>
    </row>
    <row r="127" spans="1:44" x14ac:dyDescent="0.3">
      <c r="A127" s="25" t="s">
        <v>1509</v>
      </c>
      <c r="B127" s="25" t="s">
        <v>119</v>
      </c>
      <c r="C127" s="25" t="s">
        <v>120</v>
      </c>
      <c r="D127" s="25" t="s">
        <v>121</v>
      </c>
      <c r="E127" s="26" t="s">
        <v>77</v>
      </c>
      <c r="F127" s="27" t="s">
        <v>78</v>
      </c>
      <c r="G127" s="25" t="s">
        <v>539</v>
      </c>
      <c r="H127" s="25" t="s">
        <v>101</v>
      </c>
      <c r="I127" s="25" t="s">
        <v>80</v>
      </c>
      <c r="J127" s="25" t="s">
        <v>94</v>
      </c>
      <c r="K127" s="30" t="s">
        <v>82</v>
      </c>
      <c r="L127" s="25" t="s">
        <v>540</v>
      </c>
      <c r="M127" s="25" t="s">
        <v>83</v>
      </c>
      <c r="N127" s="74" t="s">
        <v>103</v>
      </c>
      <c r="O127" s="61">
        <v>0.6</v>
      </c>
      <c r="P127" s="25">
        <v>101</v>
      </c>
      <c r="Q127" s="25">
        <v>30</v>
      </c>
      <c r="R127" s="25" t="s">
        <v>87</v>
      </c>
      <c r="S127" s="34" t="s">
        <v>87</v>
      </c>
      <c r="T127" s="35">
        <v>0.8</v>
      </c>
      <c r="U127" s="25">
        <v>150</v>
      </c>
      <c r="V127" s="25">
        <v>550</v>
      </c>
      <c r="W127" s="34">
        <v>400</v>
      </c>
      <c r="X127" s="36">
        <v>160</v>
      </c>
      <c r="Y127" s="25">
        <v>150</v>
      </c>
      <c r="Z127" s="25">
        <v>600</v>
      </c>
      <c r="AA127" s="34">
        <v>450</v>
      </c>
      <c r="AB127" s="36">
        <v>110</v>
      </c>
      <c r="AC127" s="34" t="s">
        <v>87</v>
      </c>
      <c r="AD127" s="34">
        <v>71</v>
      </c>
      <c r="AE127" s="37">
        <v>1.226</v>
      </c>
      <c r="AF127" s="37">
        <v>1.0762673267326732</v>
      </c>
      <c r="AG127" s="37">
        <v>1.1408433663366335</v>
      </c>
      <c r="AH127" s="38">
        <v>887.06312000000003</v>
      </c>
      <c r="AI127" s="39">
        <v>136.35049595420719</v>
      </c>
      <c r="AJ127" s="38">
        <v>149.08874929101808</v>
      </c>
      <c r="AK127" s="40">
        <v>296.36692038814147</v>
      </c>
      <c r="AL127" s="41">
        <v>149</v>
      </c>
      <c r="AM127" s="39">
        <v>150.49</v>
      </c>
      <c r="AN127" s="39">
        <v>171.68551819999999</v>
      </c>
      <c r="AO127" s="39">
        <v>572.28506066666671</v>
      </c>
      <c r="AP127" s="25" t="s">
        <v>480</v>
      </c>
      <c r="AQ127" s="62" t="s">
        <v>559</v>
      </c>
      <c r="AR127" s="43" t="s">
        <v>560</v>
      </c>
    </row>
    <row r="128" spans="1:44" x14ac:dyDescent="0.3">
      <c r="A128" s="25" t="s">
        <v>1509</v>
      </c>
      <c r="B128" s="25" t="s">
        <v>119</v>
      </c>
      <c r="C128" s="25" t="s">
        <v>120</v>
      </c>
      <c r="D128" s="25" t="s">
        <v>121</v>
      </c>
      <c r="E128" s="26" t="s">
        <v>77</v>
      </c>
      <c r="F128" s="27" t="s">
        <v>78</v>
      </c>
      <c r="G128" s="25" t="s">
        <v>541</v>
      </c>
      <c r="H128" s="25" t="s">
        <v>101</v>
      </c>
      <c r="I128" s="25" t="s">
        <v>80</v>
      </c>
      <c r="J128" s="25" t="s">
        <v>94</v>
      </c>
      <c r="K128" s="30" t="s">
        <v>82</v>
      </c>
      <c r="L128" s="25" t="s">
        <v>542</v>
      </c>
      <c r="M128" s="25" t="s">
        <v>83</v>
      </c>
      <c r="N128" s="74" t="s">
        <v>103</v>
      </c>
      <c r="O128" s="61">
        <v>0.6</v>
      </c>
      <c r="P128" s="25">
        <v>103</v>
      </c>
      <c r="Q128" s="25">
        <v>30</v>
      </c>
      <c r="R128" s="25" t="s">
        <v>87</v>
      </c>
      <c r="S128" s="84" t="s">
        <v>87</v>
      </c>
      <c r="T128" s="35">
        <v>0.8</v>
      </c>
      <c r="U128" s="25">
        <v>210</v>
      </c>
      <c r="V128" s="25">
        <v>430</v>
      </c>
      <c r="W128" s="34">
        <v>220</v>
      </c>
      <c r="X128" s="36">
        <v>300</v>
      </c>
      <c r="Y128" s="25">
        <v>210</v>
      </c>
      <c r="Z128" s="25">
        <v>610</v>
      </c>
      <c r="AA128" s="34">
        <v>400</v>
      </c>
      <c r="AB128" s="36">
        <v>120</v>
      </c>
      <c r="AC128" s="34" t="s">
        <v>87</v>
      </c>
      <c r="AD128" s="34">
        <v>73</v>
      </c>
      <c r="AE128" s="37">
        <v>1.238</v>
      </c>
      <c r="AF128" s="37">
        <v>1.0827864077669904</v>
      </c>
      <c r="AG128" s="37">
        <v>1.1477535922330098</v>
      </c>
      <c r="AH128" s="38">
        <v>887.06312000000003</v>
      </c>
      <c r="AI128" s="117">
        <v>135.02884332783364</v>
      </c>
      <c r="AJ128" s="38">
        <v>147.64362409595168</v>
      </c>
      <c r="AK128" s="40">
        <v>293.49422002896728</v>
      </c>
      <c r="AL128" s="41">
        <v>148</v>
      </c>
      <c r="AM128" s="39">
        <v>152.44</v>
      </c>
      <c r="AN128" s="39">
        <v>174.9635576</v>
      </c>
      <c r="AO128" s="39">
        <v>583.21185866666667</v>
      </c>
      <c r="AP128" s="25" t="s">
        <v>561</v>
      </c>
      <c r="AQ128" s="62" t="s">
        <v>562</v>
      </c>
      <c r="AR128" s="43" t="s">
        <v>563</v>
      </c>
    </row>
    <row r="129" spans="1:44" x14ac:dyDescent="0.3">
      <c r="A129" s="25" t="s">
        <v>1509</v>
      </c>
      <c r="B129" s="25" t="s">
        <v>119</v>
      </c>
      <c r="C129" s="25" t="s">
        <v>120</v>
      </c>
      <c r="D129" s="25" t="s">
        <v>121</v>
      </c>
      <c r="E129" s="26" t="s">
        <v>77</v>
      </c>
      <c r="F129" s="27" t="s">
        <v>78</v>
      </c>
      <c r="G129" s="25" t="s">
        <v>543</v>
      </c>
      <c r="H129" s="25" t="s">
        <v>101</v>
      </c>
      <c r="I129" s="25" t="s">
        <v>80</v>
      </c>
      <c r="J129" s="25" t="s">
        <v>94</v>
      </c>
      <c r="K129" s="30" t="s">
        <v>82</v>
      </c>
      <c r="L129" s="25" t="s">
        <v>544</v>
      </c>
      <c r="M129" s="25" t="s">
        <v>83</v>
      </c>
      <c r="N129" s="74" t="s">
        <v>103</v>
      </c>
      <c r="O129" s="61">
        <v>0.6</v>
      </c>
      <c r="P129" s="25">
        <v>100</v>
      </c>
      <c r="Q129" s="25">
        <v>30</v>
      </c>
      <c r="R129" s="25" t="s">
        <v>87</v>
      </c>
      <c r="S129" s="84" t="s">
        <v>87</v>
      </c>
      <c r="T129" s="35">
        <v>0.8</v>
      </c>
      <c r="U129" s="25">
        <v>150</v>
      </c>
      <c r="V129" s="25">
        <v>550</v>
      </c>
      <c r="W129" s="34">
        <v>400</v>
      </c>
      <c r="X129" s="36">
        <v>150</v>
      </c>
      <c r="Y129" s="25">
        <v>150</v>
      </c>
      <c r="Z129" s="25">
        <v>600</v>
      </c>
      <c r="AA129" s="34">
        <v>450</v>
      </c>
      <c r="AB129" s="36">
        <v>100</v>
      </c>
      <c r="AC129" s="34" t="s">
        <v>87</v>
      </c>
      <c r="AD129" s="34">
        <v>70</v>
      </c>
      <c r="AE129" s="37">
        <v>1.22</v>
      </c>
      <c r="AF129" s="37">
        <v>1.0730000000000002</v>
      </c>
      <c r="AG129" s="37">
        <v>1.1373800000000003</v>
      </c>
      <c r="AH129" s="38">
        <v>887.06312000000003</v>
      </c>
      <c r="AI129" s="117">
        <v>137.02107216381808</v>
      </c>
      <c r="AJ129" s="38">
        <v>149.82197264818703</v>
      </c>
      <c r="AK129" s="40">
        <v>297.82446261955857</v>
      </c>
      <c r="AL129" s="41">
        <v>150</v>
      </c>
      <c r="AM129" s="39">
        <v>150</v>
      </c>
      <c r="AN129" s="39">
        <v>170.60700000000003</v>
      </c>
      <c r="AO129" s="39">
        <v>568.69000000000017</v>
      </c>
      <c r="AP129" s="25" t="s">
        <v>564</v>
      </c>
      <c r="AQ129" s="62" t="s">
        <v>565</v>
      </c>
      <c r="AR129" s="43" t="s">
        <v>566</v>
      </c>
    </row>
    <row r="130" spans="1:44" x14ac:dyDescent="0.3">
      <c r="A130" s="25" t="s">
        <v>1509</v>
      </c>
      <c r="B130" s="25" t="s">
        <v>119</v>
      </c>
      <c r="C130" s="25" t="s">
        <v>120</v>
      </c>
      <c r="D130" s="25" t="s">
        <v>121</v>
      </c>
      <c r="E130" s="26" t="s">
        <v>77</v>
      </c>
      <c r="F130" s="27" t="s">
        <v>78</v>
      </c>
      <c r="G130" s="25" t="s">
        <v>545</v>
      </c>
      <c r="H130" s="25" t="s">
        <v>101</v>
      </c>
      <c r="I130" s="25" t="s">
        <v>80</v>
      </c>
      <c r="J130" s="25" t="s">
        <v>94</v>
      </c>
      <c r="K130" s="30" t="s">
        <v>82</v>
      </c>
      <c r="L130" s="25" t="s">
        <v>546</v>
      </c>
      <c r="M130" s="25" t="s">
        <v>83</v>
      </c>
      <c r="N130" s="74" t="s">
        <v>103</v>
      </c>
      <c r="O130" s="61">
        <v>0.6</v>
      </c>
      <c r="P130" s="25">
        <v>97</v>
      </c>
      <c r="Q130" s="25">
        <v>30</v>
      </c>
      <c r="R130" s="25" t="s">
        <v>87</v>
      </c>
      <c r="S130" s="84" t="s">
        <v>87</v>
      </c>
      <c r="T130" s="35">
        <v>0.8</v>
      </c>
      <c r="U130" s="25">
        <v>150</v>
      </c>
      <c r="V130" s="25">
        <v>550</v>
      </c>
      <c r="W130" s="34">
        <v>400</v>
      </c>
      <c r="X130" s="36">
        <v>120</v>
      </c>
      <c r="Y130" s="25">
        <v>100</v>
      </c>
      <c r="Z130" s="25">
        <v>550</v>
      </c>
      <c r="AA130" s="34">
        <v>450</v>
      </c>
      <c r="AB130" s="36">
        <v>120</v>
      </c>
      <c r="AC130" s="34" t="s">
        <v>87</v>
      </c>
      <c r="AD130" s="34">
        <v>67</v>
      </c>
      <c r="AE130" s="37">
        <v>1.202</v>
      </c>
      <c r="AF130" s="37">
        <v>1.0631649484536081</v>
      </c>
      <c r="AG130" s="37">
        <v>1.1269548453608247</v>
      </c>
      <c r="AH130" s="38">
        <v>887.06312000000003</v>
      </c>
      <c r="AI130" s="117">
        <v>139.07296841918304</v>
      </c>
      <c r="AJ130" s="38">
        <v>152.06556292078884</v>
      </c>
      <c r="AK130" s="40">
        <v>302.28439633599123</v>
      </c>
      <c r="AL130" s="41">
        <v>120</v>
      </c>
      <c r="AM130" s="39">
        <v>116.4</v>
      </c>
      <c r="AN130" s="39">
        <v>131.17754400000001</v>
      </c>
      <c r="AO130" s="39">
        <v>437.25848000000008</v>
      </c>
      <c r="AP130" s="25" t="s">
        <v>115</v>
      </c>
      <c r="AQ130" s="62" t="s">
        <v>567</v>
      </c>
      <c r="AR130" s="43"/>
    </row>
    <row r="131" spans="1:44" x14ac:dyDescent="0.3">
      <c r="A131" s="25" t="s">
        <v>1509</v>
      </c>
      <c r="B131" s="25" t="s">
        <v>119</v>
      </c>
      <c r="C131" s="25" t="s">
        <v>120</v>
      </c>
      <c r="D131" s="25" t="s">
        <v>121</v>
      </c>
      <c r="E131" s="26" t="s">
        <v>77</v>
      </c>
      <c r="F131" s="27" t="s">
        <v>78</v>
      </c>
      <c r="G131" s="25" t="s">
        <v>547</v>
      </c>
      <c r="H131" s="25" t="s">
        <v>101</v>
      </c>
      <c r="I131" s="25" t="s">
        <v>80</v>
      </c>
      <c r="J131" s="25" t="s">
        <v>94</v>
      </c>
      <c r="K131" s="30" t="s">
        <v>82</v>
      </c>
      <c r="L131" s="25" t="s">
        <v>548</v>
      </c>
      <c r="M131" s="25" t="s">
        <v>83</v>
      </c>
      <c r="N131" s="198" t="s">
        <v>142</v>
      </c>
      <c r="O131" s="61">
        <v>0.41</v>
      </c>
      <c r="P131" s="25">
        <v>88</v>
      </c>
      <c r="Q131" s="32">
        <v>20</v>
      </c>
      <c r="R131" s="25" t="s">
        <v>87</v>
      </c>
      <c r="S131" s="84" t="s">
        <v>87</v>
      </c>
      <c r="T131" s="35">
        <v>0.8</v>
      </c>
      <c r="U131" s="25">
        <v>130</v>
      </c>
      <c r="V131" s="25">
        <v>530</v>
      </c>
      <c r="W131" s="34">
        <v>400</v>
      </c>
      <c r="X131" s="36">
        <v>150</v>
      </c>
      <c r="Y131" s="25">
        <v>100</v>
      </c>
      <c r="Z131" s="25">
        <v>600</v>
      </c>
      <c r="AA131" s="34">
        <v>500</v>
      </c>
      <c r="AB131" s="36">
        <v>80</v>
      </c>
      <c r="AC131" s="34" t="s">
        <v>87</v>
      </c>
      <c r="AD131" s="34">
        <v>68</v>
      </c>
      <c r="AE131" s="37">
        <v>1.0788</v>
      </c>
      <c r="AF131" s="37">
        <v>0.97108181818181805</v>
      </c>
      <c r="AG131" s="37">
        <v>1.029346727272727</v>
      </c>
      <c r="AH131" s="38">
        <v>874.69313200000011</v>
      </c>
      <c r="AI131" s="117">
        <v>154.95523548373936</v>
      </c>
      <c r="AJ131" s="38">
        <v>169.43159680273283</v>
      </c>
      <c r="AK131" s="40">
        <v>336.80556581003106</v>
      </c>
      <c r="AL131" s="41">
        <v>50</v>
      </c>
      <c r="AM131" s="39">
        <v>44</v>
      </c>
      <c r="AN131" s="39">
        <v>45.29125599999999</v>
      </c>
      <c r="AO131" s="39">
        <v>226.45627999999994</v>
      </c>
      <c r="AP131" s="25" t="s">
        <v>568</v>
      </c>
      <c r="AQ131" s="62" t="s">
        <v>569</v>
      </c>
      <c r="AR131" s="43" t="s">
        <v>570</v>
      </c>
    </row>
    <row r="132" spans="1:44" x14ac:dyDescent="0.3">
      <c r="A132" s="25" t="s">
        <v>1509</v>
      </c>
      <c r="B132" s="25" t="s">
        <v>119</v>
      </c>
      <c r="C132" s="25" t="s">
        <v>120</v>
      </c>
      <c r="D132" s="25" t="s">
        <v>121</v>
      </c>
      <c r="E132" s="109" t="s">
        <v>77</v>
      </c>
      <c r="F132" s="213" t="s">
        <v>139</v>
      </c>
      <c r="G132" s="66" t="s">
        <v>549</v>
      </c>
      <c r="H132" s="66" t="s">
        <v>101</v>
      </c>
      <c r="I132" s="66" t="s">
        <v>80</v>
      </c>
      <c r="J132" s="66" t="s">
        <v>94</v>
      </c>
      <c r="K132" s="111" t="s">
        <v>82</v>
      </c>
      <c r="L132" s="66" t="s">
        <v>550</v>
      </c>
      <c r="M132" s="66" t="s">
        <v>83</v>
      </c>
      <c r="N132" s="183" t="s">
        <v>103</v>
      </c>
      <c r="O132" s="113">
        <v>0.36</v>
      </c>
      <c r="P132" s="66">
        <v>95</v>
      </c>
      <c r="Q132" s="214">
        <v>25</v>
      </c>
      <c r="R132" s="66" t="s">
        <v>87</v>
      </c>
      <c r="S132" s="84" t="s">
        <v>87</v>
      </c>
      <c r="T132" s="114">
        <v>0.8</v>
      </c>
      <c r="U132" s="66">
        <v>150</v>
      </c>
      <c r="V132" s="66">
        <v>550</v>
      </c>
      <c r="W132" s="115">
        <v>400</v>
      </c>
      <c r="X132" s="184">
        <v>150</v>
      </c>
      <c r="Y132" s="66">
        <v>150</v>
      </c>
      <c r="Z132" s="66">
        <v>600</v>
      </c>
      <c r="AA132" s="115">
        <v>450</v>
      </c>
      <c r="AB132" s="184">
        <v>100</v>
      </c>
      <c r="AC132" s="115" t="s">
        <v>87</v>
      </c>
      <c r="AD132" s="115">
        <v>70</v>
      </c>
      <c r="AE132" s="116">
        <v>1.052</v>
      </c>
      <c r="AF132" s="116">
        <v>0.9591578947368421</v>
      </c>
      <c r="AG132" s="116">
        <v>1.0167073684210526</v>
      </c>
      <c r="AH132" s="118">
        <v>871.43787200000008</v>
      </c>
      <c r="AI132" s="117">
        <v>158.902764296443</v>
      </c>
      <c r="AJ132" s="118">
        <v>173.74791504827772</v>
      </c>
      <c r="AK132" s="119">
        <v>345.38578364625619</v>
      </c>
      <c r="AL132" s="120">
        <v>174</v>
      </c>
      <c r="AM132" s="117">
        <v>165.3</v>
      </c>
      <c r="AN132" s="117">
        <v>168.06172800000002</v>
      </c>
      <c r="AO132" s="117">
        <v>672.24691200000007</v>
      </c>
      <c r="AP132" s="66" t="s">
        <v>564</v>
      </c>
      <c r="AQ132" s="185" t="s">
        <v>571</v>
      </c>
      <c r="AR132" s="123"/>
    </row>
    <row r="133" spans="1:44" x14ac:dyDescent="0.3">
      <c r="A133" s="25" t="s">
        <v>1509</v>
      </c>
      <c r="B133" s="25" t="s">
        <v>119</v>
      </c>
      <c r="C133" s="25" t="s">
        <v>120</v>
      </c>
      <c r="D133" s="25" t="s">
        <v>121</v>
      </c>
      <c r="E133" s="26" t="s">
        <v>77</v>
      </c>
      <c r="F133" s="27" t="s">
        <v>78</v>
      </c>
      <c r="G133" s="25" t="s">
        <v>551</v>
      </c>
      <c r="H133" s="25" t="s">
        <v>101</v>
      </c>
      <c r="I133" s="25" t="s">
        <v>80</v>
      </c>
      <c r="J133" s="25" t="s">
        <v>94</v>
      </c>
      <c r="K133" s="30" t="s">
        <v>82</v>
      </c>
      <c r="L133" s="25" t="s">
        <v>552</v>
      </c>
      <c r="M133" s="25" t="s">
        <v>83</v>
      </c>
      <c r="N133" s="74" t="s">
        <v>103</v>
      </c>
      <c r="O133" s="61">
        <v>0.57999999999999996</v>
      </c>
      <c r="P133" s="25">
        <v>106</v>
      </c>
      <c r="Q133" s="25">
        <v>30</v>
      </c>
      <c r="R133" s="25" t="s">
        <v>87</v>
      </c>
      <c r="S133" s="84" t="s">
        <v>87</v>
      </c>
      <c r="T133" s="35">
        <v>0.8</v>
      </c>
      <c r="U133" s="25">
        <v>200</v>
      </c>
      <c r="V133" s="25">
        <v>600</v>
      </c>
      <c r="W133" s="34">
        <v>400</v>
      </c>
      <c r="X133" s="36">
        <v>160</v>
      </c>
      <c r="Y133" s="25">
        <v>150</v>
      </c>
      <c r="Z133" s="25">
        <v>600</v>
      </c>
      <c r="AA133" s="34">
        <v>450</v>
      </c>
      <c r="AB133" s="36">
        <v>160</v>
      </c>
      <c r="AC133" s="34" t="s">
        <v>87</v>
      </c>
      <c r="AD133" s="34">
        <v>76</v>
      </c>
      <c r="AE133" s="37">
        <v>1.2408000000000001</v>
      </c>
      <c r="AF133" s="37">
        <v>1.082777358490566</v>
      </c>
      <c r="AG133" s="37">
        <v>1.1477440000000001</v>
      </c>
      <c r="AH133" s="38">
        <v>885.76101600000004</v>
      </c>
      <c r="AI133" s="117">
        <v>134.72413607338655</v>
      </c>
      <c r="AJ133" s="38">
        <v>147.31045021823675</v>
      </c>
      <c r="AK133" s="40">
        <v>292.83191843638093</v>
      </c>
      <c r="AL133" s="41">
        <v>120</v>
      </c>
      <c r="AM133" s="39">
        <v>127.2</v>
      </c>
      <c r="AN133" s="39">
        <v>145.99303680000003</v>
      </c>
      <c r="AO133" s="39">
        <v>486.64345600000013</v>
      </c>
      <c r="AP133" s="25" t="s">
        <v>115</v>
      </c>
      <c r="AQ133" s="43" t="s">
        <v>572</v>
      </c>
      <c r="AR133" s="43" t="s">
        <v>573</v>
      </c>
    </row>
    <row r="134" spans="1:44" x14ac:dyDescent="0.3">
      <c r="A134" s="25" t="s">
        <v>1509</v>
      </c>
      <c r="B134" s="25" t="s">
        <v>119</v>
      </c>
      <c r="C134" s="25" t="s">
        <v>120</v>
      </c>
      <c r="D134" s="25" t="s">
        <v>121</v>
      </c>
      <c r="E134" s="86" t="s">
        <v>77</v>
      </c>
      <c r="F134" s="47" t="s">
        <v>122</v>
      </c>
      <c r="G134" s="47" t="s">
        <v>553</v>
      </c>
      <c r="H134" s="47" t="s">
        <v>101</v>
      </c>
      <c r="I134" s="47" t="s">
        <v>80</v>
      </c>
      <c r="J134" s="47" t="s">
        <v>94</v>
      </c>
      <c r="K134" s="87" t="s">
        <v>82</v>
      </c>
      <c r="L134" s="47" t="s">
        <v>554</v>
      </c>
      <c r="M134" s="47" t="s">
        <v>83</v>
      </c>
      <c r="N134" s="89" t="s">
        <v>103</v>
      </c>
      <c r="O134" s="90">
        <v>0.32</v>
      </c>
      <c r="P134" s="47">
        <v>113</v>
      </c>
      <c r="Q134" s="47">
        <v>25</v>
      </c>
      <c r="R134" s="47" t="s">
        <v>87</v>
      </c>
      <c r="S134" s="84" t="s">
        <v>87</v>
      </c>
      <c r="T134" s="92">
        <v>0.8</v>
      </c>
      <c r="U134" s="47">
        <v>250</v>
      </c>
      <c r="V134" s="47">
        <v>750</v>
      </c>
      <c r="W134" s="84">
        <v>500</v>
      </c>
      <c r="X134" s="93">
        <v>130</v>
      </c>
      <c r="Y134" s="47">
        <v>250</v>
      </c>
      <c r="Z134" s="47">
        <v>750</v>
      </c>
      <c r="AA134" s="84">
        <v>500</v>
      </c>
      <c r="AB134" s="93">
        <v>130</v>
      </c>
      <c r="AC134" s="84" t="s">
        <v>87</v>
      </c>
      <c r="AD134" s="84">
        <v>88</v>
      </c>
      <c r="AE134" s="75">
        <v>1.0816000000000001</v>
      </c>
      <c r="AF134" s="75">
        <v>0.97195044247787621</v>
      </c>
      <c r="AG134" s="75">
        <v>1.0302674690265488</v>
      </c>
      <c r="AH134" s="97">
        <v>868.833664</v>
      </c>
      <c r="AI134" s="117">
        <v>154.55409397176223</v>
      </c>
      <c r="AJ134" s="97">
        <v>168.99297950331749</v>
      </c>
      <c r="AK134" s="40">
        <v>335.93365791037485</v>
      </c>
      <c r="AL134" s="41">
        <v>169</v>
      </c>
      <c r="AM134" s="39">
        <v>190.97</v>
      </c>
      <c r="AN134" s="39">
        <v>196.75017856000002</v>
      </c>
      <c r="AO134" s="39">
        <v>787.00071424000009</v>
      </c>
      <c r="AP134" s="47" t="s">
        <v>574</v>
      </c>
      <c r="AQ134" s="108"/>
      <c r="AR134" s="43"/>
    </row>
    <row r="135" spans="1:44" x14ac:dyDescent="0.3">
      <c r="A135" s="25" t="s">
        <v>1509</v>
      </c>
      <c r="B135" s="25" t="s">
        <v>119</v>
      </c>
      <c r="C135" s="25" t="s">
        <v>120</v>
      </c>
      <c r="D135" s="25" t="s">
        <v>121</v>
      </c>
      <c r="E135" s="25"/>
      <c r="F135" s="27" t="s">
        <v>78</v>
      </c>
      <c r="G135" s="25" t="s">
        <v>555</v>
      </c>
      <c r="H135" s="25" t="s">
        <v>101</v>
      </c>
      <c r="I135" s="25" t="s">
        <v>80</v>
      </c>
      <c r="J135" s="25" t="s">
        <v>94</v>
      </c>
      <c r="K135" s="30" t="s">
        <v>82</v>
      </c>
      <c r="L135" s="25" t="s">
        <v>556</v>
      </c>
      <c r="M135" s="25" t="s">
        <v>83</v>
      </c>
      <c r="N135" s="74" t="s">
        <v>103</v>
      </c>
      <c r="O135" s="61">
        <v>0.52</v>
      </c>
      <c r="P135" s="25">
        <v>115</v>
      </c>
      <c r="Q135" s="25">
        <v>30</v>
      </c>
      <c r="R135" s="25" t="s">
        <v>87</v>
      </c>
      <c r="S135" s="84" t="s">
        <v>87</v>
      </c>
      <c r="T135" s="35">
        <v>0.8</v>
      </c>
      <c r="U135" s="25">
        <v>200</v>
      </c>
      <c r="V135" s="25">
        <v>600</v>
      </c>
      <c r="W135" s="34">
        <v>400</v>
      </c>
      <c r="X135" s="36">
        <v>250</v>
      </c>
      <c r="Y135" s="25">
        <v>200</v>
      </c>
      <c r="Z135" s="25">
        <v>600</v>
      </c>
      <c r="AA135" s="34">
        <v>400</v>
      </c>
      <c r="AB135" s="36">
        <v>250</v>
      </c>
      <c r="AC135" s="34" t="s">
        <v>87</v>
      </c>
      <c r="AD135" s="34">
        <v>85</v>
      </c>
      <c r="AE135" s="37">
        <v>1.242</v>
      </c>
      <c r="AF135" s="37">
        <v>1.0786521739130435</v>
      </c>
      <c r="AG135" s="37">
        <v>1.1433713043478262</v>
      </c>
      <c r="AH135" s="38">
        <v>881.85470400000008</v>
      </c>
      <c r="AI135" s="117">
        <v>134.59396782597264</v>
      </c>
      <c r="AJ135" s="38">
        <v>147.16812128082785</v>
      </c>
      <c r="AK135" s="40">
        <v>292.54898904658734</v>
      </c>
      <c r="AL135" s="41">
        <v>147</v>
      </c>
      <c r="AM135" s="39">
        <v>169.05</v>
      </c>
      <c r="AN135" s="39">
        <v>193.28691900000004</v>
      </c>
      <c r="AO135" s="39">
        <v>644.28973000000019</v>
      </c>
      <c r="AP135" s="25" t="s">
        <v>480</v>
      </c>
      <c r="AQ135" s="62" t="s">
        <v>575</v>
      </c>
      <c r="AR135" s="43"/>
    </row>
    <row r="136" spans="1:44" x14ac:dyDescent="0.3">
      <c r="A136" s="25" t="s">
        <v>1509</v>
      </c>
      <c r="B136" s="25" t="s">
        <v>119</v>
      </c>
      <c r="C136" s="25" t="s">
        <v>120</v>
      </c>
      <c r="D136" s="25" t="s">
        <v>121</v>
      </c>
      <c r="E136" s="26" t="s">
        <v>77</v>
      </c>
      <c r="F136" s="27" t="s">
        <v>78</v>
      </c>
      <c r="G136" s="25" t="s">
        <v>576</v>
      </c>
      <c r="H136" s="25" t="s">
        <v>101</v>
      </c>
      <c r="I136" s="25" t="s">
        <v>80</v>
      </c>
      <c r="J136" s="25" t="s">
        <v>94</v>
      </c>
      <c r="K136" s="30" t="s">
        <v>82</v>
      </c>
      <c r="L136" s="25" t="s">
        <v>577</v>
      </c>
      <c r="M136" s="25" t="s">
        <v>83</v>
      </c>
      <c r="N136" s="198" t="s">
        <v>142</v>
      </c>
      <c r="O136" s="61">
        <v>0.56000000000000005</v>
      </c>
      <c r="P136" s="25">
        <v>105</v>
      </c>
      <c r="Q136" s="25">
        <v>30</v>
      </c>
      <c r="R136" s="25" t="s">
        <v>87</v>
      </c>
      <c r="S136" s="84" t="s">
        <v>87</v>
      </c>
      <c r="T136" s="35">
        <v>0.8</v>
      </c>
      <c r="U136" s="25">
        <v>278</v>
      </c>
      <c r="V136" s="25">
        <v>424</v>
      </c>
      <c r="W136" s="34">
        <v>146</v>
      </c>
      <c r="X136" s="36">
        <v>326</v>
      </c>
      <c r="Y136" s="25">
        <v>160</v>
      </c>
      <c r="Z136" s="25">
        <v>560</v>
      </c>
      <c r="AA136" s="34">
        <v>400</v>
      </c>
      <c r="AB136" s="36">
        <v>190</v>
      </c>
      <c r="AC136" s="34" t="s">
        <v>87</v>
      </c>
      <c r="AD136" s="34">
        <v>75</v>
      </c>
      <c r="AE136" s="37">
        <v>1.2200000000000002</v>
      </c>
      <c r="AF136" s="37">
        <v>1.0700000000000003</v>
      </c>
      <c r="AG136" s="37">
        <v>1.1342000000000003</v>
      </c>
      <c r="AH136" s="38">
        <v>884.45891200000005</v>
      </c>
      <c r="AI136" s="117">
        <v>137.02107216381802</v>
      </c>
      <c r="AJ136" s="38">
        <v>149.821972648187</v>
      </c>
      <c r="AK136" s="40">
        <v>297.82446261955852</v>
      </c>
      <c r="AL136" s="41">
        <v>50</v>
      </c>
      <c r="AM136" s="39">
        <v>52.5</v>
      </c>
      <c r="AN136" s="39">
        <v>59.545500000000018</v>
      </c>
      <c r="AO136" s="39">
        <v>198.48500000000007</v>
      </c>
      <c r="AP136" s="25" t="s">
        <v>588</v>
      </c>
      <c r="AQ136" s="62" t="s">
        <v>589</v>
      </c>
      <c r="AR136" s="43"/>
    </row>
    <row r="137" spans="1:44" x14ac:dyDescent="0.3">
      <c r="A137" s="25" t="s">
        <v>1509</v>
      </c>
      <c r="B137" s="25" t="s">
        <v>119</v>
      </c>
      <c r="C137" s="25" t="s">
        <v>120</v>
      </c>
      <c r="D137" s="25" t="s">
        <v>121</v>
      </c>
      <c r="E137" s="86" t="s">
        <v>77</v>
      </c>
      <c r="F137" s="47" t="s">
        <v>122</v>
      </c>
      <c r="G137" s="47" t="s">
        <v>578</v>
      </c>
      <c r="H137" s="47" t="s">
        <v>101</v>
      </c>
      <c r="I137" s="47" t="s">
        <v>80</v>
      </c>
      <c r="J137" s="47" t="s">
        <v>94</v>
      </c>
      <c r="K137" s="87" t="s">
        <v>82</v>
      </c>
      <c r="L137" s="99" t="s">
        <v>579</v>
      </c>
      <c r="M137" s="47" t="s">
        <v>83</v>
      </c>
      <c r="N137" s="89" t="s">
        <v>103</v>
      </c>
      <c r="O137" s="90">
        <v>0.56000000000000005</v>
      </c>
      <c r="P137" s="47">
        <v>105</v>
      </c>
      <c r="Q137" s="47">
        <v>30</v>
      </c>
      <c r="R137" s="47" t="s">
        <v>87</v>
      </c>
      <c r="S137" s="84" t="s">
        <v>87</v>
      </c>
      <c r="T137" s="92">
        <v>0.8</v>
      </c>
      <c r="U137" s="47">
        <v>200</v>
      </c>
      <c r="V137" s="47">
        <v>600</v>
      </c>
      <c r="W137" s="84">
        <v>400</v>
      </c>
      <c r="X137" s="93">
        <v>150</v>
      </c>
      <c r="Y137" s="47">
        <v>200</v>
      </c>
      <c r="Z137" s="47">
        <v>600</v>
      </c>
      <c r="AA137" s="84">
        <v>400</v>
      </c>
      <c r="AB137" s="93">
        <v>150</v>
      </c>
      <c r="AC137" s="84" t="s">
        <v>87</v>
      </c>
      <c r="AD137" s="84">
        <v>75</v>
      </c>
      <c r="AE137" s="75">
        <v>1.2200000000000002</v>
      </c>
      <c r="AF137" s="75">
        <v>1.0700000000000003</v>
      </c>
      <c r="AG137" s="75">
        <v>1.1342000000000003</v>
      </c>
      <c r="AH137" s="97">
        <v>884.45891200000005</v>
      </c>
      <c r="AI137" s="39">
        <v>137.02107216381802</v>
      </c>
      <c r="AJ137" s="97">
        <v>149.821972648187</v>
      </c>
      <c r="AK137" s="40">
        <v>297.82446261955852</v>
      </c>
      <c r="AL137" s="41">
        <v>150</v>
      </c>
      <c r="AM137" s="39">
        <v>157.5</v>
      </c>
      <c r="AN137" s="39">
        <v>178.63650000000004</v>
      </c>
      <c r="AO137" s="39">
        <v>595.45500000000015</v>
      </c>
      <c r="AP137" s="47" t="s">
        <v>590</v>
      </c>
      <c r="AQ137" s="216" t="s">
        <v>591</v>
      </c>
      <c r="AR137" s="108" t="s">
        <v>592</v>
      </c>
    </row>
    <row r="138" spans="1:44" x14ac:dyDescent="0.3">
      <c r="A138" s="25" t="s">
        <v>1509</v>
      </c>
      <c r="B138" s="25" t="s">
        <v>119</v>
      </c>
      <c r="C138" s="25" t="s">
        <v>120</v>
      </c>
      <c r="D138" s="25" t="s">
        <v>121</v>
      </c>
      <c r="E138" s="86" t="s">
        <v>77</v>
      </c>
      <c r="F138" s="47" t="s">
        <v>122</v>
      </c>
      <c r="G138" s="47" t="s">
        <v>580</v>
      </c>
      <c r="H138" s="47" t="s">
        <v>101</v>
      </c>
      <c r="I138" s="47" t="s">
        <v>80</v>
      </c>
      <c r="J138" s="47" t="s">
        <v>94</v>
      </c>
      <c r="K138" s="87" t="s">
        <v>82</v>
      </c>
      <c r="L138" s="47" t="s">
        <v>581</v>
      </c>
      <c r="M138" s="47" t="s">
        <v>83</v>
      </c>
      <c r="N138" s="89" t="s">
        <v>103</v>
      </c>
      <c r="O138" s="90">
        <v>0.4</v>
      </c>
      <c r="P138" s="47">
        <v>105</v>
      </c>
      <c r="Q138" s="47">
        <v>30</v>
      </c>
      <c r="R138" s="47" t="s">
        <v>87</v>
      </c>
      <c r="S138" s="84" t="s">
        <v>87</v>
      </c>
      <c r="T138" s="92">
        <v>0.8</v>
      </c>
      <c r="U138" s="47">
        <v>200</v>
      </c>
      <c r="V138" s="47">
        <v>600</v>
      </c>
      <c r="W138" s="84">
        <v>400</v>
      </c>
      <c r="X138" s="93">
        <v>150</v>
      </c>
      <c r="Y138" s="47">
        <v>200</v>
      </c>
      <c r="Z138" s="47">
        <v>600</v>
      </c>
      <c r="AA138" s="84">
        <v>400</v>
      </c>
      <c r="AB138" s="93">
        <v>150</v>
      </c>
      <c r="AC138" s="84" t="s">
        <v>87</v>
      </c>
      <c r="AD138" s="84">
        <v>75</v>
      </c>
      <c r="AE138" s="75">
        <v>1.1000000000000001</v>
      </c>
      <c r="AF138" s="75">
        <v>0.99285714285714288</v>
      </c>
      <c r="AG138" s="75">
        <v>1.0524285714285715</v>
      </c>
      <c r="AH138" s="97">
        <v>874.04208000000006</v>
      </c>
      <c r="AI138" s="39">
        <v>151.96882549078001</v>
      </c>
      <c r="AJ138" s="97">
        <v>166.16618784617106</v>
      </c>
      <c r="AK138" s="40">
        <v>330.31440399623767</v>
      </c>
      <c r="AL138" s="41">
        <v>166</v>
      </c>
      <c r="AM138" s="39">
        <v>174.3</v>
      </c>
      <c r="AN138" s="39">
        <v>183.43830000000003</v>
      </c>
      <c r="AO138" s="39">
        <v>611.46100000000013</v>
      </c>
      <c r="AP138" s="47" t="s">
        <v>593</v>
      </c>
      <c r="AQ138" s="217" t="s">
        <v>594</v>
      </c>
      <c r="AR138" s="88"/>
    </row>
    <row r="139" spans="1:44" x14ac:dyDescent="0.3">
      <c r="A139" s="25" t="s">
        <v>1509</v>
      </c>
      <c r="B139" s="25" t="s">
        <v>119</v>
      </c>
      <c r="C139" s="25" t="s">
        <v>120</v>
      </c>
      <c r="D139" s="25" t="s">
        <v>121</v>
      </c>
      <c r="E139" s="26" t="s">
        <v>77</v>
      </c>
      <c r="F139" s="27" t="s">
        <v>78</v>
      </c>
      <c r="G139" s="25" t="s">
        <v>582</v>
      </c>
      <c r="H139" s="25" t="s">
        <v>101</v>
      </c>
      <c r="I139" s="25" t="s">
        <v>80</v>
      </c>
      <c r="J139" s="25" t="s">
        <v>94</v>
      </c>
      <c r="K139" s="30" t="s">
        <v>82</v>
      </c>
      <c r="L139" s="25" t="s">
        <v>583</v>
      </c>
      <c r="M139" s="25" t="s">
        <v>83</v>
      </c>
      <c r="N139" s="74" t="s">
        <v>103</v>
      </c>
      <c r="O139" s="61">
        <v>0.64</v>
      </c>
      <c r="P139" s="25">
        <v>98</v>
      </c>
      <c r="Q139" s="25">
        <v>30</v>
      </c>
      <c r="R139" s="25" t="s">
        <v>87</v>
      </c>
      <c r="S139" s="84" t="s">
        <v>87</v>
      </c>
      <c r="T139" s="35">
        <v>0.8</v>
      </c>
      <c r="U139" s="25">
        <v>160</v>
      </c>
      <c r="V139" s="25">
        <v>560</v>
      </c>
      <c r="W139" s="34">
        <v>400</v>
      </c>
      <c r="X139" s="36">
        <v>120</v>
      </c>
      <c r="Y139" s="25">
        <v>150</v>
      </c>
      <c r="Z139" s="25">
        <v>600</v>
      </c>
      <c r="AA139" s="34">
        <v>450</v>
      </c>
      <c r="AB139" s="36">
        <v>80</v>
      </c>
      <c r="AC139" s="34" t="s">
        <v>87</v>
      </c>
      <c r="AD139" s="34">
        <v>68</v>
      </c>
      <c r="AE139" s="37">
        <v>1.2352000000000001</v>
      </c>
      <c r="AF139" s="37">
        <v>1.0842122448979592</v>
      </c>
      <c r="AG139" s="37">
        <v>1.1492649795918366</v>
      </c>
      <c r="AH139" s="38">
        <v>889.66732800000011</v>
      </c>
      <c r="AI139" s="117">
        <v>135.33493202708712</v>
      </c>
      <c r="AJ139" s="38">
        <v>147.97830847699819</v>
      </c>
      <c r="AK139" s="40">
        <v>294.15952428421429</v>
      </c>
      <c r="AL139" s="41">
        <v>120</v>
      </c>
      <c r="AM139" s="39">
        <v>117.6</v>
      </c>
      <c r="AN139" s="39">
        <v>135.15356159999999</v>
      </c>
      <c r="AO139" s="39">
        <v>450.51187199999998</v>
      </c>
      <c r="AP139" s="25" t="s">
        <v>212</v>
      </c>
      <c r="AQ139" s="62" t="s">
        <v>595</v>
      </c>
      <c r="AR139" s="43"/>
    </row>
    <row r="140" spans="1:44" x14ac:dyDescent="0.3">
      <c r="A140" s="25" t="s">
        <v>1509</v>
      </c>
      <c r="B140" s="25" t="s">
        <v>119</v>
      </c>
      <c r="C140" s="25" t="s">
        <v>120</v>
      </c>
      <c r="D140" s="25" t="s">
        <v>121</v>
      </c>
      <c r="E140" s="86" t="s">
        <v>77</v>
      </c>
      <c r="F140" s="47" t="s">
        <v>122</v>
      </c>
      <c r="G140" s="47" t="s">
        <v>584</v>
      </c>
      <c r="H140" s="47" t="s">
        <v>101</v>
      </c>
      <c r="I140" s="47" t="s">
        <v>80</v>
      </c>
      <c r="J140" s="47" t="s">
        <v>94</v>
      </c>
      <c r="K140" s="87" t="s">
        <v>82</v>
      </c>
      <c r="L140" s="215" t="s">
        <v>585</v>
      </c>
      <c r="M140" s="47" t="s">
        <v>83</v>
      </c>
      <c r="N140" s="89" t="s">
        <v>103</v>
      </c>
      <c r="O140" s="90">
        <v>0.35</v>
      </c>
      <c r="P140" s="27">
        <v>130</v>
      </c>
      <c r="Q140" s="47">
        <v>30</v>
      </c>
      <c r="R140" s="47" t="s">
        <v>87</v>
      </c>
      <c r="S140" s="84" t="s">
        <v>87</v>
      </c>
      <c r="T140" s="92">
        <v>0.8</v>
      </c>
      <c r="U140" s="47">
        <v>250</v>
      </c>
      <c r="V140" s="47">
        <v>650</v>
      </c>
      <c r="W140" s="84">
        <v>400</v>
      </c>
      <c r="X140" s="93">
        <v>350</v>
      </c>
      <c r="Y140" s="47">
        <v>250</v>
      </c>
      <c r="Z140" s="47">
        <v>650</v>
      </c>
      <c r="AA140" s="84">
        <v>400</v>
      </c>
      <c r="AB140" s="93">
        <v>350</v>
      </c>
      <c r="AC140" s="84" t="s">
        <v>87</v>
      </c>
      <c r="AD140" s="84">
        <v>100</v>
      </c>
      <c r="AE140" s="75">
        <v>1.1499999999999999</v>
      </c>
      <c r="AF140" s="75">
        <v>1.0153846153846153</v>
      </c>
      <c r="AG140" s="75">
        <v>1.0763076923076922</v>
      </c>
      <c r="AH140" s="97">
        <v>870.78682000000003</v>
      </c>
      <c r="AI140" s="39">
        <v>145.36148525205047</v>
      </c>
      <c r="AJ140" s="97">
        <v>158.94157098329407</v>
      </c>
      <c r="AK140" s="40">
        <v>315.95290817031434</v>
      </c>
      <c r="AL140" s="41">
        <v>159</v>
      </c>
      <c r="AM140" s="39">
        <v>206.7</v>
      </c>
      <c r="AN140" s="39">
        <v>222.47279999999995</v>
      </c>
      <c r="AO140" s="39">
        <v>741.57599999999991</v>
      </c>
      <c r="AP140" s="47" t="s">
        <v>596</v>
      </c>
      <c r="AQ140" s="108" t="s">
        <v>597</v>
      </c>
      <c r="AR140" s="88"/>
    </row>
    <row r="141" spans="1:44" x14ac:dyDescent="0.3">
      <c r="A141" s="25" t="s">
        <v>1509</v>
      </c>
      <c r="B141" s="25" t="s">
        <v>119</v>
      </c>
      <c r="C141" s="25" t="s">
        <v>120</v>
      </c>
      <c r="D141" s="25" t="s">
        <v>121</v>
      </c>
      <c r="E141" s="86" t="s">
        <v>77</v>
      </c>
      <c r="F141" s="47" t="s">
        <v>122</v>
      </c>
      <c r="G141" s="47" t="s">
        <v>586</v>
      </c>
      <c r="H141" s="47" t="s">
        <v>101</v>
      </c>
      <c r="I141" s="47" t="s">
        <v>80</v>
      </c>
      <c r="J141" s="47" t="s">
        <v>94</v>
      </c>
      <c r="K141" s="87" t="s">
        <v>82</v>
      </c>
      <c r="L141" s="47" t="s">
        <v>587</v>
      </c>
      <c r="M141" s="47" t="s">
        <v>83</v>
      </c>
      <c r="N141" s="89" t="s">
        <v>103</v>
      </c>
      <c r="O141" s="90">
        <v>0.33</v>
      </c>
      <c r="P141" s="47">
        <v>103</v>
      </c>
      <c r="Q141" s="47">
        <v>30</v>
      </c>
      <c r="R141" s="47" t="s">
        <v>87</v>
      </c>
      <c r="S141" s="84" t="s">
        <v>87</v>
      </c>
      <c r="T141" s="92">
        <v>0.8</v>
      </c>
      <c r="U141" s="47">
        <v>200</v>
      </c>
      <c r="V141" s="47">
        <v>600</v>
      </c>
      <c r="W141" s="84">
        <v>400</v>
      </c>
      <c r="X141" s="93">
        <v>130</v>
      </c>
      <c r="Y141" s="47">
        <v>200</v>
      </c>
      <c r="Z141" s="47">
        <v>600</v>
      </c>
      <c r="AA141" s="84">
        <v>400</v>
      </c>
      <c r="AB141" s="93">
        <v>130</v>
      </c>
      <c r="AC141" s="84" t="s">
        <v>87</v>
      </c>
      <c r="AD141" s="84">
        <v>73</v>
      </c>
      <c r="AE141" s="75">
        <v>1.0409000000000002</v>
      </c>
      <c r="AF141" s="75">
        <v>0.95553252427184476</v>
      </c>
      <c r="AG141" s="75">
        <v>1.0128644757281553</v>
      </c>
      <c r="AH141" s="97">
        <v>869.48471600000005</v>
      </c>
      <c r="AI141" s="39">
        <v>160.59727931584015</v>
      </c>
      <c r="AJ141" s="97">
        <v>175.60073650762624</v>
      </c>
      <c r="AK141" s="40">
        <v>349.06892534908388</v>
      </c>
      <c r="AL141" s="41">
        <v>176</v>
      </c>
      <c r="AM141" s="39">
        <v>181.28</v>
      </c>
      <c r="AN141" s="39">
        <v>183.61207216</v>
      </c>
      <c r="AO141" s="39">
        <v>612.0402405333333</v>
      </c>
      <c r="AP141" s="47" t="s">
        <v>593</v>
      </c>
      <c r="AQ141" s="217" t="s">
        <v>598</v>
      </c>
      <c r="AR141" s="88" t="s">
        <v>599</v>
      </c>
    </row>
    <row r="142" spans="1:44" x14ac:dyDescent="0.3">
      <c r="A142" s="25" t="s">
        <v>1509</v>
      </c>
      <c r="B142" s="25" t="s">
        <v>119</v>
      </c>
      <c r="C142" s="25" t="s">
        <v>120</v>
      </c>
      <c r="D142" s="25" t="s">
        <v>121</v>
      </c>
      <c r="E142" s="86" t="s">
        <v>77</v>
      </c>
      <c r="F142" s="47" t="s">
        <v>122</v>
      </c>
      <c r="G142" s="47" t="s">
        <v>600</v>
      </c>
      <c r="H142" s="47" t="s">
        <v>101</v>
      </c>
      <c r="I142" s="47" t="s">
        <v>80</v>
      </c>
      <c r="J142" s="47" t="s">
        <v>94</v>
      </c>
      <c r="K142" s="87" t="s">
        <v>82</v>
      </c>
      <c r="L142" s="47" t="s">
        <v>601</v>
      </c>
      <c r="M142" s="47" t="s">
        <v>83</v>
      </c>
      <c r="N142" s="89" t="s">
        <v>103</v>
      </c>
      <c r="O142" s="90">
        <v>0.56000000000000005</v>
      </c>
      <c r="P142" s="47">
        <v>96</v>
      </c>
      <c r="Q142" s="47">
        <v>30</v>
      </c>
      <c r="R142" s="47" t="s">
        <v>87</v>
      </c>
      <c r="S142" s="84" t="s">
        <v>87</v>
      </c>
      <c r="T142" s="92">
        <v>0.8</v>
      </c>
      <c r="U142" s="47">
        <v>150</v>
      </c>
      <c r="V142" s="47">
        <v>540</v>
      </c>
      <c r="W142" s="84">
        <v>390</v>
      </c>
      <c r="X142" s="93">
        <v>120</v>
      </c>
      <c r="Y142" s="47">
        <v>150</v>
      </c>
      <c r="Z142" s="47">
        <v>550</v>
      </c>
      <c r="AA142" s="84">
        <v>400</v>
      </c>
      <c r="AB142" s="93">
        <v>110</v>
      </c>
      <c r="AC142" s="84" t="s">
        <v>87</v>
      </c>
      <c r="AD142" s="84">
        <v>66</v>
      </c>
      <c r="AE142" s="75">
        <v>1.1696</v>
      </c>
      <c r="AF142" s="75">
        <v>1.0425500000000001</v>
      </c>
      <c r="AG142" s="75">
        <v>1.1051030000000002</v>
      </c>
      <c r="AH142" s="97">
        <v>884.45891200000005</v>
      </c>
      <c r="AI142" s="39">
        <v>142.92553696978285</v>
      </c>
      <c r="AJ142" s="97">
        <v>156.27804944492834</v>
      </c>
      <c r="AK142" s="40">
        <v>310.65821169276802</v>
      </c>
      <c r="AL142" s="41">
        <v>156</v>
      </c>
      <c r="AM142" s="39">
        <v>149.76</v>
      </c>
      <c r="AN142" s="39">
        <v>165.50022528000002</v>
      </c>
      <c r="AO142" s="39">
        <v>551.66741760000014</v>
      </c>
      <c r="AP142" s="47" t="s">
        <v>630</v>
      </c>
      <c r="AQ142" s="217" t="s">
        <v>631</v>
      </c>
      <c r="AR142" s="88"/>
    </row>
    <row r="143" spans="1:44" x14ac:dyDescent="0.3">
      <c r="A143" s="25" t="s">
        <v>1509</v>
      </c>
      <c r="B143" s="25" t="s">
        <v>119</v>
      </c>
      <c r="C143" s="25" t="s">
        <v>120</v>
      </c>
      <c r="D143" s="25" t="s">
        <v>121</v>
      </c>
      <c r="E143" s="26" t="s">
        <v>77</v>
      </c>
      <c r="F143" s="27" t="s">
        <v>78</v>
      </c>
      <c r="G143" s="25" t="s">
        <v>602</v>
      </c>
      <c r="H143" s="25" t="s">
        <v>101</v>
      </c>
      <c r="I143" s="25" t="s">
        <v>80</v>
      </c>
      <c r="J143" s="25" t="s">
        <v>94</v>
      </c>
      <c r="K143" s="30" t="s">
        <v>82</v>
      </c>
      <c r="L143" s="25" t="s">
        <v>603</v>
      </c>
      <c r="M143" s="25" t="s">
        <v>83</v>
      </c>
      <c r="N143" s="74" t="s">
        <v>103</v>
      </c>
      <c r="O143" s="61">
        <v>0.47</v>
      </c>
      <c r="P143" s="25">
        <v>105</v>
      </c>
      <c r="Q143" s="25">
        <v>30</v>
      </c>
      <c r="R143" s="25" t="s">
        <v>87</v>
      </c>
      <c r="S143" s="84" t="s">
        <v>87</v>
      </c>
      <c r="T143" s="35">
        <v>0.8</v>
      </c>
      <c r="U143" s="25">
        <v>200</v>
      </c>
      <c r="V143" s="25">
        <v>600</v>
      </c>
      <c r="W143" s="34">
        <v>400</v>
      </c>
      <c r="X143" s="36">
        <v>150</v>
      </c>
      <c r="Y143" s="25">
        <v>200</v>
      </c>
      <c r="Z143" s="25">
        <v>600</v>
      </c>
      <c r="AA143" s="34">
        <v>400</v>
      </c>
      <c r="AB143" s="36">
        <v>150</v>
      </c>
      <c r="AC143" s="34" t="s">
        <v>87</v>
      </c>
      <c r="AD143" s="34">
        <v>75</v>
      </c>
      <c r="AE143" s="37">
        <v>1.1524999999999999</v>
      </c>
      <c r="AF143" s="37">
        <v>1.0266071428571428</v>
      </c>
      <c r="AG143" s="37">
        <v>1.0882035714285714</v>
      </c>
      <c r="AH143" s="38">
        <v>878.59944400000006</v>
      </c>
      <c r="AI143" s="39">
        <v>145.04616749662304</v>
      </c>
      <c r="AJ143" s="38">
        <v>158.59679534124788</v>
      </c>
      <c r="AK143" s="40">
        <v>315.26754394434835</v>
      </c>
      <c r="AL143" s="41">
        <v>159</v>
      </c>
      <c r="AM143" s="39">
        <v>166.95</v>
      </c>
      <c r="AN143" s="39">
        <v>181.67558624999998</v>
      </c>
      <c r="AO143" s="39">
        <v>605.58528749999994</v>
      </c>
      <c r="AP143" s="25" t="s">
        <v>593</v>
      </c>
      <c r="AQ143" s="201" t="s">
        <v>632</v>
      </c>
      <c r="AR143" s="43"/>
    </row>
    <row r="144" spans="1:44" x14ac:dyDescent="0.3">
      <c r="A144" s="25" t="s">
        <v>1509</v>
      </c>
      <c r="B144" s="25" t="s">
        <v>119</v>
      </c>
      <c r="C144" s="25" t="s">
        <v>120</v>
      </c>
      <c r="D144" s="25" t="s">
        <v>121</v>
      </c>
      <c r="E144" s="86" t="s">
        <v>77</v>
      </c>
      <c r="F144" s="47" t="s">
        <v>122</v>
      </c>
      <c r="G144" s="47" t="s">
        <v>604</v>
      </c>
      <c r="H144" s="47" t="s">
        <v>101</v>
      </c>
      <c r="I144" s="47" t="s">
        <v>80</v>
      </c>
      <c r="J144" s="47" t="s">
        <v>94</v>
      </c>
      <c r="K144" s="87" t="s">
        <v>82</v>
      </c>
      <c r="L144" s="47" t="s">
        <v>605</v>
      </c>
      <c r="M144" s="47" t="s">
        <v>83</v>
      </c>
      <c r="N144" s="89" t="s">
        <v>103</v>
      </c>
      <c r="O144" s="90">
        <v>0.56000000000000005</v>
      </c>
      <c r="P144" s="218">
        <v>98</v>
      </c>
      <c r="Q144" s="47">
        <v>30</v>
      </c>
      <c r="R144" s="47" t="s">
        <v>87</v>
      </c>
      <c r="S144" s="84" t="s">
        <v>87</v>
      </c>
      <c r="T144" s="92">
        <v>0.8</v>
      </c>
      <c r="U144" s="47">
        <v>150</v>
      </c>
      <c r="V144" s="47">
        <v>550</v>
      </c>
      <c r="W144" s="84">
        <v>400</v>
      </c>
      <c r="X144" s="93">
        <v>130</v>
      </c>
      <c r="Y144" s="47">
        <v>150</v>
      </c>
      <c r="Z144" s="47">
        <v>550</v>
      </c>
      <c r="AA144" s="84">
        <v>400</v>
      </c>
      <c r="AB144" s="93">
        <v>130</v>
      </c>
      <c r="AC144" s="84" t="s">
        <v>87</v>
      </c>
      <c r="AD144" s="84">
        <v>68</v>
      </c>
      <c r="AE144" s="75">
        <v>1.1808000000000001</v>
      </c>
      <c r="AF144" s="75">
        <v>1.0486857142857142</v>
      </c>
      <c r="AG144" s="75">
        <v>1.1116068571428572</v>
      </c>
      <c r="AH144" s="97">
        <v>884.45891200000005</v>
      </c>
      <c r="AI144" s="39">
        <v>141.56987469500172</v>
      </c>
      <c r="AJ144" s="97">
        <v>154.79573732282196</v>
      </c>
      <c r="AK144" s="40">
        <v>307.71158908863606</v>
      </c>
      <c r="AL144" s="98">
        <v>120</v>
      </c>
      <c r="AM144" s="39">
        <v>117.6</v>
      </c>
      <c r="AN144" s="39">
        <v>130.7249664</v>
      </c>
      <c r="AO144" s="39">
        <v>435.749888</v>
      </c>
      <c r="AP144" s="47" t="s">
        <v>115</v>
      </c>
      <c r="AQ144" s="108" t="s">
        <v>633</v>
      </c>
      <c r="AR144" s="88" t="s">
        <v>634</v>
      </c>
    </row>
    <row r="145" spans="1:44" x14ac:dyDescent="0.3">
      <c r="A145" s="25" t="s">
        <v>1509</v>
      </c>
      <c r="B145" s="25" t="s">
        <v>119</v>
      </c>
      <c r="C145" s="25" t="s">
        <v>120</v>
      </c>
      <c r="D145" s="25" t="s">
        <v>121</v>
      </c>
      <c r="E145" s="26" t="s">
        <v>77</v>
      </c>
      <c r="F145" s="27" t="s">
        <v>78</v>
      </c>
      <c r="G145" s="25" t="s">
        <v>606</v>
      </c>
      <c r="H145" s="25" t="s">
        <v>101</v>
      </c>
      <c r="I145" s="25" t="s">
        <v>80</v>
      </c>
      <c r="J145" s="25" t="s">
        <v>94</v>
      </c>
      <c r="K145" s="30" t="s">
        <v>82</v>
      </c>
      <c r="L145" s="25" t="s">
        <v>607</v>
      </c>
      <c r="M145" s="25" t="s">
        <v>83</v>
      </c>
      <c r="N145" s="74" t="s">
        <v>103</v>
      </c>
      <c r="O145" s="61">
        <v>0.57999999999999996</v>
      </c>
      <c r="P145" s="25">
        <v>105</v>
      </c>
      <c r="Q145" s="25">
        <v>30</v>
      </c>
      <c r="R145" s="25" t="s">
        <v>87</v>
      </c>
      <c r="S145" s="84" t="s">
        <v>87</v>
      </c>
      <c r="T145" s="35">
        <v>0.8</v>
      </c>
      <c r="U145" s="25">
        <v>200</v>
      </c>
      <c r="V145" s="25">
        <v>600</v>
      </c>
      <c r="W145" s="34">
        <v>400</v>
      </c>
      <c r="X145" s="36">
        <v>150</v>
      </c>
      <c r="Y145" s="25">
        <v>150</v>
      </c>
      <c r="Z145" s="25">
        <v>600</v>
      </c>
      <c r="AA145" s="34">
        <v>450</v>
      </c>
      <c r="AB145" s="36">
        <v>150</v>
      </c>
      <c r="AC145" s="34" t="s">
        <v>87</v>
      </c>
      <c r="AD145" s="34">
        <v>75</v>
      </c>
      <c r="AE145" s="37">
        <v>1.2349999999999999</v>
      </c>
      <c r="AF145" s="37">
        <v>1.0796428571428571</v>
      </c>
      <c r="AG145" s="37">
        <v>1.1444214285714285</v>
      </c>
      <c r="AH145" s="38">
        <v>885.76101600000004</v>
      </c>
      <c r="AI145" s="39">
        <v>135.35684861526968</v>
      </c>
      <c r="AJ145" s="38">
        <v>148.00227257553701</v>
      </c>
      <c r="AK145" s="40">
        <v>294.20716145413888</v>
      </c>
      <c r="AL145" s="41">
        <v>148</v>
      </c>
      <c r="AM145" s="39">
        <v>155.4</v>
      </c>
      <c r="AN145" s="39">
        <v>177.84308999999999</v>
      </c>
      <c r="AO145" s="39">
        <v>592.81029999999998</v>
      </c>
      <c r="AP145" s="25" t="s">
        <v>635</v>
      </c>
      <c r="AQ145" s="201" t="s">
        <v>636</v>
      </c>
      <c r="AR145" s="43" t="s">
        <v>637</v>
      </c>
    </row>
    <row r="146" spans="1:44" x14ac:dyDescent="0.3">
      <c r="A146" s="25" t="s">
        <v>1509</v>
      </c>
      <c r="B146" s="25" t="s">
        <v>119</v>
      </c>
      <c r="C146" s="25" t="s">
        <v>120</v>
      </c>
      <c r="D146" s="25" t="s">
        <v>121</v>
      </c>
      <c r="E146" s="26" t="s">
        <v>77</v>
      </c>
      <c r="F146" s="27" t="s">
        <v>78</v>
      </c>
      <c r="G146" s="25" t="s">
        <v>608</v>
      </c>
      <c r="H146" s="25" t="s">
        <v>101</v>
      </c>
      <c r="I146" s="25" t="s">
        <v>80</v>
      </c>
      <c r="J146" s="25" t="s">
        <v>94</v>
      </c>
      <c r="K146" s="30" t="s">
        <v>82</v>
      </c>
      <c r="L146" s="25" t="s">
        <v>609</v>
      </c>
      <c r="M146" s="25" t="s">
        <v>83</v>
      </c>
      <c r="N146" s="74" t="s">
        <v>103</v>
      </c>
      <c r="O146" s="61">
        <v>0.57999999999999996</v>
      </c>
      <c r="P146" s="25">
        <v>107</v>
      </c>
      <c r="Q146" s="25">
        <v>30</v>
      </c>
      <c r="R146" s="25" t="s">
        <v>87</v>
      </c>
      <c r="S146" s="84" t="s">
        <v>87</v>
      </c>
      <c r="T146" s="35">
        <v>0.8</v>
      </c>
      <c r="U146" s="25">
        <v>200</v>
      </c>
      <c r="V146" s="25">
        <v>600</v>
      </c>
      <c r="W146" s="34">
        <v>400</v>
      </c>
      <c r="X146" s="36">
        <v>170</v>
      </c>
      <c r="Y146" s="25">
        <v>150</v>
      </c>
      <c r="Z146" s="25">
        <v>600</v>
      </c>
      <c r="AA146" s="34">
        <v>450</v>
      </c>
      <c r="AB146" s="36">
        <v>170</v>
      </c>
      <c r="AC146" s="34" t="s">
        <v>87</v>
      </c>
      <c r="AD146" s="34">
        <v>77</v>
      </c>
      <c r="AE146" s="37">
        <v>1.2465999999999999</v>
      </c>
      <c r="AF146" s="37">
        <v>1.0859074766355139</v>
      </c>
      <c r="AG146" s="37">
        <v>1.1510619252336447</v>
      </c>
      <c r="AH146" s="38">
        <v>885.76101600000004</v>
      </c>
      <c r="AI146" s="117">
        <v>134.09731111812775</v>
      </c>
      <c r="AJ146" s="38">
        <v>146.62506548274362</v>
      </c>
      <c r="AK146" s="40">
        <v>291.46947248183983</v>
      </c>
      <c r="AL146" s="41">
        <v>120</v>
      </c>
      <c r="AM146" s="39">
        <v>128.4</v>
      </c>
      <c r="AN146" s="39">
        <v>147.79635119999998</v>
      </c>
      <c r="AO146" s="39">
        <v>492.65450399999992</v>
      </c>
      <c r="AP146" s="25" t="s">
        <v>212</v>
      </c>
      <c r="AQ146" s="62" t="s">
        <v>638</v>
      </c>
      <c r="AR146" s="43" t="s">
        <v>639</v>
      </c>
    </row>
    <row r="147" spans="1:44" x14ac:dyDescent="0.3">
      <c r="A147" s="25" t="s">
        <v>1509</v>
      </c>
      <c r="B147" s="25" t="s">
        <v>119</v>
      </c>
      <c r="C147" s="25" t="s">
        <v>120</v>
      </c>
      <c r="D147" s="25" t="s">
        <v>121</v>
      </c>
      <c r="E147" s="86" t="s">
        <v>77</v>
      </c>
      <c r="F147" s="47" t="s">
        <v>122</v>
      </c>
      <c r="G147" s="47" t="s">
        <v>610</v>
      </c>
      <c r="H147" s="47" t="s">
        <v>101</v>
      </c>
      <c r="I147" s="47" t="s">
        <v>80</v>
      </c>
      <c r="J147" s="47" t="s">
        <v>94</v>
      </c>
      <c r="K147" s="87" t="s">
        <v>82</v>
      </c>
      <c r="L147" s="47"/>
      <c r="M147" s="47" t="s">
        <v>83</v>
      </c>
      <c r="N147" s="89" t="s">
        <v>103</v>
      </c>
      <c r="O147" s="90">
        <v>0.6</v>
      </c>
      <c r="P147" s="218">
        <v>110</v>
      </c>
      <c r="Q147" s="47">
        <v>27</v>
      </c>
      <c r="R147" s="47" t="s">
        <v>87</v>
      </c>
      <c r="S147" s="84" t="s">
        <v>87</v>
      </c>
      <c r="T147" s="92">
        <v>0.8</v>
      </c>
      <c r="U147" s="47">
        <v>150</v>
      </c>
      <c r="V147" s="47">
        <v>700</v>
      </c>
      <c r="W147" s="84">
        <v>550</v>
      </c>
      <c r="X147" s="93">
        <v>130</v>
      </c>
      <c r="Y147" s="47">
        <v>150</v>
      </c>
      <c r="Z147" s="47">
        <v>700</v>
      </c>
      <c r="AA147" s="84">
        <v>550</v>
      </c>
      <c r="AB147" s="93">
        <v>130</v>
      </c>
      <c r="AC147" s="84" t="s">
        <v>87</v>
      </c>
      <c r="AD147" s="84">
        <v>83</v>
      </c>
      <c r="AE147" s="75">
        <v>1.298</v>
      </c>
      <c r="AF147" s="75">
        <v>1.1101181818181818</v>
      </c>
      <c r="AG147" s="75">
        <v>1.1767252727272728</v>
      </c>
      <c r="AH147" s="97">
        <v>887.06312000000003</v>
      </c>
      <c r="AI147" s="39">
        <v>128.78714024642375</v>
      </c>
      <c r="AJ147" s="97">
        <v>140.81880325946702</v>
      </c>
      <c r="AK147" s="40">
        <v>279.92746101376076</v>
      </c>
      <c r="AL147" s="41">
        <v>141</v>
      </c>
      <c r="AM147" s="39">
        <v>155.1</v>
      </c>
      <c r="AN147" s="39">
        <v>182.5100898</v>
      </c>
      <c r="AO147" s="39">
        <v>675.96329555555553</v>
      </c>
      <c r="AP147" s="47" t="s">
        <v>640</v>
      </c>
      <c r="AQ147" s="108"/>
      <c r="AR147" s="88"/>
    </row>
    <row r="148" spans="1:44" x14ac:dyDescent="0.3">
      <c r="A148" s="25" t="s">
        <v>1509</v>
      </c>
      <c r="B148" s="25" t="s">
        <v>119</v>
      </c>
      <c r="C148" s="25" t="s">
        <v>120</v>
      </c>
      <c r="D148" s="25" t="s">
        <v>121</v>
      </c>
      <c r="E148" s="26" t="s">
        <v>77</v>
      </c>
      <c r="F148" s="27" t="s">
        <v>78</v>
      </c>
      <c r="G148" s="25" t="s">
        <v>611</v>
      </c>
      <c r="H148" s="25" t="s">
        <v>101</v>
      </c>
      <c r="I148" s="25" t="s">
        <v>80</v>
      </c>
      <c r="J148" s="25" t="s">
        <v>94</v>
      </c>
      <c r="K148" s="30" t="s">
        <v>82</v>
      </c>
      <c r="L148" s="25" t="s">
        <v>612</v>
      </c>
      <c r="M148" s="25" t="s">
        <v>83</v>
      </c>
      <c r="N148" s="74" t="s">
        <v>103</v>
      </c>
      <c r="O148" s="61">
        <v>0.66</v>
      </c>
      <c r="P148" s="25">
        <v>99</v>
      </c>
      <c r="Q148" s="25">
        <v>30</v>
      </c>
      <c r="R148" s="25" t="s">
        <v>87</v>
      </c>
      <c r="S148" s="84" t="s">
        <v>87</v>
      </c>
      <c r="T148" s="35">
        <v>0.8</v>
      </c>
      <c r="U148" s="25">
        <v>150</v>
      </c>
      <c r="V148" s="25">
        <v>550</v>
      </c>
      <c r="W148" s="34">
        <v>400</v>
      </c>
      <c r="X148" s="36">
        <v>140</v>
      </c>
      <c r="Y148" s="25">
        <v>150</v>
      </c>
      <c r="Z148" s="25">
        <v>600</v>
      </c>
      <c r="AA148" s="34">
        <v>450</v>
      </c>
      <c r="AB148" s="36">
        <v>90</v>
      </c>
      <c r="AC148" s="34" t="s">
        <v>87</v>
      </c>
      <c r="AD148" s="34">
        <v>69</v>
      </c>
      <c r="AE148" s="37">
        <v>1.2554000000000001</v>
      </c>
      <c r="AF148" s="37">
        <v>1.0966999999999998</v>
      </c>
      <c r="AG148" s="37">
        <v>1.1625019999999997</v>
      </c>
      <c r="AH148" s="38">
        <v>890.9694320000001</v>
      </c>
      <c r="AI148" s="39">
        <v>133.15732678019597</v>
      </c>
      <c r="AJ148" s="38">
        <v>145.5972651193151</v>
      </c>
      <c r="AK148" s="40">
        <v>289.42635366883974</v>
      </c>
      <c r="AL148" s="41">
        <v>146</v>
      </c>
      <c r="AM148" s="39">
        <v>144.54</v>
      </c>
      <c r="AN148" s="39">
        <v>168.02803907999996</v>
      </c>
      <c r="AO148" s="39">
        <v>560.09346359999984</v>
      </c>
      <c r="AP148" s="25" t="s">
        <v>452</v>
      </c>
      <c r="AQ148" s="201" t="s">
        <v>641</v>
      </c>
      <c r="AR148" s="43" t="s">
        <v>432</v>
      </c>
    </row>
    <row r="149" spans="1:44" x14ac:dyDescent="0.3">
      <c r="A149" s="25" t="s">
        <v>1509</v>
      </c>
      <c r="B149" s="25" t="s">
        <v>119</v>
      </c>
      <c r="C149" s="25" t="s">
        <v>120</v>
      </c>
      <c r="D149" s="25" t="s">
        <v>121</v>
      </c>
      <c r="E149" s="86" t="s">
        <v>77</v>
      </c>
      <c r="F149" s="47" t="s">
        <v>122</v>
      </c>
      <c r="G149" s="47" t="s">
        <v>613</v>
      </c>
      <c r="H149" s="47" t="s">
        <v>101</v>
      </c>
      <c r="I149" s="47" t="s">
        <v>80</v>
      </c>
      <c r="J149" s="47" t="s">
        <v>94</v>
      </c>
      <c r="K149" s="87" t="s">
        <v>82</v>
      </c>
      <c r="L149" s="47" t="s">
        <v>614</v>
      </c>
      <c r="M149" s="47" t="s">
        <v>83</v>
      </c>
      <c r="N149" s="89" t="s">
        <v>103</v>
      </c>
      <c r="O149" s="90">
        <v>0.23</v>
      </c>
      <c r="P149" s="27">
        <v>121</v>
      </c>
      <c r="Q149" s="47">
        <v>30</v>
      </c>
      <c r="R149" s="47" t="s">
        <v>87</v>
      </c>
      <c r="S149" s="84" t="s">
        <v>87</v>
      </c>
      <c r="T149" s="92">
        <v>0.8</v>
      </c>
      <c r="U149" s="47">
        <v>200</v>
      </c>
      <c r="V149" s="47">
        <v>650</v>
      </c>
      <c r="W149" s="84">
        <v>450</v>
      </c>
      <c r="X149" s="93">
        <v>260</v>
      </c>
      <c r="Y149" s="47">
        <v>200</v>
      </c>
      <c r="Z149" s="47">
        <v>650</v>
      </c>
      <c r="AA149" s="84">
        <v>450</v>
      </c>
      <c r="AB149" s="93">
        <v>260</v>
      </c>
      <c r="AC149" s="84" t="s">
        <v>87</v>
      </c>
      <c r="AD149" s="84">
        <v>91</v>
      </c>
      <c r="AE149" s="75">
        <v>1.0093000000000001</v>
      </c>
      <c r="AF149" s="75">
        <v>0.93059628099173575</v>
      </c>
      <c r="AG149" s="75">
        <v>0.98643205785123989</v>
      </c>
      <c r="AH149" s="97">
        <v>862.97419600000001</v>
      </c>
      <c r="AI149" s="39">
        <v>165.62539189523235</v>
      </c>
      <c r="AJ149" s="97">
        <v>181.09858974614897</v>
      </c>
      <c r="AK149" s="40">
        <v>359.99786425825965</v>
      </c>
      <c r="AL149" s="41">
        <v>181</v>
      </c>
      <c r="AM149" s="39">
        <v>219.01</v>
      </c>
      <c r="AN149" s="39">
        <v>216.03848499000003</v>
      </c>
      <c r="AO149" s="39">
        <v>720.12828330000013</v>
      </c>
      <c r="AP149" s="47" t="s">
        <v>642</v>
      </c>
      <c r="AQ149" s="108"/>
      <c r="AR149" s="88"/>
    </row>
    <row r="150" spans="1:44" x14ac:dyDescent="0.3">
      <c r="A150" s="25" t="s">
        <v>1509</v>
      </c>
      <c r="B150" s="25" t="s">
        <v>119</v>
      </c>
      <c r="C150" s="25" t="s">
        <v>120</v>
      </c>
      <c r="D150" s="25" t="s">
        <v>121</v>
      </c>
      <c r="E150" s="86" t="s">
        <v>77</v>
      </c>
      <c r="F150" s="47" t="s">
        <v>122</v>
      </c>
      <c r="G150" s="47" t="s">
        <v>615</v>
      </c>
      <c r="H150" s="47" t="s">
        <v>101</v>
      </c>
      <c r="I150" s="47" t="s">
        <v>80</v>
      </c>
      <c r="J150" s="47" t="s">
        <v>94</v>
      </c>
      <c r="K150" s="87" t="s">
        <v>82</v>
      </c>
      <c r="L150" s="47"/>
      <c r="M150" s="47" t="s">
        <v>83</v>
      </c>
      <c r="N150" s="89" t="s">
        <v>103</v>
      </c>
      <c r="O150" s="90">
        <v>0.57999999999999996</v>
      </c>
      <c r="P150" s="218">
        <v>107</v>
      </c>
      <c r="Q150" s="96">
        <v>24</v>
      </c>
      <c r="R150" s="47" t="s">
        <v>87</v>
      </c>
      <c r="S150" s="84" t="s">
        <v>87</v>
      </c>
      <c r="T150" s="92">
        <v>0.8</v>
      </c>
      <c r="U150" s="47">
        <v>150</v>
      </c>
      <c r="V150" s="47">
        <v>700</v>
      </c>
      <c r="W150" s="84">
        <v>550</v>
      </c>
      <c r="X150" s="93">
        <v>130</v>
      </c>
      <c r="Y150" s="47">
        <v>150</v>
      </c>
      <c r="Z150" s="47">
        <v>700</v>
      </c>
      <c r="AA150" s="84">
        <v>550</v>
      </c>
      <c r="AB150" s="93">
        <v>130</v>
      </c>
      <c r="AC150" s="84" t="s">
        <v>87</v>
      </c>
      <c r="AD150" s="84">
        <v>83</v>
      </c>
      <c r="AE150" s="75">
        <v>1.2814000000000001</v>
      </c>
      <c r="AF150" s="75">
        <v>1.0946887850467293</v>
      </c>
      <c r="AG150" s="75">
        <v>1.1603701121495331</v>
      </c>
      <c r="AH150" s="97">
        <v>885.76101600000004</v>
      </c>
      <c r="AI150" s="39">
        <v>130.45552367711724</v>
      </c>
      <c r="AJ150" s="97">
        <v>142.6430518423507</v>
      </c>
      <c r="AK150" s="40">
        <v>283.5538039611842</v>
      </c>
      <c r="AL150" s="41">
        <v>143</v>
      </c>
      <c r="AM150" s="39">
        <v>153.01</v>
      </c>
      <c r="AN150" s="39">
        <v>177.54823086000005</v>
      </c>
      <c r="AO150" s="39">
        <v>739.78429525000024</v>
      </c>
      <c r="AP150" s="47" t="s">
        <v>640</v>
      </c>
      <c r="AQ150" s="108"/>
      <c r="AR150" s="88"/>
    </row>
    <row r="151" spans="1:44" x14ac:dyDescent="0.3">
      <c r="A151" s="25" t="s">
        <v>1509</v>
      </c>
      <c r="B151" s="25" t="s">
        <v>119</v>
      </c>
      <c r="C151" s="25" t="s">
        <v>120</v>
      </c>
      <c r="D151" s="25" t="s">
        <v>121</v>
      </c>
      <c r="E151" s="86" t="s">
        <v>77</v>
      </c>
      <c r="F151" s="47" t="s">
        <v>122</v>
      </c>
      <c r="G151" s="47" t="s">
        <v>616</v>
      </c>
      <c r="H151" s="47" t="s">
        <v>101</v>
      </c>
      <c r="I151" s="47" t="s">
        <v>80</v>
      </c>
      <c r="J151" s="47" t="s">
        <v>94</v>
      </c>
      <c r="K151" s="87" t="s">
        <v>82</v>
      </c>
      <c r="L151" s="47" t="s">
        <v>617</v>
      </c>
      <c r="M151" s="47" t="s">
        <v>83</v>
      </c>
      <c r="N151" s="89" t="s">
        <v>103</v>
      </c>
      <c r="O151" s="90">
        <v>0.56000000000000005</v>
      </c>
      <c r="P151" s="218">
        <v>107</v>
      </c>
      <c r="Q151" s="96">
        <v>24</v>
      </c>
      <c r="R151" s="47" t="s">
        <v>87</v>
      </c>
      <c r="S151" s="84" t="s">
        <v>87</v>
      </c>
      <c r="T151" s="92">
        <v>0.8</v>
      </c>
      <c r="U151" s="47">
        <v>150</v>
      </c>
      <c r="V151" s="47">
        <v>700</v>
      </c>
      <c r="W151" s="84">
        <v>550</v>
      </c>
      <c r="X151" s="93">
        <v>130</v>
      </c>
      <c r="Y151" s="47">
        <v>150</v>
      </c>
      <c r="Z151" s="47">
        <v>700</v>
      </c>
      <c r="AA151" s="84">
        <v>550</v>
      </c>
      <c r="AB151" s="93">
        <v>130</v>
      </c>
      <c r="AC151" s="84" t="s">
        <v>87</v>
      </c>
      <c r="AD151" s="84">
        <v>83</v>
      </c>
      <c r="AE151" s="75">
        <v>1.2648000000000001</v>
      </c>
      <c r="AF151" s="75">
        <v>1.0845271028037382</v>
      </c>
      <c r="AG151" s="75">
        <v>1.1495987289719625</v>
      </c>
      <c r="AH151" s="97">
        <v>884.45891200000005</v>
      </c>
      <c r="AI151" s="39">
        <v>132.16770085377769</v>
      </c>
      <c r="AJ151" s="97">
        <v>144.51518550821328</v>
      </c>
      <c r="AK151" s="40">
        <v>287.27533554384996</v>
      </c>
      <c r="AL151" s="41">
        <v>145</v>
      </c>
      <c r="AM151" s="39">
        <v>155.15</v>
      </c>
      <c r="AN151" s="39">
        <v>178.36024279999998</v>
      </c>
      <c r="AO151" s="39">
        <v>743.16767833333324</v>
      </c>
      <c r="AP151" s="47" t="s">
        <v>643</v>
      </c>
      <c r="AQ151" s="108"/>
      <c r="AR151" s="88"/>
    </row>
    <row r="152" spans="1:44" x14ac:dyDescent="0.3">
      <c r="A152" s="25" t="s">
        <v>1509</v>
      </c>
      <c r="B152" s="25" t="s">
        <v>119</v>
      </c>
      <c r="C152" s="25" t="s">
        <v>120</v>
      </c>
      <c r="D152" s="25" t="s">
        <v>121</v>
      </c>
      <c r="E152" s="86" t="s">
        <v>77</v>
      </c>
      <c r="F152" s="47" t="s">
        <v>122</v>
      </c>
      <c r="G152" s="47" t="s">
        <v>618</v>
      </c>
      <c r="H152" s="47" t="s">
        <v>101</v>
      </c>
      <c r="I152" s="47" t="s">
        <v>80</v>
      </c>
      <c r="J152" s="47" t="s">
        <v>94</v>
      </c>
      <c r="K152" s="87" t="s">
        <v>82</v>
      </c>
      <c r="L152" s="91"/>
      <c r="M152" s="47" t="s">
        <v>83</v>
      </c>
      <c r="N152" s="89" t="s">
        <v>103</v>
      </c>
      <c r="O152" s="90">
        <v>0.3</v>
      </c>
      <c r="P152" s="218">
        <v>108</v>
      </c>
      <c r="Q152" s="96">
        <v>25</v>
      </c>
      <c r="R152" s="47" t="s">
        <v>87</v>
      </c>
      <c r="S152" s="84" t="s">
        <v>87</v>
      </c>
      <c r="T152" s="92">
        <v>0.8</v>
      </c>
      <c r="U152" s="47">
        <v>200</v>
      </c>
      <c r="V152" s="47">
        <v>700</v>
      </c>
      <c r="W152" s="84">
        <v>500</v>
      </c>
      <c r="X152" s="93">
        <v>130</v>
      </c>
      <c r="Y152" s="47">
        <v>200</v>
      </c>
      <c r="Z152" s="47">
        <v>700</v>
      </c>
      <c r="AA152" s="84">
        <v>500</v>
      </c>
      <c r="AB152" s="93">
        <v>130</v>
      </c>
      <c r="AC152" s="84" t="s">
        <v>87</v>
      </c>
      <c r="AD152" s="84">
        <v>83</v>
      </c>
      <c r="AE152" s="75">
        <v>1.0489999999999999</v>
      </c>
      <c r="AF152" s="75">
        <v>0.95331944444444427</v>
      </c>
      <c r="AG152" s="75">
        <v>1.0105186111111109</v>
      </c>
      <c r="AH152" s="97">
        <v>867.53156000000013</v>
      </c>
      <c r="AI152" s="39">
        <v>159.35720499509824</v>
      </c>
      <c r="AJ152" s="97">
        <v>174.24481089684289</v>
      </c>
      <c r="AK152" s="40">
        <v>346.37354089214637</v>
      </c>
      <c r="AL152" s="41">
        <v>174</v>
      </c>
      <c r="AM152" s="39">
        <v>187.92</v>
      </c>
      <c r="AN152" s="39">
        <v>189.89665739999995</v>
      </c>
      <c r="AO152" s="39">
        <v>759.58662959999981</v>
      </c>
      <c r="AP152" s="47" t="s">
        <v>208</v>
      </c>
      <c r="AQ152" s="215"/>
      <c r="AR152" s="88"/>
    </row>
    <row r="153" spans="1:44" x14ac:dyDescent="0.3">
      <c r="A153" s="25" t="s">
        <v>1509</v>
      </c>
      <c r="B153" s="25" t="s">
        <v>119</v>
      </c>
      <c r="C153" s="25" t="s">
        <v>120</v>
      </c>
      <c r="D153" s="25" t="s">
        <v>121</v>
      </c>
      <c r="E153" s="86" t="s">
        <v>77</v>
      </c>
      <c r="F153" s="47" t="s">
        <v>122</v>
      </c>
      <c r="G153" s="47" t="s">
        <v>619</v>
      </c>
      <c r="H153" s="47" t="s">
        <v>101</v>
      </c>
      <c r="I153" s="47" t="s">
        <v>80</v>
      </c>
      <c r="J153" s="47" t="s">
        <v>94</v>
      </c>
      <c r="K153" s="87" t="s">
        <v>82</v>
      </c>
      <c r="L153" s="47" t="s">
        <v>186</v>
      </c>
      <c r="M153" s="47" t="s">
        <v>83</v>
      </c>
      <c r="N153" s="89" t="s">
        <v>103</v>
      </c>
      <c r="O153" s="90">
        <v>0.32</v>
      </c>
      <c r="P153" s="27">
        <v>123</v>
      </c>
      <c r="Q153" s="214">
        <v>10</v>
      </c>
      <c r="R153" s="47" t="s">
        <v>87</v>
      </c>
      <c r="S153" s="84" t="s">
        <v>87</v>
      </c>
      <c r="T153" s="92">
        <v>0.8</v>
      </c>
      <c r="U153" s="47">
        <v>300</v>
      </c>
      <c r="V153" s="47">
        <v>800</v>
      </c>
      <c r="W153" s="84">
        <v>500</v>
      </c>
      <c r="X153" s="93">
        <v>330</v>
      </c>
      <c r="Y153" s="47">
        <v>300</v>
      </c>
      <c r="Z153" s="47">
        <v>800</v>
      </c>
      <c r="AA153" s="84">
        <v>500</v>
      </c>
      <c r="AB153" s="93">
        <v>330</v>
      </c>
      <c r="AC153" s="84" t="s">
        <v>87</v>
      </c>
      <c r="AD153" s="84">
        <v>113</v>
      </c>
      <c r="AE153" s="75">
        <v>1.1616</v>
      </c>
      <c r="AF153" s="75">
        <v>0.9954991869918699</v>
      </c>
      <c r="AG153" s="75">
        <v>1.0552291382113821</v>
      </c>
      <c r="AH153" s="97">
        <v>868.833664</v>
      </c>
      <c r="AI153" s="39">
        <v>143.90987262384473</v>
      </c>
      <c r="AJ153" s="97">
        <v>157.35434455129837</v>
      </c>
      <c r="AK153" s="40">
        <v>312.79773105704328</v>
      </c>
      <c r="AL153" s="41">
        <v>157</v>
      </c>
      <c r="AM153" s="39">
        <v>193.11</v>
      </c>
      <c r="AN153" s="39">
        <v>203.77529888000001</v>
      </c>
      <c r="AO153" s="39">
        <v>2037.7529887999999</v>
      </c>
      <c r="AP153" s="47" t="s">
        <v>206</v>
      </c>
      <c r="AQ153" s="108" t="s">
        <v>644</v>
      </c>
      <c r="AR153" s="88"/>
    </row>
    <row r="154" spans="1:44" x14ac:dyDescent="0.3">
      <c r="A154" s="25" t="s">
        <v>1509</v>
      </c>
      <c r="B154" s="25" t="s">
        <v>119</v>
      </c>
      <c r="C154" s="25" t="s">
        <v>120</v>
      </c>
      <c r="D154" s="25" t="s">
        <v>121</v>
      </c>
      <c r="E154" s="86" t="s">
        <v>77</v>
      </c>
      <c r="F154" s="47" t="s">
        <v>122</v>
      </c>
      <c r="G154" s="47" t="s">
        <v>620</v>
      </c>
      <c r="H154" s="47" t="s">
        <v>101</v>
      </c>
      <c r="I154" s="47" t="s">
        <v>80</v>
      </c>
      <c r="J154" s="47" t="s">
        <v>94</v>
      </c>
      <c r="K154" s="87" t="s">
        <v>82</v>
      </c>
      <c r="L154" s="91" t="s">
        <v>621</v>
      </c>
      <c r="M154" s="47" t="s">
        <v>83</v>
      </c>
      <c r="N154" s="89" t="s">
        <v>103</v>
      </c>
      <c r="O154" s="90">
        <v>0.35</v>
      </c>
      <c r="P154" s="27">
        <v>123</v>
      </c>
      <c r="Q154" s="47">
        <v>30</v>
      </c>
      <c r="R154" s="47" t="s">
        <v>87</v>
      </c>
      <c r="S154" s="84" t="s">
        <v>87</v>
      </c>
      <c r="T154" s="92">
        <v>0.8</v>
      </c>
      <c r="U154" s="47">
        <v>300</v>
      </c>
      <c r="V154" s="47">
        <v>750</v>
      </c>
      <c r="W154" s="84">
        <v>450</v>
      </c>
      <c r="X154" s="93">
        <v>180</v>
      </c>
      <c r="Y154" s="47">
        <v>300</v>
      </c>
      <c r="Z154" s="47">
        <v>750</v>
      </c>
      <c r="AA154" s="84">
        <v>450</v>
      </c>
      <c r="AB154" s="93">
        <v>180</v>
      </c>
      <c r="AC154" s="84" t="s">
        <v>87</v>
      </c>
      <c r="AD154" s="84">
        <v>93</v>
      </c>
      <c r="AE154" s="75">
        <v>1.1254999999999999</v>
      </c>
      <c r="AF154" s="75">
        <v>1.0024451219512194</v>
      </c>
      <c r="AG154" s="75">
        <v>1.0625918292682925</v>
      </c>
      <c r="AH154" s="97">
        <v>870.78682000000003</v>
      </c>
      <c r="AI154" s="39">
        <v>148.52572904474283</v>
      </c>
      <c r="AJ154" s="97">
        <v>162.40142748181978</v>
      </c>
      <c r="AK154" s="40">
        <v>322.83060363914836</v>
      </c>
      <c r="AL154" s="41">
        <v>162</v>
      </c>
      <c r="AM154" s="39">
        <v>199.26</v>
      </c>
      <c r="AN154" s="39">
        <v>211.73204789999997</v>
      </c>
      <c r="AO154" s="39">
        <v>705.77349299999992</v>
      </c>
      <c r="AP154" s="47" t="s">
        <v>645</v>
      </c>
      <c r="AQ154" s="108" t="s">
        <v>646</v>
      </c>
      <c r="AR154" s="88"/>
    </row>
    <row r="155" spans="1:44" x14ac:dyDescent="0.3">
      <c r="A155" s="25" t="s">
        <v>1509</v>
      </c>
      <c r="B155" s="25" t="s">
        <v>119</v>
      </c>
      <c r="C155" s="25" t="s">
        <v>120</v>
      </c>
      <c r="D155" s="25" t="s">
        <v>121</v>
      </c>
      <c r="E155" s="86" t="s">
        <v>77</v>
      </c>
      <c r="F155" s="47" t="s">
        <v>122</v>
      </c>
      <c r="G155" s="47" t="s">
        <v>622</v>
      </c>
      <c r="H155" s="47" t="s">
        <v>101</v>
      </c>
      <c r="I155" s="47" t="s">
        <v>80</v>
      </c>
      <c r="J155" s="47" t="s">
        <v>94</v>
      </c>
      <c r="K155" s="87" t="s">
        <v>82</v>
      </c>
      <c r="L155" s="91" t="s">
        <v>623</v>
      </c>
      <c r="M155" s="47" t="s">
        <v>83</v>
      </c>
      <c r="N155" s="89" t="s">
        <v>103</v>
      </c>
      <c r="O155" s="90">
        <v>0.35</v>
      </c>
      <c r="P155" s="27">
        <v>123</v>
      </c>
      <c r="Q155" s="214">
        <v>10</v>
      </c>
      <c r="R155" s="47" t="s">
        <v>87</v>
      </c>
      <c r="S155" s="84" t="s">
        <v>87</v>
      </c>
      <c r="T155" s="92">
        <v>0.8</v>
      </c>
      <c r="U155" s="47">
        <v>300</v>
      </c>
      <c r="V155" s="47">
        <v>800</v>
      </c>
      <c r="W155" s="84">
        <v>500</v>
      </c>
      <c r="X155" s="93">
        <v>330</v>
      </c>
      <c r="Y155" s="47">
        <v>300</v>
      </c>
      <c r="Z155" s="47">
        <v>800</v>
      </c>
      <c r="AA155" s="84">
        <v>500</v>
      </c>
      <c r="AB155" s="93">
        <v>330</v>
      </c>
      <c r="AC155" s="84" t="s">
        <v>87</v>
      </c>
      <c r="AD155" s="84">
        <v>113</v>
      </c>
      <c r="AE155" s="75">
        <v>1.1955</v>
      </c>
      <c r="AF155" s="75">
        <v>1.0138272357723577</v>
      </c>
      <c r="AG155" s="75">
        <v>1.0746568699186991</v>
      </c>
      <c r="AH155" s="97">
        <v>870.78682000000003</v>
      </c>
      <c r="AI155" s="39">
        <v>139.82911588444836</v>
      </c>
      <c r="AJ155" s="97">
        <v>152.89235184507584</v>
      </c>
      <c r="AK155" s="40">
        <v>303.92793341351859</v>
      </c>
      <c r="AL155" s="98">
        <v>120</v>
      </c>
      <c r="AM155" s="39">
        <v>147.6</v>
      </c>
      <c r="AN155" s="39">
        <v>158.61935399999999</v>
      </c>
      <c r="AO155" s="39">
        <v>1586.1935399999998</v>
      </c>
      <c r="AP155" s="47" t="s">
        <v>647</v>
      </c>
      <c r="AQ155" s="215" t="s">
        <v>648</v>
      </c>
      <c r="AR155" s="88"/>
    </row>
    <row r="156" spans="1:44" x14ac:dyDescent="0.3">
      <c r="A156" s="25" t="s">
        <v>1509</v>
      </c>
      <c r="B156" s="25" t="s">
        <v>119</v>
      </c>
      <c r="C156" s="25" t="s">
        <v>120</v>
      </c>
      <c r="D156" s="25" t="s">
        <v>121</v>
      </c>
      <c r="E156" s="86" t="s">
        <v>77</v>
      </c>
      <c r="F156" s="47" t="s">
        <v>122</v>
      </c>
      <c r="G156" s="47" t="s">
        <v>624</v>
      </c>
      <c r="H156" s="47" t="s">
        <v>101</v>
      </c>
      <c r="I156" s="47" t="s">
        <v>80</v>
      </c>
      <c r="J156" s="47" t="s">
        <v>94</v>
      </c>
      <c r="K156" s="87" t="s">
        <v>82</v>
      </c>
      <c r="L156" s="47" t="s">
        <v>625</v>
      </c>
      <c r="M156" s="47" t="s">
        <v>83</v>
      </c>
      <c r="N156" s="89" t="s">
        <v>103</v>
      </c>
      <c r="O156" s="90">
        <v>0.46</v>
      </c>
      <c r="P156" s="218">
        <v>108</v>
      </c>
      <c r="Q156" s="47">
        <v>30</v>
      </c>
      <c r="R156" s="47" t="s">
        <v>87</v>
      </c>
      <c r="S156" s="84" t="s">
        <v>87</v>
      </c>
      <c r="T156" s="92">
        <v>0.8</v>
      </c>
      <c r="U156" s="47">
        <v>200</v>
      </c>
      <c r="V156" s="47">
        <v>600</v>
      </c>
      <c r="W156" s="84">
        <v>400</v>
      </c>
      <c r="X156" s="93">
        <v>180</v>
      </c>
      <c r="Y156" s="47">
        <v>200</v>
      </c>
      <c r="Z156" s="47">
        <v>600</v>
      </c>
      <c r="AA156" s="84">
        <v>400</v>
      </c>
      <c r="AB156" s="93">
        <v>180</v>
      </c>
      <c r="AC156" s="84" t="s">
        <v>87</v>
      </c>
      <c r="AD156" s="84">
        <v>78</v>
      </c>
      <c r="AE156" s="75">
        <v>1.1588000000000001</v>
      </c>
      <c r="AF156" s="75">
        <v>1.0292333333333334</v>
      </c>
      <c r="AG156" s="75">
        <v>1.0909873333333335</v>
      </c>
      <c r="AH156" s="97">
        <v>877.94839200000001</v>
      </c>
      <c r="AI156" s="39">
        <v>144.25760100091301</v>
      </c>
      <c r="AJ156" s="97">
        <v>157.73455870796354</v>
      </c>
      <c r="AK156" s="40">
        <v>313.55354193636646</v>
      </c>
      <c r="AL156" s="41">
        <v>158</v>
      </c>
      <c r="AM156" s="39">
        <v>170.64</v>
      </c>
      <c r="AN156" s="39">
        <v>186.16607856000002</v>
      </c>
      <c r="AO156" s="39">
        <v>620.55359520000013</v>
      </c>
      <c r="AP156" s="47" t="s">
        <v>649</v>
      </c>
      <c r="AQ156" s="108" t="s">
        <v>650</v>
      </c>
      <c r="AR156" s="88"/>
    </row>
    <row r="157" spans="1:44" x14ac:dyDescent="0.3">
      <c r="A157" s="25" t="s">
        <v>1509</v>
      </c>
      <c r="B157" s="25" t="s">
        <v>119</v>
      </c>
      <c r="C157" s="25" t="s">
        <v>120</v>
      </c>
      <c r="D157" s="25" t="s">
        <v>121</v>
      </c>
      <c r="E157" s="26" t="s">
        <v>77</v>
      </c>
      <c r="F157" s="27" t="s">
        <v>78</v>
      </c>
      <c r="G157" s="25" t="s">
        <v>626</v>
      </c>
      <c r="H157" s="25" t="s">
        <v>101</v>
      </c>
      <c r="I157" s="25" t="s">
        <v>80</v>
      </c>
      <c r="J157" s="25" t="s">
        <v>94</v>
      </c>
      <c r="K157" s="30" t="s">
        <v>82</v>
      </c>
      <c r="L157" s="25" t="s">
        <v>627</v>
      </c>
      <c r="M157" s="25" t="s">
        <v>83</v>
      </c>
      <c r="N157" s="74" t="s">
        <v>103</v>
      </c>
      <c r="O157" s="61">
        <v>0.46</v>
      </c>
      <c r="P157" s="25">
        <v>100</v>
      </c>
      <c r="Q157" s="25">
        <v>30</v>
      </c>
      <c r="R157" s="25" t="s">
        <v>87</v>
      </c>
      <c r="S157" s="84" t="s">
        <v>87</v>
      </c>
      <c r="T157" s="35">
        <v>0.8</v>
      </c>
      <c r="U157" s="25">
        <v>180</v>
      </c>
      <c r="V157" s="25">
        <v>580</v>
      </c>
      <c r="W157" s="34">
        <v>400</v>
      </c>
      <c r="X157" s="36">
        <v>120</v>
      </c>
      <c r="Y157" s="25">
        <v>150</v>
      </c>
      <c r="Z157" s="25">
        <v>600</v>
      </c>
      <c r="AA157" s="34">
        <v>450</v>
      </c>
      <c r="AB157" s="36">
        <v>100</v>
      </c>
      <c r="AC157" s="34" t="s">
        <v>87</v>
      </c>
      <c r="AD157" s="34">
        <v>70</v>
      </c>
      <c r="AE157" s="37">
        <v>1.1220000000000001</v>
      </c>
      <c r="AF157" s="37">
        <v>1.0093000000000001</v>
      </c>
      <c r="AG157" s="37">
        <v>1.0698580000000002</v>
      </c>
      <c r="AH157" s="38">
        <v>877.94839200000001</v>
      </c>
      <c r="AI157" s="39">
        <v>148.98904459880393</v>
      </c>
      <c r="AJ157" s="38">
        <v>162.9080273001677</v>
      </c>
      <c r="AK157" s="40">
        <v>323.83765097670357</v>
      </c>
      <c r="AL157" s="41">
        <v>120</v>
      </c>
      <c r="AM157" s="39">
        <v>120</v>
      </c>
      <c r="AN157" s="39">
        <v>128.38296000000003</v>
      </c>
      <c r="AO157" s="39">
        <v>427.9432000000001</v>
      </c>
      <c r="AP157" s="25" t="s">
        <v>115</v>
      </c>
      <c r="AQ157" s="201" t="s">
        <v>651</v>
      </c>
      <c r="AR157" s="43"/>
    </row>
    <row r="158" spans="1:44" x14ac:dyDescent="0.3">
      <c r="A158" s="25" t="s">
        <v>1509</v>
      </c>
      <c r="B158" s="25" t="s">
        <v>119</v>
      </c>
      <c r="C158" s="25" t="s">
        <v>120</v>
      </c>
      <c r="D158" s="25" t="s">
        <v>121</v>
      </c>
      <c r="E158" s="86" t="s">
        <v>77</v>
      </c>
      <c r="F158" s="47" t="s">
        <v>122</v>
      </c>
      <c r="G158" s="47" t="s">
        <v>628</v>
      </c>
      <c r="H158" s="47" t="s">
        <v>101</v>
      </c>
      <c r="I158" s="47" t="s">
        <v>80</v>
      </c>
      <c r="J158" s="47" t="s">
        <v>94</v>
      </c>
      <c r="K158" s="87" t="s">
        <v>82</v>
      </c>
      <c r="L158" s="47" t="s">
        <v>629</v>
      </c>
      <c r="M158" s="47" t="s">
        <v>83</v>
      </c>
      <c r="N158" s="89" t="s">
        <v>103</v>
      </c>
      <c r="O158" s="90">
        <v>0.62</v>
      </c>
      <c r="P158" s="47">
        <v>96</v>
      </c>
      <c r="Q158" s="96">
        <v>25</v>
      </c>
      <c r="R158" s="47" t="s">
        <v>87</v>
      </c>
      <c r="S158" s="84" t="s">
        <v>87</v>
      </c>
      <c r="T158" s="92">
        <v>0.8</v>
      </c>
      <c r="U158" s="47">
        <v>150</v>
      </c>
      <c r="V158" s="47">
        <v>550</v>
      </c>
      <c r="W158" s="84">
        <v>400</v>
      </c>
      <c r="X158" s="93">
        <v>160</v>
      </c>
      <c r="Y158" s="47">
        <v>150</v>
      </c>
      <c r="Z158" s="47">
        <v>550</v>
      </c>
      <c r="AA158" s="84">
        <v>400</v>
      </c>
      <c r="AB158" s="93">
        <v>160</v>
      </c>
      <c r="AC158" s="84" t="s">
        <v>87</v>
      </c>
      <c r="AD158" s="84">
        <v>71</v>
      </c>
      <c r="AE158" s="75">
        <v>1.2402</v>
      </c>
      <c r="AF158" s="75">
        <v>1.0774177083333332</v>
      </c>
      <c r="AG158" s="75">
        <v>1.1420627708333331</v>
      </c>
      <c r="AH158" s="97">
        <v>888.36522400000001</v>
      </c>
      <c r="AI158" s="39">
        <v>134.78931465881152</v>
      </c>
      <c r="AJ158" s="97">
        <v>147.38171797354312</v>
      </c>
      <c r="AK158" s="40">
        <v>292.97358845013827</v>
      </c>
      <c r="AL158" s="41">
        <v>147</v>
      </c>
      <c r="AM158" s="39">
        <v>141.12</v>
      </c>
      <c r="AN158" s="39">
        <v>161.16789821999996</v>
      </c>
      <c r="AO158" s="39">
        <v>644.67159287999982</v>
      </c>
      <c r="AP158" s="47" t="s">
        <v>652</v>
      </c>
      <c r="AQ158" s="88" t="s">
        <v>653</v>
      </c>
      <c r="AR158" s="25"/>
    </row>
    <row r="159" spans="1:44" x14ac:dyDescent="0.3">
      <c r="A159" s="25" t="s">
        <v>1509</v>
      </c>
      <c r="B159" s="25" t="s">
        <v>119</v>
      </c>
      <c r="C159" s="25" t="s">
        <v>120</v>
      </c>
      <c r="D159" s="25" t="s">
        <v>121</v>
      </c>
      <c r="E159" s="109" t="s">
        <v>77</v>
      </c>
      <c r="F159" s="182" t="s">
        <v>139</v>
      </c>
      <c r="G159" s="66" t="s">
        <v>654</v>
      </c>
      <c r="H159" s="66" t="s">
        <v>101</v>
      </c>
      <c r="I159" s="66" t="s">
        <v>80</v>
      </c>
      <c r="J159" s="66" t="s">
        <v>94</v>
      </c>
      <c r="K159" s="111" t="s">
        <v>82</v>
      </c>
      <c r="L159" s="66" t="s">
        <v>655</v>
      </c>
      <c r="M159" s="66" t="s">
        <v>83</v>
      </c>
      <c r="N159" s="183" t="s">
        <v>103</v>
      </c>
      <c r="O159" s="113">
        <v>0.62</v>
      </c>
      <c r="P159" s="66">
        <v>101</v>
      </c>
      <c r="Q159" s="214">
        <v>25</v>
      </c>
      <c r="R159" s="66" t="s">
        <v>87</v>
      </c>
      <c r="S159" s="115" t="s">
        <v>87</v>
      </c>
      <c r="T159" s="114">
        <v>0.8</v>
      </c>
      <c r="U159" s="66">
        <v>200</v>
      </c>
      <c r="V159" s="66">
        <v>600</v>
      </c>
      <c r="W159" s="115">
        <v>400</v>
      </c>
      <c r="X159" s="184">
        <v>160</v>
      </c>
      <c r="Y159" s="66">
        <v>200</v>
      </c>
      <c r="Z159" s="66">
        <v>600</v>
      </c>
      <c r="AA159" s="115">
        <v>400</v>
      </c>
      <c r="AB159" s="184">
        <v>160</v>
      </c>
      <c r="AC159" s="115" t="s">
        <v>87</v>
      </c>
      <c r="AD159" s="115">
        <v>76</v>
      </c>
      <c r="AE159" s="116">
        <v>1.2712000000000001</v>
      </c>
      <c r="AF159" s="116">
        <v>1.0939168316831684</v>
      </c>
      <c r="AG159" s="116">
        <v>1.1595518415841586</v>
      </c>
      <c r="AH159" s="118">
        <v>888.36522400000001</v>
      </c>
      <c r="AI159" s="117">
        <v>131.50228763362023</v>
      </c>
      <c r="AJ159" s="118">
        <v>143.78760748174022</v>
      </c>
      <c r="AK159" s="119">
        <v>285.8290154152466</v>
      </c>
      <c r="AL159" s="120">
        <v>144</v>
      </c>
      <c r="AM159" s="117">
        <v>145.44</v>
      </c>
      <c r="AN159" s="117">
        <v>168.64521984000001</v>
      </c>
      <c r="AO159" s="117">
        <v>674.58087936000004</v>
      </c>
      <c r="AP159" s="66" t="s">
        <v>510</v>
      </c>
      <c r="AQ159" s="185" t="s">
        <v>664</v>
      </c>
      <c r="AR159" s="186"/>
    </row>
    <row r="160" spans="1:44" x14ac:dyDescent="0.3">
      <c r="A160" s="25" t="s">
        <v>1509</v>
      </c>
      <c r="B160" s="25" t="s">
        <v>119</v>
      </c>
      <c r="C160" s="25" t="s">
        <v>120</v>
      </c>
      <c r="D160" s="25" t="s">
        <v>121</v>
      </c>
      <c r="E160" s="86" t="s">
        <v>77</v>
      </c>
      <c r="F160" s="85" t="s">
        <v>122</v>
      </c>
      <c r="G160" s="47" t="s">
        <v>656</v>
      </c>
      <c r="H160" s="47" t="s">
        <v>101</v>
      </c>
      <c r="I160" s="47" t="s">
        <v>80</v>
      </c>
      <c r="J160" s="47" t="s">
        <v>94</v>
      </c>
      <c r="K160" s="87" t="s">
        <v>82</v>
      </c>
      <c r="L160" s="47" t="s">
        <v>657</v>
      </c>
      <c r="M160" s="47" t="s">
        <v>83</v>
      </c>
      <c r="N160" s="89" t="s">
        <v>103</v>
      </c>
      <c r="O160" s="90">
        <v>0.4</v>
      </c>
      <c r="P160" s="203">
        <v>122</v>
      </c>
      <c r="Q160" s="47">
        <v>30</v>
      </c>
      <c r="R160" s="47" t="s">
        <v>87</v>
      </c>
      <c r="S160" s="84" t="s">
        <v>87</v>
      </c>
      <c r="T160" s="92">
        <v>0.8</v>
      </c>
      <c r="U160" s="47">
        <v>200</v>
      </c>
      <c r="V160" s="47">
        <v>700</v>
      </c>
      <c r="W160" s="84">
        <v>500</v>
      </c>
      <c r="X160" s="93">
        <v>220</v>
      </c>
      <c r="Y160" s="47">
        <v>200</v>
      </c>
      <c r="Z160" s="47">
        <v>700</v>
      </c>
      <c r="AA160" s="84">
        <v>500</v>
      </c>
      <c r="AB160" s="93">
        <v>220</v>
      </c>
      <c r="AC160" s="84" t="s">
        <v>87</v>
      </c>
      <c r="AD160" s="84">
        <v>92</v>
      </c>
      <c r="AE160" s="75">
        <v>1.1680000000000001</v>
      </c>
      <c r="AF160" s="75">
        <v>1.0292459016393443</v>
      </c>
      <c r="AG160" s="75">
        <v>1.0910006557377048</v>
      </c>
      <c r="AH160" s="97">
        <v>874.04208000000006</v>
      </c>
      <c r="AI160" s="39">
        <v>143.12132537659076</v>
      </c>
      <c r="AJ160" s="97">
        <v>156.49212896471587</v>
      </c>
      <c r="AK160" s="40">
        <v>311.08377088686763</v>
      </c>
      <c r="AL160" s="41">
        <v>156</v>
      </c>
      <c r="AM160" s="39">
        <v>190.32</v>
      </c>
      <c r="AN160" s="39">
        <v>207.63924479999997</v>
      </c>
      <c r="AO160" s="39">
        <v>692.13081599999998</v>
      </c>
      <c r="AP160" s="47" t="s">
        <v>665</v>
      </c>
      <c r="AQ160" s="88" t="s">
        <v>666</v>
      </c>
      <c r="AR160" s="88" t="s">
        <v>667</v>
      </c>
    </row>
    <row r="161" spans="1:44" x14ac:dyDescent="0.3">
      <c r="A161" s="25" t="s">
        <v>1509</v>
      </c>
      <c r="B161" s="25" t="s">
        <v>119</v>
      </c>
      <c r="C161" s="25" t="s">
        <v>120</v>
      </c>
      <c r="D161" s="25" t="s">
        <v>121</v>
      </c>
      <c r="E161" s="26" t="s">
        <v>77</v>
      </c>
      <c r="F161" s="27" t="s">
        <v>78</v>
      </c>
      <c r="G161" s="25" t="s">
        <v>658</v>
      </c>
      <c r="H161" s="25" t="s">
        <v>101</v>
      </c>
      <c r="I161" s="25" t="s">
        <v>80</v>
      </c>
      <c r="J161" s="25" t="s">
        <v>94</v>
      </c>
      <c r="K161" s="30" t="s">
        <v>82</v>
      </c>
      <c r="L161" s="25" t="s">
        <v>659</v>
      </c>
      <c r="M161" s="25" t="s">
        <v>83</v>
      </c>
      <c r="N161" s="74" t="s">
        <v>103</v>
      </c>
      <c r="O161" s="61">
        <v>0.4</v>
      </c>
      <c r="P161" s="219">
        <v>123</v>
      </c>
      <c r="Q161" s="25">
        <v>30</v>
      </c>
      <c r="R161" s="25" t="s">
        <v>87</v>
      </c>
      <c r="S161" s="84" t="s">
        <v>87</v>
      </c>
      <c r="T161" s="35">
        <v>0.8</v>
      </c>
      <c r="U161" s="25">
        <v>200</v>
      </c>
      <c r="V161" s="25">
        <v>600</v>
      </c>
      <c r="W161" s="34">
        <v>400</v>
      </c>
      <c r="X161" s="36">
        <v>330</v>
      </c>
      <c r="Y161" s="25">
        <v>150</v>
      </c>
      <c r="Z161" s="25">
        <v>650</v>
      </c>
      <c r="AA161" s="34">
        <v>500</v>
      </c>
      <c r="AB161" s="36">
        <v>280</v>
      </c>
      <c r="AC161" s="34" t="s">
        <v>87</v>
      </c>
      <c r="AD161" s="34">
        <v>93</v>
      </c>
      <c r="AE161" s="37">
        <v>1.1720000000000002</v>
      </c>
      <c r="AF161" s="37">
        <v>1.0313658536585366</v>
      </c>
      <c r="AG161" s="37">
        <v>1.093247804878049</v>
      </c>
      <c r="AH161" s="38">
        <v>874.04208000000006</v>
      </c>
      <c r="AI161" s="39">
        <v>142.63285668929865</v>
      </c>
      <c r="AJ161" s="38">
        <v>155.95802613548477</v>
      </c>
      <c r="AK161" s="40">
        <v>310.022051532305</v>
      </c>
      <c r="AL161" s="41">
        <v>120</v>
      </c>
      <c r="AM161" s="39">
        <v>147.6</v>
      </c>
      <c r="AN161" s="39">
        <v>161.36337600000002</v>
      </c>
      <c r="AO161" s="39">
        <v>537.87792000000013</v>
      </c>
      <c r="AP161" s="25" t="s">
        <v>212</v>
      </c>
      <c r="AQ161" s="62" t="s">
        <v>668</v>
      </c>
      <c r="AR161" s="43" t="s">
        <v>669</v>
      </c>
    </row>
    <row r="162" spans="1:44" x14ac:dyDescent="0.3">
      <c r="A162" s="25" t="s">
        <v>1509</v>
      </c>
      <c r="B162" s="25" t="s">
        <v>119</v>
      </c>
      <c r="C162" s="25" t="s">
        <v>120</v>
      </c>
      <c r="D162" s="25" t="s">
        <v>121</v>
      </c>
      <c r="E162" s="86" t="s">
        <v>77</v>
      </c>
      <c r="F162" s="47" t="s">
        <v>122</v>
      </c>
      <c r="G162" s="47" t="s">
        <v>660</v>
      </c>
      <c r="H162" s="47" t="s">
        <v>101</v>
      </c>
      <c r="I162" s="47" t="s">
        <v>80</v>
      </c>
      <c r="J162" s="47" t="s">
        <v>94</v>
      </c>
      <c r="K162" s="87" t="s">
        <v>82</v>
      </c>
      <c r="L162" s="47" t="s">
        <v>661</v>
      </c>
      <c r="M162" s="47" t="s">
        <v>83</v>
      </c>
      <c r="N162" s="89" t="s">
        <v>103</v>
      </c>
      <c r="O162" s="90">
        <v>0.49</v>
      </c>
      <c r="P162" s="47">
        <v>110</v>
      </c>
      <c r="Q162" s="47">
        <v>27</v>
      </c>
      <c r="R162" s="47" t="s">
        <v>87</v>
      </c>
      <c r="S162" s="84" t="s">
        <v>87</v>
      </c>
      <c r="T162" s="92">
        <v>0.8</v>
      </c>
      <c r="U162" s="47">
        <v>200</v>
      </c>
      <c r="V162" s="47">
        <v>700</v>
      </c>
      <c r="W162" s="84">
        <v>500</v>
      </c>
      <c r="X162" s="93">
        <v>130</v>
      </c>
      <c r="Y162" s="47">
        <v>200</v>
      </c>
      <c r="Z162" s="47">
        <v>700</v>
      </c>
      <c r="AA162" s="84">
        <v>500</v>
      </c>
      <c r="AB162" s="93">
        <v>130</v>
      </c>
      <c r="AC162" s="84" t="s">
        <v>87</v>
      </c>
      <c r="AD162" s="84">
        <v>83</v>
      </c>
      <c r="AE162" s="75">
        <v>1.2067000000000001</v>
      </c>
      <c r="AF162" s="75">
        <v>1.0532631818181819</v>
      </c>
      <c r="AG162" s="75">
        <v>1.1164589727272727</v>
      </c>
      <c r="AH162" s="97">
        <v>879.90154800000005</v>
      </c>
      <c r="AI162" s="117">
        <v>138.53129032887875</v>
      </c>
      <c r="AJ162" s="97">
        <v>151.47327971392073</v>
      </c>
      <c r="AK162" s="40">
        <v>301.10702278599604</v>
      </c>
      <c r="AL162" s="41">
        <v>151</v>
      </c>
      <c r="AM162" s="39">
        <v>166.1</v>
      </c>
      <c r="AN162" s="39">
        <v>185.44383536999999</v>
      </c>
      <c r="AO162" s="39">
        <v>686.82901988888875</v>
      </c>
      <c r="AP162" s="47" t="s">
        <v>522</v>
      </c>
      <c r="AQ162" s="108"/>
      <c r="AR162" s="88"/>
    </row>
    <row r="163" spans="1:44" x14ac:dyDescent="0.3">
      <c r="A163" s="25" t="s">
        <v>1509</v>
      </c>
      <c r="B163" s="25" t="s">
        <v>119</v>
      </c>
      <c r="C163" s="25" t="s">
        <v>120</v>
      </c>
      <c r="D163" s="25" t="s">
        <v>121</v>
      </c>
      <c r="E163" s="26" t="s">
        <v>77</v>
      </c>
      <c r="F163" s="27" t="s">
        <v>78</v>
      </c>
      <c r="G163" s="25" t="s">
        <v>662</v>
      </c>
      <c r="H163" s="25" t="s">
        <v>101</v>
      </c>
      <c r="I163" s="25" t="s">
        <v>80</v>
      </c>
      <c r="J163" s="25" t="s">
        <v>94</v>
      </c>
      <c r="K163" s="30" t="s">
        <v>82</v>
      </c>
      <c r="L163" s="25" t="s">
        <v>663</v>
      </c>
      <c r="M163" s="25" t="s">
        <v>83</v>
      </c>
      <c r="N163" s="74" t="s">
        <v>103</v>
      </c>
      <c r="O163" s="61">
        <v>0.49</v>
      </c>
      <c r="P163" s="25">
        <v>115</v>
      </c>
      <c r="Q163" s="25">
        <v>30</v>
      </c>
      <c r="R163" s="25" t="s">
        <v>87</v>
      </c>
      <c r="S163" s="34" t="s">
        <v>87</v>
      </c>
      <c r="T163" s="35">
        <v>0.8</v>
      </c>
      <c r="U163" s="25">
        <v>200</v>
      </c>
      <c r="V163" s="25">
        <v>600</v>
      </c>
      <c r="W163" s="34">
        <v>400</v>
      </c>
      <c r="X163" s="36">
        <v>250</v>
      </c>
      <c r="Y163" s="25">
        <v>150</v>
      </c>
      <c r="Z163" s="25">
        <v>600</v>
      </c>
      <c r="AA163" s="34">
        <v>450</v>
      </c>
      <c r="AB163" s="36">
        <v>250</v>
      </c>
      <c r="AC163" s="34" t="s">
        <v>87</v>
      </c>
      <c r="AD163" s="34">
        <v>85</v>
      </c>
      <c r="AE163" s="37">
        <v>1.2164999999999999</v>
      </c>
      <c r="AF163" s="37">
        <v>1.0625760869565217</v>
      </c>
      <c r="AG163" s="37">
        <v>1.1263306521739131</v>
      </c>
      <c r="AH163" s="38">
        <v>879.90154800000005</v>
      </c>
      <c r="AI163" s="117">
        <v>137.41529637472917</v>
      </c>
      <c r="AJ163" s="38">
        <v>150.25302641248516</v>
      </c>
      <c r="AK163" s="40">
        <v>298.68133530280431</v>
      </c>
      <c r="AL163" s="98">
        <v>120</v>
      </c>
      <c r="AM163" s="39">
        <v>138</v>
      </c>
      <c r="AN163" s="39">
        <v>155.43363000000002</v>
      </c>
      <c r="AO163" s="39">
        <v>518.11210000000005</v>
      </c>
      <c r="AP163" s="25" t="s">
        <v>115</v>
      </c>
      <c r="AQ163" s="62" t="s">
        <v>670</v>
      </c>
      <c r="AR163" s="43" t="s">
        <v>671</v>
      </c>
    </row>
    <row r="164" spans="1:44" x14ac:dyDescent="0.3">
      <c r="A164" s="25" t="s">
        <v>1509</v>
      </c>
      <c r="B164" s="25" t="s">
        <v>119</v>
      </c>
      <c r="C164" s="25" t="s">
        <v>120</v>
      </c>
      <c r="D164" s="25" t="s">
        <v>121</v>
      </c>
      <c r="E164" s="86" t="s">
        <v>77</v>
      </c>
      <c r="F164" s="47" t="s">
        <v>122</v>
      </c>
      <c r="G164" s="47" t="s">
        <v>672</v>
      </c>
      <c r="H164" s="47" t="s">
        <v>101</v>
      </c>
      <c r="I164" s="47" t="s">
        <v>80</v>
      </c>
      <c r="J164" s="47" t="s">
        <v>94</v>
      </c>
      <c r="K164" s="87" t="s">
        <v>82</v>
      </c>
      <c r="L164" s="47" t="s">
        <v>673</v>
      </c>
      <c r="M164" s="47" t="s">
        <v>83</v>
      </c>
      <c r="N164" s="89" t="s">
        <v>103</v>
      </c>
      <c r="O164" s="90">
        <v>0.28999999999999998</v>
      </c>
      <c r="P164" s="47">
        <v>109</v>
      </c>
      <c r="Q164" s="47">
        <v>26</v>
      </c>
      <c r="R164" s="47" t="s">
        <v>87</v>
      </c>
      <c r="S164" s="84" t="s">
        <v>87</v>
      </c>
      <c r="T164" s="92">
        <v>0.8</v>
      </c>
      <c r="U164" s="47">
        <v>200</v>
      </c>
      <c r="V164" s="47">
        <v>700</v>
      </c>
      <c r="W164" s="84">
        <v>500</v>
      </c>
      <c r="X164" s="93">
        <v>130</v>
      </c>
      <c r="Y164" s="47">
        <v>200</v>
      </c>
      <c r="Z164" s="47">
        <v>700</v>
      </c>
      <c r="AA164" s="84">
        <v>500</v>
      </c>
      <c r="AB164" s="93">
        <v>130</v>
      </c>
      <c r="AC164" s="84" t="s">
        <v>87</v>
      </c>
      <c r="AD164" s="84">
        <v>83</v>
      </c>
      <c r="AE164" s="75">
        <v>1.0407</v>
      </c>
      <c r="AF164" s="75">
        <v>0.94905733944954129</v>
      </c>
      <c r="AG164" s="75">
        <v>1.0060007798165138</v>
      </c>
      <c r="AH164" s="97">
        <v>866.88050800000008</v>
      </c>
      <c r="AI164" s="117">
        <v>160.62814263462866</v>
      </c>
      <c r="AJ164" s="97">
        <v>175.63448316593465</v>
      </c>
      <c r="AK164" s="40">
        <v>349.13600883622706</v>
      </c>
      <c r="AL164" s="41">
        <v>176</v>
      </c>
      <c r="AM164" s="39">
        <v>191.84</v>
      </c>
      <c r="AN164" s="39">
        <v>192.99118960000001</v>
      </c>
      <c r="AO164" s="39">
        <v>742.27380615384618</v>
      </c>
      <c r="AP164" s="47" t="s">
        <v>574</v>
      </c>
      <c r="AQ164" s="108" t="s">
        <v>684</v>
      </c>
      <c r="AR164" s="88"/>
    </row>
    <row r="165" spans="1:44" x14ac:dyDescent="0.3">
      <c r="A165" s="25" t="s">
        <v>1509</v>
      </c>
      <c r="B165" s="25" t="s">
        <v>119</v>
      </c>
      <c r="C165" s="25" t="s">
        <v>120</v>
      </c>
      <c r="D165" s="25" t="s">
        <v>121</v>
      </c>
      <c r="E165" s="86" t="s">
        <v>77</v>
      </c>
      <c r="F165" s="85" t="s">
        <v>122</v>
      </c>
      <c r="G165" s="47" t="s">
        <v>674</v>
      </c>
      <c r="H165" s="47" t="s">
        <v>101</v>
      </c>
      <c r="I165" s="47" t="s">
        <v>80</v>
      </c>
      <c r="J165" s="47" t="s">
        <v>94</v>
      </c>
      <c r="K165" s="87" t="s">
        <v>82</v>
      </c>
      <c r="L165" s="47" t="s">
        <v>675</v>
      </c>
      <c r="M165" s="47" t="s">
        <v>83</v>
      </c>
      <c r="N165" s="89" t="s">
        <v>103</v>
      </c>
      <c r="O165" s="90">
        <v>0.21</v>
      </c>
      <c r="P165" s="47">
        <v>113</v>
      </c>
      <c r="Q165" s="47">
        <v>30</v>
      </c>
      <c r="R165" s="47" t="s">
        <v>87</v>
      </c>
      <c r="S165" s="84" t="s">
        <v>87</v>
      </c>
      <c r="T165" s="92">
        <v>0.8</v>
      </c>
      <c r="U165" s="47">
        <v>200</v>
      </c>
      <c r="V165" s="47">
        <v>600</v>
      </c>
      <c r="W165" s="84">
        <v>400</v>
      </c>
      <c r="X165" s="93">
        <v>230</v>
      </c>
      <c r="Y165" s="47">
        <v>150</v>
      </c>
      <c r="Z165" s="47">
        <v>600</v>
      </c>
      <c r="AA165" s="84">
        <v>450</v>
      </c>
      <c r="AB165" s="93">
        <v>230</v>
      </c>
      <c r="AC165" s="84" t="s">
        <v>87</v>
      </c>
      <c r="AD165" s="84">
        <v>83</v>
      </c>
      <c r="AE165" s="75">
        <v>0.97430000000000005</v>
      </c>
      <c r="AF165" s="75">
        <v>0.91028716814159305</v>
      </c>
      <c r="AG165" s="75">
        <v>0.96490439823008867</v>
      </c>
      <c r="AH165" s="97">
        <v>861.67209200000002</v>
      </c>
      <c r="AI165" s="39">
        <v>171.57519043401214</v>
      </c>
      <c r="AJ165" s="97">
        <v>187.60423548269341</v>
      </c>
      <c r="AK165" s="40">
        <v>372.93014923110076</v>
      </c>
      <c r="AL165" s="41">
        <v>188</v>
      </c>
      <c r="AM165" s="39">
        <v>212.44</v>
      </c>
      <c r="AN165" s="39">
        <v>204.98429036000005</v>
      </c>
      <c r="AO165" s="39">
        <v>683.28096786666686</v>
      </c>
      <c r="AP165" s="47" t="s">
        <v>685</v>
      </c>
      <c r="AQ165" s="88" t="s">
        <v>686</v>
      </c>
      <c r="AR165" s="43"/>
    </row>
    <row r="166" spans="1:44" x14ac:dyDescent="0.3">
      <c r="A166" s="25" t="s">
        <v>1509</v>
      </c>
      <c r="B166" s="25" t="s">
        <v>119</v>
      </c>
      <c r="C166" s="25" t="s">
        <v>120</v>
      </c>
      <c r="D166" s="25" t="s">
        <v>121</v>
      </c>
      <c r="E166" s="86" t="s">
        <v>77</v>
      </c>
      <c r="F166" s="47" t="s">
        <v>122</v>
      </c>
      <c r="G166" s="47" t="s">
        <v>676</v>
      </c>
      <c r="H166" s="47" t="s">
        <v>101</v>
      </c>
      <c r="I166" s="47" t="s">
        <v>80</v>
      </c>
      <c r="J166" s="47" t="s">
        <v>94</v>
      </c>
      <c r="K166" s="87" t="s">
        <v>82</v>
      </c>
      <c r="L166" s="47" t="s">
        <v>677</v>
      </c>
      <c r="M166" s="47" t="s">
        <v>83</v>
      </c>
      <c r="N166" s="89" t="s">
        <v>103</v>
      </c>
      <c r="O166" s="90">
        <v>0.27</v>
      </c>
      <c r="P166" s="47">
        <v>100</v>
      </c>
      <c r="Q166" s="96">
        <v>17</v>
      </c>
      <c r="R166" s="47" t="s">
        <v>87</v>
      </c>
      <c r="S166" s="84" t="s">
        <v>87</v>
      </c>
      <c r="T166" s="92">
        <v>0.8</v>
      </c>
      <c r="U166" s="47">
        <v>200</v>
      </c>
      <c r="V166" s="47">
        <v>700</v>
      </c>
      <c r="W166" s="84">
        <v>500</v>
      </c>
      <c r="X166" s="93">
        <v>130</v>
      </c>
      <c r="Y166" s="47">
        <v>200</v>
      </c>
      <c r="Z166" s="47">
        <v>700</v>
      </c>
      <c r="AA166" s="84">
        <v>500</v>
      </c>
      <c r="AB166" s="93">
        <v>130</v>
      </c>
      <c r="AC166" s="84" t="s">
        <v>87</v>
      </c>
      <c r="AD166" s="84">
        <v>83</v>
      </c>
      <c r="AE166" s="75">
        <v>1.0241</v>
      </c>
      <c r="AF166" s="75">
        <v>0.93109850000000005</v>
      </c>
      <c r="AG166" s="75">
        <v>0.98696441000000001</v>
      </c>
      <c r="AH166" s="97">
        <v>865.57840400000009</v>
      </c>
      <c r="AI166" s="117">
        <v>163.23182115013967</v>
      </c>
      <c r="AJ166" s="97">
        <v>178.48140477569396</v>
      </c>
      <c r="AK166" s="40">
        <v>354.79527819144755</v>
      </c>
      <c r="AL166" s="41">
        <v>178</v>
      </c>
      <c r="AM166" s="39">
        <v>178</v>
      </c>
      <c r="AN166" s="39">
        <v>175.67966498000001</v>
      </c>
      <c r="AO166" s="39">
        <v>1033.4097939999999</v>
      </c>
      <c r="AP166" s="47" t="s">
        <v>574</v>
      </c>
      <c r="AQ166" s="108" t="s">
        <v>687</v>
      </c>
      <c r="AR166" s="88"/>
    </row>
    <row r="167" spans="1:44" x14ac:dyDescent="0.3">
      <c r="A167" s="25" t="s">
        <v>1509</v>
      </c>
      <c r="B167" s="25" t="s">
        <v>119</v>
      </c>
      <c r="C167" s="25" t="s">
        <v>120</v>
      </c>
      <c r="D167" s="25" t="s">
        <v>121</v>
      </c>
      <c r="E167" s="86" t="s">
        <v>77</v>
      </c>
      <c r="F167" s="47" t="s">
        <v>122</v>
      </c>
      <c r="G167" s="47" t="s">
        <v>678</v>
      </c>
      <c r="H167" s="47" t="s">
        <v>101</v>
      </c>
      <c r="I167" s="47" t="s">
        <v>80</v>
      </c>
      <c r="J167" s="47" t="s">
        <v>94</v>
      </c>
      <c r="K167" s="87" t="s">
        <v>82</v>
      </c>
      <c r="L167" s="47" t="s">
        <v>679</v>
      </c>
      <c r="M167" s="47" t="s">
        <v>83</v>
      </c>
      <c r="N167" s="89" t="s">
        <v>103</v>
      </c>
      <c r="O167" s="90">
        <v>0.34</v>
      </c>
      <c r="P167" s="47">
        <v>87</v>
      </c>
      <c r="Q167" s="211">
        <v>20</v>
      </c>
      <c r="R167" s="47" t="s">
        <v>87</v>
      </c>
      <c r="S167" s="84" t="s">
        <v>87</v>
      </c>
      <c r="T167" s="92">
        <v>0.8</v>
      </c>
      <c r="U167" s="47">
        <v>180</v>
      </c>
      <c r="V167" s="47">
        <v>530</v>
      </c>
      <c r="W167" s="84">
        <v>350</v>
      </c>
      <c r="X167" s="93">
        <v>140</v>
      </c>
      <c r="Y167" s="47">
        <v>180</v>
      </c>
      <c r="Z167" s="47">
        <v>580</v>
      </c>
      <c r="AA167" s="84">
        <v>400</v>
      </c>
      <c r="AB167" s="93">
        <v>90</v>
      </c>
      <c r="AC167" s="84" t="s">
        <v>87</v>
      </c>
      <c r="AD167" s="84">
        <v>67</v>
      </c>
      <c r="AE167" s="75">
        <v>1.0278</v>
      </c>
      <c r="AF167" s="75">
        <v>0.94008390804597708</v>
      </c>
      <c r="AG167" s="75">
        <v>0.99648894252873566</v>
      </c>
      <c r="AH167" s="97">
        <v>870.13576799999998</v>
      </c>
      <c r="AI167" s="117">
        <v>162.64419929933646</v>
      </c>
      <c r="AJ167" s="97">
        <v>177.83888561080769</v>
      </c>
      <c r="AK167" s="40">
        <v>353.51804280585856</v>
      </c>
      <c r="AL167" s="41">
        <v>178</v>
      </c>
      <c r="AM167" s="39">
        <v>154.86000000000001</v>
      </c>
      <c r="AN167" s="39">
        <v>154.31627764000001</v>
      </c>
      <c r="AO167" s="39">
        <v>771.58138819999999</v>
      </c>
      <c r="AP167" s="47" t="s">
        <v>522</v>
      </c>
      <c r="AQ167" s="108"/>
      <c r="AR167" s="88"/>
    </row>
    <row r="168" spans="1:44" x14ac:dyDescent="0.3">
      <c r="A168" s="25" t="s">
        <v>1509</v>
      </c>
      <c r="B168" s="25" t="s">
        <v>119</v>
      </c>
      <c r="C168" s="25" t="s">
        <v>120</v>
      </c>
      <c r="D168" s="25" t="s">
        <v>121</v>
      </c>
      <c r="E168" s="86" t="s">
        <v>77</v>
      </c>
      <c r="F168" s="47" t="s">
        <v>122</v>
      </c>
      <c r="G168" s="47" t="s">
        <v>680</v>
      </c>
      <c r="H168" s="47" t="s">
        <v>101</v>
      </c>
      <c r="I168" s="47" t="s">
        <v>80</v>
      </c>
      <c r="J168" s="47" t="s">
        <v>94</v>
      </c>
      <c r="K168" s="87" t="s">
        <v>82</v>
      </c>
      <c r="L168" s="47" t="s">
        <v>681</v>
      </c>
      <c r="M168" s="47" t="s">
        <v>83</v>
      </c>
      <c r="N168" s="89" t="s">
        <v>103</v>
      </c>
      <c r="O168" s="90">
        <v>0.65</v>
      </c>
      <c r="P168" s="47">
        <v>87</v>
      </c>
      <c r="Q168" s="211">
        <v>20</v>
      </c>
      <c r="R168" s="47" t="s">
        <v>87</v>
      </c>
      <c r="S168" s="84" t="s">
        <v>87</v>
      </c>
      <c r="T168" s="92">
        <v>0.8</v>
      </c>
      <c r="U168" s="47">
        <v>180</v>
      </c>
      <c r="V168" s="47">
        <v>530</v>
      </c>
      <c r="W168" s="84">
        <v>350</v>
      </c>
      <c r="X168" s="93">
        <v>140</v>
      </c>
      <c r="Y168" s="47">
        <v>180</v>
      </c>
      <c r="Z168" s="47">
        <v>580</v>
      </c>
      <c r="AA168" s="84">
        <v>400</v>
      </c>
      <c r="AB168" s="93">
        <v>90</v>
      </c>
      <c r="AC168" s="84" t="s">
        <v>87</v>
      </c>
      <c r="AD168" s="84">
        <v>67</v>
      </c>
      <c r="AE168" s="75">
        <v>1.2355</v>
      </c>
      <c r="AF168" s="75">
        <v>1.0678074712643677</v>
      </c>
      <c r="AG168" s="75">
        <v>1.1318759195402297</v>
      </c>
      <c r="AH168" s="97">
        <v>890.31838000000005</v>
      </c>
      <c r="AI168" s="117">
        <v>135.30207044909594</v>
      </c>
      <c r="AJ168" s="97">
        <v>147.94237687639674</v>
      </c>
      <c r="AK168" s="40">
        <v>294.08809744707526</v>
      </c>
      <c r="AL168" s="41">
        <v>148</v>
      </c>
      <c r="AM168" s="39">
        <v>128.76</v>
      </c>
      <c r="AN168" s="39">
        <v>145.74034339999997</v>
      </c>
      <c r="AO168" s="39">
        <v>728.7017169999998</v>
      </c>
      <c r="AP168" s="47" t="s">
        <v>522</v>
      </c>
      <c r="AQ168" s="108"/>
      <c r="AR168" s="88"/>
    </row>
    <row r="169" spans="1:44" x14ac:dyDescent="0.3">
      <c r="A169" s="25" t="s">
        <v>1509</v>
      </c>
      <c r="B169" s="25" t="s">
        <v>119</v>
      </c>
      <c r="C169" s="25" t="s">
        <v>120</v>
      </c>
      <c r="D169" s="25" t="s">
        <v>121</v>
      </c>
      <c r="E169" s="86" t="s">
        <v>77</v>
      </c>
      <c r="F169" s="85" t="s">
        <v>122</v>
      </c>
      <c r="G169" s="47" t="s">
        <v>682</v>
      </c>
      <c r="H169" s="47" t="s">
        <v>101</v>
      </c>
      <c r="I169" s="47" t="s">
        <v>80</v>
      </c>
      <c r="J169" s="47" t="s">
        <v>94</v>
      </c>
      <c r="K169" s="87" t="s">
        <v>82</v>
      </c>
      <c r="L169" s="47" t="s">
        <v>683</v>
      </c>
      <c r="M169" s="47" t="s">
        <v>83</v>
      </c>
      <c r="N169" s="89" t="s">
        <v>103</v>
      </c>
      <c r="O169" s="90">
        <v>0.45</v>
      </c>
      <c r="P169" s="47">
        <v>107</v>
      </c>
      <c r="Q169" s="47">
        <v>30</v>
      </c>
      <c r="R169" s="47" t="s">
        <v>87</v>
      </c>
      <c r="S169" s="84" t="s">
        <v>87</v>
      </c>
      <c r="T169" s="92">
        <v>0.8</v>
      </c>
      <c r="U169" s="47">
        <v>200</v>
      </c>
      <c r="V169" s="47">
        <v>600</v>
      </c>
      <c r="W169" s="84">
        <v>400</v>
      </c>
      <c r="X169" s="93">
        <v>170</v>
      </c>
      <c r="Y169" s="47">
        <v>150</v>
      </c>
      <c r="Z169" s="47">
        <v>600</v>
      </c>
      <c r="AA169" s="84">
        <v>450</v>
      </c>
      <c r="AB169" s="93">
        <v>170</v>
      </c>
      <c r="AC169" s="84" t="s">
        <v>87</v>
      </c>
      <c r="AD169" s="84">
        <v>77</v>
      </c>
      <c r="AE169" s="75">
        <v>1.1465000000000001</v>
      </c>
      <c r="AF169" s="75">
        <v>1.0218247663551403</v>
      </c>
      <c r="AG169" s="75">
        <v>1.0831342523364487</v>
      </c>
      <c r="AH169" s="97">
        <v>877.29733999999996</v>
      </c>
      <c r="AI169" s="39">
        <v>145.80524033131968</v>
      </c>
      <c r="AJ169" s="97">
        <v>159.426782931346</v>
      </c>
      <c r="AK169" s="40">
        <v>316.91743950794722</v>
      </c>
      <c r="AL169" s="41">
        <v>159</v>
      </c>
      <c r="AM169" s="39">
        <v>170.13</v>
      </c>
      <c r="AN169" s="39">
        <v>184.27363035000002</v>
      </c>
      <c r="AO169" s="39">
        <v>614.2454345000001</v>
      </c>
      <c r="AP169" s="47" t="s">
        <v>685</v>
      </c>
      <c r="AQ169" s="88" t="s">
        <v>688</v>
      </c>
      <c r="AR169" s="43"/>
    </row>
    <row r="170" spans="1:44" x14ac:dyDescent="0.3">
      <c r="A170" s="25" t="s">
        <v>1509</v>
      </c>
      <c r="B170" s="25" t="s">
        <v>119</v>
      </c>
      <c r="C170" s="25" t="s">
        <v>120</v>
      </c>
      <c r="D170" s="25" t="s">
        <v>121</v>
      </c>
      <c r="E170" s="26" t="s">
        <v>77</v>
      </c>
      <c r="F170" s="27" t="s">
        <v>78</v>
      </c>
      <c r="G170" s="25" t="s">
        <v>689</v>
      </c>
      <c r="H170" s="25" t="s">
        <v>101</v>
      </c>
      <c r="I170" s="25" t="s">
        <v>80</v>
      </c>
      <c r="J170" s="25" t="s">
        <v>94</v>
      </c>
      <c r="K170" s="30" t="s">
        <v>82</v>
      </c>
      <c r="L170" s="25" t="s">
        <v>690</v>
      </c>
      <c r="M170" s="25" t="s">
        <v>83</v>
      </c>
      <c r="N170" s="74" t="s">
        <v>103</v>
      </c>
      <c r="O170" s="61">
        <v>0.4</v>
      </c>
      <c r="P170" s="25">
        <v>113</v>
      </c>
      <c r="Q170" s="25">
        <v>30</v>
      </c>
      <c r="R170" s="25" t="s">
        <v>87</v>
      </c>
      <c r="S170" s="34" t="s">
        <v>87</v>
      </c>
      <c r="T170" s="35">
        <v>0.8</v>
      </c>
      <c r="U170" s="25">
        <v>200</v>
      </c>
      <c r="V170" s="25">
        <v>600</v>
      </c>
      <c r="W170" s="34">
        <v>400</v>
      </c>
      <c r="X170" s="36">
        <v>230</v>
      </c>
      <c r="Y170" s="25">
        <v>150</v>
      </c>
      <c r="Z170" s="25">
        <v>650</v>
      </c>
      <c r="AA170" s="34">
        <v>500</v>
      </c>
      <c r="AB170" s="36">
        <v>180</v>
      </c>
      <c r="AC170" s="34" t="s">
        <v>87</v>
      </c>
      <c r="AD170" s="34">
        <v>83</v>
      </c>
      <c r="AE170" s="37">
        <v>1.1320000000000001</v>
      </c>
      <c r="AF170" s="37">
        <v>1.0100707964601769</v>
      </c>
      <c r="AG170" s="37">
        <v>1.0706750442477875</v>
      </c>
      <c r="AH170" s="38">
        <v>874.04208000000006</v>
      </c>
      <c r="AI170" s="39">
        <v>147.6728869610053</v>
      </c>
      <c r="AJ170" s="38">
        <v>161.46891045122629</v>
      </c>
      <c r="AK170" s="40">
        <v>320.97689434263378</v>
      </c>
      <c r="AL170" s="98">
        <v>120</v>
      </c>
      <c r="AM170" s="39">
        <v>135.6</v>
      </c>
      <c r="AN170" s="39">
        <v>145.18353599999998</v>
      </c>
      <c r="AO170" s="39">
        <v>483.94511999999992</v>
      </c>
      <c r="AP170" s="25" t="s">
        <v>212</v>
      </c>
      <c r="AQ170" s="62" t="s">
        <v>699</v>
      </c>
      <c r="AR170" s="43"/>
    </row>
    <row r="171" spans="1:44" x14ac:dyDescent="0.3">
      <c r="A171" s="25" t="s">
        <v>1509</v>
      </c>
      <c r="B171" s="25" t="s">
        <v>119</v>
      </c>
      <c r="C171" s="25" t="s">
        <v>120</v>
      </c>
      <c r="D171" s="25" t="s">
        <v>121</v>
      </c>
      <c r="E171" s="26" t="s">
        <v>77</v>
      </c>
      <c r="F171" s="27" t="s">
        <v>78</v>
      </c>
      <c r="G171" s="25" t="s">
        <v>691</v>
      </c>
      <c r="H171" s="25" t="s">
        <v>101</v>
      </c>
      <c r="I171" s="25" t="s">
        <v>80</v>
      </c>
      <c r="J171" s="25" t="s">
        <v>94</v>
      </c>
      <c r="K171" s="30" t="s">
        <v>82</v>
      </c>
      <c r="L171" s="25" t="s">
        <v>692</v>
      </c>
      <c r="M171" s="25" t="s">
        <v>83</v>
      </c>
      <c r="N171" s="74" t="s">
        <v>103</v>
      </c>
      <c r="O171" s="61">
        <v>0.19</v>
      </c>
      <c r="P171" s="220">
        <v>130</v>
      </c>
      <c r="Q171" s="25">
        <v>30</v>
      </c>
      <c r="R171" s="25" t="s">
        <v>87</v>
      </c>
      <c r="S171" s="84" t="s">
        <v>87</v>
      </c>
      <c r="T171" s="35">
        <v>0.8</v>
      </c>
      <c r="U171" s="25">
        <v>200</v>
      </c>
      <c r="V171" s="25">
        <v>600</v>
      </c>
      <c r="W171" s="34">
        <v>400</v>
      </c>
      <c r="X171" s="36">
        <v>400</v>
      </c>
      <c r="Y171" s="25">
        <v>200</v>
      </c>
      <c r="Z171" s="25">
        <v>650</v>
      </c>
      <c r="AA171" s="34">
        <v>450</v>
      </c>
      <c r="AB171" s="36">
        <v>350</v>
      </c>
      <c r="AC171" s="34" t="s">
        <v>87</v>
      </c>
      <c r="AD171" s="34">
        <v>100</v>
      </c>
      <c r="AE171" s="37">
        <v>0.99</v>
      </c>
      <c r="AF171" s="37">
        <v>0.91692307692307695</v>
      </c>
      <c r="AG171" s="37">
        <v>0.97193846153846164</v>
      </c>
      <c r="AH171" s="38">
        <v>860.36998800000003</v>
      </c>
      <c r="AI171" s="39">
        <v>168.85425054531115</v>
      </c>
      <c r="AJ171" s="38">
        <v>184.62909760685673</v>
      </c>
      <c r="AK171" s="40">
        <v>367.01600444026406</v>
      </c>
      <c r="AL171" s="41">
        <v>120</v>
      </c>
      <c r="AM171" s="39">
        <v>156</v>
      </c>
      <c r="AN171" s="39">
        <v>151.62240000000003</v>
      </c>
      <c r="AO171" s="39">
        <v>505.40800000000013</v>
      </c>
      <c r="AP171" s="25" t="s">
        <v>700</v>
      </c>
      <c r="AQ171" s="62" t="s">
        <v>701</v>
      </c>
      <c r="AR171" s="221" t="s">
        <v>702</v>
      </c>
    </row>
    <row r="172" spans="1:44" x14ac:dyDescent="0.3">
      <c r="A172" s="25" t="s">
        <v>1509</v>
      </c>
      <c r="B172" s="25" t="s">
        <v>119</v>
      </c>
      <c r="C172" s="25" t="s">
        <v>120</v>
      </c>
      <c r="D172" s="25" t="s">
        <v>121</v>
      </c>
      <c r="E172" s="86" t="s">
        <v>77</v>
      </c>
      <c r="F172" s="47" t="s">
        <v>122</v>
      </c>
      <c r="G172" s="47" t="s">
        <v>693</v>
      </c>
      <c r="H172" s="47" t="s">
        <v>101</v>
      </c>
      <c r="I172" s="47" t="s">
        <v>80</v>
      </c>
      <c r="J172" s="47" t="s">
        <v>94</v>
      </c>
      <c r="K172" s="87" t="s">
        <v>82</v>
      </c>
      <c r="L172" s="47" t="s">
        <v>694</v>
      </c>
      <c r="M172" s="47" t="s">
        <v>83</v>
      </c>
      <c r="N172" s="89" t="s">
        <v>103</v>
      </c>
      <c r="O172" s="90">
        <v>0.18</v>
      </c>
      <c r="P172" s="27">
        <v>122</v>
      </c>
      <c r="Q172" s="47">
        <v>30</v>
      </c>
      <c r="R172" s="47" t="s">
        <v>87</v>
      </c>
      <c r="S172" s="84" t="s">
        <v>87</v>
      </c>
      <c r="T172" s="92">
        <v>0.8</v>
      </c>
      <c r="U172" s="47">
        <v>200</v>
      </c>
      <c r="V172" s="47">
        <v>600</v>
      </c>
      <c r="W172" s="84">
        <v>400</v>
      </c>
      <c r="X172" s="93">
        <v>320</v>
      </c>
      <c r="Y172" s="47">
        <v>200</v>
      </c>
      <c r="Z172" s="47">
        <v>600</v>
      </c>
      <c r="AA172" s="84">
        <v>400</v>
      </c>
      <c r="AB172" s="93">
        <v>320</v>
      </c>
      <c r="AC172" s="84" t="s">
        <v>87</v>
      </c>
      <c r="AD172" s="84">
        <v>92</v>
      </c>
      <c r="AE172" s="75">
        <v>0.96560000000000001</v>
      </c>
      <c r="AF172" s="75">
        <v>0.90316065573770499</v>
      </c>
      <c r="AG172" s="75">
        <v>0.95735029508196734</v>
      </c>
      <c r="AH172" s="97">
        <v>859.7189360000001</v>
      </c>
      <c r="AI172" s="39">
        <v>173.12107294931445</v>
      </c>
      <c r="AJ172" s="97">
        <v>189.29453876427939</v>
      </c>
      <c r="AK172" s="40">
        <v>376.29022824757811</v>
      </c>
      <c r="AL172" s="41">
        <v>189</v>
      </c>
      <c r="AM172" s="39">
        <v>230.58</v>
      </c>
      <c r="AN172" s="39">
        <v>220.74583104000004</v>
      </c>
      <c r="AO172" s="39">
        <v>735.81943680000018</v>
      </c>
      <c r="AP172" s="47" t="s">
        <v>590</v>
      </c>
      <c r="AQ172" s="88" t="s">
        <v>703</v>
      </c>
      <c r="AR172" s="57"/>
    </row>
    <row r="173" spans="1:44" x14ac:dyDescent="0.3">
      <c r="A173" s="25" t="s">
        <v>1509</v>
      </c>
      <c r="B173" s="25" t="s">
        <v>119</v>
      </c>
      <c r="C173" s="25" t="s">
        <v>120</v>
      </c>
      <c r="D173" s="25" t="s">
        <v>121</v>
      </c>
      <c r="E173" s="86" t="s">
        <v>77</v>
      </c>
      <c r="F173" s="47" t="s">
        <v>122</v>
      </c>
      <c r="G173" s="47" t="s">
        <v>695</v>
      </c>
      <c r="H173" s="47" t="s">
        <v>101</v>
      </c>
      <c r="I173" s="47" t="s">
        <v>80</v>
      </c>
      <c r="J173" s="47" t="s">
        <v>94</v>
      </c>
      <c r="K173" s="87" t="s">
        <v>82</v>
      </c>
      <c r="L173" s="47" t="s">
        <v>696</v>
      </c>
      <c r="M173" s="47" t="s">
        <v>83</v>
      </c>
      <c r="N173" s="89" t="s">
        <v>103</v>
      </c>
      <c r="O173" s="90">
        <v>0.25</v>
      </c>
      <c r="P173" s="47">
        <v>102</v>
      </c>
      <c r="Q173" s="47">
        <v>30</v>
      </c>
      <c r="R173" s="47" t="s">
        <v>87</v>
      </c>
      <c r="S173" s="84" t="s">
        <v>87</v>
      </c>
      <c r="T173" s="92">
        <v>0.8</v>
      </c>
      <c r="U173" s="47">
        <v>200</v>
      </c>
      <c r="V173" s="47">
        <v>600</v>
      </c>
      <c r="W173" s="84">
        <v>400</v>
      </c>
      <c r="X173" s="93">
        <v>120</v>
      </c>
      <c r="Y173" s="47">
        <v>200</v>
      </c>
      <c r="Z173" s="47">
        <v>600</v>
      </c>
      <c r="AA173" s="84">
        <v>400</v>
      </c>
      <c r="AB173" s="93">
        <v>120</v>
      </c>
      <c r="AC173" s="84" t="s">
        <v>87</v>
      </c>
      <c r="AD173" s="84">
        <v>72</v>
      </c>
      <c r="AE173" s="75">
        <v>0.98</v>
      </c>
      <c r="AF173" s="75">
        <v>0.91647058823529404</v>
      </c>
      <c r="AG173" s="75">
        <v>0.9714588235294116</v>
      </c>
      <c r="AH173" s="97">
        <v>864.27630000000011</v>
      </c>
      <c r="AI173" s="39">
        <v>170.57725310189596</v>
      </c>
      <c r="AJ173" s="97">
        <v>186.51306799060018</v>
      </c>
      <c r="AK173" s="40">
        <v>370.76106571006267</v>
      </c>
      <c r="AL173" s="41">
        <v>187</v>
      </c>
      <c r="AM173" s="39">
        <v>190.74</v>
      </c>
      <c r="AN173" s="39">
        <v>185.29605599999996</v>
      </c>
      <c r="AO173" s="39">
        <v>617.65351999999996</v>
      </c>
      <c r="AP173" s="47" t="s">
        <v>704</v>
      </c>
      <c r="AQ173" s="108" t="s">
        <v>705</v>
      </c>
      <c r="AR173" s="43"/>
    </row>
    <row r="174" spans="1:44" x14ac:dyDescent="0.3">
      <c r="A174" s="25" t="s">
        <v>1509</v>
      </c>
      <c r="B174" s="25" t="s">
        <v>119</v>
      </c>
      <c r="C174" s="25" t="s">
        <v>120</v>
      </c>
      <c r="D174" s="25" t="s">
        <v>121</v>
      </c>
      <c r="E174" s="26" t="s">
        <v>77</v>
      </c>
      <c r="F174" s="27" t="s">
        <v>78</v>
      </c>
      <c r="G174" s="25" t="s">
        <v>113</v>
      </c>
      <c r="H174" s="25" t="s">
        <v>101</v>
      </c>
      <c r="I174" s="25" t="s">
        <v>80</v>
      </c>
      <c r="J174" s="25" t="s">
        <v>94</v>
      </c>
      <c r="K174" s="30" t="s">
        <v>82</v>
      </c>
      <c r="L174" s="25" t="s">
        <v>114</v>
      </c>
      <c r="M174" s="25" t="s">
        <v>83</v>
      </c>
      <c r="N174" s="74" t="s">
        <v>103</v>
      </c>
      <c r="O174" s="61">
        <v>0.64</v>
      </c>
      <c r="P174" s="25">
        <v>110</v>
      </c>
      <c r="Q174" s="25">
        <v>30</v>
      </c>
      <c r="R174" s="25" t="s">
        <v>87</v>
      </c>
      <c r="S174" s="84" t="s">
        <v>87</v>
      </c>
      <c r="T174" s="35">
        <v>0.8</v>
      </c>
      <c r="U174" s="25">
        <v>200</v>
      </c>
      <c r="V174" s="25">
        <v>600</v>
      </c>
      <c r="W174" s="34">
        <v>400</v>
      </c>
      <c r="X174" s="36">
        <v>200</v>
      </c>
      <c r="Y174" s="25">
        <v>150</v>
      </c>
      <c r="Z174" s="25">
        <v>600</v>
      </c>
      <c r="AA174" s="34">
        <v>450</v>
      </c>
      <c r="AB174" s="36">
        <v>200</v>
      </c>
      <c r="AC174" s="34" t="s">
        <v>87</v>
      </c>
      <c r="AD174" s="34">
        <v>80</v>
      </c>
      <c r="AE174" s="37">
        <v>1.3120000000000001</v>
      </c>
      <c r="AF174" s="37">
        <v>1.1258181818181818</v>
      </c>
      <c r="AG174" s="37">
        <v>1.1933672727272728</v>
      </c>
      <c r="AH174" s="38">
        <v>889.66732800000011</v>
      </c>
      <c r="AI174" s="39">
        <v>127.41288722550155</v>
      </c>
      <c r="AJ174" s="38">
        <v>139.31616359053976</v>
      </c>
      <c r="AK174" s="40">
        <v>276.94043017977242</v>
      </c>
      <c r="AL174" s="41">
        <v>120</v>
      </c>
      <c r="AM174" s="39">
        <v>132</v>
      </c>
      <c r="AN174" s="39">
        <v>157.52448000000001</v>
      </c>
      <c r="AO174" s="39">
        <v>525.08160000000009</v>
      </c>
      <c r="AP174" s="25" t="s">
        <v>115</v>
      </c>
      <c r="AQ174" s="62" t="s">
        <v>116</v>
      </c>
      <c r="AR174" s="43" t="s">
        <v>117</v>
      </c>
    </row>
    <row r="175" spans="1:44" x14ac:dyDescent="0.3">
      <c r="A175" s="25" t="s">
        <v>1509</v>
      </c>
      <c r="B175" s="25" t="s">
        <v>119</v>
      </c>
      <c r="C175" s="25" t="s">
        <v>120</v>
      </c>
      <c r="D175" s="25" t="s">
        <v>121</v>
      </c>
      <c r="E175" s="109" t="s">
        <v>77</v>
      </c>
      <c r="F175" s="182" t="s">
        <v>139</v>
      </c>
      <c r="G175" s="66" t="s">
        <v>697</v>
      </c>
      <c r="H175" s="66" t="s">
        <v>101</v>
      </c>
      <c r="I175" s="66" t="s">
        <v>80</v>
      </c>
      <c r="J175" s="66" t="s">
        <v>94</v>
      </c>
      <c r="K175" s="111" t="s">
        <v>82</v>
      </c>
      <c r="L175" s="66" t="s">
        <v>698</v>
      </c>
      <c r="M175" s="66" t="s">
        <v>83</v>
      </c>
      <c r="N175" s="183" t="s">
        <v>103</v>
      </c>
      <c r="O175" s="113">
        <v>0.57999999999999996</v>
      </c>
      <c r="P175" s="66">
        <v>110</v>
      </c>
      <c r="Q175" s="66">
        <v>30</v>
      </c>
      <c r="R175" s="66" t="s">
        <v>87</v>
      </c>
      <c r="S175" s="115" t="s">
        <v>87</v>
      </c>
      <c r="T175" s="114">
        <v>0.8</v>
      </c>
      <c r="U175" s="66">
        <v>200</v>
      </c>
      <c r="V175" s="66">
        <v>600</v>
      </c>
      <c r="W175" s="115">
        <v>400</v>
      </c>
      <c r="X175" s="184">
        <v>200</v>
      </c>
      <c r="Y175" s="66">
        <v>150</v>
      </c>
      <c r="Z175" s="66">
        <v>600</v>
      </c>
      <c r="AA175" s="115">
        <v>450</v>
      </c>
      <c r="AB175" s="184">
        <v>200</v>
      </c>
      <c r="AC175" s="115" t="s">
        <v>87</v>
      </c>
      <c r="AD175" s="115">
        <v>80</v>
      </c>
      <c r="AE175" s="116">
        <v>1.264</v>
      </c>
      <c r="AF175" s="116">
        <v>1.0952727272727274</v>
      </c>
      <c r="AG175" s="116">
        <v>1.1609890909090912</v>
      </c>
      <c r="AH175" s="118">
        <v>885.76101600000004</v>
      </c>
      <c r="AI175" s="117">
        <v>132.25135129735602</v>
      </c>
      <c r="AJ175" s="118">
        <v>144.60665081549695</v>
      </c>
      <c r="AK175" s="119">
        <v>287.45715537647266</v>
      </c>
      <c r="AL175" s="120">
        <v>145</v>
      </c>
      <c r="AM175" s="117">
        <v>159.5</v>
      </c>
      <c r="AN175" s="117">
        <v>185.17776000000003</v>
      </c>
      <c r="AO175" s="117">
        <v>617.25920000000019</v>
      </c>
      <c r="AP175" s="66" t="s">
        <v>706</v>
      </c>
      <c r="AQ175" s="185" t="s">
        <v>707</v>
      </c>
      <c r="AR175" s="123" t="s">
        <v>708</v>
      </c>
    </row>
    <row r="176" spans="1:44" x14ac:dyDescent="0.3">
      <c r="A176" s="25" t="s">
        <v>1509</v>
      </c>
      <c r="B176" s="25" t="s">
        <v>119</v>
      </c>
      <c r="C176" s="25" t="s">
        <v>120</v>
      </c>
      <c r="D176" s="25" t="s">
        <v>121</v>
      </c>
      <c r="E176" s="26" t="s">
        <v>77</v>
      </c>
      <c r="F176" s="27" t="s">
        <v>78</v>
      </c>
      <c r="G176" s="25" t="s">
        <v>709</v>
      </c>
      <c r="H176" s="25" t="s">
        <v>101</v>
      </c>
      <c r="I176" s="25" t="s">
        <v>80</v>
      </c>
      <c r="J176" s="25" t="s">
        <v>94</v>
      </c>
      <c r="K176" s="30" t="s">
        <v>82</v>
      </c>
      <c r="L176" s="25" t="s">
        <v>710</v>
      </c>
      <c r="M176" s="25" t="s">
        <v>83</v>
      </c>
      <c r="N176" s="74" t="s">
        <v>103</v>
      </c>
      <c r="O176" s="61">
        <v>0.6</v>
      </c>
      <c r="P176" s="25">
        <v>91</v>
      </c>
      <c r="Q176" s="25">
        <v>30</v>
      </c>
      <c r="R176" s="25" t="s">
        <v>87</v>
      </c>
      <c r="S176" s="84" t="s">
        <v>87</v>
      </c>
      <c r="T176" s="35">
        <v>0.8</v>
      </c>
      <c r="U176" s="25">
        <v>175</v>
      </c>
      <c r="V176" s="25">
        <v>375</v>
      </c>
      <c r="W176" s="34">
        <v>200</v>
      </c>
      <c r="X176" s="36">
        <v>235</v>
      </c>
      <c r="Y176" s="25">
        <v>100</v>
      </c>
      <c r="Z176" s="25">
        <v>500</v>
      </c>
      <c r="AA176" s="34">
        <v>400</v>
      </c>
      <c r="AB176" s="36">
        <v>110</v>
      </c>
      <c r="AC176" s="34" t="s">
        <v>87</v>
      </c>
      <c r="AD176" s="34">
        <v>61</v>
      </c>
      <c r="AE176" s="37">
        <v>1.1659999999999999</v>
      </c>
      <c r="AF176" s="37">
        <v>1.0433296703296704</v>
      </c>
      <c r="AG176" s="37">
        <v>1.1059294505494506</v>
      </c>
      <c r="AH176" s="38">
        <v>887.06312000000003</v>
      </c>
      <c r="AI176" s="39">
        <v>143.36681650073587</v>
      </c>
      <c r="AJ176" s="38">
        <v>156.7605545718595</v>
      </c>
      <c r="AK176" s="40">
        <v>311.61736226060162</v>
      </c>
      <c r="AL176" s="41">
        <v>50</v>
      </c>
      <c r="AM176" s="39">
        <v>45.5</v>
      </c>
      <c r="AN176" s="39">
        <v>50.319790000000005</v>
      </c>
      <c r="AO176" s="39">
        <v>167.73263333333335</v>
      </c>
      <c r="AP176" s="25" t="s">
        <v>210</v>
      </c>
      <c r="AQ176" s="62"/>
      <c r="AR176" s="43" t="s">
        <v>713</v>
      </c>
    </row>
    <row r="177" spans="1:44" x14ac:dyDescent="0.3">
      <c r="A177" s="25" t="s">
        <v>1509</v>
      </c>
      <c r="B177" s="25" t="s">
        <v>119</v>
      </c>
      <c r="C177" s="25" t="s">
        <v>120</v>
      </c>
      <c r="D177" s="25" t="s">
        <v>121</v>
      </c>
      <c r="E177" s="26" t="s">
        <v>77</v>
      </c>
      <c r="F177" s="27" t="s">
        <v>78</v>
      </c>
      <c r="G177" s="25" t="s">
        <v>711</v>
      </c>
      <c r="H177" s="25" t="s">
        <v>101</v>
      </c>
      <c r="I177" s="25" t="s">
        <v>80</v>
      </c>
      <c r="J177" s="25" t="s">
        <v>94</v>
      </c>
      <c r="K177" s="30" t="s">
        <v>82</v>
      </c>
      <c r="L177" s="25" t="s">
        <v>712</v>
      </c>
      <c r="M177" s="25" t="s">
        <v>83</v>
      </c>
      <c r="N177" s="74" t="s">
        <v>103</v>
      </c>
      <c r="O177" s="61">
        <v>0.36</v>
      </c>
      <c r="P177" s="25">
        <v>97</v>
      </c>
      <c r="Q177" s="25">
        <v>30</v>
      </c>
      <c r="R177" s="25" t="s">
        <v>87</v>
      </c>
      <c r="S177" s="84" t="s">
        <v>87</v>
      </c>
      <c r="T177" s="35">
        <v>0.8</v>
      </c>
      <c r="U177" s="25">
        <v>175</v>
      </c>
      <c r="V177" s="25">
        <v>375</v>
      </c>
      <c r="W177" s="34">
        <v>200</v>
      </c>
      <c r="X177" s="36">
        <v>295</v>
      </c>
      <c r="Y177" s="25">
        <v>100</v>
      </c>
      <c r="Z177" s="25">
        <v>500</v>
      </c>
      <c r="AA177" s="34">
        <v>400</v>
      </c>
      <c r="AB177" s="36">
        <v>170</v>
      </c>
      <c r="AC177" s="34" t="s">
        <v>87</v>
      </c>
      <c r="AD177" s="34">
        <v>67</v>
      </c>
      <c r="AE177" s="37">
        <v>1.0412000000000001</v>
      </c>
      <c r="AF177" s="37">
        <v>0.95789896907216499</v>
      </c>
      <c r="AG177" s="37">
        <v>1.0153729072164948</v>
      </c>
      <c r="AH177" s="38">
        <v>871.43787200000008</v>
      </c>
      <c r="AI177" s="39">
        <v>160.55100656920669</v>
      </c>
      <c r="AJ177" s="38">
        <v>175.55014082864784</v>
      </c>
      <c r="AK177" s="40">
        <v>348.96834844012812</v>
      </c>
      <c r="AL177" s="41">
        <v>50</v>
      </c>
      <c r="AM177" s="39">
        <v>48.5</v>
      </c>
      <c r="AN177" s="39">
        <v>49.245585999999996</v>
      </c>
      <c r="AO177" s="39">
        <v>164.15195333333332</v>
      </c>
      <c r="AP177" s="25" t="s">
        <v>210</v>
      </c>
      <c r="AQ177" s="62"/>
      <c r="AR177" s="43"/>
    </row>
    <row r="178" spans="1:44" x14ac:dyDescent="0.3">
      <c r="A178" s="25" t="s">
        <v>1509</v>
      </c>
      <c r="B178" s="25" t="s">
        <v>119</v>
      </c>
      <c r="C178" s="25" t="s">
        <v>120</v>
      </c>
      <c r="D178" s="25" t="s">
        <v>121</v>
      </c>
      <c r="E178" s="86" t="s">
        <v>77</v>
      </c>
      <c r="F178" s="47" t="s">
        <v>122</v>
      </c>
      <c r="G178" s="47" t="s">
        <v>714</v>
      </c>
      <c r="H178" s="47" t="s">
        <v>101</v>
      </c>
      <c r="I178" s="47" t="s">
        <v>80</v>
      </c>
      <c r="J178" s="47" t="s">
        <v>94</v>
      </c>
      <c r="K178" s="87" t="s">
        <v>82</v>
      </c>
      <c r="L178" s="47" t="s">
        <v>715</v>
      </c>
      <c r="M178" s="47" t="s">
        <v>83</v>
      </c>
      <c r="N178" s="89" t="s">
        <v>103</v>
      </c>
      <c r="O178" s="90">
        <v>0.62</v>
      </c>
      <c r="P178" s="47">
        <v>94</v>
      </c>
      <c r="Q178" s="47">
        <v>30</v>
      </c>
      <c r="R178" s="47" t="s">
        <v>87</v>
      </c>
      <c r="S178" s="84" t="s">
        <v>87</v>
      </c>
      <c r="T178" s="92">
        <v>0.8</v>
      </c>
      <c r="U178" s="47">
        <v>120</v>
      </c>
      <c r="V178" s="47">
        <v>520</v>
      </c>
      <c r="W178" s="84">
        <v>400</v>
      </c>
      <c r="X178" s="93">
        <v>120</v>
      </c>
      <c r="Y178" s="47">
        <v>100</v>
      </c>
      <c r="Z178" s="47">
        <v>550</v>
      </c>
      <c r="AA178" s="84">
        <v>450</v>
      </c>
      <c r="AB178" s="93">
        <v>90</v>
      </c>
      <c r="AC178" s="84" t="s">
        <v>87</v>
      </c>
      <c r="AD178" s="84">
        <v>64</v>
      </c>
      <c r="AE178" s="75">
        <v>1.1968000000000001</v>
      </c>
      <c r="AF178" s="75">
        <v>1.0617191489361704</v>
      </c>
      <c r="AG178" s="75">
        <v>1.1254222978723405</v>
      </c>
      <c r="AH178" s="97">
        <v>888.36522400000001</v>
      </c>
      <c r="AI178" s="117">
        <v>139.67722931137868</v>
      </c>
      <c r="AJ178" s="97">
        <v>152.72627559390722</v>
      </c>
      <c r="AK178" s="40">
        <v>303.59779779065963</v>
      </c>
      <c r="AL178" s="98">
        <v>120</v>
      </c>
      <c r="AM178" s="39">
        <v>112.8</v>
      </c>
      <c r="AN178" s="39">
        <v>126.94763520000001</v>
      </c>
      <c r="AO178" s="39">
        <v>423.15878400000003</v>
      </c>
      <c r="AP178" s="47" t="s">
        <v>115</v>
      </c>
      <c r="AQ178" s="108" t="s">
        <v>723</v>
      </c>
      <c r="AR178" s="88" t="s">
        <v>724</v>
      </c>
    </row>
    <row r="179" spans="1:44" x14ac:dyDescent="0.3">
      <c r="A179" s="25" t="s">
        <v>1509</v>
      </c>
      <c r="B179" s="25" t="s">
        <v>119</v>
      </c>
      <c r="C179" s="25" t="s">
        <v>120</v>
      </c>
      <c r="D179" s="25" t="s">
        <v>121</v>
      </c>
      <c r="E179" s="86" t="s">
        <v>77</v>
      </c>
      <c r="F179" s="47" t="s">
        <v>122</v>
      </c>
      <c r="G179" s="47" t="s">
        <v>716</v>
      </c>
      <c r="H179" s="47" t="s">
        <v>101</v>
      </c>
      <c r="I179" s="47" t="s">
        <v>80</v>
      </c>
      <c r="J179" s="47" t="s">
        <v>94</v>
      </c>
      <c r="K179" s="87" t="s">
        <v>82</v>
      </c>
      <c r="L179" s="47" t="s">
        <v>201</v>
      </c>
      <c r="M179" s="47" t="s">
        <v>717</v>
      </c>
      <c r="N179" s="89" t="s">
        <v>103</v>
      </c>
      <c r="O179" s="90"/>
      <c r="P179" s="47"/>
      <c r="Q179" s="47"/>
      <c r="R179" s="47"/>
      <c r="S179" s="84"/>
      <c r="T179" s="92"/>
      <c r="U179" s="47"/>
      <c r="V179" s="47"/>
      <c r="W179" s="84"/>
      <c r="X179" s="93"/>
      <c r="Y179" s="47"/>
      <c r="Z179" s="47"/>
      <c r="AA179" s="84"/>
      <c r="AB179" s="93"/>
      <c r="AC179" s="84"/>
      <c r="AD179" s="84"/>
      <c r="AE179" s="75"/>
      <c r="AF179" s="75"/>
      <c r="AG179" s="75"/>
      <c r="AH179" s="97"/>
      <c r="AI179" s="117"/>
      <c r="AJ179" s="97"/>
      <c r="AK179" s="40"/>
      <c r="AL179" s="41"/>
      <c r="AM179" s="39"/>
      <c r="AN179" s="39"/>
      <c r="AO179" s="39"/>
      <c r="AP179" s="47" t="s">
        <v>87</v>
      </c>
      <c r="AQ179" s="108"/>
      <c r="AR179" s="207"/>
    </row>
    <row r="180" spans="1:44" x14ac:dyDescent="0.3">
      <c r="A180" s="25" t="s">
        <v>1509</v>
      </c>
      <c r="B180" s="25" t="s">
        <v>119</v>
      </c>
      <c r="C180" s="25" t="s">
        <v>120</v>
      </c>
      <c r="D180" s="25" t="s">
        <v>121</v>
      </c>
      <c r="E180" s="86" t="s">
        <v>77</v>
      </c>
      <c r="F180" s="47" t="s">
        <v>122</v>
      </c>
      <c r="G180" s="47" t="s">
        <v>718</v>
      </c>
      <c r="H180" s="47" t="s">
        <v>79</v>
      </c>
      <c r="I180" s="47" t="s">
        <v>80</v>
      </c>
      <c r="J180" s="47" t="s">
        <v>94</v>
      </c>
      <c r="K180" s="87" t="s">
        <v>82</v>
      </c>
      <c r="L180" s="47" t="s">
        <v>201</v>
      </c>
      <c r="M180" s="47" t="s">
        <v>717</v>
      </c>
      <c r="N180" s="89" t="s">
        <v>103</v>
      </c>
      <c r="O180" s="90"/>
      <c r="P180" s="47"/>
      <c r="Q180" s="47"/>
      <c r="R180" s="47"/>
      <c r="S180" s="84"/>
      <c r="T180" s="92"/>
      <c r="U180" s="47"/>
      <c r="V180" s="47"/>
      <c r="W180" s="84"/>
      <c r="X180" s="93"/>
      <c r="Y180" s="47"/>
      <c r="Z180" s="47"/>
      <c r="AA180" s="84"/>
      <c r="AB180" s="93"/>
      <c r="AC180" s="84"/>
      <c r="AD180" s="84"/>
      <c r="AE180" s="75"/>
      <c r="AF180" s="75"/>
      <c r="AG180" s="75"/>
      <c r="AH180" s="97"/>
      <c r="AI180" s="39"/>
      <c r="AJ180" s="97"/>
      <c r="AK180" s="40"/>
      <c r="AL180" s="41"/>
      <c r="AM180" s="39"/>
      <c r="AN180" s="39"/>
      <c r="AO180" s="39"/>
      <c r="AP180" s="47" t="s">
        <v>87</v>
      </c>
      <c r="AQ180" s="88"/>
      <c r="AR180" s="57"/>
    </row>
    <row r="181" spans="1:44" x14ac:dyDescent="0.3">
      <c r="A181" s="25" t="s">
        <v>1509</v>
      </c>
      <c r="B181" s="25" t="s">
        <v>119</v>
      </c>
      <c r="C181" s="25" t="s">
        <v>120</v>
      </c>
      <c r="D181" s="25" t="s">
        <v>121</v>
      </c>
      <c r="E181" s="86" t="s">
        <v>77</v>
      </c>
      <c r="F181" s="47" t="s">
        <v>122</v>
      </c>
      <c r="G181" s="47" t="s">
        <v>719</v>
      </c>
      <c r="H181" s="47" t="s">
        <v>101</v>
      </c>
      <c r="I181" s="47" t="s">
        <v>80</v>
      </c>
      <c r="J181" s="47" t="s">
        <v>94</v>
      </c>
      <c r="K181" s="87" t="s">
        <v>82</v>
      </c>
      <c r="L181" s="47" t="s">
        <v>720</v>
      </c>
      <c r="M181" s="47" t="s">
        <v>83</v>
      </c>
      <c r="N181" s="89" t="s">
        <v>103</v>
      </c>
      <c r="O181" s="90">
        <v>0.5</v>
      </c>
      <c r="P181" s="47">
        <v>107</v>
      </c>
      <c r="Q181" s="47">
        <v>30</v>
      </c>
      <c r="R181" s="47" t="s">
        <v>87</v>
      </c>
      <c r="S181" s="84" t="s">
        <v>87</v>
      </c>
      <c r="T181" s="92">
        <v>0.8</v>
      </c>
      <c r="U181" s="47">
        <v>200</v>
      </c>
      <c r="V181" s="47">
        <v>600</v>
      </c>
      <c r="W181" s="84">
        <v>400</v>
      </c>
      <c r="X181" s="93">
        <v>170</v>
      </c>
      <c r="Y181" s="47">
        <v>200</v>
      </c>
      <c r="Z181" s="47">
        <v>600</v>
      </c>
      <c r="AA181" s="84">
        <v>400</v>
      </c>
      <c r="AB181" s="93">
        <v>170</v>
      </c>
      <c r="AC181" s="84" t="s">
        <v>87</v>
      </c>
      <c r="AD181" s="84">
        <v>77</v>
      </c>
      <c r="AE181" s="75">
        <v>1.1850000000000001</v>
      </c>
      <c r="AF181" s="75">
        <v>1.0464719626168224</v>
      </c>
      <c r="AG181" s="75">
        <v>1.1092602803738318</v>
      </c>
      <c r="AH181" s="97">
        <v>880.5526000000001</v>
      </c>
      <c r="AI181" s="39">
        <v>141.0681080505131</v>
      </c>
      <c r="AJ181" s="97">
        <v>154.24709420319675</v>
      </c>
      <c r="AK181" s="40">
        <v>306.62096573490419</v>
      </c>
      <c r="AL181" s="41">
        <v>154</v>
      </c>
      <c r="AM181" s="39">
        <v>164.78</v>
      </c>
      <c r="AN181" s="39">
        <v>182.78390900000002</v>
      </c>
      <c r="AO181" s="39">
        <v>609.27969666666672</v>
      </c>
      <c r="AP181" s="47" t="s">
        <v>590</v>
      </c>
      <c r="AQ181" s="88" t="s">
        <v>725</v>
      </c>
      <c r="AR181" s="57"/>
    </row>
    <row r="182" spans="1:44" x14ac:dyDescent="0.3">
      <c r="A182" s="25" t="s">
        <v>1509</v>
      </c>
      <c r="B182" s="25" t="s">
        <v>119</v>
      </c>
      <c r="C182" s="25" t="s">
        <v>120</v>
      </c>
      <c r="D182" s="25" t="s">
        <v>121</v>
      </c>
      <c r="E182" s="109" t="s">
        <v>77</v>
      </c>
      <c r="F182" s="182" t="s">
        <v>139</v>
      </c>
      <c r="G182" s="66" t="s">
        <v>721</v>
      </c>
      <c r="H182" s="66" t="s">
        <v>101</v>
      </c>
      <c r="I182" s="66" t="s">
        <v>80</v>
      </c>
      <c r="J182" s="66" t="s">
        <v>94</v>
      </c>
      <c r="K182" s="111" t="s">
        <v>82</v>
      </c>
      <c r="L182" s="66" t="s">
        <v>722</v>
      </c>
      <c r="M182" s="66" t="s">
        <v>83</v>
      </c>
      <c r="N182" s="183" t="s">
        <v>103</v>
      </c>
      <c r="O182" s="113">
        <v>0.28999999999999998</v>
      </c>
      <c r="P182" s="66">
        <v>115</v>
      </c>
      <c r="Q182" s="66">
        <v>30</v>
      </c>
      <c r="R182" s="66" t="s">
        <v>87</v>
      </c>
      <c r="S182" s="84" t="s">
        <v>87</v>
      </c>
      <c r="T182" s="114">
        <v>0.8</v>
      </c>
      <c r="U182" s="66">
        <v>200</v>
      </c>
      <c r="V182" s="66">
        <v>600</v>
      </c>
      <c r="W182" s="115">
        <v>400</v>
      </c>
      <c r="X182" s="184">
        <v>250</v>
      </c>
      <c r="Y182" s="66">
        <v>200</v>
      </c>
      <c r="Z182" s="66">
        <v>600</v>
      </c>
      <c r="AA182" s="115">
        <v>400</v>
      </c>
      <c r="AB182" s="184">
        <v>250</v>
      </c>
      <c r="AC182" s="115" t="s">
        <v>87</v>
      </c>
      <c r="AD182" s="115">
        <v>85</v>
      </c>
      <c r="AE182" s="116">
        <v>1.0465</v>
      </c>
      <c r="AF182" s="116">
        <v>0.9554021739130435</v>
      </c>
      <c r="AG182" s="116">
        <v>1.0127263043478261</v>
      </c>
      <c r="AH182" s="118">
        <v>866.88050800000008</v>
      </c>
      <c r="AI182" s="117">
        <v>159.73789588137416</v>
      </c>
      <c r="AJ182" s="118">
        <v>174.66106701460888</v>
      </c>
      <c r="AK182" s="119">
        <v>347.20099798935638</v>
      </c>
      <c r="AL182" s="120">
        <v>175</v>
      </c>
      <c r="AM182" s="117">
        <v>201.25</v>
      </c>
      <c r="AN182" s="117">
        <v>203.81116875000001</v>
      </c>
      <c r="AO182" s="117">
        <v>679.37056250000001</v>
      </c>
      <c r="AP182" s="66" t="s">
        <v>590</v>
      </c>
      <c r="AQ182" s="123" t="s">
        <v>726</v>
      </c>
      <c r="AR182" s="202" t="s">
        <v>727</v>
      </c>
    </row>
    <row r="183" spans="1:44" x14ac:dyDescent="0.3">
      <c r="A183" s="25" t="s">
        <v>1509</v>
      </c>
      <c r="B183" s="25" t="s">
        <v>119</v>
      </c>
      <c r="C183" s="25" t="s">
        <v>120</v>
      </c>
      <c r="D183" s="25" t="s">
        <v>121</v>
      </c>
      <c r="E183" s="86" t="s">
        <v>77</v>
      </c>
      <c r="F183" s="222" t="s">
        <v>139</v>
      </c>
      <c r="G183" s="47" t="s">
        <v>728</v>
      </c>
      <c r="H183" s="47" t="s">
        <v>101</v>
      </c>
      <c r="I183" s="47" t="s">
        <v>80</v>
      </c>
      <c r="J183" s="47" t="s">
        <v>94</v>
      </c>
      <c r="K183" s="87" t="s">
        <v>82</v>
      </c>
      <c r="L183" s="47" t="s">
        <v>729</v>
      </c>
      <c r="M183" s="47" t="s">
        <v>83</v>
      </c>
      <c r="N183" s="89" t="s">
        <v>103</v>
      </c>
      <c r="O183" s="90">
        <v>0.33</v>
      </c>
      <c r="P183" s="47">
        <v>91</v>
      </c>
      <c r="Q183" s="47">
        <v>30</v>
      </c>
      <c r="R183" s="47" t="s">
        <v>87</v>
      </c>
      <c r="S183" s="84" t="s">
        <v>87</v>
      </c>
      <c r="T183" s="92">
        <v>0.8</v>
      </c>
      <c r="U183" s="47">
        <v>178</v>
      </c>
      <c r="V183" s="47">
        <v>375</v>
      </c>
      <c r="W183" s="84">
        <v>197</v>
      </c>
      <c r="X183" s="93">
        <v>235</v>
      </c>
      <c r="Y183" s="47">
        <v>100</v>
      </c>
      <c r="Z183" s="47">
        <v>500</v>
      </c>
      <c r="AA183" s="84">
        <v>400</v>
      </c>
      <c r="AB183" s="93">
        <v>110</v>
      </c>
      <c r="AC183" s="84" t="s">
        <v>87</v>
      </c>
      <c r="AD183" s="84">
        <v>61</v>
      </c>
      <c r="AE183" s="75">
        <v>1.0013000000000001</v>
      </c>
      <c r="AF183" s="75">
        <v>0.93383131868131874</v>
      </c>
      <c r="AG183" s="75">
        <v>0.98986119780219783</v>
      </c>
      <c r="AH183" s="97">
        <v>869.48471600000005</v>
      </c>
      <c r="AI183" s="39">
        <v>166.94867476266657</v>
      </c>
      <c r="AJ183" s="97">
        <v>182.54549748405887</v>
      </c>
      <c r="AK183" s="40">
        <v>362.87410805538946</v>
      </c>
      <c r="AL183" s="41">
        <v>183</v>
      </c>
      <c r="AM183" s="39">
        <v>166.53</v>
      </c>
      <c r="AN183" s="39">
        <v>164.84158527</v>
      </c>
      <c r="AO183" s="39">
        <v>549.47195090000002</v>
      </c>
      <c r="AP183" s="47" t="s">
        <v>292</v>
      </c>
      <c r="AQ183" s="108" t="s">
        <v>730</v>
      </c>
      <c r="AR183" s="88" t="s">
        <v>731</v>
      </c>
    </row>
    <row r="184" spans="1:44" x14ac:dyDescent="0.3">
      <c r="A184" s="25" t="s">
        <v>1509</v>
      </c>
      <c r="B184" s="25" t="s">
        <v>119</v>
      </c>
      <c r="C184" s="25" t="s">
        <v>120</v>
      </c>
      <c r="D184" s="25" t="s">
        <v>121</v>
      </c>
      <c r="E184" s="86" t="s">
        <v>77</v>
      </c>
      <c r="F184" s="47" t="s">
        <v>122</v>
      </c>
      <c r="G184" s="47" t="s">
        <v>732</v>
      </c>
      <c r="H184" s="47" t="s">
        <v>101</v>
      </c>
      <c r="I184" s="47" t="s">
        <v>80</v>
      </c>
      <c r="J184" s="47" t="s">
        <v>94</v>
      </c>
      <c r="K184" s="87" t="s">
        <v>82</v>
      </c>
      <c r="L184" s="47" t="s">
        <v>733</v>
      </c>
      <c r="M184" s="47" t="s">
        <v>83</v>
      </c>
      <c r="N184" s="89" t="s">
        <v>103</v>
      </c>
      <c r="O184" s="90">
        <v>0.4</v>
      </c>
      <c r="P184" s="27">
        <v>135</v>
      </c>
      <c r="Q184" s="47">
        <v>30</v>
      </c>
      <c r="R184" s="47" t="s">
        <v>87</v>
      </c>
      <c r="S184" s="84" t="s">
        <v>87</v>
      </c>
      <c r="T184" s="92">
        <v>0.8</v>
      </c>
      <c r="U184" s="47">
        <v>200</v>
      </c>
      <c r="V184" s="47">
        <v>600</v>
      </c>
      <c r="W184" s="84">
        <v>400</v>
      </c>
      <c r="X184" s="93">
        <v>450</v>
      </c>
      <c r="Y184" s="47">
        <v>200</v>
      </c>
      <c r="Z184" s="47">
        <v>600</v>
      </c>
      <c r="AA184" s="84">
        <v>400</v>
      </c>
      <c r="AB184" s="93">
        <v>450</v>
      </c>
      <c r="AC184" s="84" t="s">
        <v>87</v>
      </c>
      <c r="AD184" s="84">
        <v>105</v>
      </c>
      <c r="AE184" s="75">
        <v>1.22</v>
      </c>
      <c r="AF184" s="75">
        <v>1.0566666666666666</v>
      </c>
      <c r="AG184" s="75">
        <v>1.1200666666666668</v>
      </c>
      <c r="AH184" s="97">
        <v>874.04208000000006</v>
      </c>
      <c r="AI184" s="39">
        <v>137.02107216381808</v>
      </c>
      <c r="AJ184" s="97">
        <v>149.82197264818703</v>
      </c>
      <c r="AK184" s="40">
        <v>297.82446261955857</v>
      </c>
      <c r="AL184" s="41">
        <v>150</v>
      </c>
      <c r="AM184" s="39">
        <v>202.5</v>
      </c>
      <c r="AN184" s="39">
        <v>226.81350000000003</v>
      </c>
      <c r="AO184" s="39">
        <v>756.04500000000019</v>
      </c>
      <c r="AP184" s="47" t="s">
        <v>738</v>
      </c>
      <c r="AQ184" s="108" t="s">
        <v>739</v>
      </c>
      <c r="AR184" s="207"/>
    </row>
    <row r="185" spans="1:44" x14ac:dyDescent="0.3">
      <c r="A185" s="25" t="s">
        <v>1509</v>
      </c>
      <c r="B185" s="25" t="s">
        <v>119</v>
      </c>
      <c r="C185" s="25" t="s">
        <v>120</v>
      </c>
      <c r="D185" s="25" t="s">
        <v>121</v>
      </c>
      <c r="E185" s="26" t="s">
        <v>77</v>
      </c>
      <c r="F185" s="27" t="s">
        <v>78</v>
      </c>
      <c r="G185" s="25" t="s">
        <v>734</v>
      </c>
      <c r="H185" s="25" t="s">
        <v>101</v>
      </c>
      <c r="I185" s="25" t="s">
        <v>80</v>
      </c>
      <c r="J185" s="25" t="s">
        <v>94</v>
      </c>
      <c r="K185" s="30" t="s">
        <v>82</v>
      </c>
      <c r="L185" s="25" t="s">
        <v>735</v>
      </c>
      <c r="M185" s="25" t="s">
        <v>83</v>
      </c>
      <c r="N185" s="74" t="s">
        <v>103</v>
      </c>
      <c r="O185" s="61">
        <v>0.42</v>
      </c>
      <c r="P185" s="142">
        <v>135</v>
      </c>
      <c r="Q185" s="25">
        <v>30</v>
      </c>
      <c r="R185" s="25" t="s">
        <v>87</v>
      </c>
      <c r="S185" s="84" t="s">
        <v>87</v>
      </c>
      <c r="T185" s="35">
        <v>0.8</v>
      </c>
      <c r="U185" s="25">
        <v>300</v>
      </c>
      <c r="V185" s="25">
        <v>700</v>
      </c>
      <c r="W185" s="34">
        <v>400</v>
      </c>
      <c r="X185" s="36">
        <v>350</v>
      </c>
      <c r="Y185" s="25">
        <v>300</v>
      </c>
      <c r="Z185" s="25">
        <v>700</v>
      </c>
      <c r="AA185" s="34">
        <v>400</v>
      </c>
      <c r="AB185" s="36">
        <v>350</v>
      </c>
      <c r="AC185" s="34" t="s">
        <v>87</v>
      </c>
      <c r="AD185" s="34">
        <v>105</v>
      </c>
      <c r="AE185" s="37">
        <v>1.2410000000000001</v>
      </c>
      <c r="AF185" s="37">
        <v>1.0695000000000001</v>
      </c>
      <c r="AG185" s="37">
        <v>1.1336700000000002</v>
      </c>
      <c r="AH185" s="38">
        <v>875.34418400000015</v>
      </c>
      <c r="AI185" s="39">
        <v>134.70242388385014</v>
      </c>
      <c r="AJ185" s="38">
        <v>147.28670961385023</v>
      </c>
      <c r="AK185" s="40">
        <v>292.78472554058129</v>
      </c>
      <c r="AL185" s="41">
        <v>147</v>
      </c>
      <c r="AM185" s="39">
        <v>198.45</v>
      </c>
      <c r="AN185" s="39">
        <v>224.97681150000003</v>
      </c>
      <c r="AO185" s="39">
        <v>749.92270500000006</v>
      </c>
      <c r="AP185" s="25" t="s">
        <v>218</v>
      </c>
      <c r="AQ185" s="62" t="s">
        <v>740</v>
      </c>
      <c r="AR185" s="43"/>
    </row>
    <row r="186" spans="1:44" x14ac:dyDescent="0.3">
      <c r="A186" s="25" t="s">
        <v>1509</v>
      </c>
      <c r="B186" s="25" t="s">
        <v>119</v>
      </c>
      <c r="C186" s="25" t="s">
        <v>120</v>
      </c>
      <c r="D186" s="25" t="s">
        <v>121</v>
      </c>
      <c r="E186" s="109" t="s">
        <v>77</v>
      </c>
      <c r="F186" s="182" t="s">
        <v>139</v>
      </c>
      <c r="G186" s="66" t="s">
        <v>736</v>
      </c>
      <c r="H186" s="66" t="s">
        <v>101</v>
      </c>
      <c r="I186" s="66" t="s">
        <v>80</v>
      </c>
      <c r="J186" s="66" t="s">
        <v>94</v>
      </c>
      <c r="K186" s="111" t="s">
        <v>82</v>
      </c>
      <c r="L186" s="66" t="s">
        <v>737</v>
      </c>
      <c r="M186" s="66" t="s">
        <v>83</v>
      </c>
      <c r="N186" s="183" t="s">
        <v>103</v>
      </c>
      <c r="O186" s="113">
        <v>0.48</v>
      </c>
      <c r="P186" s="66">
        <v>103</v>
      </c>
      <c r="Q186" s="66">
        <v>30</v>
      </c>
      <c r="R186" s="66" t="s">
        <v>87</v>
      </c>
      <c r="S186" s="84" t="s">
        <v>87</v>
      </c>
      <c r="T186" s="114">
        <v>0.8</v>
      </c>
      <c r="U186" s="66">
        <v>200</v>
      </c>
      <c r="V186" s="66">
        <v>600</v>
      </c>
      <c r="W186" s="115">
        <v>400</v>
      </c>
      <c r="X186" s="184">
        <v>130</v>
      </c>
      <c r="Y186" s="66">
        <v>200</v>
      </c>
      <c r="Z186" s="66">
        <v>600</v>
      </c>
      <c r="AA186" s="115">
        <v>400</v>
      </c>
      <c r="AB186" s="184">
        <v>130</v>
      </c>
      <c r="AC186" s="115" t="s">
        <v>87</v>
      </c>
      <c r="AD186" s="115">
        <v>73</v>
      </c>
      <c r="AE186" s="116">
        <v>1.1504000000000001</v>
      </c>
      <c r="AF186" s="116">
        <v>1.0262291262135923</v>
      </c>
      <c r="AG186" s="116">
        <v>1.0878028737864078</v>
      </c>
      <c r="AH186" s="118">
        <v>879.250496</v>
      </c>
      <c r="AI186" s="117">
        <v>145.31094231559285</v>
      </c>
      <c r="AJ186" s="118">
        <v>158.88630618114411</v>
      </c>
      <c r="AK186" s="119">
        <v>315.84304971823838</v>
      </c>
      <c r="AL186" s="120">
        <v>159</v>
      </c>
      <c r="AM186" s="117">
        <v>163.77000000000001</v>
      </c>
      <c r="AN186" s="117">
        <v>178.14947664000002</v>
      </c>
      <c r="AO186" s="117">
        <v>593.83158880000008</v>
      </c>
      <c r="AP186" s="66" t="s">
        <v>590</v>
      </c>
      <c r="AQ186" s="123" t="s">
        <v>741</v>
      </c>
      <c r="AR186" s="208"/>
    </row>
    <row r="187" spans="1:44" x14ac:dyDescent="0.3">
      <c r="A187" s="25" t="s">
        <v>1509</v>
      </c>
      <c r="B187" s="25" t="s">
        <v>119</v>
      </c>
      <c r="C187" s="25" t="s">
        <v>120</v>
      </c>
      <c r="D187" s="25" t="s">
        <v>121</v>
      </c>
      <c r="E187" s="109" t="s">
        <v>77</v>
      </c>
      <c r="F187" s="182" t="s">
        <v>139</v>
      </c>
      <c r="G187" s="66" t="s">
        <v>742</v>
      </c>
      <c r="H187" s="66" t="s">
        <v>101</v>
      </c>
      <c r="I187" s="66" t="s">
        <v>80</v>
      </c>
      <c r="J187" s="66" t="s">
        <v>94</v>
      </c>
      <c r="K187" s="111" t="s">
        <v>82</v>
      </c>
      <c r="L187" s="66" t="s">
        <v>743</v>
      </c>
      <c r="M187" s="66" t="s">
        <v>83</v>
      </c>
      <c r="N187" s="183" t="s">
        <v>103</v>
      </c>
      <c r="O187" s="113">
        <v>0.32</v>
      </c>
      <c r="P187" s="27">
        <v>121</v>
      </c>
      <c r="Q187" s="47">
        <v>30</v>
      </c>
      <c r="R187" s="66" t="s">
        <v>87</v>
      </c>
      <c r="S187" s="84" t="s">
        <v>87</v>
      </c>
      <c r="T187" s="114">
        <v>0.8</v>
      </c>
      <c r="U187" s="66">
        <v>200</v>
      </c>
      <c r="V187" s="66">
        <v>600</v>
      </c>
      <c r="W187" s="115">
        <v>400</v>
      </c>
      <c r="X187" s="93">
        <v>310</v>
      </c>
      <c r="Y187" s="66">
        <v>150</v>
      </c>
      <c r="Z187" s="66">
        <v>600</v>
      </c>
      <c r="AA187" s="115">
        <v>450</v>
      </c>
      <c r="AB187" s="184">
        <v>310</v>
      </c>
      <c r="AC187" s="115" t="s">
        <v>87</v>
      </c>
      <c r="AD187" s="115">
        <v>91</v>
      </c>
      <c r="AE187" s="116">
        <v>1.0912000000000002</v>
      </c>
      <c r="AF187" s="116">
        <v>0.98169917355371916</v>
      </c>
      <c r="AG187" s="116">
        <v>1.0406011239669422</v>
      </c>
      <c r="AH187" s="118">
        <v>868.833664</v>
      </c>
      <c r="AI187" s="39">
        <v>153.19438053506047</v>
      </c>
      <c r="AJ187" s="118">
        <v>167.50623774815628</v>
      </c>
      <c r="AK187" s="119">
        <v>332.97822983491699</v>
      </c>
      <c r="AL187" s="120">
        <v>168</v>
      </c>
      <c r="AM187" s="117">
        <v>203.28</v>
      </c>
      <c r="AN187" s="117">
        <v>211.53339647999999</v>
      </c>
      <c r="AO187" s="117">
        <v>705.1113216</v>
      </c>
      <c r="AP187" s="66" t="s">
        <v>292</v>
      </c>
      <c r="AQ187" s="185" t="s">
        <v>744</v>
      </c>
      <c r="AR187" s="186"/>
    </row>
    <row r="188" spans="1:44" x14ac:dyDescent="0.3">
      <c r="A188" s="25" t="s">
        <v>1509</v>
      </c>
      <c r="B188" s="25" t="s">
        <v>119</v>
      </c>
      <c r="C188" s="25" t="s">
        <v>120</v>
      </c>
      <c r="D188" s="25" t="s">
        <v>121</v>
      </c>
      <c r="E188" s="109" t="s">
        <v>77</v>
      </c>
      <c r="F188" s="182" t="s">
        <v>139</v>
      </c>
      <c r="G188" s="66" t="s">
        <v>745</v>
      </c>
      <c r="H188" s="66" t="s">
        <v>101</v>
      </c>
      <c r="I188" s="66" t="s">
        <v>80</v>
      </c>
      <c r="J188" s="66" t="s">
        <v>94</v>
      </c>
      <c r="K188" s="111" t="s">
        <v>82</v>
      </c>
      <c r="L188" s="66" t="s">
        <v>746</v>
      </c>
      <c r="M188" s="66" t="s">
        <v>83</v>
      </c>
      <c r="N188" s="183" t="s">
        <v>103</v>
      </c>
      <c r="O188" s="113">
        <v>0.3</v>
      </c>
      <c r="P188" s="66">
        <v>105</v>
      </c>
      <c r="Q188" s="66">
        <v>30</v>
      </c>
      <c r="R188" s="66" t="s">
        <v>87</v>
      </c>
      <c r="S188" s="84" t="s">
        <v>87</v>
      </c>
      <c r="T188" s="114">
        <v>0.8</v>
      </c>
      <c r="U188" s="66">
        <v>200</v>
      </c>
      <c r="V188" s="66">
        <v>600</v>
      </c>
      <c r="W188" s="115">
        <v>400</v>
      </c>
      <c r="X188" s="184">
        <v>150</v>
      </c>
      <c r="Y188" s="66">
        <v>150</v>
      </c>
      <c r="Z188" s="66">
        <v>600</v>
      </c>
      <c r="AA188" s="115">
        <v>450</v>
      </c>
      <c r="AB188" s="184">
        <v>150</v>
      </c>
      <c r="AC188" s="115" t="s">
        <v>87</v>
      </c>
      <c r="AD188" s="115">
        <v>75</v>
      </c>
      <c r="AE188" s="116">
        <v>1.0250000000000001</v>
      </c>
      <c r="AF188" s="116">
        <v>0.94464285714285712</v>
      </c>
      <c r="AG188" s="116">
        <v>1.0013214285714285</v>
      </c>
      <c r="AH188" s="118">
        <v>867.53156000000013</v>
      </c>
      <c r="AI188" s="117">
        <v>163.08849564864195</v>
      </c>
      <c r="AJ188" s="118">
        <v>178.32468939589089</v>
      </c>
      <c r="AK188" s="119">
        <v>354.48375063010872</v>
      </c>
      <c r="AL188" s="120">
        <v>178</v>
      </c>
      <c r="AM188" s="117">
        <v>186.9</v>
      </c>
      <c r="AN188" s="117">
        <v>187.146975</v>
      </c>
      <c r="AO188" s="117">
        <v>623.82325000000003</v>
      </c>
      <c r="AP188" s="66" t="s">
        <v>685</v>
      </c>
      <c r="AQ188" s="123" t="s">
        <v>769</v>
      </c>
      <c r="AR188" s="78"/>
    </row>
    <row r="189" spans="1:44" x14ac:dyDescent="0.3">
      <c r="A189" s="25" t="s">
        <v>1509</v>
      </c>
      <c r="B189" s="25" t="s">
        <v>119</v>
      </c>
      <c r="C189" s="25" t="s">
        <v>120</v>
      </c>
      <c r="D189" s="25" t="s">
        <v>121</v>
      </c>
      <c r="E189" s="109" t="s">
        <v>77</v>
      </c>
      <c r="F189" s="182" t="s">
        <v>139</v>
      </c>
      <c r="G189" s="66" t="s">
        <v>747</v>
      </c>
      <c r="H189" s="66" t="s">
        <v>101</v>
      </c>
      <c r="I189" s="66" t="s">
        <v>80</v>
      </c>
      <c r="J189" s="66" t="s">
        <v>94</v>
      </c>
      <c r="K189" s="111" t="s">
        <v>82</v>
      </c>
      <c r="L189" s="66" t="s">
        <v>748</v>
      </c>
      <c r="M189" s="66" t="s">
        <v>83</v>
      </c>
      <c r="N189" s="183" t="s">
        <v>103</v>
      </c>
      <c r="O189" s="113">
        <v>0.22</v>
      </c>
      <c r="P189" s="66">
        <v>112</v>
      </c>
      <c r="Q189" s="66">
        <v>30</v>
      </c>
      <c r="R189" s="66" t="s">
        <v>87</v>
      </c>
      <c r="S189" s="115" t="s">
        <v>87</v>
      </c>
      <c r="T189" s="114">
        <v>0.8</v>
      </c>
      <c r="U189" s="66">
        <v>200</v>
      </c>
      <c r="V189" s="66">
        <v>600</v>
      </c>
      <c r="W189" s="115">
        <v>400</v>
      </c>
      <c r="X189" s="184">
        <v>220</v>
      </c>
      <c r="Y189" s="66">
        <v>200</v>
      </c>
      <c r="Z189" s="66">
        <v>600</v>
      </c>
      <c r="AA189" s="115">
        <v>400</v>
      </c>
      <c r="AB189" s="184">
        <v>220</v>
      </c>
      <c r="AC189" s="115" t="s">
        <v>87</v>
      </c>
      <c r="AD189" s="115">
        <v>82</v>
      </c>
      <c r="AE189" s="116">
        <v>0.98040000000000005</v>
      </c>
      <c r="AF189" s="116">
        <v>0.91436071428571442</v>
      </c>
      <c r="AG189" s="116">
        <v>0.9692223571428572</v>
      </c>
      <c r="AH189" s="118">
        <v>862.32314400000007</v>
      </c>
      <c r="AI189" s="117">
        <v>170.50765813939009</v>
      </c>
      <c r="AJ189" s="118">
        <v>186.43697126763379</v>
      </c>
      <c r="AK189" s="119">
        <v>370.60979640540745</v>
      </c>
      <c r="AL189" s="120">
        <v>186</v>
      </c>
      <c r="AM189" s="117">
        <v>208.32</v>
      </c>
      <c r="AN189" s="117">
        <v>201.90840144000001</v>
      </c>
      <c r="AO189" s="117">
        <v>673.02800480000008</v>
      </c>
      <c r="AP189" s="66" t="s">
        <v>770</v>
      </c>
      <c r="AQ189" s="185" t="s">
        <v>771</v>
      </c>
      <c r="AR189" s="186"/>
    </row>
    <row r="190" spans="1:44" x14ac:dyDescent="0.3">
      <c r="A190" s="25" t="s">
        <v>1509</v>
      </c>
      <c r="B190" s="25" t="s">
        <v>119</v>
      </c>
      <c r="C190" s="25" t="s">
        <v>120</v>
      </c>
      <c r="D190" s="25" t="s">
        <v>121</v>
      </c>
      <c r="E190" s="86" t="s">
        <v>77</v>
      </c>
      <c r="F190" s="222" t="s">
        <v>139</v>
      </c>
      <c r="G190" s="47" t="s">
        <v>749</v>
      </c>
      <c r="H190" s="47" t="s">
        <v>101</v>
      </c>
      <c r="I190" s="47" t="s">
        <v>80</v>
      </c>
      <c r="J190" s="47" t="s">
        <v>94</v>
      </c>
      <c r="K190" s="87" t="s">
        <v>82</v>
      </c>
      <c r="L190" s="47" t="s">
        <v>750</v>
      </c>
      <c r="M190" s="47" t="s">
        <v>83</v>
      </c>
      <c r="N190" s="89" t="s">
        <v>103</v>
      </c>
      <c r="O190" s="90">
        <v>0.27</v>
      </c>
      <c r="P190" s="47">
        <v>83</v>
      </c>
      <c r="Q190" s="96">
        <v>20</v>
      </c>
      <c r="R190" s="47" t="s">
        <v>87</v>
      </c>
      <c r="S190" s="84" t="s">
        <v>87</v>
      </c>
      <c r="T190" s="92">
        <v>0.8</v>
      </c>
      <c r="U190" s="47">
        <v>100</v>
      </c>
      <c r="V190" s="47">
        <v>500</v>
      </c>
      <c r="W190" s="84">
        <v>400</v>
      </c>
      <c r="X190" s="93">
        <v>130</v>
      </c>
      <c r="Y190" s="25">
        <v>100</v>
      </c>
      <c r="Z190" s="25">
        <v>500</v>
      </c>
      <c r="AA190" s="84">
        <v>400</v>
      </c>
      <c r="AB190" s="93">
        <v>130</v>
      </c>
      <c r="AC190" s="84" t="s">
        <v>87</v>
      </c>
      <c r="AD190" s="84">
        <v>63</v>
      </c>
      <c r="AE190" s="75">
        <v>0.97010000000000007</v>
      </c>
      <c r="AF190" s="75">
        <v>0.90554397590361468</v>
      </c>
      <c r="AG190" s="75">
        <v>0.95987661445783157</v>
      </c>
      <c r="AH190" s="97">
        <v>865.57840400000009</v>
      </c>
      <c r="AI190" s="39">
        <v>172.31801674039582</v>
      </c>
      <c r="AJ190" s="97">
        <v>188.41645874733342</v>
      </c>
      <c r="AK190" s="40">
        <v>374.54473187904483</v>
      </c>
      <c r="AL190" s="41">
        <v>188</v>
      </c>
      <c r="AM190" s="39">
        <v>156.04</v>
      </c>
      <c r="AN190" s="39">
        <v>149.77914692000002</v>
      </c>
      <c r="AO190" s="39">
        <v>748.89573460000008</v>
      </c>
      <c r="AP190" s="47" t="s">
        <v>352</v>
      </c>
      <c r="AQ190" s="217" t="s">
        <v>772</v>
      </c>
      <c r="AR190" s="88"/>
    </row>
    <row r="191" spans="1:44" x14ac:dyDescent="0.3">
      <c r="A191" s="25" t="s">
        <v>1509</v>
      </c>
      <c r="B191" s="25" t="s">
        <v>119</v>
      </c>
      <c r="C191" s="25" t="s">
        <v>120</v>
      </c>
      <c r="D191" s="25" t="s">
        <v>121</v>
      </c>
      <c r="E191" s="86" t="s">
        <v>77</v>
      </c>
      <c r="F191" s="47" t="s">
        <v>122</v>
      </c>
      <c r="G191" s="47" t="s">
        <v>751</v>
      </c>
      <c r="H191" s="47" t="s">
        <v>101</v>
      </c>
      <c r="I191" s="47" t="s">
        <v>80</v>
      </c>
      <c r="J191" s="47" t="s">
        <v>94</v>
      </c>
      <c r="K191" s="87" t="s">
        <v>82</v>
      </c>
      <c r="L191" s="47" t="s">
        <v>752</v>
      </c>
      <c r="M191" s="47" t="s">
        <v>83</v>
      </c>
      <c r="N191" s="89" t="s">
        <v>103</v>
      </c>
      <c r="O191" s="90">
        <v>0.28000000000000003</v>
      </c>
      <c r="P191" s="47">
        <v>83</v>
      </c>
      <c r="Q191" s="214">
        <v>15</v>
      </c>
      <c r="R191" s="47" t="s">
        <v>87</v>
      </c>
      <c r="S191" s="84" t="s">
        <v>87</v>
      </c>
      <c r="T191" s="92">
        <v>0.8</v>
      </c>
      <c r="U191" s="47">
        <v>150</v>
      </c>
      <c r="V191" s="47">
        <v>550</v>
      </c>
      <c r="W191" s="84">
        <v>400</v>
      </c>
      <c r="X191" s="93">
        <v>130</v>
      </c>
      <c r="Y191" s="47">
        <v>150</v>
      </c>
      <c r="Z191" s="47">
        <v>550</v>
      </c>
      <c r="AA191" s="84">
        <v>400</v>
      </c>
      <c r="AB191" s="93">
        <v>130</v>
      </c>
      <c r="AC191" s="84" t="s">
        <v>87</v>
      </c>
      <c r="AD191" s="84">
        <v>68</v>
      </c>
      <c r="AE191" s="75">
        <v>0.99040000000000006</v>
      </c>
      <c r="AF191" s="75">
        <v>0.91240481927710848</v>
      </c>
      <c r="AG191" s="75">
        <v>0.96714910843373503</v>
      </c>
      <c r="AH191" s="97">
        <v>866.22945600000003</v>
      </c>
      <c r="AI191" s="39">
        <v>168.78605415979203</v>
      </c>
      <c r="AJ191" s="97">
        <v>184.55453011993959</v>
      </c>
      <c r="AK191" s="40">
        <v>366.86777503620908</v>
      </c>
      <c r="AL191" s="41">
        <v>185</v>
      </c>
      <c r="AM191" s="39">
        <v>153.55000000000001</v>
      </c>
      <c r="AN191" s="39">
        <v>148.50574560000001</v>
      </c>
      <c r="AO191" s="39">
        <v>990.03830400000015</v>
      </c>
      <c r="AP191" s="47" t="s">
        <v>773</v>
      </c>
      <c r="AQ191" s="88" t="s">
        <v>774</v>
      </c>
      <c r="AR191" s="57"/>
    </row>
    <row r="192" spans="1:44" x14ac:dyDescent="0.3">
      <c r="A192" s="25" t="s">
        <v>1509</v>
      </c>
      <c r="B192" s="25" t="s">
        <v>119</v>
      </c>
      <c r="C192" s="25" t="s">
        <v>120</v>
      </c>
      <c r="D192" s="25" t="s">
        <v>121</v>
      </c>
      <c r="E192" s="86" t="s">
        <v>77</v>
      </c>
      <c r="F192" s="47" t="s">
        <v>122</v>
      </c>
      <c r="G192" s="47" t="s">
        <v>753</v>
      </c>
      <c r="H192" s="47" t="s">
        <v>101</v>
      </c>
      <c r="I192" s="47" t="s">
        <v>80</v>
      </c>
      <c r="J192" s="47" t="s">
        <v>94</v>
      </c>
      <c r="K192" s="87" t="s">
        <v>82</v>
      </c>
      <c r="L192" s="47" t="s">
        <v>754</v>
      </c>
      <c r="M192" s="47" t="s">
        <v>83</v>
      </c>
      <c r="N192" s="89" t="s">
        <v>103</v>
      </c>
      <c r="O192" s="90">
        <v>0.28000000000000003</v>
      </c>
      <c r="P192" s="47">
        <v>92</v>
      </c>
      <c r="Q192" s="96">
        <v>24</v>
      </c>
      <c r="R192" s="47" t="s">
        <v>87</v>
      </c>
      <c r="S192" s="84" t="s">
        <v>87</v>
      </c>
      <c r="T192" s="92">
        <v>0.8</v>
      </c>
      <c r="U192" s="47">
        <v>150</v>
      </c>
      <c r="V192" s="47">
        <v>550</v>
      </c>
      <c r="W192" s="84">
        <v>400</v>
      </c>
      <c r="X192" s="93">
        <v>130</v>
      </c>
      <c r="Y192" s="47">
        <v>150</v>
      </c>
      <c r="Z192" s="47">
        <v>550</v>
      </c>
      <c r="AA192" s="84">
        <v>400</v>
      </c>
      <c r="AB192" s="93">
        <v>130</v>
      </c>
      <c r="AC192" s="84" t="s">
        <v>87</v>
      </c>
      <c r="AD192" s="84">
        <v>68</v>
      </c>
      <c r="AE192" s="75">
        <v>0.99040000000000006</v>
      </c>
      <c r="AF192" s="75">
        <v>0.92003478260869553</v>
      </c>
      <c r="AG192" s="75">
        <v>0.97523686956521727</v>
      </c>
      <c r="AH192" s="97">
        <v>866.22945600000003</v>
      </c>
      <c r="AI192" s="39">
        <v>168.78605415979203</v>
      </c>
      <c r="AJ192" s="97">
        <v>184.55453011993959</v>
      </c>
      <c r="AK192" s="40">
        <v>366.86777503620908</v>
      </c>
      <c r="AL192" s="41">
        <v>185</v>
      </c>
      <c r="AM192" s="39">
        <v>170.2</v>
      </c>
      <c r="AN192" s="39">
        <v>165.98531519999997</v>
      </c>
      <c r="AO192" s="39">
        <v>691.60547999999994</v>
      </c>
      <c r="AP192" s="47" t="s">
        <v>515</v>
      </c>
      <c r="AQ192" s="108" t="s">
        <v>775</v>
      </c>
      <c r="AR192" s="88" t="s">
        <v>776</v>
      </c>
    </row>
    <row r="193" spans="1:44" x14ac:dyDescent="0.3">
      <c r="A193" s="25" t="s">
        <v>1509</v>
      </c>
      <c r="B193" s="25" t="s">
        <v>119</v>
      </c>
      <c r="C193" s="25" t="s">
        <v>120</v>
      </c>
      <c r="D193" s="25" t="s">
        <v>121</v>
      </c>
      <c r="E193" s="86" t="s">
        <v>77</v>
      </c>
      <c r="F193" s="47" t="s">
        <v>122</v>
      </c>
      <c r="G193" s="47" t="s">
        <v>755</v>
      </c>
      <c r="H193" s="47" t="s">
        <v>101</v>
      </c>
      <c r="I193" s="47" t="s">
        <v>80</v>
      </c>
      <c r="J193" s="47" t="s">
        <v>94</v>
      </c>
      <c r="K193" s="87" t="s">
        <v>82</v>
      </c>
      <c r="L193" s="47" t="s">
        <v>756</v>
      </c>
      <c r="M193" s="47" t="s">
        <v>83</v>
      </c>
      <c r="N193" s="89" t="s">
        <v>103</v>
      </c>
      <c r="O193" s="90">
        <v>0.35</v>
      </c>
      <c r="P193" s="47">
        <v>105</v>
      </c>
      <c r="Q193" s="47">
        <v>30</v>
      </c>
      <c r="R193" s="47" t="s">
        <v>87</v>
      </c>
      <c r="S193" s="84" t="s">
        <v>87</v>
      </c>
      <c r="T193" s="92">
        <v>0.8</v>
      </c>
      <c r="U193" s="47">
        <v>200</v>
      </c>
      <c r="V193" s="47">
        <v>600</v>
      </c>
      <c r="W193" s="84">
        <v>400</v>
      </c>
      <c r="X193" s="93">
        <v>150</v>
      </c>
      <c r="Y193" s="47">
        <v>200</v>
      </c>
      <c r="Z193" s="47">
        <v>600</v>
      </c>
      <c r="AA193" s="84">
        <v>400</v>
      </c>
      <c r="AB193" s="93">
        <v>150</v>
      </c>
      <c r="AC193" s="84" t="s">
        <v>87</v>
      </c>
      <c r="AD193" s="84">
        <v>75</v>
      </c>
      <c r="AE193" s="75">
        <v>1.0625</v>
      </c>
      <c r="AF193" s="75">
        <v>0.96875</v>
      </c>
      <c r="AG193" s="75">
        <v>1.026875</v>
      </c>
      <c r="AH193" s="97">
        <v>870.78682000000003</v>
      </c>
      <c r="AI193" s="39">
        <v>157.33243109633696</v>
      </c>
      <c r="AJ193" s="97">
        <v>172.03087682897711</v>
      </c>
      <c r="AK193" s="40">
        <v>341.97255943139908</v>
      </c>
      <c r="AL193" s="41">
        <v>172</v>
      </c>
      <c r="AM193" s="39">
        <v>180.6</v>
      </c>
      <c r="AN193" s="39">
        <v>185.45362499999999</v>
      </c>
      <c r="AO193" s="39">
        <v>618.17875000000004</v>
      </c>
      <c r="AP193" s="47" t="s">
        <v>777</v>
      </c>
      <c r="AQ193" s="88" t="s">
        <v>778</v>
      </c>
      <c r="AR193" s="57"/>
    </row>
    <row r="194" spans="1:44" x14ac:dyDescent="0.3">
      <c r="A194" s="25" t="s">
        <v>1509</v>
      </c>
      <c r="B194" s="25" t="s">
        <v>119</v>
      </c>
      <c r="C194" s="25" t="s">
        <v>120</v>
      </c>
      <c r="D194" s="25" t="s">
        <v>121</v>
      </c>
      <c r="E194" s="86" t="s">
        <v>77</v>
      </c>
      <c r="F194" s="222" t="s">
        <v>139</v>
      </c>
      <c r="G194" s="47" t="s">
        <v>757</v>
      </c>
      <c r="H194" s="47" t="s">
        <v>101</v>
      </c>
      <c r="I194" s="47" t="s">
        <v>80</v>
      </c>
      <c r="J194" s="47" t="s">
        <v>94</v>
      </c>
      <c r="K194" s="87" t="s">
        <v>82</v>
      </c>
      <c r="L194" s="47" t="s">
        <v>758</v>
      </c>
      <c r="M194" s="47" t="s">
        <v>83</v>
      </c>
      <c r="N194" s="89" t="s">
        <v>103</v>
      </c>
      <c r="O194" s="90">
        <v>0.51</v>
      </c>
      <c r="P194" s="47">
        <v>105</v>
      </c>
      <c r="Q194" s="47">
        <v>30</v>
      </c>
      <c r="R194" s="47" t="s">
        <v>87</v>
      </c>
      <c r="S194" s="84" t="s">
        <v>87</v>
      </c>
      <c r="T194" s="92">
        <v>0.8</v>
      </c>
      <c r="U194" s="47">
        <v>200</v>
      </c>
      <c r="V194" s="47">
        <v>600</v>
      </c>
      <c r="W194" s="84">
        <v>400</v>
      </c>
      <c r="X194" s="93">
        <v>150</v>
      </c>
      <c r="Y194" s="47">
        <v>150</v>
      </c>
      <c r="Z194" s="47">
        <v>600</v>
      </c>
      <c r="AA194" s="84">
        <v>450</v>
      </c>
      <c r="AB194" s="93">
        <v>150</v>
      </c>
      <c r="AC194" s="84" t="s">
        <v>87</v>
      </c>
      <c r="AD194" s="84">
        <v>75</v>
      </c>
      <c r="AE194" s="75">
        <v>1.1825000000000001</v>
      </c>
      <c r="AF194" s="75">
        <v>1.0458928571428572</v>
      </c>
      <c r="AG194" s="75">
        <v>1.1086464285714286</v>
      </c>
      <c r="AH194" s="97">
        <v>881.20365200000003</v>
      </c>
      <c r="AI194" s="39">
        <v>141.36634929374887</v>
      </c>
      <c r="AJ194" s="97">
        <v>154.57319799643818</v>
      </c>
      <c r="AK194" s="40">
        <v>307.26921301975597</v>
      </c>
      <c r="AL194" s="41">
        <v>155</v>
      </c>
      <c r="AM194" s="39">
        <v>162.75</v>
      </c>
      <c r="AN194" s="39">
        <v>180.43220625000001</v>
      </c>
      <c r="AO194" s="39">
        <v>601.44068750000008</v>
      </c>
      <c r="AP194" s="47" t="s">
        <v>779</v>
      </c>
      <c r="AQ194" s="217" t="s">
        <v>780</v>
      </c>
      <c r="AR194" s="207"/>
    </row>
    <row r="195" spans="1:44" x14ac:dyDescent="0.3">
      <c r="A195" s="25" t="s">
        <v>1509</v>
      </c>
      <c r="B195" s="25" t="s">
        <v>119</v>
      </c>
      <c r="C195" s="25" t="s">
        <v>120</v>
      </c>
      <c r="D195" s="25" t="s">
        <v>121</v>
      </c>
      <c r="E195" s="86" t="s">
        <v>77</v>
      </c>
      <c r="F195" s="47" t="s">
        <v>122</v>
      </c>
      <c r="G195" s="47" t="s">
        <v>759</v>
      </c>
      <c r="H195" s="47" t="s">
        <v>101</v>
      </c>
      <c r="I195" s="47" t="s">
        <v>80</v>
      </c>
      <c r="J195" s="47" t="s">
        <v>94</v>
      </c>
      <c r="K195" s="87" t="s">
        <v>82</v>
      </c>
      <c r="L195" s="47" t="s">
        <v>760</v>
      </c>
      <c r="M195" s="47" t="s">
        <v>83</v>
      </c>
      <c r="N195" s="89" t="s">
        <v>103</v>
      </c>
      <c r="O195" s="90">
        <v>0.53</v>
      </c>
      <c r="P195" s="47">
        <v>105</v>
      </c>
      <c r="Q195" s="47">
        <v>25</v>
      </c>
      <c r="R195" s="47" t="s">
        <v>87</v>
      </c>
      <c r="S195" s="84" t="s">
        <v>87</v>
      </c>
      <c r="T195" s="92">
        <v>0.8</v>
      </c>
      <c r="U195" s="47">
        <v>200</v>
      </c>
      <c r="V195" s="47">
        <v>600</v>
      </c>
      <c r="W195" s="84">
        <v>400</v>
      </c>
      <c r="X195" s="93">
        <v>200</v>
      </c>
      <c r="Y195" s="47">
        <v>200</v>
      </c>
      <c r="Z195" s="47">
        <v>600</v>
      </c>
      <c r="AA195" s="84">
        <v>400</v>
      </c>
      <c r="AB195" s="93">
        <v>200</v>
      </c>
      <c r="AC195" s="84" t="s">
        <v>87</v>
      </c>
      <c r="AD195" s="84">
        <v>80</v>
      </c>
      <c r="AE195" s="75">
        <v>1.224</v>
      </c>
      <c r="AF195" s="75">
        <v>1.0624761904761906</v>
      </c>
      <c r="AG195" s="75">
        <v>1.1262247619047618</v>
      </c>
      <c r="AH195" s="97">
        <v>882.50575600000013</v>
      </c>
      <c r="AI195" s="39">
        <v>136.57329088223696</v>
      </c>
      <c r="AJ195" s="97">
        <v>149.33235835848708</v>
      </c>
      <c r="AK195" s="40">
        <v>296.85118006197831</v>
      </c>
      <c r="AL195" s="41">
        <v>149</v>
      </c>
      <c r="AM195" s="39">
        <v>156.44999999999999</v>
      </c>
      <c r="AN195" s="39">
        <v>176.19786399999998</v>
      </c>
      <c r="AO195" s="39">
        <v>704.79145599999993</v>
      </c>
      <c r="AP195" s="47" t="s">
        <v>781</v>
      </c>
      <c r="AQ195" s="88" t="s">
        <v>782</v>
      </c>
      <c r="AR195" s="88" t="s">
        <v>783</v>
      </c>
    </row>
    <row r="196" spans="1:44" x14ac:dyDescent="0.3">
      <c r="A196" s="25" t="s">
        <v>1509</v>
      </c>
      <c r="B196" s="25" t="s">
        <v>119</v>
      </c>
      <c r="C196" s="25" t="s">
        <v>120</v>
      </c>
      <c r="D196" s="25" t="s">
        <v>121</v>
      </c>
      <c r="E196" s="86" t="s">
        <v>77</v>
      </c>
      <c r="F196" s="47" t="s">
        <v>122</v>
      </c>
      <c r="G196" s="47" t="s">
        <v>761</v>
      </c>
      <c r="H196" s="47" t="s">
        <v>101</v>
      </c>
      <c r="I196" s="47" t="s">
        <v>80</v>
      </c>
      <c r="J196" s="47" t="s">
        <v>94</v>
      </c>
      <c r="K196" s="87" t="s">
        <v>82</v>
      </c>
      <c r="L196" s="47"/>
      <c r="M196" s="47" t="s">
        <v>83</v>
      </c>
      <c r="N196" s="89" t="s">
        <v>103</v>
      </c>
      <c r="O196" s="90">
        <v>0.27</v>
      </c>
      <c r="P196" s="47">
        <v>114</v>
      </c>
      <c r="Q196" s="47">
        <v>30</v>
      </c>
      <c r="R196" s="47" t="s">
        <v>87</v>
      </c>
      <c r="S196" s="84" t="s">
        <v>87</v>
      </c>
      <c r="T196" s="92">
        <v>0.8</v>
      </c>
      <c r="U196" s="47">
        <v>200</v>
      </c>
      <c r="V196" s="47">
        <v>700</v>
      </c>
      <c r="W196" s="84">
        <v>500</v>
      </c>
      <c r="X196" s="93">
        <v>140</v>
      </c>
      <c r="Y196" s="47">
        <v>200</v>
      </c>
      <c r="Z196" s="47">
        <v>700</v>
      </c>
      <c r="AA196" s="84">
        <v>500</v>
      </c>
      <c r="AB196" s="93">
        <v>140</v>
      </c>
      <c r="AC196" s="84" t="s">
        <v>87</v>
      </c>
      <c r="AD196" s="84">
        <v>84</v>
      </c>
      <c r="AE196" s="75">
        <v>1.0268000000000002</v>
      </c>
      <c r="AF196" s="75">
        <v>0.94324210526315799</v>
      </c>
      <c r="AG196" s="75">
        <v>0.99983663157894742</v>
      </c>
      <c r="AH196" s="97">
        <v>865.57840400000009</v>
      </c>
      <c r="AI196" s="39">
        <v>162.80259840266655</v>
      </c>
      <c r="AJ196" s="97">
        <v>178.0120828114415</v>
      </c>
      <c r="AK196" s="40">
        <v>353.86233384871576</v>
      </c>
      <c r="AL196" s="41">
        <v>178</v>
      </c>
      <c r="AM196" s="39">
        <v>202.92</v>
      </c>
      <c r="AN196" s="39">
        <v>202.88684928000001</v>
      </c>
      <c r="AO196" s="39">
        <v>676.2894976</v>
      </c>
      <c r="AP196" s="47" t="s">
        <v>784</v>
      </c>
      <c r="AQ196" s="88" t="s">
        <v>785</v>
      </c>
      <c r="AR196" s="88"/>
    </row>
    <row r="197" spans="1:44" x14ac:dyDescent="0.3">
      <c r="A197" s="25" t="s">
        <v>1509</v>
      </c>
      <c r="B197" s="25" t="s">
        <v>119</v>
      </c>
      <c r="C197" s="25" t="s">
        <v>120</v>
      </c>
      <c r="D197" s="25" t="s">
        <v>121</v>
      </c>
      <c r="E197" s="26" t="s">
        <v>77</v>
      </c>
      <c r="F197" s="27" t="s">
        <v>78</v>
      </c>
      <c r="G197" s="25" t="s">
        <v>762</v>
      </c>
      <c r="H197" s="25" t="s">
        <v>101</v>
      </c>
      <c r="I197" s="25" t="s">
        <v>80</v>
      </c>
      <c r="J197" s="25" t="s">
        <v>94</v>
      </c>
      <c r="K197" s="30" t="s">
        <v>82</v>
      </c>
      <c r="L197" s="25" t="s">
        <v>763</v>
      </c>
      <c r="M197" s="25" t="s">
        <v>83</v>
      </c>
      <c r="N197" s="74" t="s">
        <v>103</v>
      </c>
      <c r="O197" s="61">
        <v>0.25</v>
      </c>
      <c r="P197" s="142">
        <v>130</v>
      </c>
      <c r="Q197" s="25">
        <v>30</v>
      </c>
      <c r="R197" s="25" t="s">
        <v>87</v>
      </c>
      <c r="S197" s="34" t="s">
        <v>87</v>
      </c>
      <c r="T197" s="35">
        <v>0.8</v>
      </c>
      <c r="U197" s="25">
        <v>200</v>
      </c>
      <c r="V197" s="25">
        <v>600</v>
      </c>
      <c r="W197" s="34">
        <v>400</v>
      </c>
      <c r="X197" s="36">
        <v>400</v>
      </c>
      <c r="Y197" s="25">
        <v>150</v>
      </c>
      <c r="Z197" s="25">
        <v>600</v>
      </c>
      <c r="AA197" s="34">
        <v>450</v>
      </c>
      <c r="AB197" s="36">
        <v>400</v>
      </c>
      <c r="AC197" s="34" t="s">
        <v>87</v>
      </c>
      <c r="AD197" s="34">
        <v>100</v>
      </c>
      <c r="AE197" s="37">
        <v>1.05</v>
      </c>
      <c r="AF197" s="37">
        <v>0.9538461538461539</v>
      </c>
      <c r="AG197" s="37">
        <v>1.011076923076923</v>
      </c>
      <c r="AH197" s="38">
        <v>864.27630000000011</v>
      </c>
      <c r="AI197" s="117">
        <v>159.20543622843621</v>
      </c>
      <c r="AJ197" s="38">
        <v>174.0788634578935</v>
      </c>
      <c r="AK197" s="40">
        <v>346.04366132939185</v>
      </c>
      <c r="AL197" s="41">
        <v>120</v>
      </c>
      <c r="AM197" s="39">
        <v>156</v>
      </c>
      <c r="AN197" s="39">
        <v>157.72799999999998</v>
      </c>
      <c r="AO197" s="39">
        <v>525.76</v>
      </c>
      <c r="AP197" s="25" t="s">
        <v>115</v>
      </c>
      <c r="AQ197" s="62" t="s">
        <v>786</v>
      </c>
      <c r="AR197" s="43" t="s">
        <v>787</v>
      </c>
    </row>
    <row r="198" spans="1:44" x14ac:dyDescent="0.3">
      <c r="A198" s="25" t="s">
        <v>1509</v>
      </c>
      <c r="B198" s="25" t="s">
        <v>119</v>
      </c>
      <c r="C198" s="25" t="s">
        <v>120</v>
      </c>
      <c r="D198" s="25" t="s">
        <v>121</v>
      </c>
      <c r="E198" s="26" t="s">
        <v>77</v>
      </c>
      <c r="F198" s="27" t="s">
        <v>78</v>
      </c>
      <c r="G198" s="25" t="s">
        <v>764</v>
      </c>
      <c r="H198" s="25" t="s">
        <v>101</v>
      </c>
      <c r="I198" s="25" t="s">
        <v>80</v>
      </c>
      <c r="J198" s="25" t="s">
        <v>94</v>
      </c>
      <c r="K198" s="30" t="s">
        <v>82</v>
      </c>
      <c r="L198" s="25" t="s">
        <v>765</v>
      </c>
      <c r="M198" s="25" t="s">
        <v>83</v>
      </c>
      <c r="N198" s="74" t="s">
        <v>103</v>
      </c>
      <c r="O198" s="61">
        <v>0.44</v>
      </c>
      <c r="P198" s="25">
        <v>107</v>
      </c>
      <c r="Q198" s="25">
        <v>30</v>
      </c>
      <c r="R198" s="80" t="s">
        <v>87</v>
      </c>
      <c r="S198" s="34" t="s">
        <v>87</v>
      </c>
      <c r="T198" s="35">
        <v>0.8</v>
      </c>
      <c r="U198" s="25">
        <v>200</v>
      </c>
      <c r="V198" s="25">
        <v>600</v>
      </c>
      <c r="W198" s="34">
        <v>400</v>
      </c>
      <c r="X198" s="36">
        <v>170</v>
      </c>
      <c r="Y198" s="25">
        <v>150</v>
      </c>
      <c r="Z198" s="25">
        <v>600</v>
      </c>
      <c r="AA198" s="34">
        <v>450</v>
      </c>
      <c r="AB198" s="36">
        <v>170</v>
      </c>
      <c r="AC198" s="34" t="s">
        <v>87</v>
      </c>
      <c r="AD198" s="34">
        <v>77</v>
      </c>
      <c r="AE198" s="37">
        <v>1.1388</v>
      </c>
      <c r="AF198" s="37">
        <v>1.0168953271028038</v>
      </c>
      <c r="AG198" s="37">
        <v>1.0779090467289723</v>
      </c>
      <c r="AH198" s="38">
        <v>876.64628800000003</v>
      </c>
      <c r="AI198" s="39">
        <v>146.79110295034951</v>
      </c>
      <c r="AJ198" s="38">
        <v>160.50474765611887</v>
      </c>
      <c r="AK198" s="40">
        <v>319.06027783268479</v>
      </c>
      <c r="AL198" s="41">
        <v>161</v>
      </c>
      <c r="AM198" s="39">
        <v>172.27</v>
      </c>
      <c r="AN198" s="39">
        <v>185.69139148000005</v>
      </c>
      <c r="AO198" s="39">
        <v>618.9713049333335</v>
      </c>
      <c r="AP198" s="25" t="s">
        <v>564</v>
      </c>
      <c r="AQ198" s="201" t="s">
        <v>788</v>
      </c>
      <c r="AR198" s="43" t="s">
        <v>381</v>
      </c>
    </row>
    <row r="199" spans="1:44" x14ac:dyDescent="0.3">
      <c r="A199" s="25" t="s">
        <v>1509</v>
      </c>
      <c r="B199" s="25" t="s">
        <v>119</v>
      </c>
      <c r="C199" s="25" t="s">
        <v>120</v>
      </c>
      <c r="D199" s="25" t="s">
        <v>121</v>
      </c>
      <c r="E199" s="109" t="s">
        <v>77</v>
      </c>
      <c r="F199" s="182" t="s">
        <v>139</v>
      </c>
      <c r="G199" s="66" t="s">
        <v>766</v>
      </c>
      <c r="H199" s="66" t="s">
        <v>101</v>
      </c>
      <c r="I199" s="66" t="s">
        <v>80</v>
      </c>
      <c r="J199" s="66" t="s">
        <v>94</v>
      </c>
      <c r="K199" s="111" t="s">
        <v>82</v>
      </c>
      <c r="L199" s="66" t="s">
        <v>767</v>
      </c>
      <c r="M199" s="66" t="s">
        <v>83</v>
      </c>
      <c r="N199" s="183" t="s">
        <v>103</v>
      </c>
      <c r="O199" s="113">
        <v>0.47</v>
      </c>
      <c r="P199" s="66">
        <v>106</v>
      </c>
      <c r="Q199" s="66">
        <v>30</v>
      </c>
      <c r="R199" s="66" t="s">
        <v>87</v>
      </c>
      <c r="S199" s="115" t="s">
        <v>87</v>
      </c>
      <c r="T199" s="114">
        <v>0.8</v>
      </c>
      <c r="U199" s="66">
        <v>200</v>
      </c>
      <c r="V199" s="66">
        <v>600</v>
      </c>
      <c r="W199" s="115">
        <v>400</v>
      </c>
      <c r="X199" s="184">
        <v>160</v>
      </c>
      <c r="Y199" s="66">
        <v>150</v>
      </c>
      <c r="Z199" s="66">
        <v>600</v>
      </c>
      <c r="AA199" s="115">
        <v>450</v>
      </c>
      <c r="AB199" s="184">
        <v>160</v>
      </c>
      <c r="AC199" s="115" t="s">
        <v>87</v>
      </c>
      <c r="AD199" s="115">
        <v>76</v>
      </c>
      <c r="AE199" s="116">
        <v>1.1572</v>
      </c>
      <c r="AF199" s="116">
        <v>1.0291471698113206</v>
      </c>
      <c r="AG199" s="116">
        <v>1.0908959999999999</v>
      </c>
      <c r="AH199" s="118">
        <v>878.59944400000006</v>
      </c>
      <c r="AI199" s="117">
        <v>144.45705845131181</v>
      </c>
      <c r="AJ199" s="118">
        <v>157.95265004388884</v>
      </c>
      <c r="AK199" s="119">
        <v>313.98707604205106</v>
      </c>
      <c r="AL199" s="120">
        <v>158</v>
      </c>
      <c r="AM199" s="117">
        <v>167.48</v>
      </c>
      <c r="AN199" s="117">
        <v>182.70326207999997</v>
      </c>
      <c r="AO199" s="117">
        <v>609.01087359999997</v>
      </c>
      <c r="AP199" s="66" t="s">
        <v>789</v>
      </c>
      <c r="AQ199" s="223" t="s">
        <v>790</v>
      </c>
      <c r="AR199" s="123" t="s">
        <v>791</v>
      </c>
    </row>
    <row r="200" spans="1:44" x14ac:dyDescent="0.3">
      <c r="A200" s="25" t="s">
        <v>1509</v>
      </c>
      <c r="B200" s="25" t="s">
        <v>119</v>
      </c>
      <c r="C200" s="25" t="s">
        <v>120</v>
      </c>
      <c r="D200" s="25" t="s">
        <v>121</v>
      </c>
      <c r="E200" s="86" t="s">
        <v>77</v>
      </c>
      <c r="F200" s="47" t="s">
        <v>122</v>
      </c>
      <c r="G200" s="47" t="s">
        <v>768</v>
      </c>
      <c r="H200" s="47" t="s">
        <v>101</v>
      </c>
      <c r="I200" s="47" t="s">
        <v>80</v>
      </c>
      <c r="J200" s="47" t="s">
        <v>94</v>
      </c>
      <c r="K200" s="87" t="s">
        <v>82</v>
      </c>
      <c r="L200" s="47" t="s">
        <v>201</v>
      </c>
      <c r="M200" s="47"/>
      <c r="N200" s="89" t="s">
        <v>103</v>
      </c>
      <c r="O200" s="90"/>
      <c r="P200" s="47"/>
      <c r="Q200" s="47"/>
      <c r="R200" s="47"/>
      <c r="S200" s="84"/>
      <c r="T200" s="92"/>
      <c r="U200" s="47"/>
      <c r="V200" s="47"/>
      <c r="W200" s="84"/>
      <c r="X200" s="93"/>
      <c r="Y200" s="47"/>
      <c r="Z200" s="47"/>
      <c r="AA200" s="84"/>
      <c r="AB200" s="93"/>
      <c r="AC200" s="84"/>
      <c r="AD200" s="84"/>
      <c r="AE200" s="75"/>
      <c r="AF200" s="75"/>
      <c r="AG200" s="75"/>
      <c r="AH200" s="97"/>
      <c r="AI200" s="39"/>
      <c r="AJ200" s="97"/>
      <c r="AK200" s="40"/>
      <c r="AL200" s="98"/>
      <c r="AM200" s="39"/>
      <c r="AN200" s="39"/>
      <c r="AO200" s="39"/>
      <c r="AP200" s="47" t="s">
        <v>87</v>
      </c>
      <c r="AQ200" s="88"/>
      <c r="AR200" s="57"/>
    </row>
    <row r="201" spans="1:44" x14ac:dyDescent="0.3">
      <c r="A201" s="25" t="s">
        <v>1509</v>
      </c>
      <c r="B201" s="25" t="s">
        <v>119</v>
      </c>
      <c r="C201" s="25" t="s">
        <v>120</v>
      </c>
      <c r="D201" s="25" t="s">
        <v>121</v>
      </c>
      <c r="E201" s="86" t="s">
        <v>77</v>
      </c>
      <c r="F201" s="47" t="s">
        <v>122</v>
      </c>
      <c r="G201" s="47" t="s">
        <v>792</v>
      </c>
      <c r="H201" s="47" t="s">
        <v>101</v>
      </c>
      <c r="I201" s="47" t="s">
        <v>80</v>
      </c>
      <c r="J201" s="47" t="s">
        <v>94</v>
      </c>
      <c r="K201" s="87" t="s">
        <v>82</v>
      </c>
      <c r="L201" s="47" t="s">
        <v>201</v>
      </c>
      <c r="M201" s="47" t="s">
        <v>83</v>
      </c>
      <c r="N201" s="89" t="s">
        <v>103</v>
      </c>
      <c r="O201" s="90"/>
      <c r="P201" s="47"/>
      <c r="Q201" s="224" t="s">
        <v>793</v>
      </c>
      <c r="R201" s="47"/>
      <c r="S201" s="84"/>
      <c r="T201" s="92"/>
      <c r="U201" s="47"/>
      <c r="V201" s="47"/>
      <c r="W201" s="84"/>
      <c r="X201" s="93"/>
      <c r="Y201" s="47"/>
      <c r="Z201" s="47"/>
      <c r="AA201" s="84"/>
      <c r="AB201" s="93"/>
      <c r="AC201" s="84"/>
      <c r="AD201" s="84"/>
      <c r="AE201" s="75"/>
      <c r="AF201" s="75"/>
      <c r="AG201" s="75"/>
      <c r="AH201" s="97"/>
      <c r="AI201" s="39"/>
      <c r="AJ201" s="97"/>
      <c r="AK201" s="40"/>
      <c r="AL201" s="41"/>
      <c r="AM201" s="39"/>
      <c r="AN201" s="39"/>
      <c r="AO201" s="39"/>
      <c r="AP201" s="47" t="s">
        <v>201</v>
      </c>
      <c r="AQ201" s="88"/>
      <c r="AR201" s="88" t="s">
        <v>432</v>
      </c>
    </row>
    <row r="202" spans="1:44" x14ac:dyDescent="0.3">
      <c r="A202" s="25" t="s">
        <v>1509</v>
      </c>
      <c r="B202" s="25" t="s">
        <v>119</v>
      </c>
      <c r="C202" s="25" t="s">
        <v>120</v>
      </c>
      <c r="D202" s="25" t="s">
        <v>121</v>
      </c>
      <c r="E202" s="26" t="s">
        <v>77</v>
      </c>
      <c r="F202" s="27" t="s">
        <v>78</v>
      </c>
      <c r="G202" s="25" t="s">
        <v>794</v>
      </c>
      <c r="H202" s="25" t="s">
        <v>101</v>
      </c>
      <c r="I202" s="25" t="s">
        <v>80</v>
      </c>
      <c r="J202" s="25" t="s">
        <v>94</v>
      </c>
      <c r="K202" s="30" t="s">
        <v>82</v>
      </c>
      <c r="L202" s="25" t="s">
        <v>795</v>
      </c>
      <c r="M202" s="25" t="s">
        <v>83</v>
      </c>
      <c r="N202" s="74" t="s">
        <v>103</v>
      </c>
      <c r="O202" s="61">
        <v>0.49</v>
      </c>
      <c r="P202" s="27">
        <v>120</v>
      </c>
      <c r="Q202" s="25">
        <v>30</v>
      </c>
      <c r="R202" s="25" t="s">
        <v>87</v>
      </c>
      <c r="S202" s="34" t="s">
        <v>87</v>
      </c>
      <c r="T202" s="35">
        <v>0.8</v>
      </c>
      <c r="U202" s="25">
        <v>200</v>
      </c>
      <c r="V202" s="25">
        <v>600</v>
      </c>
      <c r="W202" s="34">
        <v>400</v>
      </c>
      <c r="X202" s="36">
        <v>300</v>
      </c>
      <c r="Y202" s="25">
        <v>150</v>
      </c>
      <c r="Z202" s="25">
        <v>650</v>
      </c>
      <c r="AA202" s="34">
        <v>500</v>
      </c>
      <c r="AB202" s="36">
        <v>250</v>
      </c>
      <c r="AC202" s="34" t="s">
        <v>87</v>
      </c>
      <c r="AD202" s="34">
        <v>90</v>
      </c>
      <c r="AE202" s="37">
        <v>1.2410000000000001</v>
      </c>
      <c r="AF202" s="37">
        <v>1.0756250000000001</v>
      </c>
      <c r="AG202" s="37">
        <v>1.1401625</v>
      </c>
      <c r="AH202" s="38">
        <v>879.90154800000005</v>
      </c>
      <c r="AI202" s="39">
        <v>134.70242388385014</v>
      </c>
      <c r="AJ202" s="38">
        <v>147.28670961385023</v>
      </c>
      <c r="AK202" s="40">
        <v>292.78472554058129</v>
      </c>
      <c r="AL202" s="41">
        <v>120</v>
      </c>
      <c r="AM202" s="39">
        <v>144</v>
      </c>
      <c r="AN202" s="39">
        <v>164.18340000000001</v>
      </c>
      <c r="AO202" s="39">
        <v>547.27800000000002</v>
      </c>
      <c r="AP202" s="25" t="s">
        <v>212</v>
      </c>
      <c r="AQ202" s="201" t="s">
        <v>818</v>
      </c>
      <c r="AR202" s="43" t="s">
        <v>819</v>
      </c>
    </row>
    <row r="203" spans="1:44" x14ac:dyDescent="0.3">
      <c r="A203" s="25" t="s">
        <v>1509</v>
      </c>
      <c r="B203" s="25" t="s">
        <v>119</v>
      </c>
      <c r="C203" s="25" t="s">
        <v>120</v>
      </c>
      <c r="D203" s="25" t="s">
        <v>121</v>
      </c>
      <c r="E203" s="26" t="s">
        <v>77</v>
      </c>
      <c r="F203" s="27" t="s">
        <v>78</v>
      </c>
      <c r="G203" s="25" t="s">
        <v>796</v>
      </c>
      <c r="H203" s="25" t="s">
        <v>101</v>
      </c>
      <c r="I203" s="25" t="s">
        <v>80</v>
      </c>
      <c r="J203" s="25" t="s">
        <v>94</v>
      </c>
      <c r="K203" s="30" t="s">
        <v>82</v>
      </c>
      <c r="L203" s="25" t="s">
        <v>797</v>
      </c>
      <c r="M203" s="25" t="s">
        <v>83</v>
      </c>
      <c r="N203" s="74" t="s">
        <v>103</v>
      </c>
      <c r="O203" s="61">
        <v>0.51</v>
      </c>
      <c r="P203" s="25">
        <v>107</v>
      </c>
      <c r="Q203" s="25">
        <v>30</v>
      </c>
      <c r="R203" s="25" t="s">
        <v>87</v>
      </c>
      <c r="S203" s="34" t="s">
        <v>87</v>
      </c>
      <c r="T203" s="35">
        <v>0.8</v>
      </c>
      <c r="U203" s="25">
        <v>238</v>
      </c>
      <c r="V203" s="25">
        <v>546</v>
      </c>
      <c r="W203" s="34">
        <v>308</v>
      </c>
      <c r="X203" s="36">
        <v>224</v>
      </c>
      <c r="Y203" s="25">
        <v>192</v>
      </c>
      <c r="Z203" s="25">
        <v>592</v>
      </c>
      <c r="AA203" s="34">
        <v>400</v>
      </c>
      <c r="AB203" s="36">
        <v>178</v>
      </c>
      <c r="AC203" s="34" t="s">
        <v>87</v>
      </c>
      <c r="AD203" s="34">
        <v>77</v>
      </c>
      <c r="AE203" s="37">
        <v>1.1927000000000001</v>
      </c>
      <c r="AF203" s="37">
        <v>1.0514014018691591</v>
      </c>
      <c r="AG203" s="37">
        <v>1.1144854859813085</v>
      </c>
      <c r="AH203" s="38">
        <v>881.20365200000003</v>
      </c>
      <c r="AI203" s="39">
        <v>140.15738076620946</v>
      </c>
      <c r="AJ203" s="38">
        <v>153.25128417103056</v>
      </c>
      <c r="AK203" s="40">
        <v>304.64143908431407</v>
      </c>
      <c r="AL203" s="41">
        <v>50</v>
      </c>
      <c r="AM203" s="39">
        <v>53.5</v>
      </c>
      <c r="AN203" s="39">
        <v>59.624973500000003</v>
      </c>
      <c r="AO203" s="39">
        <v>198.74991166666669</v>
      </c>
      <c r="AP203" s="25" t="s">
        <v>820</v>
      </c>
      <c r="AQ203" s="201" t="s">
        <v>821</v>
      </c>
      <c r="AR203" s="43" t="s">
        <v>570</v>
      </c>
    </row>
    <row r="204" spans="1:44" x14ac:dyDescent="0.3">
      <c r="A204" s="25" t="s">
        <v>1509</v>
      </c>
      <c r="B204" s="25" t="s">
        <v>119</v>
      </c>
      <c r="C204" s="25" t="s">
        <v>120</v>
      </c>
      <c r="D204" s="25" t="s">
        <v>121</v>
      </c>
      <c r="E204" s="26" t="s">
        <v>77</v>
      </c>
      <c r="F204" s="27" t="s">
        <v>78</v>
      </c>
      <c r="G204" s="25" t="s">
        <v>798</v>
      </c>
      <c r="H204" s="25" t="s">
        <v>101</v>
      </c>
      <c r="I204" s="25" t="s">
        <v>80</v>
      </c>
      <c r="J204" s="25" t="s">
        <v>94</v>
      </c>
      <c r="K204" s="30" t="s">
        <v>82</v>
      </c>
      <c r="L204" s="25" t="s">
        <v>799</v>
      </c>
      <c r="M204" s="25" t="s">
        <v>83</v>
      </c>
      <c r="N204" s="74" t="s">
        <v>103</v>
      </c>
      <c r="O204" s="61">
        <v>0.51</v>
      </c>
      <c r="P204" s="25">
        <v>107</v>
      </c>
      <c r="Q204" s="25">
        <v>30</v>
      </c>
      <c r="R204" s="25" t="s">
        <v>87</v>
      </c>
      <c r="S204" s="34" t="s">
        <v>87</v>
      </c>
      <c r="T204" s="35">
        <v>0.8</v>
      </c>
      <c r="U204" s="25">
        <v>238</v>
      </c>
      <c r="V204" s="25">
        <v>546</v>
      </c>
      <c r="W204" s="34">
        <v>308</v>
      </c>
      <c r="X204" s="36">
        <v>224</v>
      </c>
      <c r="Y204" s="25">
        <v>192</v>
      </c>
      <c r="Z204" s="25">
        <v>592</v>
      </c>
      <c r="AA204" s="34">
        <v>400</v>
      </c>
      <c r="AB204" s="36">
        <v>178</v>
      </c>
      <c r="AC204" s="34" t="s">
        <v>87</v>
      </c>
      <c r="AD204" s="34">
        <v>77</v>
      </c>
      <c r="AE204" s="37">
        <v>1.1927000000000001</v>
      </c>
      <c r="AF204" s="37">
        <v>1.0514014018691591</v>
      </c>
      <c r="AG204" s="37">
        <v>1.1144854859813085</v>
      </c>
      <c r="AH204" s="38">
        <v>881.20365200000003</v>
      </c>
      <c r="AI204" s="39">
        <v>140.15738076620946</v>
      </c>
      <c r="AJ204" s="38">
        <v>153.25128417103056</v>
      </c>
      <c r="AK204" s="40">
        <v>304.64143908431407</v>
      </c>
      <c r="AL204" s="41">
        <v>153</v>
      </c>
      <c r="AM204" s="39">
        <v>163.71</v>
      </c>
      <c r="AN204" s="39">
        <v>182.45241891000001</v>
      </c>
      <c r="AO204" s="39">
        <v>608.17472970000006</v>
      </c>
      <c r="AP204" s="25" t="s">
        <v>822</v>
      </c>
      <c r="AQ204" s="201" t="s">
        <v>823</v>
      </c>
      <c r="AR204" s="43" t="s">
        <v>824</v>
      </c>
    </row>
    <row r="205" spans="1:44" x14ac:dyDescent="0.3">
      <c r="A205" s="25" t="s">
        <v>1509</v>
      </c>
      <c r="B205" s="25" t="s">
        <v>119</v>
      </c>
      <c r="C205" s="25" t="s">
        <v>120</v>
      </c>
      <c r="D205" s="25" t="s">
        <v>121</v>
      </c>
      <c r="E205" s="86" t="s">
        <v>77</v>
      </c>
      <c r="F205" s="47" t="s">
        <v>122</v>
      </c>
      <c r="G205" s="47" t="s">
        <v>800</v>
      </c>
      <c r="H205" s="47" t="s">
        <v>101</v>
      </c>
      <c r="I205" s="47" t="s">
        <v>80</v>
      </c>
      <c r="J205" s="47" t="s">
        <v>94</v>
      </c>
      <c r="K205" s="87" t="s">
        <v>82</v>
      </c>
      <c r="L205" s="47" t="s">
        <v>186</v>
      </c>
      <c r="M205" s="47" t="s">
        <v>83</v>
      </c>
      <c r="N205" s="89" t="s">
        <v>103</v>
      </c>
      <c r="O205" s="90">
        <v>0.32</v>
      </c>
      <c r="P205" s="47">
        <v>83</v>
      </c>
      <c r="Q205" s="96">
        <v>20</v>
      </c>
      <c r="R205" s="47" t="s">
        <v>87</v>
      </c>
      <c r="S205" s="84" t="s">
        <v>87</v>
      </c>
      <c r="T205" s="92">
        <v>0.8</v>
      </c>
      <c r="U205" s="47">
        <v>100</v>
      </c>
      <c r="V205" s="47">
        <v>500</v>
      </c>
      <c r="W205" s="84">
        <v>400</v>
      </c>
      <c r="X205" s="93">
        <v>130</v>
      </c>
      <c r="Y205" s="47">
        <v>100</v>
      </c>
      <c r="Z205" s="47">
        <v>500</v>
      </c>
      <c r="AA205" s="84">
        <v>400</v>
      </c>
      <c r="AB205" s="93">
        <v>130</v>
      </c>
      <c r="AC205" s="84" t="s">
        <v>87</v>
      </c>
      <c r="AD205" s="84">
        <v>63</v>
      </c>
      <c r="AE205" s="75">
        <v>1.0016</v>
      </c>
      <c r="AF205" s="75">
        <v>0.92508915662650615</v>
      </c>
      <c r="AG205" s="75">
        <v>0.98059450602409659</v>
      </c>
      <c r="AH205" s="97">
        <v>868.833664</v>
      </c>
      <c r="AI205" s="117">
        <v>166.89867016758987</v>
      </c>
      <c r="AJ205" s="97">
        <v>182.49082131668146</v>
      </c>
      <c r="AK205" s="40">
        <v>362.76541972430255</v>
      </c>
      <c r="AL205" s="41">
        <v>182</v>
      </c>
      <c r="AM205" s="39">
        <v>151.06</v>
      </c>
      <c r="AN205" s="39">
        <v>148.12860608000003</v>
      </c>
      <c r="AO205" s="39">
        <v>740.64303040000004</v>
      </c>
      <c r="AP205" s="47" t="s">
        <v>487</v>
      </c>
      <c r="AQ205" s="108"/>
      <c r="AR205" s="207"/>
    </row>
    <row r="206" spans="1:44" x14ac:dyDescent="0.3">
      <c r="A206" s="25" t="s">
        <v>1509</v>
      </c>
      <c r="B206" s="25" t="s">
        <v>119</v>
      </c>
      <c r="C206" s="25" t="s">
        <v>120</v>
      </c>
      <c r="D206" s="25" t="s">
        <v>121</v>
      </c>
      <c r="E206" s="86" t="s">
        <v>77</v>
      </c>
      <c r="F206" s="47" t="s">
        <v>122</v>
      </c>
      <c r="G206" s="47" t="s">
        <v>801</v>
      </c>
      <c r="H206" s="47" t="s">
        <v>101</v>
      </c>
      <c r="I206" s="47" t="s">
        <v>80</v>
      </c>
      <c r="J206" s="47" t="s">
        <v>94</v>
      </c>
      <c r="K206" s="87" t="s">
        <v>82</v>
      </c>
      <c r="L206" s="47" t="s">
        <v>802</v>
      </c>
      <c r="M206" s="47" t="s">
        <v>83</v>
      </c>
      <c r="N206" s="89" t="s">
        <v>103</v>
      </c>
      <c r="O206" s="90">
        <v>0.22</v>
      </c>
      <c r="P206" s="203">
        <v>118</v>
      </c>
      <c r="Q206" s="47">
        <v>30</v>
      </c>
      <c r="R206" s="47" t="s">
        <v>87</v>
      </c>
      <c r="S206" s="84" t="s">
        <v>87</v>
      </c>
      <c r="T206" s="92">
        <v>0.8</v>
      </c>
      <c r="U206" s="47">
        <v>200</v>
      </c>
      <c r="V206" s="47">
        <v>600</v>
      </c>
      <c r="W206" s="84">
        <v>400</v>
      </c>
      <c r="X206" s="93">
        <v>280</v>
      </c>
      <c r="Y206" s="47">
        <v>200</v>
      </c>
      <c r="Z206" s="47">
        <v>600</v>
      </c>
      <c r="AA206" s="84">
        <v>400</v>
      </c>
      <c r="AB206" s="93">
        <v>280</v>
      </c>
      <c r="AC206" s="84" t="s">
        <v>87</v>
      </c>
      <c r="AD206" s="84">
        <v>88</v>
      </c>
      <c r="AE206" s="75">
        <v>0.99360000000000004</v>
      </c>
      <c r="AF206" s="75">
        <v>0.92141016949152554</v>
      </c>
      <c r="AG206" s="75">
        <v>0.97669477966101703</v>
      </c>
      <c r="AH206" s="97">
        <v>862.32314400000007</v>
      </c>
      <c r="AI206" s="117">
        <v>168.2424597824658</v>
      </c>
      <c r="AJ206" s="97">
        <v>183.96015160103477</v>
      </c>
      <c r="AK206" s="40">
        <v>365.68623630823413</v>
      </c>
      <c r="AL206" s="41">
        <v>184</v>
      </c>
      <c r="AM206" s="39">
        <v>217.12</v>
      </c>
      <c r="AN206" s="39">
        <v>212.05997056000001</v>
      </c>
      <c r="AO206" s="39">
        <v>706.86656853333341</v>
      </c>
      <c r="AP206" s="47" t="s">
        <v>770</v>
      </c>
      <c r="AQ206" s="108" t="s">
        <v>825</v>
      </c>
      <c r="AR206" s="88" t="s">
        <v>381</v>
      </c>
    </row>
    <row r="207" spans="1:44" x14ac:dyDescent="0.3">
      <c r="A207" s="25" t="s">
        <v>1509</v>
      </c>
      <c r="B207" s="25" t="s">
        <v>119</v>
      </c>
      <c r="C207" s="25" t="s">
        <v>120</v>
      </c>
      <c r="D207" s="25" t="s">
        <v>121</v>
      </c>
      <c r="E207" s="86" t="s">
        <v>77</v>
      </c>
      <c r="F207" s="47" t="s">
        <v>122</v>
      </c>
      <c r="G207" s="47" t="s">
        <v>803</v>
      </c>
      <c r="H207" s="47" t="s">
        <v>101</v>
      </c>
      <c r="I207" s="47" t="s">
        <v>80</v>
      </c>
      <c r="J207" s="47" t="s">
        <v>94</v>
      </c>
      <c r="K207" s="87" t="s">
        <v>82</v>
      </c>
      <c r="L207" s="47" t="s">
        <v>804</v>
      </c>
      <c r="M207" s="47" t="s">
        <v>83</v>
      </c>
      <c r="N207" s="89" t="s">
        <v>103</v>
      </c>
      <c r="O207" s="90">
        <v>0.31</v>
      </c>
      <c r="P207" s="47">
        <v>92</v>
      </c>
      <c r="Q207" s="96">
        <v>20</v>
      </c>
      <c r="R207" s="47" t="s">
        <v>87</v>
      </c>
      <c r="S207" s="84" t="s">
        <v>87</v>
      </c>
      <c r="T207" s="92">
        <v>0.8</v>
      </c>
      <c r="U207" s="47">
        <v>150</v>
      </c>
      <c r="V207" s="47">
        <v>550</v>
      </c>
      <c r="W207" s="84">
        <v>400</v>
      </c>
      <c r="X207" s="93">
        <v>170</v>
      </c>
      <c r="Y207" s="47">
        <v>150</v>
      </c>
      <c r="Z207" s="47">
        <v>550</v>
      </c>
      <c r="AA207" s="84">
        <v>400</v>
      </c>
      <c r="AB207" s="93">
        <v>170</v>
      </c>
      <c r="AC207" s="84" t="s">
        <v>87</v>
      </c>
      <c r="AD207" s="84">
        <v>72</v>
      </c>
      <c r="AE207" s="75">
        <v>1.0232000000000001</v>
      </c>
      <c r="AF207" s="75">
        <v>0.93586086956521752</v>
      </c>
      <c r="AG207" s="75">
        <v>0.99201252173913057</v>
      </c>
      <c r="AH207" s="97">
        <v>868.18261199999995</v>
      </c>
      <c r="AI207" s="39">
        <v>163.37539878797696</v>
      </c>
      <c r="AJ207" s="97">
        <v>178.63839584713463</v>
      </c>
      <c r="AK207" s="40">
        <v>355.10735378798034</v>
      </c>
      <c r="AL207" s="41">
        <v>179</v>
      </c>
      <c r="AM207" s="39">
        <v>164.68</v>
      </c>
      <c r="AN207" s="39">
        <v>163.36462208000003</v>
      </c>
      <c r="AO207" s="39">
        <v>816.82311040000013</v>
      </c>
      <c r="AP207" s="47" t="s">
        <v>773</v>
      </c>
      <c r="AQ207" s="88" t="s">
        <v>826</v>
      </c>
      <c r="AR207" s="57"/>
    </row>
    <row r="208" spans="1:44" x14ac:dyDescent="0.3">
      <c r="A208" s="25" t="s">
        <v>1509</v>
      </c>
      <c r="B208" s="25" t="s">
        <v>119</v>
      </c>
      <c r="C208" s="25" t="s">
        <v>120</v>
      </c>
      <c r="D208" s="25" t="s">
        <v>121</v>
      </c>
      <c r="E208" s="86" t="s">
        <v>77</v>
      </c>
      <c r="F208" s="47" t="s">
        <v>122</v>
      </c>
      <c r="G208" s="47" t="s">
        <v>805</v>
      </c>
      <c r="H208" s="47" t="s">
        <v>101</v>
      </c>
      <c r="I208" s="47" t="s">
        <v>80</v>
      </c>
      <c r="J208" s="47" t="s">
        <v>94</v>
      </c>
      <c r="K208" s="87" t="s">
        <v>82</v>
      </c>
      <c r="L208" s="47" t="s">
        <v>806</v>
      </c>
      <c r="M208" s="47" t="s">
        <v>83</v>
      </c>
      <c r="N208" s="89" t="s">
        <v>103</v>
      </c>
      <c r="O208" s="90">
        <v>0.32</v>
      </c>
      <c r="P208" s="47">
        <v>114</v>
      </c>
      <c r="Q208" s="47">
        <v>30</v>
      </c>
      <c r="R208" s="47" t="s">
        <v>87</v>
      </c>
      <c r="S208" s="84" t="s">
        <v>87</v>
      </c>
      <c r="T208" s="92">
        <v>0.8</v>
      </c>
      <c r="U208" s="47">
        <v>250</v>
      </c>
      <c r="V208" s="47">
        <v>700</v>
      </c>
      <c r="W208" s="84">
        <v>450</v>
      </c>
      <c r="X208" s="93">
        <v>140</v>
      </c>
      <c r="Y208" s="47">
        <v>250</v>
      </c>
      <c r="Z208" s="47">
        <v>700</v>
      </c>
      <c r="AA208" s="84">
        <v>450</v>
      </c>
      <c r="AB208" s="93">
        <v>140</v>
      </c>
      <c r="AC208" s="84" t="s">
        <v>87</v>
      </c>
      <c r="AD208" s="84">
        <v>84</v>
      </c>
      <c r="AE208" s="75">
        <v>1.0688</v>
      </c>
      <c r="AF208" s="75">
        <v>0.9697684210526315</v>
      </c>
      <c r="AG208" s="75">
        <v>1.0279545263157894</v>
      </c>
      <c r="AH208" s="97">
        <v>868.833664</v>
      </c>
      <c r="AI208" s="117">
        <v>156.40504120495697</v>
      </c>
      <c r="AJ208" s="97">
        <v>171.01684752132124</v>
      </c>
      <c r="AK208" s="40">
        <v>339.95681549013983</v>
      </c>
      <c r="AL208" s="41">
        <v>171</v>
      </c>
      <c r="AM208" s="39">
        <v>194.94</v>
      </c>
      <c r="AN208" s="39">
        <v>200.38945536</v>
      </c>
      <c r="AO208" s="39">
        <v>667.9648512</v>
      </c>
      <c r="AP208" s="47" t="s">
        <v>827</v>
      </c>
      <c r="AQ208" s="108" t="s">
        <v>828</v>
      </c>
      <c r="AR208" s="88"/>
    </row>
    <row r="209" spans="1:44" x14ac:dyDescent="0.3">
      <c r="A209" s="25" t="s">
        <v>1509</v>
      </c>
      <c r="B209" s="25" t="s">
        <v>119</v>
      </c>
      <c r="C209" s="25" t="s">
        <v>120</v>
      </c>
      <c r="D209" s="25" t="s">
        <v>121</v>
      </c>
      <c r="E209" s="86" t="s">
        <v>77</v>
      </c>
      <c r="F209" s="47" t="s">
        <v>122</v>
      </c>
      <c r="G209" s="47" t="s">
        <v>807</v>
      </c>
      <c r="H209" s="47" t="s">
        <v>101</v>
      </c>
      <c r="I209" s="47" t="s">
        <v>80</v>
      </c>
      <c r="J209" s="47" t="s">
        <v>94</v>
      </c>
      <c r="K209" s="87" t="s">
        <v>82</v>
      </c>
      <c r="L209" s="47"/>
      <c r="M209" s="47" t="s">
        <v>83</v>
      </c>
      <c r="N209" s="89" t="s">
        <v>103</v>
      </c>
      <c r="O209" s="90">
        <v>0.24</v>
      </c>
      <c r="P209" s="47">
        <v>90</v>
      </c>
      <c r="Q209" s="47">
        <v>17</v>
      </c>
      <c r="R209" s="47" t="s">
        <v>87</v>
      </c>
      <c r="S209" s="84" t="s">
        <v>87</v>
      </c>
      <c r="T209" s="92">
        <v>0.8</v>
      </c>
      <c r="U209" s="47">
        <v>100</v>
      </c>
      <c r="V209" s="47">
        <v>600</v>
      </c>
      <c r="W209" s="84">
        <v>500</v>
      </c>
      <c r="X209" s="93">
        <v>130</v>
      </c>
      <c r="Y209" s="47">
        <v>100</v>
      </c>
      <c r="Z209" s="47">
        <v>600</v>
      </c>
      <c r="AA209" s="84">
        <v>500</v>
      </c>
      <c r="AB209" s="93">
        <v>130</v>
      </c>
      <c r="AC209" s="84" t="s">
        <v>87</v>
      </c>
      <c r="AD209" s="84">
        <v>73</v>
      </c>
      <c r="AE209" s="75">
        <v>0.97520000000000007</v>
      </c>
      <c r="AF209" s="75">
        <v>0.90414666666666677</v>
      </c>
      <c r="AG209" s="75">
        <v>0.95839546666666675</v>
      </c>
      <c r="AH209" s="97">
        <v>863.62524800000006</v>
      </c>
      <c r="AI209" s="39">
        <v>171.41684581609724</v>
      </c>
      <c r="AJ209" s="97">
        <v>187.43109785765807</v>
      </c>
      <c r="AK209" s="40">
        <v>372.58597661593666</v>
      </c>
      <c r="AL209" s="41">
        <v>187</v>
      </c>
      <c r="AM209" s="39">
        <v>168.3</v>
      </c>
      <c r="AN209" s="39">
        <v>161.29795704000003</v>
      </c>
      <c r="AO209" s="39">
        <v>948.81151200000011</v>
      </c>
      <c r="AP209" s="47"/>
      <c r="AQ209" s="108"/>
      <c r="AR209" s="88"/>
    </row>
    <row r="210" spans="1:44" x14ac:dyDescent="0.3">
      <c r="A210" s="25" t="s">
        <v>1509</v>
      </c>
      <c r="B210" s="25" t="s">
        <v>119</v>
      </c>
      <c r="C210" s="25" t="s">
        <v>120</v>
      </c>
      <c r="D210" s="25" t="s">
        <v>121</v>
      </c>
      <c r="E210" s="86" t="s">
        <v>77</v>
      </c>
      <c r="F210" s="47" t="s">
        <v>122</v>
      </c>
      <c r="G210" s="47" t="s">
        <v>808</v>
      </c>
      <c r="H210" s="47" t="s">
        <v>101</v>
      </c>
      <c r="I210" s="47" t="s">
        <v>80</v>
      </c>
      <c r="J210" s="47" t="s">
        <v>94</v>
      </c>
      <c r="K210" s="87" t="s">
        <v>82</v>
      </c>
      <c r="L210" s="47" t="s">
        <v>809</v>
      </c>
      <c r="M210" s="47" t="s">
        <v>83</v>
      </c>
      <c r="N210" s="89" t="s">
        <v>103</v>
      </c>
      <c r="O210" s="90">
        <v>0.55000000000000004</v>
      </c>
      <c r="P210" s="47">
        <v>90</v>
      </c>
      <c r="Q210" s="96">
        <v>20</v>
      </c>
      <c r="R210" s="47" t="s">
        <v>87</v>
      </c>
      <c r="S210" s="84" t="s">
        <v>87</v>
      </c>
      <c r="T210" s="92">
        <v>0.8</v>
      </c>
      <c r="U210" s="47">
        <v>150</v>
      </c>
      <c r="V210" s="47">
        <v>550</v>
      </c>
      <c r="W210" s="84">
        <v>400</v>
      </c>
      <c r="X210" s="93">
        <v>150</v>
      </c>
      <c r="Y210" s="47">
        <v>150</v>
      </c>
      <c r="Z210" s="47">
        <v>550</v>
      </c>
      <c r="AA210" s="84">
        <v>400</v>
      </c>
      <c r="AB210" s="93">
        <v>150</v>
      </c>
      <c r="AC210" s="84" t="s">
        <v>87</v>
      </c>
      <c r="AD210" s="84">
        <v>70</v>
      </c>
      <c r="AE210" s="75">
        <v>1.1850000000000001</v>
      </c>
      <c r="AF210" s="75">
        <v>1.035277777777778</v>
      </c>
      <c r="AG210" s="75">
        <v>1.0973944444444446</v>
      </c>
      <c r="AH210" s="97">
        <v>883.80786000000012</v>
      </c>
      <c r="AI210" s="39">
        <v>141.0681080505131</v>
      </c>
      <c r="AJ210" s="97">
        <v>154.24709420319675</v>
      </c>
      <c r="AK210" s="40">
        <v>306.62096573490419</v>
      </c>
      <c r="AL210" s="41">
        <v>154</v>
      </c>
      <c r="AM210" s="39">
        <v>138.6</v>
      </c>
      <c r="AN210" s="39">
        <v>152.09887000000001</v>
      </c>
      <c r="AO210" s="39">
        <v>760.49434999999994</v>
      </c>
      <c r="AP210" s="47" t="s">
        <v>827</v>
      </c>
      <c r="AQ210" s="88" t="s">
        <v>829</v>
      </c>
      <c r="AR210" s="57"/>
    </row>
    <row r="211" spans="1:44" x14ac:dyDescent="0.3">
      <c r="A211" s="25" t="s">
        <v>1509</v>
      </c>
      <c r="B211" s="25" t="s">
        <v>119</v>
      </c>
      <c r="C211" s="25" t="s">
        <v>120</v>
      </c>
      <c r="D211" s="25" t="s">
        <v>121</v>
      </c>
      <c r="E211" s="86" t="s">
        <v>77</v>
      </c>
      <c r="F211" s="47" t="s">
        <v>122</v>
      </c>
      <c r="G211" s="47" t="s">
        <v>810</v>
      </c>
      <c r="H211" s="47" t="s">
        <v>101</v>
      </c>
      <c r="I211" s="47" t="s">
        <v>80</v>
      </c>
      <c r="J211" s="47" t="s">
        <v>94</v>
      </c>
      <c r="K211" s="87" t="s">
        <v>82</v>
      </c>
      <c r="L211" s="47"/>
      <c r="M211" s="47" t="s">
        <v>83</v>
      </c>
      <c r="N211" s="89" t="s">
        <v>103</v>
      </c>
      <c r="O211" s="90">
        <v>0.47</v>
      </c>
      <c r="P211" s="47">
        <v>97</v>
      </c>
      <c r="Q211" s="96">
        <v>24</v>
      </c>
      <c r="R211" s="47" t="s">
        <v>87</v>
      </c>
      <c r="S211" s="84" t="s">
        <v>87</v>
      </c>
      <c r="T211" s="92">
        <v>0.8</v>
      </c>
      <c r="U211" s="47">
        <v>150</v>
      </c>
      <c r="V211" s="47">
        <v>600</v>
      </c>
      <c r="W211" s="84">
        <v>451</v>
      </c>
      <c r="X211" s="93">
        <v>130</v>
      </c>
      <c r="Y211" s="47">
        <v>150</v>
      </c>
      <c r="Z211" s="47">
        <v>600</v>
      </c>
      <c r="AA211" s="84">
        <v>450</v>
      </c>
      <c r="AB211" s="93">
        <v>130</v>
      </c>
      <c r="AC211" s="84" t="s">
        <v>87</v>
      </c>
      <c r="AD211" s="84">
        <v>73</v>
      </c>
      <c r="AE211" s="75">
        <v>1.1431</v>
      </c>
      <c r="AF211" s="75">
        <v>1.0139953608247423</v>
      </c>
      <c r="AG211" s="75">
        <v>1.0748350824742268</v>
      </c>
      <c r="AH211" s="97">
        <v>878.59944400000006</v>
      </c>
      <c r="AI211" s="117">
        <v>146.2389187646383</v>
      </c>
      <c r="AJ211" s="97">
        <v>159.90097684436023</v>
      </c>
      <c r="AK211" s="40">
        <v>317.86006858180519</v>
      </c>
      <c r="AL211" s="41">
        <v>160</v>
      </c>
      <c r="AM211" s="39">
        <v>155.19999999999999</v>
      </c>
      <c r="AN211" s="39">
        <v>166.81440479999998</v>
      </c>
      <c r="AO211" s="39">
        <v>695.06001999999989</v>
      </c>
      <c r="AP211" s="47"/>
      <c r="AQ211" s="88"/>
      <c r="AR211" s="57"/>
    </row>
    <row r="212" spans="1:44" x14ac:dyDescent="0.3">
      <c r="A212" s="25" t="s">
        <v>1509</v>
      </c>
      <c r="B212" s="25" t="s">
        <v>119</v>
      </c>
      <c r="C212" s="25" t="s">
        <v>120</v>
      </c>
      <c r="D212" s="25" t="s">
        <v>121</v>
      </c>
      <c r="E212" s="86" t="s">
        <v>77</v>
      </c>
      <c r="F212" s="47" t="s">
        <v>122</v>
      </c>
      <c r="G212" s="47" t="s">
        <v>811</v>
      </c>
      <c r="H212" s="47" t="s">
        <v>101</v>
      </c>
      <c r="I212" s="47" t="s">
        <v>80</v>
      </c>
      <c r="J212" s="47" t="s">
        <v>94</v>
      </c>
      <c r="K212" s="87" t="s">
        <v>82</v>
      </c>
      <c r="L212" s="47" t="s">
        <v>812</v>
      </c>
      <c r="M212" s="47" t="s">
        <v>83</v>
      </c>
      <c r="N212" s="89" t="s">
        <v>103</v>
      </c>
      <c r="O212" s="90">
        <v>0.32</v>
      </c>
      <c r="P212" s="47">
        <v>101</v>
      </c>
      <c r="Q212" s="47">
        <v>30</v>
      </c>
      <c r="R212" s="47" t="s">
        <v>87</v>
      </c>
      <c r="S212" s="84" t="s">
        <v>87</v>
      </c>
      <c r="T212" s="92">
        <v>0.8</v>
      </c>
      <c r="U212" s="47">
        <v>150</v>
      </c>
      <c r="V212" s="47">
        <v>550</v>
      </c>
      <c r="W212" s="84">
        <v>400</v>
      </c>
      <c r="X212" s="93">
        <v>160</v>
      </c>
      <c r="Y212" s="47">
        <v>150</v>
      </c>
      <c r="Z212" s="47">
        <v>550</v>
      </c>
      <c r="AA212" s="84">
        <v>400</v>
      </c>
      <c r="AB212" s="93">
        <v>160</v>
      </c>
      <c r="AC212" s="84" t="s">
        <v>87</v>
      </c>
      <c r="AD212" s="84">
        <v>71</v>
      </c>
      <c r="AE212" s="75">
        <v>1.0272000000000001</v>
      </c>
      <c r="AF212" s="75">
        <v>0.94734257425742574</v>
      </c>
      <c r="AG212" s="75">
        <v>1.0041831287128713</v>
      </c>
      <c r="AH212" s="97">
        <v>868.833664</v>
      </c>
      <c r="AI212" s="39">
        <v>162.73920175219823</v>
      </c>
      <c r="AJ212" s="97">
        <v>177.94276346455234</v>
      </c>
      <c r="AK212" s="40">
        <v>353.7245369897405</v>
      </c>
      <c r="AL212" s="41">
        <v>178</v>
      </c>
      <c r="AM212" s="39">
        <v>179.78</v>
      </c>
      <c r="AN212" s="39">
        <v>180.53204288000001</v>
      </c>
      <c r="AO212" s="39">
        <v>601.77347626666676</v>
      </c>
      <c r="AP212" s="47" t="s">
        <v>770</v>
      </c>
      <c r="AQ212" s="108" t="s">
        <v>830</v>
      </c>
      <c r="AR212" s="88" t="s">
        <v>381</v>
      </c>
    </row>
    <row r="213" spans="1:44" x14ac:dyDescent="0.3">
      <c r="A213" s="25" t="s">
        <v>1509</v>
      </c>
      <c r="B213" s="25" t="s">
        <v>119</v>
      </c>
      <c r="C213" s="25" t="s">
        <v>120</v>
      </c>
      <c r="D213" s="25" t="s">
        <v>121</v>
      </c>
      <c r="E213" s="26" t="s">
        <v>77</v>
      </c>
      <c r="F213" s="27" t="s">
        <v>78</v>
      </c>
      <c r="G213" s="25" t="s">
        <v>813</v>
      </c>
      <c r="H213" s="25" t="s">
        <v>101</v>
      </c>
      <c r="I213" s="25" t="s">
        <v>80</v>
      </c>
      <c r="J213" s="25" t="s">
        <v>94</v>
      </c>
      <c r="K213" s="30" t="s">
        <v>82</v>
      </c>
      <c r="L213" s="25" t="s">
        <v>814</v>
      </c>
      <c r="M213" s="25" t="s">
        <v>83</v>
      </c>
      <c r="N213" s="74" t="s">
        <v>103</v>
      </c>
      <c r="O213" s="61">
        <v>0.38</v>
      </c>
      <c r="P213" s="25">
        <v>94</v>
      </c>
      <c r="Q213" s="32">
        <v>25</v>
      </c>
      <c r="R213" s="25" t="s">
        <v>87</v>
      </c>
      <c r="S213" s="34" t="s">
        <v>87</v>
      </c>
      <c r="T213" s="35">
        <v>0.8</v>
      </c>
      <c r="U213" s="25">
        <v>150</v>
      </c>
      <c r="V213" s="25">
        <v>550</v>
      </c>
      <c r="W213" s="34">
        <v>400</v>
      </c>
      <c r="X213" s="36">
        <v>140</v>
      </c>
      <c r="Y213" s="25">
        <v>150</v>
      </c>
      <c r="Z213" s="25">
        <v>550</v>
      </c>
      <c r="AA213" s="34">
        <v>400</v>
      </c>
      <c r="AB213" s="36">
        <v>140</v>
      </c>
      <c r="AC213" s="34" t="s">
        <v>87</v>
      </c>
      <c r="AD213" s="34">
        <v>69</v>
      </c>
      <c r="AE213" s="37">
        <v>1.0622</v>
      </c>
      <c r="AF213" s="37">
        <v>0.96596702127659584</v>
      </c>
      <c r="AG213" s="37">
        <v>1.0239250425531916</v>
      </c>
      <c r="AH213" s="38">
        <v>872.73997600000007</v>
      </c>
      <c r="AI213" s="39">
        <v>157.37686691758429</v>
      </c>
      <c r="AJ213" s="38">
        <v>172.07946397174558</v>
      </c>
      <c r="AK213" s="40">
        <v>342.06914366019714</v>
      </c>
      <c r="AL213" s="41">
        <v>172</v>
      </c>
      <c r="AM213" s="39">
        <v>161.68</v>
      </c>
      <c r="AN213" s="39">
        <v>165.54820088000002</v>
      </c>
      <c r="AO213" s="39">
        <v>662.1928035200001</v>
      </c>
      <c r="AP213" s="25" t="s">
        <v>831</v>
      </c>
      <c r="AQ213" s="43" t="s">
        <v>832</v>
      </c>
      <c r="AR213" s="43" t="s">
        <v>833</v>
      </c>
    </row>
    <row r="214" spans="1:44" x14ac:dyDescent="0.3">
      <c r="A214" s="25" t="s">
        <v>1509</v>
      </c>
      <c r="B214" s="25" t="s">
        <v>119</v>
      </c>
      <c r="C214" s="25" t="s">
        <v>120</v>
      </c>
      <c r="D214" s="25" t="s">
        <v>121</v>
      </c>
      <c r="E214" s="109" t="s">
        <v>77</v>
      </c>
      <c r="F214" s="182" t="s">
        <v>139</v>
      </c>
      <c r="G214" s="66" t="s">
        <v>815</v>
      </c>
      <c r="H214" s="66" t="s">
        <v>101</v>
      </c>
      <c r="I214" s="66" t="s">
        <v>80</v>
      </c>
      <c r="J214" s="66" t="s">
        <v>94</v>
      </c>
      <c r="K214" s="111" t="s">
        <v>82</v>
      </c>
      <c r="L214" s="66" t="s">
        <v>816</v>
      </c>
      <c r="M214" s="66" t="s">
        <v>83</v>
      </c>
      <c r="N214" s="183" t="s">
        <v>103</v>
      </c>
      <c r="O214" s="113">
        <v>0.4</v>
      </c>
      <c r="P214" s="66">
        <v>94</v>
      </c>
      <c r="Q214" s="214">
        <v>25</v>
      </c>
      <c r="R214" s="66" t="s">
        <v>87</v>
      </c>
      <c r="S214" s="84" t="s">
        <v>87</v>
      </c>
      <c r="T214" s="114">
        <v>0.8</v>
      </c>
      <c r="U214" s="66">
        <v>150</v>
      </c>
      <c r="V214" s="66">
        <v>550</v>
      </c>
      <c r="W214" s="84">
        <v>400</v>
      </c>
      <c r="X214" s="93">
        <v>140</v>
      </c>
      <c r="Y214" s="66">
        <v>150</v>
      </c>
      <c r="Z214" s="66">
        <v>550</v>
      </c>
      <c r="AA214" s="84">
        <v>400</v>
      </c>
      <c r="AB214" s="93">
        <v>140</v>
      </c>
      <c r="AC214" s="84" t="s">
        <v>87</v>
      </c>
      <c r="AD214" s="84">
        <v>69</v>
      </c>
      <c r="AE214" s="75">
        <v>1.0760000000000001</v>
      </c>
      <c r="AF214" s="75">
        <v>0.97470212765957465</v>
      </c>
      <c r="AG214" s="75">
        <v>1.0331842553191493</v>
      </c>
      <c r="AH214" s="97">
        <v>874.04208000000006</v>
      </c>
      <c r="AI214" s="39">
        <v>155.35846472105766</v>
      </c>
      <c r="AJ214" s="97">
        <v>169.87249686876225</v>
      </c>
      <c r="AK214" s="40">
        <v>337.6820115203173</v>
      </c>
      <c r="AL214" s="120">
        <v>170</v>
      </c>
      <c r="AM214" s="39">
        <v>159.80000000000001</v>
      </c>
      <c r="AN214" s="39">
        <v>165.10284400000006</v>
      </c>
      <c r="AO214" s="39">
        <v>660.41137600000025</v>
      </c>
      <c r="AP214" s="66" t="s">
        <v>652</v>
      </c>
      <c r="AQ214" s="123" t="s">
        <v>834</v>
      </c>
      <c r="AR214" s="123" t="s">
        <v>835</v>
      </c>
    </row>
    <row r="215" spans="1:44" x14ac:dyDescent="0.3">
      <c r="A215" s="25" t="s">
        <v>1509</v>
      </c>
      <c r="B215" s="25" t="s">
        <v>119</v>
      </c>
      <c r="C215" s="25" t="s">
        <v>120</v>
      </c>
      <c r="D215" s="25" t="s">
        <v>121</v>
      </c>
      <c r="E215" s="86" t="s">
        <v>77</v>
      </c>
      <c r="F215" s="47" t="s">
        <v>122</v>
      </c>
      <c r="G215" s="47" t="s">
        <v>817</v>
      </c>
      <c r="H215" s="47" t="s">
        <v>101</v>
      </c>
      <c r="I215" s="47" t="s">
        <v>80</v>
      </c>
      <c r="J215" s="47" t="s">
        <v>94</v>
      </c>
      <c r="K215" s="87" t="s">
        <v>82</v>
      </c>
      <c r="L215" s="47" t="s">
        <v>186</v>
      </c>
      <c r="M215" s="47" t="s">
        <v>83</v>
      </c>
      <c r="N215" s="89" t="s">
        <v>103</v>
      </c>
      <c r="O215" s="90">
        <v>0.32</v>
      </c>
      <c r="P215" s="47">
        <v>101</v>
      </c>
      <c r="Q215" s="47">
        <v>23</v>
      </c>
      <c r="R215" s="161" t="s">
        <v>87</v>
      </c>
      <c r="S215" s="225" t="s">
        <v>87</v>
      </c>
      <c r="T215" s="92">
        <v>0.8</v>
      </c>
      <c r="U215" s="47">
        <v>150</v>
      </c>
      <c r="V215" s="47">
        <v>650</v>
      </c>
      <c r="W215" s="84">
        <v>500</v>
      </c>
      <c r="X215" s="93">
        <v>130</v>
      </c>
      <c r="Y215" s="47">
        <v>150</v>
      </c>
      <c r="Z215" s="47">
        <v>650</v>
      </c>
      <c r="AA215" s="84">
        <v>500</v>
      </c>
      <c r="AB215" s="93">
        <v>130</v>
      </c>
      <c r="AC215" s="84" t="s">
        <v>87</v>
      </c>
      <c r="AD215" s="84">
        <v>78</v>
      </c>
      <c r="AE215" s="75">
        <v>1.0496000000000001</v>
      </c>
      <c r="AF215" s="75">
        <v>0.95321980198019796</v>
      </c>
      <c r="AG215" s="75">
        <v>1.0104129900990098</v>
      </c>
      <c r="AH215" s="97">
        <v>868.833664</v>
      </c>
      <c r="AI215" s="39">
        <v>159.26610903187691</v>
      </c>
      <c r="AJ215" s="97">
        <v>174.14520448817467</v>
      </c>
      <c r="AK215" s="40">
        <v>346.17553772471553</v>
      </c>
      <c r="AL215" s="41">
        <v>174</v>
      </c>
      <c r="AM215" s="39">
        <v>175.74</v>
      </c>
      <c r="AN215" s="39">
        <v>177.56997887999998</v>
      </c>
      <c r="AO215" s="39">
        <v>772.04338643478252</v>
      </c>
      <c r="AP215" s="47" t="s">
        <v>836</v>
      </c>
      <c r="AQ215" s="123"/>
      <c r="AR215" s="123"/>
    </row>
    <row r="216" spans="1:44" x14ac:dyDescent="0.25">
      <c r="A216" s="25" t="s">
        <v>1509</v>
      </c>
      <c r="B216" s="25" t="s">
        <v>119</v>
      </c>
      <c r="C216" s="25" t="s">
        <v>120</v>
      </c>
      <c r="D216" s="25" t="s">
        <v>121</v>
      </c>
      <c r="E216" s="86" t="s">
        <v>77</v>
      </c>
      <c r="F216" s="47" t="s">
        <v>122</v>
      </c>
      <c r="G216" s="47" t="s">
        <v>837</v>
      </c>
      <c r="H216" s="47" t="s">
        <v>101</v>
      </c>
      <c r="I216" s="47" t="s">
        <v>80</v>
      </c>
      <c r="J216" s="47" t="s">
        <v>94</v>
      </c>
      <c r="K216" s="87" t="s">
        <v>82</v>
      </c>
      <c r="L216" s="47" t="s">
        <v>838</v>
      </c>
      <c r="M216" s="47" t="s">
        <v>83</v>
      </c>
      <c r="N216" s="89" t="s">
        <v>103</v>
      </c>
      <c r="O216" s="90">
        <v>0.46</v>
      </c>
      <c r="P216" s="47">
        <v>105</v>
      </c>
      <c r="Q216" s="47">
        <v>27</v>
      </c>
      <c r="R216" s="47" t="s">
        <v>87</v>
      </c>
      <c r="S216" s="84" t="s">
        <v>87</v>
      </c>
      <c r="T216" s="92">
        <v>0.8</v>
      </c>
      <c r="U216" s="47">
        <v>250</v>
      </c>
      <c r="V216" s="47">
        <v>650</v>
      </c>
      <c r="W216" s="84">
        <v>400</v>
      </c>
      <c r="X216" s="93">
        <v>130</v>
      </c>
      <c r="Y216" s="47">
        <v>250</v>
      </c>
      <c r="Z216" s="47">
        <v>650</v>
      </c>
      <c r="AA216" s="84">
        <v>400</v>
      </c>
      <c r="AB216" s="93">
        <v>130</v>
      </c>
      <c r="AC216" s="84" t="s">
        <v>87</v>
      </c>
      <c r="AD216" s="84">
        <v>78</v>
      </c>
      <c r="AE216" s="75">
        <v>1.1588000000000001</v>
      </c>
      <c r="AF216" s="75">
        <v>1.0255314285714285</v>
      </c>
      <c r="AG216" s="75">
        <v>1.0870633142857142</v>
      </c>
      <c r="AH216" s="97">
        <v>877.94839200000001</v>
      </c>
      <c r="AI216" s="39">
        <v>144.25760100091301</v>
      </c>
      <c r="AJ216" s="97">
        <v>157.73455870796354</v>
      </c>
      <c r="AK216" s="40">
        <v>313.55354193636646</v>
      </c>
      <c r="AL216" s="41">
        <v>158</v>
      </c>
      <c r="AM216" s="39">
        <v>165.9</v>
      </c>
      <c r="AN216" s="39">
        <v>180.34380383999999</v>
      </c>
      <c r="AO216" s="39">
        <v>667.9400142222222</v>
      </c>
      <c r="AP216" s="47" t="s">
        <v>848</v>
      </c>
      <c r="AQ216" s="226" t="s">
        <v>849</v>
      </c>
      <c r="AR216" s="123"/>
    </row>
    <row r="217" spans="1:44" x14ac:dyDescent="0.3">
      <c r="A217" s="25" t="s">
        <v>1509</v>
      </c>
      <c r="B217" s="25" t="s">
        <v>119</v>
      </c>
      <c r="C217" s="25" t="s">
        <v>120</v>
      </c>
      <c r="D217" s="25" t="s">
        <v>121</v>
      </c>
      <c r="E217" s="160" t="s">
        <v>77</v>
      </c>
      <c r="F217" s="91" t="s">
        <v>122</v>
      </c>
      <c r="G217" s="91" t="s">
        <v>839</v>
      </c>
      <c r="H217" s="91" t="s">
        <v>101</v>
      </c>
      <c r="I217" s="91" t="s">
        <v>80</v>
      </c>
      <c r="J217" s="91" t="s">
        <v>94</v>
      </c>
      <c r="K217" s="140" t="s">
        <v>82</v>
      </c>
      <c r="L217" s="91" t="s">
        <v>840</v>
      </c>
      <c r="M217" s="91" t="s">
        <v>83</v>
      </c>
      <c r="N217" s="162" t="s">
        <v>103</v>
      </c>
      <c r="O217" s="103">
        <v>0.25</v>
      </c>
      <c r="P217" s="91">
        <v>108</v>
      </c>
      <c r="Q217" s="91">
        <v>20</v>
      </c>
      <c r="R217" s="91" t="s">
        <v>87</v>
      </c>
      <c r="S217" s="84" t="s">
        <v>87</v>
      </c>
      <c r="T217" s="104">
        <v>0.8</v>
      </c>
      <c r="U217" s="91">
        <v>200</v>
      </c>
      <c r="V217" s="91">
        <v>750</v>
      </c>
      <c r="W217" s="84">
        <v>550</v>
      </c>
      <c r="X217" s="93">
        <v>130</v>
      </c>
      <c r="Y217" s="91">
        <v>200</v>
      </c>
      <c r="Z217" s="91">
        <v>750</v>
      </c>
      <c r="AA217" s="84">
        <v>550</v>
      </c>
      <c r="AB217" s="93">
        <v>130</v>
      </c>
      <c r="AC217" s="84" t="s">
        <v>87</v>
      </c>
      <c r="AD217" s="84">
        <v>88</v>
      </c>
      <c r="AE217" s="75">
        <v>1.02</v>
      </c>
      <c r="AF217" s="75">
        <v>0.93037037037037029</v>
      </c>
      <c r="AG217" s="75">
        <v>0.98619259259259251</v>
      </c>
      <c r="AH217" s="97">
        <v>864.27630000000011</v>
      </c>
      <c r="AI217" s="39">
        <v>163.88794905868431</v>
      </c>
      <c r="AJ217" s="97">
        <v>179.19883003018447</v>
      </c>
      <c r="AK217" s="40">
        <v>356.22141607437402</v>
      </c>
      <c r="AL217" s="41">
        <v>179</v>
      </c>
      <c r="AM217" s="39">
        <v>193.32</v>
      </c>
      <c r="AN217" s="39">
        <v>190.65075199999998</v>
      </c>
      <c r="AO217" s="39">
        <v>953.25375999999983</v>
      </c>
      <c r="AP217" s="91" t="s">
        <v>429</v>
      </c>
      <c r="AQ217" s="176"/>
      <c r="AR217" s="141"/>
    </row>
    <row r="218" spans="1:44" x14ac:dyDescent="0.3">
      <c r="A218" s="25" t="s">
        <v>1509</v>
      </c>
      <c r="B218" s="25" t="s">
        <v>119</v>
      </c>
      <c r="C218" s="25" t="s">
        <v>120</v>
      </c>
      <c r="D218" s="25" t="s">
        <v>121</v>
      </c>
      <c r="E218" s="160" t="s">
        <v>77</v>
      </c>
      <c r="F218" s="91" t="s">
        <v>122</v>
      </c>
      <c r="G218" s="91" t="s">
        <v>841</v>
      </c>
      <c r="H218" s="91" t="s">
        <v>101</v>
      </c>
      <c r="I218" s="91" t="s">
        <v>80</v>
      </c>
      <c r="J218" s="91" t="s">
        <v>94</v>
      </c>
      <c r="K218" s="140" t="s">
        <v>82</v>
      </c>
      <c r="L218" s="91"/>
      <c r="M218" s="91" t="s">
        <v>83</v>
      </c>
      <c r="N218" s="162" t="s">
        <v>103</v>
      </c>
      <c r="O218" s="103">
        <v>0.46</v>
      </c>
      <c r="P218" s="91">
        <v>105</v>
      </c>
      <c r="Q218" s="91">
        <v>27</v>
      </c>
      <c r="R218" s="91" t="s">
        <v>87</v>
      </c>
      <c r="S218" s="84" t="s">
        <v>87</v>
      </c>
      <c r="T218" s="104">
        <v>0.8</v>
      </c>
      <c r="U218" s="91">
        <v>150</v>
      </c>
      <c r="V218" s="91">
        <v>650</v>
      </c>
      <c r="W218" s="84">
        <v>500</v>
      </c>
      <c r="X218" s="93">
        <v>140</v>
      </c>
      <c r="Y218" s="91">
        <v>150</v>
      </c>
      <c r="Z218" s="91">
        <v>650</v>
      </c>
      <c r="AA218" s="84">
        <v>500</v>
      </c>
      <c r="AB218" s="93">
        <v>140</v>
      </c>
      <c r="AC218" s="84" t="s">
        <v>87</v>
      </c>
      <c r="AD218" s="84">
        <v>79</v>
      </c>
      <c r="AE218" s="75">
        <v>1.1634</v>
      </c>
      <c r="AF218" s="75">
        <v>1.0377723809523809</v>
      </c>
      <c r="AG218" s="75">
        <v>1.1000387238095237</v>
      </c>
      <c r="AH218" s="97">
        <v>877.94839200000001</v>
      </c>
      <c r="AI218" s="39">
        <v>143.68721681266805</v>
      </c>
      <c r="AJ218" s="97">
        <v>157.1108875973768</v>
      </c>
      <c r="AK218" s="40">
        <v>312.31377376298906</v>
      </c>
      <c r="AL218" s="41">
        <v>158</v>
      </c>
      <c r="AM218" s="39">
        <v>165.9</v>
      </c>
      <c r="AN218" s="39">
        <v>182.49642427999999</v>
      </c>
      <c r="AO218" s="39">
        <v>675.91268251851841</v>
      </c>
      <c r="AP218" s="91"/>
      <c r="AQ218" s="176"/>
      <c r="AR218" s="141"/>
    </row>
    <row r="219" spans="1:44" x14ac:dyDescent="0.3">
      <c r="A219" s="25" t="s">
        <v>1509</v>
      </c>
      <c r="B219" s="25" t="s">
        <v>119</v>
      </c>
      <c r="C219" s="25" t="s">
        <v>120</v>
      </c>
      <c r="D219" s="25" t="s">
        <v>121</v>
      </c>
      <c r="E219" s="86" t="s">
        <v>77</v>
      </c>
      <c r="F219" s="47" t="s">
        <v>122</v>
      </c>
      <c r="G219" s="47" t="s">
        <v>842</v>
      </c>
      <c r="H219" s="47" t="s">
        <v>101</v>
      </c>
      <c r="I219" s="47" t="s">
        <v>80</v>
      </c>
      <c r="J219" s="47" t="s">
        <v>94</v>
      </c>
      <c r="K219" s="87" t="s">
        <v>82</v>
      </c>
      <c r="L219" s="47" t="s">
        <v>843</v>
      </c>
      <c r="M219" s="47" t="s">
        <v>83</v>
      </c>
      <c r="N219" s="89" t="s">
        <v>103</v>
      </c>
      <c r="O219" s="90">
        <v>0.19</v>
      </c>
      <c r="P219" s="47">
        <v>98</v>
      </c>
      <c r="Q219" s="47">
        <v>25</v>
      </c>
      <c r="R219" s="47" t="s">
        <v>87</v>
      </c>
      <c r="S219" s="84" t="s">
        <v>87</v>
      </c>
      <c r="T219" s="92">
        <v>0.8</v>
      </c>
      <c r="U219" s="47">
        <v>150</v>
      </c>
      <c r="V219" s="47">
        <v>550</v>
      </c>
      <c r="W219" s="84">
        <v>400</v>
      </c>
      <c r="X219" s="93">
        <v>180</v>
      </c>
      <c r="Y219" s="47">
        <v>150</v>
      </c>
      <c r="Z219" s="47">
        <v>550</v>
      </c>
      <c r="AA219" s="84">
        <v>400</v>
      </c>
      <c r="AB219" s="93">
        <v>180</v>
      </c>
      <c r="AC219" s="84" t="s">
        <v>87</v>
      </c>
      <c r="AD219" s="84">
        <v>73</v>
      </c>
      <c r="AE219" s="75">
        <v>0.93870000000000009</v>
      </c>
      <c r="AF219" s="75">
        <v>0.8870413265306123</v>
      </c>
      <c r="AG219" s="75">
        <v>0.94026380612244909</v>
      </c>
      <c r="AH219" s="97">
        <v>860.36998800000003</v>
      </c>
      <c r="AI219" s="39">
        <v>178.08214343225526</v>
      </c>
      <c r="AJ219" s="97">
        <v>194.71908664193904</v>
      </c>
      <c r="AK219" s="40">
        <v>387.07344667717211</v>
      </c>
      <c r="AL219" s="41">
        <v>195</v>
      </c>
      <c r="AM219" s="39">
        <v>191.1</v>
      </c>
      <c r="AN219" s="39">
        <v>179.68441335000003</v>
      </c>
      <c r="AO219" s="39">
        <v>718.73765340000011</v>
      </c>
      <c r="AP219" s="47" t="s">
        <v>850</v>
      </c>
      <c r="AQ219" s="108" t="s">
        <v>851</v>
      </c>
      <c r="AR219" s="43"/>
    </row>
    <row r="220" spans="1:44" x14ac:dyDescent="0.3">
      <c r="A220" s="25" t="s">
        <v>1509</v>
      </c>
      <c r="B220" s="25" t="s">
        <v>119</v>
      </c>
      <c r="C220" s="25" t="s">
        <v>120</v>
      </c>
      <c r="D220" s="25" t="s">
        <v>121</v>
      </c>
      <c r="E220" s="86" t="s">
        <v>77</v>
      </c>
      <c r="F220" s="47" t="s">
        <v>122</v>
      </c>
      <c r="G220" s="47" t="s">
        <v>844</v>
      </c>
      <c r="H220" s="47" t="s">
        <v>101</v>
      </c>
      <c r="I220" s="47" t="s">
        <v>80</v>
      </c>
      <c r="J220" s="47" t="s">
        <v>94</v>
      </c>
      <c r="K220" s="87" t="s">
        <v>82</v>
      </c>
      <c r="L220" s="47" t="s">
        <v>845</v>
      </c>
      <c r="M220" s="47" t="s">
        <v>83</v>
      </c>
      <c r="N220" s="89" t="s">
        <v>103</v>
      </c>
      <c r="O220" s="90">
        <v>0.26</v>
      </c>
      <c r="P220" s="47">
        <v>110</v>
      </c>
      <c r="Q220" s="47">
        <v>30</v>
      </c>
      <c r="R220" s="47" t="s">
        <v>87</v>
      </c>
      <c r="S220" s="84" t="s">
        <v>87</v>
      </c>
      <c r="T220" s="92">
        <v>0.8</v>
      </c>
      <c r="U220" s="47">
        <v>200</v>
      </c>
      <c r="V220" s="47">
        <v>600</v>
      </c>
      <c r="W220" s="84">
        <v>400</v>
      </c>
      <c r="X220" s="93">
        <v>200</v>
      </c>
      <c r="Y220" s="47">
        <v>200</v>
      </c>
      <c r="Z220" s="47">
        <v>600</v>
      </c>
      <c r="AA220" s="84">
        <v>400</v>
      </c>
      <c r="AB220" s="93">
        <v>200</v>
      </c>
      <c r="AC220" s="84" t="s">
        <v>87</v>
      </c>
      <c r="AD220" s="84">
        <v>80</v>
      </c>
      <c r="AE220" s="75">
        <v>1.008</v>
      </c>
      <c r="AF220" s="75">
        <v>0.93236363636363639</v>
      </c>
      <c r="AG220" s="75">
        <v>0.9883054545454546</v>
      </c>
      <c r="AH220" s="97">
        <v>864.92735200000004</v>
      </c>
      <c r="AI220" s="39">
        <v>165.83899607128774</v>
      </c>
      <c r="AJ220" s="97">
        <v>181.33214943530572</v>
      </c>
      <c r="AK220" s="40">
        <v>360.46214721811651</v>
      </c>
      <c r="AL220" s="41">
        <v>181</v>
      </c>
      <c r="AM220" s="39">
        <v>199.1</v>
      </c>
      <c r="AN220" s="39">
        <v>196.77161599999999</v>
      </c>
      <c r="AO220" s="39">
        <v>655.90538666666669</v>
      </c>
      <c r="AP220" s="47" t="s">
        <v>852</v>
      </c>
      <c r="AQ220" s="88" t="s">
        <v>853</v>
      </c>
      <c r="AR220" s="57"/>
    </row>
    <row r="221" spans="1:44" x14ac:dyDescent="0.3">
      <c r="A221" s="25" t="s">
        <v>1509</v>
      </c>
      <c r="B221" s="25" t="s">
        <v>119</v>
      </c>
      <c r="C221" s="25" t="s">
        <v>120</v>
      </c>
      <c r="D221" s="25" t="s">
        <v>121</v>
      </c>
      <c r="E221" s="26" t="s">
        <v>77</v>
      </c>
      <c r="F221" s="27" t="s">
        <v>78</v>
      </c>
      <c r="G221" s="25" t="s">
        <v>846</v>
      </c>
      <c r="H221" s="25" t="s">
        <v>101</v>
      </c>
      <c r="I221" s="25" t="s">
        <v>80</v>
      </c>
      <c r="J221" s="25" t="s">
        <v>94</v>
      </c>
      <c r="K221" s="30" t="s">
        <v>82</v>
      </c>
      <c r="L221" s="25" t="s">
        <v>847</v>
      </c>
      <c r="M221" s="25" t="s">
        <v>83</v>
      </c>
      <c r="N221" s="74" t="s">
        <v>103</v>
      </c>
      <c r="O221" s="61">
        <v>0.28000000000000003</v>
      </c>
      <c r="P221" s="25">
        <v>92</v>
      </c>
      <c r="Q221" s="32">
        <v>25</v>
      </c>
      <c r="R221" s="25" t="s">
        <v>87</v>
      </c>
      <c r="S221" s="34" t="s">
        <v>87</v>
      </c>
      <c r="T221" s="35">
        <v>0.8</v>
      </c>
      <c r="U221" s="25">
        <v>150</v>
      </c>
      <c r="V221" s="25">
        <v>550</v>
      </c>
      <c r="W221" s="34">
        <v>400</v>
      </c>
      <c r="X221" s="36">
        <v>120</v>
      </c>
      <c r="Y221" s="25">
        <v>150</v>
      </c>
      <c r="Z221" s="25">
        <v>550</v>
      </c>
      <c r="AA221" s="34">
        <v>400</v>
      </c>
      <c r="AB221" s="36">
        <v>120</v>
      </c>
      <c r="AC221" s="34" t="s">
        <v>87</v>
      </c>
      <c r="AD221" s="34">
        <v>67</v>
      </c>
      <c r="AE221" s="37">
        <v>0.98760000000000003</v>
      </c>
      <c r="AF221" s="37">
        <v>0.91928913043478266</v>
      </c>
      <c r="AG221" s="37">
        <v>0.97444647826086961</v>
      </c>
      <c r="AH221" s="38">
        <v>866.22945600000003</v>
      </c>
      <c r="AI221" s="39">
        <v>169.26458894274813</v>
      </c>
      <c r="AJ221" s="38">
        <v>185.07777099107753</v>
      </c>
      <c r="AK221" s="40">
        <v>367.90790238544088</v>
      </c>
      <c r="AL221" s="41">
        <v>185</v>
      </c>
      <c r="AM221" s="39">
        <v>170.2</v>
      </c>
      <c r="AN221" s="39">
        <v>165.85079059999998</v>
      </c>
      <c r="AO221" s="39">
        <v>663.40316239999993</v>
      </c>
      <c r="AP221" s="25" t="s">
        <v>352</v>
      </c>
      <c r="AQ221" s="201" t="s">
        <v>854</v>
      </c>
      <c r="AR221" s="43" t="s">
        <v>855</v>
      </c>
    </row>
    <row r="222" spans="1:44" x14ac:dyDescent="0.3">
      <c r="A222" s="25" t="s">
        <v>1509</v>
      </c>
      <c r="B222" s="25" t="s">
        <v>119</v>
      </c>
      <c r="C222" s="25" t="s">
        <v>120</v>
      </c>
      <c r="D222" s="25" t="s">
        <v>121</v>
      </c>
      <c r="E222" s="160" t="s">
        <v>77</v>
      </c>
      <c r="F222" s="47" t="s">
        <v>122</v>
      </c>
      <c r="G222" s="47" t="s">
        <v>856</v>
      </c>
      <c r="H222" s="47" t="s">
        <v>101</v>
      </c>
      <c r="I222" s="47" t="s">
        <v>80</v>
      </c>
      <c r="J222" s="47" t="s">
        <v>94</v>
      </c>
      <c r="K222" s="47" t="s">
        <v>82</v>
      </c>
      <c r="L222" s="47"/>
      <c r="M222" s="47" t="s">
        <v>83</v>
      </c>
      <c r="N222" s="183" t="s">
        <v>103</v>
      </c>
      <c r="O222" s="90">
        <v>0.4</v>
      </c>
      <c r="P222" s="227">
        <v>94</v>
      </c>
      <c r="Q222" s="47">
        <v>21</v>
      </c>
      <c r="R222" s="47" t="s">
        <v>87</v>
      </c>
      <c r="S222" s="84" t="s">
        <v>87</v>
      </c>
      <c r="T222" s="92">
        <v>0.8</v>
      </c>
      <c r="U222" s="47">
        <v>200</v>
      </c>
      <c r="V222" s="47">
        <v>600</v>
      </c>
      <c r="W222" s="84">
        <v>400</v>
      </c>
      <c r="X222" s="93">
        <v>130</v>
      </c>
      <c r="Y222" s="47">
        <v>200</v>
      </c>
      <c r="Z222" s="47">
        <v>600</v>
      </c>
      <c r="AA222" s="84">
        <v>400</v>
      </c>
      <c r="AB222" s="93">
        <v>130</v>
      </c>
      <c r="AC222" s="84" t="s">
        <v>87</v>
      </c>
      <c r="AD222" s="84">
        <v>73</v>
      </c>
      <c r="AE222" s="75">
        <v>1.0920000000000001</v>
      </c>
      <c r="AF222" s="75">
        <v>0.97861702127659589</v>
      </c>
      <c r="AG222" s="75">
        <v>1.0373340425531916</v>
      </c>
      <c r="AH222" s="97">
        <v>874.04208000000006</v>
      </c>
      <c r="AI222" s="39">
        <v>153.0821502196502</v>
      </c>
      <c r="AJ222" s="97">
        <v>167.38352255566681</v>
      </c>
      <c r="AK222" s="40">
        <v>332.73428973979986</v>
      </c>
      <c r="AL222" s="41">
        <v>167</v>
      </c>
      <c r="AM222" s="39">
        <v>156.97999999999999</v>
      </c>
      <c r="AN222" s="39">
        <v>162.840698</v>
      </c>
      <c r="AO222" s="39">
        <v>775.43189523809531</v>
      </c>
      <c r="AP222" s="47" t="s">
        <v>859</v>
      </c>
      <c r="AQ222" s="88" t="s">
        <v>860</v>
      </c>
      <c r="AR222" s="57"/>
    </row>
    <row r="223" spans="1:44" x14ac:dyDescent="0.3">
      <c r="A223" s="25" t="s">
        <v>1509</v>
      </c>
      <c r="B223" s="25" t="s">
        <v>119</v>
      </c>
      <c r="C223" s="25" t="s">
        <v>120</v>
      </c>
      <c r="D223" s="25" t="s">
        <v>121</v>
      </c>
      <c r="E223" s="160" t="s">
        <v>77</v>
      </c>
      <c r="F223" s="47" t="s">
        <v>122</v>
      </c>
      <c r="G223" s="47" t="s">
        <v>857</v>
      </c>
      <c r="H223" s="47" t="s">
        <v>101</v>
      </c>
      <c r="I223" s="47" t="s">
        <v>80</v>
      </c>
      <c r="J223" s="47" t="s">
        <v>94</v>
      </c>
      <c r="K223" s="87" t="s">
        <v>82</v>
      </c>
      <c r="L223" s="47" t="s">
        <v>858</v>
      </c>
      <c r="M223" s="47" t="s">
        <v>83</v>
      </c>
      <c r="N223" s="89" t="s">
        <v>103</v>
      </c>
      <c r="O223" s="90">
        <v>0.4</v>
      </c>
      <c r="P223" s="27">
        <v>118</v>
      </c>
      <c r="Q223" s="47">
        <v>30</v>
      </c>
      <c r="R223" s="47" t="s">
        <v>87</v>
      </c>
      <c r="S223" s="84" t="s">
        <v>87</v>
      </c>
      <c r="T223" s="92">
        <v>0.8</v>
      </c>
      <c r="U223" s="47">
        <v>200</v>
      </c>
      <c r="V223" s="47">
        <v>600</v>
      </c>
      <c r="W223" s="84">
        <v>400</v>
      </c>
      <c r="X223" s="93">
        <v>280</v>
      </c>
      <c r="Y223" s="47">
        <v>200</v>
      </c>
      <c r="Z223" s="47">
        <v>600</v>
      </c>
      <c r="AA223" s="84">
        <v>400</v>
      </c>
      <c r="AB223" s="93">
        <v>280</v>
      </c>
      <c r="AC223" s="84" t="s">
        <v>87</v>
      </c>
      <c r="AD223" s="84">
        <v>88</v>
      </c>
      <c r="AE223" s="75">
        <v>1.1520000000000001</v>
      </c>
      <c r="AF223" s="75">
        <v>1.0207457627118646</v>
      </c>
      <c r="AG223" s="75">
        <v>1.0819905084745765</v>
      </c>
      <c r="AH223" s="97">
        <v>874.04208000000006</v>
      </c>
      <c r="AI223" s="39">
        <v>145.10912156237674</v>
      </c>
      <c r="AJ223" s="97">
        <v>158.66563075589249</v>
      </c>
      <c r="AK223" s="40">
        <v>315.40437881585194</v>
      </c>
      <c r="AL223" s="41">
        <v>159</v>
      </c>
      <c r="AM223" s="39">
        <v>187.62</v>
      </c>
      <c r="AN223" s="39">
        <v>203.00305920000005</v>
      </c>
      <c r="AO223" s="39">
        <v>676.67686400000025</v>
      </c>
      <c r="AP223" s="47" t="s">
        <v>861</v>
      </c>
      <c r="AQ223" s="88" t="s">
        <v>862</v>
      </c>
      <c r="AR223" s="57"/>
    </row>
    <row r="224" spans="1:44" x14ac:dyDescent="0.3">
      <c r="A224" s="25" t="s">
        <v>1509</v>
      </c>
      <c r="B224" s="25" t="s">
        <v>119</v>
      </c>
      <c r="C224" s="25" t="s">
        <v>120</v>
      </c>
      <c r="D224" s="25" t="s">
        <v>121</v>
      </c>
      <c r="E224" s="86" t="s">
        <v>77</v>
      </c>
      <c r="F224" s="47" t="s">
        <v>122</v>
      </c>
      <c r="G224" s="228" t="s">
        <v>863</v>
      </c>
      <c r="H224" s="47" t="s">
        <v>79</v>
      </c>
      <c r="I224" s="47" t="s">
        <v>80</v>
      </c>
      <c r="J224" s="47" t="s">
        <v>94</v>
      </c>
      <c r="K224" s="87" t="s">
        <v>82</v>
      </c>
      <c r="L224" s="47" t="s">
        <v>864</v>
      </c>
      <c r="M224" s="47" t="s">
        <v>83</v>
      </c>
      <c r="N224" s="89" t="s">
        <v>103</v>
      </c>
      <c r="O224" s="229">
        <v>0.39</v>
      </c>
      <c r="P224" s="47">
        <v>113</v>
      </c>
      <c r="Q224" s="96">
        <v>25</v>
      </c>
      <c r="R224" s="230" t="s">
        <v>87</v>
      </c>
      <c r="S224" s="84" t="s">
        <v>87</v>
      </c>
      <c r="T224" s="92">
        <v>0.8</v>
      </c>
      <c r="U224" s="47">
        <v>355</v>
      </c>
      <c r="V224" s="47">
        <v>755</v>
      </c>
      <c r="W224" s="84">
        <v>400</v>
      </c>
      <c r="X224" s="93">
        <v>125</v>
      </c>
      <c r="Y224" s="47">
        <v>355</v>
      </c>
      <c r="Z224" s="47">
        <v>755</v>
      </c>
      <c r="AA224" s="84">
        <v>400</v>
      </c>
      <c r="AB224" s="93">
        <v>125</v>
      </c>
      <c r="AC224" s="84" t="s">
        <v>87</v>
      </c>
      <c r="AD224" s="84">
        <v>88</v>
      </c>
      <c r="AE224" s="75">
        <v>1.1432</v>
      </c>
      <c r="AF224" s="75">
        <v>1.0095646017699114</v>
      </c>
      <c r="AG224" s="75">
        <v>1.0701384778761061</v>
      </c>
      <c r="AH224" s="97">
        <v>873.39102800000012</v>
      </c>
      <c r="AI224" s="39">
        <v>146.22612669686671</v>
      </c>
      <c r="AJ224" s="97">
        <v>159.88698970502813</v>
      </c>
      <c r="AK224" s="40">
        <v>317.83226416712864</v>
      </c>
      <c r="AL224" s="41">
        <v>160</v>
      </c>
      <c r="AM224" s="39">
        <v>180.8</v>
      </c>
      <c r="AN224" s="39">
        <v>193.4810368</v>
      </c>
      <c r="AO224" s="39">
        <v>773.92414719999999</v>
      </c>
      <c r="AP224" s="107" t="s">
        <v>867</v>
      </c>
      <c r="AQ224" s="108"/>
      <c r="AR224" s="88"/>
    </row>
    <row r="225" spans="1:44" x14ac:dyDescent="0.3">
      <c r="A225" s="25" t="s">
        <v>1509</v>
      </c>
      <c r="B225" s="25" t="s">
        <v>119</v>
      </c>
      <c r="C225" s="25" t="s">
        <v>120</v>
      </c>
      <c r="D225" s="25" t="s">
        <v>121</v>
      </c>
      <c r="E225" s="86" t="s">
        <v>77</v>
      </c>
      <c r="F225" s="47" t="s">
        <v>122</v>
      </c>
      <c r="G225" s="228" t="s">
        <v>865</v>
      </c>
      <c r="H225" s="47" t="s">
        <v>79</v>
      </c>
      <c r="I225" s="47" t="s">
        <v>80</v>
      </c>
      <c r="J225" s="47" t="s">
        <v>94</v>
      </c>
      <c r="K225" s="87" t="s">
        <v>82</v>
      </c>
      <c r="L225" s="47" t="s">
        <v>866</v>
      </c>
      <c r="M225" s="47" t="s">
        <v>83</v>
      </c>
      <c r="N225" s="89" t="s">
        <v>103</v>
      </c>
      <c r="O225" s="229">
        <v>0.41</v>
      </c>
      <c r="P225" s="47">
        <v>113</v>
      </c>
      <c r="Q225" s="96">
        <v>25</v>
      </c>
      <c r="R225" s="230" t="s">
        <v>87</v>
      </c>
      <c r="S225" s="84" t="s">
        <v>87</v>
      </c>
      <c r="T225" s="92">
        <v>0.8</v>
      </c>
      <c r="U225" s="47">
        <v>355</v>
      </c>
      <c r="V225" s="47">
        <v>755</v>
      </c>
      <c r="W225" s="84">
        <v>400</v>
      </c>
      <c r="X225" s="93">
        <v>125</v>
      </c>
      <c r="Y225" s="47">
        <v>355</v>
      </c>
      <c r="Z225" s="47">
        <v>755</v>
      </c>
      <c r="AA225" s="84">
        <v>400</v>
      </c>
      <c r="AB225" s="93">
        <v>125</v>
      </c>
      <c r="AC225" s="84" t="s">
        <v>87</v>
      </c>
      <c r="AD225" s="84">
        <v>88</v>
      </c>
      <c r="AE225" s="75">
        <v>1.1608000000000001</v>
      </c>
      <c r="AF225" s="75">
        <v>1.0203115044247788</v>
      </c>
      <c r="AG225" s="75">
        <v>1.0815301946902653</v>
      </c>
      <c r="AH225" s="97">
        <v>874.69313200000011</v>
      </c>
      <c r="AI225" s="39">
        <v>144.00905241200726</v>
      </c>
      <c r="AJ225" s="97">
        <v>157.46278999895603</v>
      </c>
      <c r="AK225" s="40">
        <v>313.01330495852983</v>
      </c>
      <c r="AL225" s="41">
        <v>313</v>
      </c>
      <c r="AM225" s="39">
        <v>353.69</v>
      </c>
      <c r="AN225" s="39">
        <v>382.52641455999992</v>
      </c>
      <c r="AO225" s="39">
        <v>1530.1056582399997</v>
      </c>
      <c r="AP225" s="107" t="s">
        <v>868</v>
      </c>
      <c r="AQ225" s="108" t="s">
        <v>869</v>
      </c>
      <c r="AR225" s="88" t="s">
        <v>870</v>
      </c>
    </row>
    <row r="226" spans="1:44" x14ac:dyDescent="0.3">
      <c r="A226" s="25" t="s">
        <v>1509</v>
      </c>
      <c r="B226" s="25" t="s">
        <v>119</v>
      </c>
      <c r="C226" s="25" t="s">
        <v>120</v>
      </c>
      <c r="D226" s="25" t="s">
        <v>121</v>
      </c>
      <c r="E226" s="109" t="s">
        <v>77</v>
      </c>
      <c r="F226" s="182" t="s">
        <v>139</v>
      </c>
      <c r="G226" s="231" t="s">
        <v>871</v>
      </c>
      <c r="H226" s="66" t="s">
        <v>79</v>
      </c>
      <c r="I226" s="66" t="s">
        <v>124</v>
      </c>
      <c r="J226" s="66" t="s">
        <v>94</v>
      </c>
      <c r="K226" s="111" t="s">
        <v>82</v>
      </c>
      <c r="L226" s="66" t="s">
        <v>872</v>
      </c>
      <c r="M226" s="66" t="s">
        <v>83</v>
      </c>
      <c r="N226" s="183" t="s">
        <v>103</v>
      </c>
      <c r="O226" s="232">
        <v>0.46</v>
      </c>
      <c r="P226" s="209">
        <v>122</v>
      </c>
      <c r="Q226" s="66">
        <v>30</v>
      </c>
      <c r="R226" s="233" t="s">
        <v>87</v>
      </c>
      <c r="S226" s="115" t="s">
        <v>87</v>
      </c>
      <c r="T226" s="114">
        <v>0.8</v>
      </c>
      <c r="U226" s="66">
        <v>360</v>
      </c>
      <c r="V226" s="66">
        <v>650</v>
      </c>
      <c r="W226" s="115">
        <v>290</v>
      </c>
      <c r="X226" s="184">
        <v>270</v>
      </c>
      <c r="Y226" s="66">
        <v>305</v>
      </c>
      <c r="Z226" s="66">
        <v>705</v>
      </c>
      <c r="AA226" s="115">
        <v>400</v>
      </c>
      <c r="AB226" s="184">
        <v>215</v>
      </c>
      <c r="AC226" s="115" t="s">
        <v>87</v>
      </c>
      <c r="AD226" s="115">
        <v>92</v>
      </c>
      <c r="AE226" s="116">
        <v>1.2232000000000001</v>
      </c>
      <c r="AF226" s="116">
        <v>1.063632786885246</v>
      </c>
      <c r="AG226" s="116">
        <v>1.1274507540983607</v>
      </c>
      <c r="AH226" s="118">
        <v>877.94839200000001</v>
      </c>
      <c r="AI226" s="117">
        <v>136.66261285142087</v>
      </c>
      <c r="AJ226" s="118">
        <v>149.43002504152074</v>
      </c>
      <c r="AK226" s="119">
        <v>297.0453273347461</v>
      </c>
      <c r="AL226" s="120">
        <v>295</v>
      </c>
      <c r="AM226" s="117">
        <v>359.9</v>
      </c>
      <c r="AN226" s="117">
        <v>405.76952640000002</v>
      </c>
      <c r="AO226" s="117">
        <v>1352.5650880000001</v>
      </c>
      <c r="AP226" s="121" t="s">
        <v>887</v>
      </c>
      <c r="AQ226" s="185" t="s">
        <v>888</v>
      </c>
      <c r="AR226" s="123"/>
    </row>
    <row r="227" spans="1:44" x14ac:dyDescent="0.3">
      <c r="A227" s="25" t="s">
        <v>1509</v>
      </c>
      <c r="B227" s="25" t="s">
        <v>119</v>
      </c>
      <c r="C227" s="25" t="s">
        <v>120</v>
      </c>
      <c r="D227" s="25" t="s">
        <v>121</v>
      </c>
      <c r="E227" s="26" t="s">
        <v>77</v>
      </c>
      <c r="F227" s="27" t="s">
        <v>78</v>
      </c>
      <c r="G227" s="67" t="s">
        <v>873</v>
      </c>
      <c r="H227" s="25" t="s">
        <v>79</v>
      </c>
      <c r="I227" s="25" t="s">
        <v>80</v>
      </c>
      <c r="J227" s="25" t="s">
        <v>94</v>
      </c>
      <c r="K227" s="30" t="s">
        <v>82</v>
      </c>
      <c r="L227" s="25" t="s">
        <v>874</v>
      </c>
      <c r="M227" s="25" t="s">
        <v>83</v>
      </c>
      <c r="N227" s="74" t="s">
        <v>103</v>
      </c>
      <c r="O227" s="31">
        <v>0.5</v>
      </c>
      <c r="P227" s="197">
        <v>119</v>
      </c>
      <c r="Q227" s="25">
        <v>30</v>
      </c>
      <c r="R227" s="28" t="s">
        <v>87</v>
      </c>
      <c r="S227" s="34" t="s">
        <v>87</v>
      </c>
      <c r="T227" s="35">
        <v>0.8</v>
      </c>
      <c r="U227" s="25">
        <v>330</v>
      </c>
      <c r="V227" s="25">
        <v>620</v>
      </c>
      <c r="W227" s="34">
        <v>290</v>
      </c>
      <c r="X227" s="36">
        <v>270</v>
      </c>
      <c r="Y227" s="25">
        <v>275</v>
      </c>
      <c r="Z227" s="25">
        <v>675</v>
      </c>
      <c r="AA227" s="34">
        <v>400</v>
      </c>
      <c r="AB227" s="36">
        <v>215</v>
      </c>
      <c r="AC227" s="34" t="s">
        <v>87</v>
      </c>
      <c r="AD227" s="34">
        <v>89</v>
      </c>
      <c r="AE227" s="37">
        <v>1.2450000000000001</v>
      </c>
      <c r="AF227" s="37">
        <v>1.0785924369747899</v>
      </c>
      <c r="AG227" s="37">
        <v>1.1433079831932773</v>
      </c>
      <c r="AH227" s="38">
        <v>880.5526000000001</v>
      </c>
      <c r="AI227" s="39">
        <v>134.26964501193416</v>
      </c>
      <c r="AJ227" s="38">
        <v>146.81349930183788</v>
      </c>
      <c r="AK227" s="40">
        <v>291.84405172358345</v>
      </c>
      <c r="AL227" s="41">
        <v>290</v>
      </c>
      <c r="AM227" s="39">
        <v>345.1</v>
      </c>
      <c r="AN227" s="39">
        <v>394.55558500000001</v>
      </c>
      <c r="AO227" s="39">
        <v>1315.1852833333335</v>
      </c>
      <c r="AP227" s="42" t="s">
        <v>889</v>
      </c>
      <c r="AQ227" s="62" t="s">
        <v>890</v>
      </c>
      <c r="AR227" s="43"/>
    </row>
    <row r="228" spans="1:44" x14ac:dyDescent="0.3">
      <c r="A228" s="25" t="s">
        <v>1509</v>
      </c>
      <c r="B228" s="25" t="s">
        <v>119</v>
      </c>
      <c r="C228" s="25" t="s">
        <v>120</v>
      </c>
      <c r="D228" s="25" t="s">
        <v>121</v>
      </c>
      <c r="E228" s="26" t="s">
        <v>77</v>
      </c>
      <c r="F228" s="27" t="s">
        <v>78</v>
      </c>
      <c r="G228" s="67" t="s">
        <v>875</v>
      </c>
      <c r="H228" s="25" t="s">
        <v>79</v>
      </c>
      <c r="I228" s="25" t="s">
        <v>80</v>
      </c>
      <c r="J228" s="25" t="s">
        <v>94</v>
      </c>
      <c r="K228" s="30" t="s">
        <v>82</v>
      </c>
      <c r="L228" s="25" t="s">
        <v>876</v>
      </c>
      <c r="M228" s="25" t="s">
        <v>83</v>
      </c>
      <c r="N228" s="74" t="s">
        <v>103</v>
      </c>
      <c r="O228" s="31">
        <v>0.57999999999999996</v>
      </c>
      <c r="P228" s="25">
        <v>113</v>
      </c>
      <c r="Q228" s="32">
        <v>28</v>
      </c>
      <c r="R228" s="28" t="s">
        <v>87</v>
      </c>
      <c r="S228" s="34" t="s">
        <v>87</v>
      </c>
      <c r="T228" s="35">
        <v>0.8</v>
      </c>
      <c r="U228" s="25">
        <v>325</v>
      </c>
      <c r="V228" s="25">
        <v>725</v>
      </c>
      <c r="W228" s="34">
        <v>400</v>
      </c>
      <c r="X228" s="36">
        <v>125</v>
      </c>
      <c r="Y228" s="25">
        <v>325</v>
      </c>
      <c r="Z228" s="25">
        <v>725</v>
      </c>
      <c r="AA228" s="34">
        <v>400</v>
      </c>
      <c r="AB228" s="36">
        <v>125</v>
      </c>
      <c r="AC228" s="34" t="s">
        <v>87</v>
      </c>
      <c r="AD228" s="34">
        <v>85</v>
      </c>
      <c r="AE228" s="37">
        <v>1.2930000000000001</v>
      </c>
      <c r="AF228" s="37">
        <v>1.1075796460176992</v>
      </c>
      <c r="AG228" s="37">
        <v>1.1740344247787611</v>
      </c>
      <c r="AH228" s="38">
        <v>885.76101600000004</v>
      </c>
      <c r="AI228" s="39">
        <v>129.2851570300526</v>
      </c>
      <c r="AJ228" s="38">
        <v>141.36334619550513</v>
      </c>
      <c r="AK228" s="40">
        <v>281.00993379416968</v>
      </c>
      <c r="AL228" s="41">
        <v>141</v>
      </c>
      <c r="AM228" s="39">
        <v>159.33000000000001</v>
      </c>
      <c r="AN228" s="39">
        <v>187.05890490000002</v>
      </c>
      <c r="AO228" s="39">
        <v>668.06751750000001</v>
      </c>
      <c r="AP228" s="42" t="s">
        <v>891</v>
      </c>
      <c r="AQ228" s="62" t="s">
        <v>892</v>
      </c>
      <c r="AR228" s="43" t="s">
        <v>893</v>
      </c>
    </row>
    <row r="229" spans="1:44" x14ac:dyDescent="0.3">
      <c r="A229" s="25" t="s">
        <v>1509</v>
      </c>
      <c r="B229" s="25" t="s">
        <v>119</v>
      </c>
      <c r="C229" s="25" t="s">
        <v>120</v>
      </c>
      <c r="D229" s="25" t="s">
        <v>121</v>
      </c>
      <c r="E229" s="109" t="s">
        <v>77</v>
      </c>
      <c r="F229" s="182" t="s">
        <v>139</v>
      </c>
      <c r="G229" s="231" t="s">
        <v>877</v>
      </c>
      <c r="H229" s="66" t="s">
        <v>79</v>
      </c>
      <c r="I229" s="66" t="s">
        <v>80</v>
      </c>
      <c r="J229" s="66" t="s">
        <v>94</v>
      </c>
      <c r="K229" s="111" t="s">
        <v>82</v>
      </c>
      <c r="L229" s="66" t="s">
        <v>878</v>
      </c>
      <c r="M229" s="66" t="s">
        <v>83</v>
      </c>
      <c r="N229" s="183" t="s">
        <v>103</v>
      </c>
      <c r="O229" s="232">
        <v>0.6</v>
      </c>
      <c r="P229" s="66">
        <v>113</v>
      </c>
      <c r="Q229" s="211">
        <v>28</v>
      </c>
      <c r="R229" s="233" t="s">
        <v>87</v>
      </c>
      <c r="S229" s="84" t="s">
        <v>87</v>
      </c>
      <c r="T229" s="114">
        <v>0.8</v>
      </c>
      <c r="U229" s="66">
        <v>325</v>
      </c>
      <c r="V229" s="66">
        <v>725</v>
      </c>
      <c r="W229" s="115">
        <v>400</v>
      </c>
      <c r="X229" s="184">
        <v>125</v>
      </c>
      <c r="Y229" s="66">
        <v>325</v>
      </c>
      <c r="Z229" s="66">
        <v>725</v>
      </c>
      <c r="AA229" s="115">
        <v>400</v>
      </c>
      <c r="AB229" s="184">
        <v>125</v>
      </c>
      <c r="AC229" s="115" t="s">
        <v>87</v>
      </c>
      <c r="AD229" s="115">
        <v>85</v>
      </c>
      <c r="AE229" s="116">
        <v>1.31</v>
      </c>
      <c r="AF229" s="116">
        <v>1.1181858407079648</v>
      </c>
      <c r="AG229" s="116">
        <v>1.1852769911504428</v>
      </c>
      <c r="AH229" s="118">
        <v>887.06312000000003</v>
      </c>
      <c r="AI229" s="117">
        <v>127.60741071744887</v>
      </c>
      <c r="AJ229" s="118">
        <v>139.52886002350243</v>
      </c>
      <c r="AK229" s="119">
        <v>277.36323999684083</v>
      </c>
      <c r="AL229" s="120">
        <v>275</v>
      </c>
      <c r="AM229" s="117">
        <v>310.75</v>
      </c>
      <c r="AN229" s="117">
        <v>368.32482500000009</v>
      </c>
      <c r="AO229" s="117">
        <v>1315.4458035714288</v>
      </c>
      <c r="AP229" s="121" t="s">
        <v>894</v>
      </c>
      <c r="AQ229" s="185" t="s">
        <v>895</v>
      </c>
      <c r="AR229" s="123" t="s">
        <v>896</v>
      </c>
    </row>
    <row r="230" spans="1:44" x14ac:dyDescent="0.3">
      <c r="A230" s="25" t="s">
        <v>1509</v>
      </c>
      <c r="B230" s="25" t="s">
        <v>119</v>
      </c>
      <c r="C230" s="25" t="s">
        <v>120</v>
      </c>
      <c r="D230" s="25" t="s">
        <v>121</v>
      </c>
      <c r="E230" s="109" t="s">
        <v>77</v>
      </c>
      <c r="F230" s="182" t="s">
        <v>139</v>
      </c>
      <c r="G230" s="231" t="s">
        <v>879</v>
      </c>
      <c r="H230" s="66" t="s">
        <v>79</v>
      </c>
      <c r="I230" s="66" t="s">
        <v>80</v>
      </c>
      <c r="J230" s="66" t="s">
        <v>94</v>
      </c>
      <c r="K230" s="111" t="s">
        <v>82</v>
      </c>
      <c r="L230" s="66" t="s">
        <v>880</v>
      </c>
      <c r="M230" s="66" t="s">
        <v>83</v>
      </c>
      <c r="N230" s="183" t="s">
        <v>103</v>
      </c>
      <c r="O230" s="232">
        <v>0.17</v>
      </c>
      <c r="P230" s="204">
        <v>119</v>
      </c>
      <c r="Q230" s="214">
        <v>20</v>
      </c>
      <c r="R230" s="233" t="s">
        <v>87</v>
      </c>
      <c r="S230" s="84" t="s">
        <v>87</v>
      </c>
      <c r="T230" s="114">
        <v>0.8</v>
      </c>
      <c r="U230" s="66">
        <v>470</v>
      </c>
      <c r="V230" s="66">
        <v>870</v>
      </c>
      <c r="W230" s="115">
        <v>400</v>
      </c>
      <c r="X230" s="184">
        <v>120</v>
      </c>
      <c r="Y230" s="66">
        <v>470</v>
      </c>
      <c r="Z230" s="66">
        <v>870</v>
      </c>
      <c r="AA230" s="115">
        <v>400</v>
      </c>
      <c r="AB230" s="184">
        <v>120</v>
      </c>
      <c r="AC230" s="115" t="s">
        <v>87</v>
      </c>
      <c r="AD230" s="115">
        <v>99</v>
      </c>
      <c r="AE230" s="116">
        <v>0.96830000000000005</v>
      </c>
      <c r="AF230" s="116">
        <v>0.89829285714285712</v>
      </c>
      <c r="AG230" s="116">
        <v>0.95219042857142855</v>
      </c>
      <c r="AH230" s="118">
        <v>859.06788400000005</v>
      </c>
      <c r="AI230" s="117">
        <v>172.63834352975115</v>
      </c>
      <c r="AJ230" s="118">
        <v>188.7667113815844</v>
      </c>
      <c r="AK230" s="119">
        <v>375.24098357519512</v>
      </c>
      <c r="AL230" s="236">
        <v>189</v>
      </c>
      <c r="AM230" s="117">
        <v>224.91</v>
      </c>
      <c r="AN230" s="117">
        <v>214.15714928999998</v>
      </c>
      <c r="AO230" s="117">
        <v>1070.7857464499998</v>
      </c>
      <c r="AP230" s="121" t="s">
        <v>897</v>
      </c>
      <c r="AQ230" s="185" t="s">
        <v>898</v>
      </c>
      <c r="AR230" s="123" t="s">
        <v>899</v>
      </c>
    </row>
    <row r="231" spans="1:44" x14ac:dyDescent="0.3">
      <c r="A231" s="25" t="s">
        <v>1509</v>
      </c>
      <c r="B231" s="25" t="s">
        <v>119</v>
      </c>
      <c r="C231" s="25" t="s">
        <v>120</v>
      </c>
      <c r="D231" s="25" t="s">
        <v>121</v>
      </c>
      <c r="E231" s="109" t="s">
        <v>77</v>
      </c>
      <c r="F231" s="182" t="s">
        <v>139</v>
      </c>
      <c r="G231" s="234" t="s">
        <v>881</v>
      </c>
      <c r="H231" s="66" t="s">
        <v>79</v>
      </c>
      <c r="I231" s="235" t="s">
        <v>124</v>
      </c>
      <c r="J231" s="66" t="s">
        <v>94</v>
      </c>
      <c r="K231" s="111" t="s">
        <v>82</v>
      </c>
      <c r="L231" s="66" t="s">
        <v>882</v>
      </c>
      <c r="M231" s="66" t="s">
        <v>83</v>
      </c>
      <c r="N231" s="183" t="s">
        <v>103</v>
      </c>
      <c r="O231" s="232">
        <v>0.17</v>
      </c>
      <c r="P231" s="204">
        <v>119</v>
      </c>
      <c r="Q231" s="214">
        <v>20</v>
      </c>
      <c r="R231" s="233" t="s">
        <v>87</v>
      </c>
      <c r="S231" s="84" t="s">
        <v>87</v>
      </c>
      <c r="T231" s="114">
        <v>0.8</v>
      </c>
      <c r="U231" s="66">
        <v>470</v>
      </c>
      <c r="V231" s="66">
        <v>870</v>
      </c>
      <c r="W231" s="115">
        <v>400</v>
      </c>
      <c r="X231" s="184">
        <v>120</v>
      </c>
      <c r="Y231" s="66">
        <v>470</v>
      </c>
      <c r="Z231" s="66">
        <v>870</v>
      </c>
      <c r="AA231" s="115">
        <v>400</v>
      </c>
      <c r="AB231" s="184">
        <v>120</v>
      </c>
      <c r="AC231" s="115" t="s">
        <v>87</v>
      </c>
      <c r="AD231" s="115">
        <v>99</v>
      </c>
      <c r="AE231" s="116">
        <v>0.96830000000000005</v>
      </c>
      <c r="AF231" s="116">
        <v>0.89829285714285712</v>
      </c>
      <c r="AG231" s="116">
        <v>0.95219042857142855</v>
      </c>
      <c r="AH231" s="118">
        <v>859.06788400000005</v>
      </c>
      <c r="AI231" s="117">
        <v>172.63834352975115</v>
      </c>
      <c r="AJ231" s="118">
        <v>188.7667113815844</v>
      </c>
      <c r="AK231" s="119">
        <v>375.24098357519512</v>
      </c>
      <c r="AL231" s="120">
        <v>375</v>
      </c>
      <c r="AM231" s="117">
        <v>446.25</v>
      </c>
      <c r="AN231" s="117">
        <v>424.91497874999999</v>
      </c>
      <c r="AO231" s="117">
        <v>2124.5748937499998</v>
      </c>
      <c r="AP231" s="121" t="s">
        <v>900</v>
      </c>
      <c r="AQ231" s="123" t="s">
        <v>901</v>
      </c>
      <c r="AR231" s="185" t="s">
        <v>902</v>
      </c>
    </row>
    <row r="232" spans="1:44" x14ac:dyDescent="0.3">
      <c r="A232" s="25" t="s">
        <v>1509</v>
      </c>
      <c r="B232" s="25" t="s">
        <v>119</v>
      </c>
      <c r="C232" s="25" t="s">
        <v>120</v>
      </c>
      <c r="D232" s="25" t="s">
        <v>121</v>
      </c>
      <c r="E232" s="109" t="s">
        <v>77</v>
      </c>
      <c r="F232" s="182" t="s">
        <v>139</v>
      </c>
      <c r="G232" s="234" t="s">
        <v>883</v>
      </c>
      <c r="H232" s="66" t="s">
        <v>79</v>
      </c>
      <c r="I232" s="66" t="s">
        <v>80</v>
      </c>
      <c r="J232" s="66" t="s">
        <v>94</v>
      </c>
      <c r="K232" s="111" t="s">
        <v>82</v>
      </c>
      <c r="L232" s="66" t="s">
        <v>884</v>
      </c>
      <c r="M232" s="66" t="s">
        <v>83</v>
      </c>
      <c r="N232" s="183" t="s">
        <v>103</v>
      </c>
      <c r="O232" s="232">
        <v>0.41</v>
      </c>
      <c r="P232" s="204">
        <v>119</v>
      </c>
      <c r="Q232" s="214">
        <v>28</v>
      </c>
      <c r="R232" s="233" t="s">
        <v>87</v>
      </c>
      <c r="S232" s="84" t="s">
        <v>87</v>
      </c>
      <c r="T232" s="114">
        <v>0.8</v>
      </c>
      <c r="U232" s="66">
        <v>380</v>
      </c>
      <c r="V232" s="66">
        <v>790</v>
      </c>
      <c r="W232" s="115">
        <v>410</v>
      </c>
      <c r="X232" s="184">
        <v>120</v>
      </c>
      <c r="Y232" s="66">
        <v>380</v>
      </c>
      <c r="Z232" s="66">
        <v>790</v>
      </c>
      <c r="AA232" s="115">
        <v>410</v>
      </c>
      <c r="AB232" s="184">
        <v>120</v>
      </c>
      <c r="AC232" s="115" t="s">
        <v>87</v>
      </c>
      <c r="AD232" s="115">
        <v>91</v>
      </c>
      <c r="AE232" s="116">
        <v>1.1731</v>
      </c>
      <c r="AF232" s="116">
        <v>1.0304441176470589</v>
      </c>
      <c r="AG232" s="116">
        <v>1.0922707647058825</v>
      </c>
      <c r="AH232" s="118">
        <v>874.69313200000011</v>
      </c>
      <c r="AI232" s="39">
        <v>142.49911178915528</v>
      </c>
      <c r="AJ232" s="118">
        <v>155.81178640421803</v>
      </c>
      <c r="AK232" s="119">
        <v>309.73134804864162</v>
      </c>
      <c r="AL232" s="120">
        <v>310</v>
      </c>
      <c r="AM232" s="117">
        <v>368.9</v>
      </c>
      <c r="AN232" s="117">
        <v>402.93868510000004</v>
      </c>
      <c r="AO232" s="117">
        <v>1439.0667324999999</v>
      </c>
      <c r="AP232" s="121" t="s">
        <v>903</v>
      </c>
      <c r="AQ232" s="185" t="s">
        <v>904</v>
      </c>
      <c r="AR232" s="123"/>
    </row>
    <row r="233" spans="1:44" x14ac:dyDescent="0.3">
      <c r="A233" s="25" t="s">
        <v>1509</v>
      </c>
      <c r="B233" s="25" t="s">
        <v>119</v>
      </c>
      <c r="C233" s="25" t="s">
        <v>120</v>
      </c>
      <c r="D233" s="25" t="s">
        <v>121</v>
      </c>
      <c r="E233" s="26" t="s">
        <v>77</v>
      </c>
      <c r="F233" s="27" t="s">
        <v>78</v>
      </c>
      <c r="G233" s="67" t="s">
        <v>885</v>
      </c>
      <c r="H233" s="25" t="s">
        <v>79</v>
      </c>
      <c r="I233" s="25" t="s">
        <v>80</v>
      </c>
      <c r="J233" s="25" t="s">
        <v>94</v>
      </c>
      <c r="K233" s="30" t="s">
        <v>82</v>
      </c>
      <c r="L233" s="25" t="s">
        <v>886</v>
      </c>
      <c r="M233" s="25" t="s">
        <v>83</v>
      </c>
      <c r="N233" s="74" t="s">
        <v>103</v>
      </c>
      <c r="O233" s="31">
        <v>0.12</v>
      </c>
      <c r="P233" s="32">
        <v>119</v>
      </c>
      <c r="Q233" s="32">
        <v>21</v>
      </c>
      <c r="R233" s="28" t="s">
        <v>87</v>
      </c>
      <c r="S233" s="34" t="s">
        <v>87</v>
      </c>
      <c r="T233" s="35">
        <v>0.8</v>
      </c>
      <c r="U233" s="25">
        <v>455</v>
      </c>
      <c r="V233" s="25">
        <v>855</v>
      </c>
      <c r="W233" s="34">
        <v>400</v>
      </c>
      <c r="X233" s="36">
        <v>125</v>
      </c>
      <c r="Y233" s="25">
        <v>455</v>
      </c>
      <c r="Z233" s="25">
        <v>855</v>
      </c>
      <c r="AA233" s="34">
        <v>400</v>
      </c>
      <c r="AB233" s="36">
        <v>125</v>
      </c>
      <c r="AC233" s="34" t="s">
        <v>87</v>
      </c>
      <c r="AD233" s="34">
        <v>98</v>
      </c>
      <c r="AE233" s="37">
        <v>0.91760000000000008</v>
      </c>
      <c r="AF233" s="37">
        <v>0.86917647058823533</v>
      </c>
      <c r="AG233" s="37">
        <v>0.92132705882352939</v>
      </c>
      <c r="AH233" s="38">
        <v>855.81262400000003</v>
      </c>
      <c r="AI233" s="39">
        <v>182.1771011768287</v>
      </c>
      <c r="AJ233" s="38">
        <v>199.19660705186155</v>
      </c>
      <c r="AK233" s="40">
        <v>395.97411115503644</v>
      </c>
      <c r="AL233" s="41">
        <v>150</v>
      </c>
      <c r="AM233" s="117">
        <v>178.5</v>
      </c>
      <c r="AN233" s="117">
        <v>164.45687999999998</v>
      </c>
      <c r="AO233" s="117">
        <v>783.12799999999993</v>
      </c>
      <c r="AP233" s="42" t="s">
        <v>905</v>
      </c>
      <c r="AQ233" s="62" t="s">
        <v>906</v>
      </c>
      <c r="AR233" s="43"/>
    </row>
    <row r="234" spans="1:44" x14ac:dyDescent="0.3">
      <c r="A234" s="25" t="s">
        <v>1509</v>
      </c>
      <c r="B234" s="25" t="s">
        <v>119</v>
      </c>
      <c r="C234" s="25" t="s">
        <v>120</v>
      </c>
      <c r="D234" s="25" t="s">
        <v>121</v>
      </c>
      <c r="E234" s="86" t="s">
        <v>77</v>
      </c>
      <c r="F234" s="47" t="s">
        <v>122</v>
      </c>
      <c r="G234" s="228" t="s">
        <v>907</v>
      </c>
      <c r="H234" s="47" t="s">
        <v>79</v>
      </c>
      <c r="I234" s="47" t="s">
        <v>80</v>
      </c>
      <c r="J234" s="47" t="s">
        <v>94</v>
      </c>
      <c r="K234" s="87" t="s">
        <v>82</v>
      </c>
      <c r="L234" s="47"/>
      <c r="M234" s="47" t="s">
        <v>83</v>
      </c>
      <c r="N234" s="89" t="s">
        <v>103</v>
      </c>
      <c r="O234" s="229">
        <v>0.45</v>
      </c>
      <c r="P234" s="91">
        <v>107</v>
      </c>
      <c r="Q234" s="91">
        <v>30</v>
      </c>
      <c r="R234" s="230" t="s">
        <v>87</v>
      </c>
      <c r="S234" s="84" t="s">
        <v>87</v>
      </c>
      <c r="T234" s="92">
        <v>0.8</v>
      </c>
      <c r="U234" s="47">
        <v>240</v>
      </c>
      <c r="V234" s="47">
        <v>640</v>
      </c>
      <c r="W234" s="84">
        <v>400</v>
      </c>
      <c r="X234" s="93">
        <v>130</v>
      </c>
      <c r="Y234" s="47">
        <v>240</v>
      </c>
      <c r="Z234" s="47">
        <v>640</v>
      </c>
      <c r="AA234" s="84">
        <v>400</v>
      </c>
      <c r="AB234" s="93">
        <v>130</v>
      </c>
      <c r="AC234" s="84" t="s">
        <v>87</v>
      </c>
      <c r="AD234" s="84">
        <v>77</v>
      </c>
      <c r="AE234" s="75">
        <v>1.1465000000000001</v>
      </c>
      <c r="AF234" s="75">
        <v>1.0218247663551403</v>
      </c>
      <c r="AG234" s="75">
        <v>1.0831342523364487</v>
      </c>
      <c r="AH234" s="97">
        <v>877.29733999999996</v>
      </c>
      <c r="AI234" s="39">
        <v>145.80524033131968</v>
      </c>
      <c r="AJ234" s="97">
        <v>159.426782931346</v>
      </c>
      <c r="AK234" s="40">
        <v>316.91743950794722</v>
      </c>
      <c r="AL234" s="41">
        <v>315</v>
      </c>
      <c r="AM234" s="39">
        <v>337.05</v>
      </c>
      <c r="AN234" s="39">
        <v>365.07039975000004</v>
      </c>
      <c r="AO234" s="39">
        <v>1216.9013325000001</v>
      </c>
      <c r="AP234" s="107" t="s">
        <v>917</v>
      </c>
      <c r="AQ234" s="108"/>
      <c r="AR234" s="88"/>
    </row>
    <row r="235" spans="1:44" x14ac:dyDescent="0.3">
      <c r="A235" s="25" t="s">
        <v>1509</v>
      </c>
      <c r="B235" s="25" t="s">
        <v>119</v>
      </c>
      <c r="C235" s="25" t="s">
        <v>120</v>
      </c>
      <c r="D235" s="25" t="s">
        <v>121</v>
      </c>
      <c r="E235" s="109" t="s">
        <v>77</v>
      </c>
      <c r="F235" s="182" t="s">
        <v>139</v>
      </c>
      <c r="G235" s="231" t="s">
        <v>883</v>
      </c>
      <c r="H235" s="66" t="s">
        <v>79</v>
      </c>
      <c r="I235" s="235" t="s">
        <v>124</v>
      </c>
      <c r="J235" s="66" t="s">
        <v>94</v>
      </c>
      <c r="K235" s="111" t="s">
        <v>82</v>
      </c>
      <c r="L235" s="66" t="s">
        <v>908</v>
      </c>
      <c r="M235" s="66" t="s">
        <v>83</v>
      </c>
      <c r="N235" s="183" t="s">
        <v>103</v>
      </c>
      <c r="O235" s="232">
        <v>0.41</v>
      </c>
      <c r="P235" s="204">
        <v>119</v>
      </c>
      <c r="Q235" s="214">
        <v>28</v>
      </c>
      <c r="R235" s="233" t="s">
        <v>87</v>
      </c>
      <c r="S235" s="84" t="s">
        <v>87</v>
      </c>
      <c r="T235" s="114">
        <v>0.8</v>
      </c>
      <c r="U235" s="66">
        <v>380</v>
      </c>
      <c r="V235" s="66">
        <v>790</v>
      </c>
      <c r="W235" s="115">
        <v>410</v>
      </c>
      <c r="X235" s="184">
        <v>120</v>
      </c>
      <c r="Y235" s="66">
        <v>380</v>
      </c>
      <c r="Z235" s="66">
        <v>790</v>
      </c>
      <c r="AA235" s="115">
        <v>410</v>
      </c>
      <c r="AB235" s="184">
        <v>120</v>
      </c>
      <c r="AC235" s="115" t="s">
        <v>87</v>
      </c>
      <c r="AD235" s="115">
        <v>91</v>
      </c>
      <c r="AE235" s="116">
        <v>1.1731</v>
      </c>
      <c r="AF235" s="116">
        <v>1.0304441176470589</v>
      </c>
      <c r="AG235" s="116">
        <v>1.0922707647058825</v>
      </c>
      <c r="AH235" s="118">
        <v>874.69313200000011</v>
      </c>
      <c r="AI235" s="39">
        <v>142.49911178915528</v>
      </c>
      <c r="AJ235" s="118">
        <v>155.81178640421803</v>
      </c>
      <c r="AK235" s="119">
        <v>309.73134804864162</v>
      </c>
      <c r="AL235" s="120">
        <v>310</v>
      </c>
      <c r="AM235" s="117">
        <v>368.9</v>
      </c>
      <c r="AN235" s="117">
        <v>402.93868510000004</v>
      </c>
      <c r="AO235" s="117">
        <v>1439.0667324999999</v>
      </c>
      <c r="AP235" s="121" t="s">
        <v>903</v>
      </c>
      <c r="AQ235" s="185" t="s">
        <v>904</v>
      </c>
      <c r="AR235" s="123"/>
    </row>
    <row r="236" spans="1:44" x14ac:dyDescent="0.3">
      <c r="A236" s="25" t="s">
        <v>1509</v>
      </c>
      <c r="B236" s="25" t="s">
        <v>119</v>
      </c>
      <c r="C236" s="25" t="s">
        <v>120</v>
      </c>
      <c r="D236" s="25" t="s">
        <v>121</v>
      </c>
      <c r="E236" s="26" t="s">
        <v>77</v>
      </c>
      <c r="F236" s="27" t="s">
        <v>78</v>
      </c>
      <c r="G236" s="67" t="s">
        <v>909</v>
      </c>
      <c r="H236" s="25" t="s">
        <v>79</v>
      </c>
      <c r="I236" s="25" t="s">
        <v>80</v>
      </c>
      <c r="J236" s="25" t="s">
        <v>94</v>
      </c>
      <c r="K236" s="30" t="s">
        <v>82</v>
      </c>
      <c r="L236" s="25" t="s">
        <v>910</v>
      </c>
      <c r="M236" s="25" t="s">
        <v>83</v>
      </c>
      <c r="N236" s="74" t="s">
        <v>103</v>
      </c>
      <c r="O236" s="31">
        <v>0.4</v>
      </c>
      <c r="P236" s="25">
        <v>113</v>
      </c>
      <c r="Q236" s="32">
        <v>28</v>
      </c>
      <c r="R236" s="28" t="s">
        <v>87</v>
      </c>
      <c r="S236" s="34" t="s">
        <v>87</v>
      </c>
      <c r="T236" s="35">
        <v>0.8</v>
      </c>
      <c r="U236" s="25">
        <v>320</v>
      </c>
      <c r="V236" s="25">
        <v>730</v>
      </c>
      <c r="W236" s="34">
        <v>410</v>
      </c>
      <c r="X236" s="36">
        <v>120</v>
      </c>
      <c r="Y236" s="25">
        <v>320</v>
      </c>
      <c r="Z236" s="25">
        <v>730</v>
      </c>
      <c r="AA236" s="34">
        <v>410</v>
      </c>
      <c r="AB236" s="36">
        <v>120</v>
      </c>
      <c r="AC236" s="34" t="s">
        <v>87</v>
      </c>
      <c r="AD236" s="34">
        <v>85</v>
      </c>
      <c r="AE236" s="37">
        <v>1.1400000000000001</v>
      </c>
      <c r="AF236" s="37">
        <v>1.0121238938053099</v>
      </c>
      <c r="AG236" s="37">
        <v>1.0728513274336284</v>
      </c>
      <c r="AH236" s="38">
        <v>874.04208000000006</v>
      </c>
      <c r="AI236" s="39">
        <v>146.63658599987545</v>
      </c>
      <c r="AJ236" s="38">
        <v>160.33579529016504</v>
      </c>
      <c r="AK236" s="40">
        <v>318.72442490865035</v>
      </c>
      <c r="AL236" s="41">
        <v>148</v>
      </c>
      <c r="AM236" s="39">
        <v>167.24</v>
      </c>
      <c r="AN236" s="39">
        <v>179.42365600000002</v>
      </c>
      <c r="AO236" s="39">
        <v>640.7987714285714</v>
      </c>
      <c r="AP236" s="42" t="s">
        <v>918</v>
      </c>
      <c r="AQ236" s="62" t="s">
        <v>919</v>
      </c>
      <c r="AR236" s="43" t="s">
        <v>920</v>
      </c>
    </row>
    <row r="237" spans="1:44" x14ac:dyDescent="0.3">
      <c r="A237" s="25" t="s">
        <v>1509</v>
      </c>
      <c r="B237" s="25" t="s">
        <v>119</v>
      </c>
      <c r="C237" s="25" t="s">
        <v>120</v>
      </c>
      <c r="D237" s="25" t="s">
        <v>121</v>
      </c>
      <c r="E237" s="26" t="s">
        <v>77</v>
      </c>
      <c r="F237" s="27" t="s">
        <v>78</v>
      </c>
      <c r="G237" s="67" t="s">
        <v>911</v>
      </c>
      <c r="H237" s="25" t="s">
        <v>79</v>
      </c>
      <c r="I237" s="25" t="s">
        <v>80</v>
      </c>
      <c r="J237" s="25" t="s">
        <v>94</v>
      </c>
      <c r="K237" s="30" t="s">
        <v>82</v>
      </c>
      <c r="L237" s="25" t="s">
        <v>912</v>
      </c>
      <c r="M237" s="25" t="s">
        <v>83</v>
      </c>
      <c r="N237" s="74" t="s">
        <v>103</v>
      </c>
      <c r="O237" s="31">
        <v>0.4</v>
      </c>
      <c r="P237" s="32">
        <v>119</v>
      </c>
      <c r="Q237" s="32">
        <v>28</v>
      </c>
      <c r="R237" s="28" t="s">
        <v>87</v>
      </c>
      <c r="S237" s="34" t="s">
        <v>87</v>
      </c>
      <c r="T237" s="35">
        <v>0.8</v>
      </c>
      <c r="U237" s="25">
        <v>380</v>
      </c>
      <c r="V237" s="25">
        <v>790</v>
      </c>
      <c r="W237" s="34">
        <v>410</v>
      </c>
      <c r="X237" s="36">
        <v>120</v>
      </c>
      <c r="Y237" s="25">
        <v>380</v>
      </c>
      <c r="Z237" s="25">
        <v>790</v>
      </c>
      <c r="AA237" s="34">
        <v>410</v>
      </c>
      <c r="AB237" s="36">
        <v>120</v>
      </c>
      <c r="AC237" s="34" t="s">
        <v>87</v>
      </c>
      <c r="AD237" s="34">
        <v>91</v>
      </c>
      <c r="AE237" s="37">
        <v>1.1640000000000001</v>
      </c>
      <c r="AF237" s="37">
        <v>1.0248235294117647</v>
      </c>
      <c r="AG237" s="37">
        <v>1.0863129411764705</v>
      </c>
      <c r="AH237" s="38">
        <v>874.04208000000006</v>
      </c>
      <c r="AI237" s="39">
        <v>143.61315123699143</v>
      </c>
      <c r="AJ237" s="38">
        <v>157.02990260376987</v>
      </c>
      <c r="AK237" s="40">
        <v>312.15278728166788</v>
      </c>
      <c r="AL237" s="41">
        <v>145</v>
      </c>
      <c r="AM237" s="39">
        <v>172.55</v>
      </c>
      <c r="AN237" s="39">
        <v>187.443298</v>
      </c>
      <c r="AO237" s="39">
        <v>669.44034999999997</v>
      </c>
      <c r="AP237" s="42" t="s">
        <v>921</v>
      </c>
      <c r="AQ237" s="62" t="s">
        <v>922</v>
      </c>
      <c r="AR237" s="43" t="s">
        <v>923</v>
      </c>
    </row>
    <row r="238" spans="1:44" x14ac:dyDescent="0.3">
      <c r="A238" s="25" t="s">
        <v>1509</v>
      </c>
      <c r="B238" s="25" t="s">
        <v>119</v>
      </c>
      <c r="C238" s="25" t="s">
        <v>120</v>
      </c>
      <c r="D238" s="25" t="s">
        <v>121</v>
      </c>
      <c r="E238" s="26" t="s">
        <v>77</v>
      </c>
      <c r="F238" s="27" t="s">
        <v>78</v>
      </c>
      <c r="G238" s="67" t="s">
        <v>913</v>
      </c>
      <c r="H238" s="25" t="s">
        <v>79</v>
      </c>
      <c r="I238" s="25" t="s">
        <v>80</v>
      </c>
      <c r="J238" s="25" t="s">
        <v>94</v>
      </c>
      <c r="K238" s="30" t="s">
        <v>82</v>
      </c>
      <c r="L238" s="25" t="s">
        <v>914</v>
      </c>
      <c r="M238" s="25" t="s">
        <v>83</v>
      </c>
      <c r="N238" s="74" t="s">
        <v>103</v>
      </c>
      <c r="O238" s="31">
        <v>0.51</v>
      </c>
      <c r="P238" s="25">
        <v>113</v>
      </c>
      <c r="Q238" s="32">
        <v>28</v>
      </c>
      <c r="R238" s="28" t="s">
        <v>87</v>
      </c>
      <c r="S238" s="34" t="s">
        <v>87</v>
      </c>
      <c r="T238" s="35">
        <v>0.8</v>
      </c>
      <c r="U238" s="25">
        <v>320</v>
      </c>
      <c r="V238" s="25">
        <v>730</v>
      </c>
      <c r="W238" s="34">
        <v>410</v>
      </c>
      <c r="X238" s="36">
        <v>120</v>
      </c>
      <c r="Y238" s="25">
        <v>320</v>
      </c>
      <c r="Z238" s="25">
        <v>730</v>
      </c>
      <c r="AA238" s="34">
        <v>410</v>
      </c>
      <c r="AB238" s="36">
        <v>120</v>
      </c>
      <c r="AC238" s="34" t="s">
        <v>87</v>
      </c>
      <c r="AD238" s="34">
        <v>85</v>
      </c>
      <c r="AE238" s="37">
        <v>1.2335</v>
      </c>
      <c r="AF238" s="37">
        <v>1.0704579646017698</v>
      </c>
      <c r="AG238" s="37">
        <v>1.1346854424778758</v>
      </c>
      <c r="AH238" s="38">
        <v>881.20365200000003</v>
      </c>
      <c r="AI238" s="39">
        <v>135.52144956615973</v>
      </c>
      <c r="AJ238" s="38">
        <v>148.18225101806905</v>
      </c>
      <c r="AK238" s="40">
        <v>294.56493262737047</v>
      </c>
      <c r="AL238" s="41">
        <v>148</v>
      </c>
      <c r="AM238" s="39">
        <v>167.24</v>
      </c>
      <c r="AN238" s="39">
        <v>189.76479339999997</v>
      </c>
      <c r="AO238" s="39">
        <v>677.73140499999988</v>
      </c>
      <c r="AP238" s="42" t="s">
        <v>924</v>
      </c>
      <c r="AQ238" s="62" t="s">
        <v>925</v>
      </c>
      <c r="AR238" s="43" t="s">
        <v>926</v>
      </c>
    </row>
    <row r="239" spans="1:44" x14ac:dyDescent="0.3">
      <c r="A239" s="25" t="s">
        <v>1509</v>
      </c>
      <c r="B239" s="25" t="s">
        <v>119</v>
      </c>
      <c r="C239" s="25" t="s">
        <v>120</v>
      </c>
      <c r="D239" s="25" t="s">
        <v>121</v>
      </c>
      <c r="E239" s="26" t="s">
        <v>77</v>
      </c>
      <c r="F239" s="27" t="s">
        <v>78</v>
      </c>
      <c r="G239" s="67" t="s">
        <v>915</v>
      </c>
      <c r="H239" s="25" t="s">
        <v>79</v>
      </c>
      <c r="I239" s="25" t="s">
        <v>80</v>
      </c>
      <c r="J239" s="25" t="s">
        <v>94</v>
      </c>
      <c r="K239" s="30" t="s">
        <v>82</v>
      </c>
      <c r="L239" s="25" t="s">
        <v>916</v>
      </c>
      <c r="M239" s="25" t="s">
        <v>83</v>
      </c>
      <c r="N239" s="74" t="s">
        <v>103</v>
      </c>
      <c r="O239" s="31">
        <v>0.51</v>
      </c>
      <c r="P239" s="32">
        <v>119</v>
      </c>
      <c r="Q239" s="32">
        <v>28</v>
      </c>
      <c r="R239" s="28" t="s">
        <v>87</v>
      </c>
      <c r="S239" s="34" t="s">
        <v>87</v>
      </c>
      <c r="T239" s="35">
        <v>0.8</v>
      </c>
      <c r="U239" s="25">
        <v>380</v>
      </c>
      <c r="V239" s="25">
        <v>790</v>
      </c>
      <c r="W239" s="34">
        <v>410</v>
      </c>
      <c r="X239" s="36">
        <v>120</v>
      </c>
      <c r="Y239" s="25">
        <v>380</v>
      </c>
      <c r="Z239" s="25">
        <v>790</v>
      </c>
      <c r="AA239" s="34">
        <v>410</v>
      </c>
      <c r="AB239" s="36">
        <v>120</v>
      </c>
      <c r="AC239" s="34" t="s">
        <v>87</v>
      </c>
      <c r="AD239" s="34">
        <v>91</v>
      </c>
      <c r="AE239" s="37">
        <v>1.2641</v>
      </c>
      <c r="AF239" s="37">
        <v>1.0866500000000001</v>
      </c>
      <c r="AG239" s="37">
        <v>1.1518490000000001</v>
      </c>
      <c r="AH239" s="38">
        <v>881.20365200000003</v>
      </c>
      <c r="AI239" s="39">
        <v>132.24088920169135</v>
      </c>
      <c r="AJ239" s="38">
        <v>144.59521132093045</v>
      </c>
      <c r="AK239" s="40">
        <v>287.43441531197016</v>
      </c>
      <c r="AL239" s="41">
        <v>145</v>
      </c>
      <c r="AM239" s="39">
        <v>172.55</v>
      </c>
      <c r="AN239" s="39">
        <v>198.75154495000004</v>
      </c>
      <c r="AO239" s="39">
        <v>709.82694625000011</v>
      </c>
      <c r="AP239" s="42" t="s">
        <v>921</v>
      </c>
      <c r="AQ239" s="62" t="s">
        <v>927</v>
      </c>
      <c r="AR239" s="43" t="s">
        <v>923</v>
      </c>
    </row>
    <row r="240" spans="1:44" x14ac:dyDescent="0.3">
      <c r="A240" s="25" t="s">
        <v>1509</v>
      </c>
      <c r="B240" s="25" t="s">
        <v>119</v>
      </c>
      <c r="C240" s="25" t="s">
        <v>120</v>
      </c>
      <c r="D240" s="25" t="s">
        <v>121</v>
      </c>
      <c r="E240" s="26" t="s">
        <v>77</v>
      </c>
      <c r="F240" s="27" t="s">
        <v>78</v>
      </c>
      <c r="G240" s="67" t="s">
        <v>928</v>
      </c>
      <c r="H240" s="25" t="s">
        <v>79</v>
      </c>
      <c r="I240" s="25" t="s">
        <v>80</v>
      </c>
      <c r="J240" s="25" t="s">
        <v>94</v>
      </c>
      <c r="K240" s="30" t="s">
        <v>82</v>
      </c>
      <c r="L240" s="25" t="s">
        <v>929</v>
      </c>
      <c r="M240" s="25" t="s">
        <v>83</v>
      </c>
      <c r="N240" s="74" t="s">
        <v>103</v>
      </c>
      <c r="O240" s="31">
        <v>0.4</v>
      </c>
      <c r="P240" s="25">
        <v>108</v>
      </c>
      <c r="Q240" s="32">
        <v>25</v>
      </c>
      <c r="R240" s="28" t="s">
        <v>87</v>
      </c>
      <c r="S240" s="34" t="s">
        <v>87</v>
      </c>
      <c r="T240" s="35">
        <v>0.8</v>
      </c>
      <c r="U240" s="25">
        <v>355</v>
      </c>
      <c r="V240" s="25">
        <v>705</v>
      </c>
      <c r="W240" s="34">
        <v>350</v>
      </c>
      <c r="X240" s="36">
        <v>125</v>
      </c>
      <c r="Y240" s="25">
        <v>305</v>
      </c>
      <c r="Z240" s="25">
        <v>705</v>
      </c>
      <c r="AA240" s="34">
        <v>400</v>
      </c>
      <c r="AB240" s="36">
        <v>125</v>
      </c>
      <c r="AC240" s="34" t="s">
        <v>87</v>
      </c>
      <c r="AD240" s="34">
        <v>83</v>
      </c>
      <c r="AE240" s="37">
        <v>1.1320000000000001</v>
      </c>
      <c r="AF240" s="37">
        <v>1.0044259259259261</v>
      </c>
      <c r="AG240" s="37">
        <v>1.0646914814814816</v>
      </c>
      <c r="AH240" s="38">
        <v>874.04208000000006</v>
      </c>
      <c r="AI240" s="39">
        <v>147.6728869610053</v>
      </c>
      <c r="AJ240" s="38">
        <v>161.46891045122629</v>
      </c>
      <c r="AK240" s="40">
        <v>320.97689434263378</v>
      </c>
      <c r="AL240" s="41">
        <v>150</v>
      </c>
      <c r="AM240" s="39">
        <v>162</v>
      </c>
      <c r="AN240" s="39">
        <v>172.48002000000002</v>
      </c>
      <c r="AO240" s="39">
        <v>689.9200800000001</v>
      </c>
      <c r="AP240" s="42" t="s">
        <v>932</v>
      </c>
      <c r="AQ240" s="62"/>
      <c r="AR240" s="43" t="s">
        <v>933</v>
      </c>
    </row>
    <row r="241" spans="1:44" x14ac:dyDescent="0.3">
      <c r="A241" s="25" t="s">
        <v>1509</v>
      </c>
      <c r="B241" s="25" t="s">
        <v>119</v>
      </c>
      <c r="C241" s="25" t="s">
        <v>120</v>
      </c>
      <c r="D241" s="25" t="s">
        <v>121</v>
      </c>
      <c r="E241" s="26" t="s">
        <v>77</v>
      </c>
      <c r="F241" s="27" t="s">
        <v>78</v>
      </c>
      <c r="G241" s="67" t="s">
        <v>930</v>
      </c>
      <c r="H241" s="25" t="s">
        <v>79</v>
      </c>
      <c r="I241" s="25" t="s">
        <v>80</v>
      </c>
      <c r="J241" s="25" t="s">
        <v>94</v>
      </c>
      <c r="K241" s="30" t="s">
        <v>82</v>
      </c>
      <c r="L241" s="25" t="s">
        <v>931</v>
      </c>
      <c r="M241" s="25" t="s">
        <v>83</v>
      </c>
      <c r="N241" s="198" t="s">
        <v>142</v>
      </c>
      <c r="O241" s="31">
        <v>0.4</v>
      </c>
      <c r="P241" s="25">
        <v>108</v>
      </c>
      <c r="Q241" s="32">
        <v>25</v>
      </c>
      <c r="R241" s="28" t="s">
        <v>87</v>
      </c>
      <c r="S241" s="34" t="s">
        <v>87</v>
      </c>
      <c r="T241" s="35">
        <v>0.8</v>
      </c>
      <c r="U241" s="25">
        <v>335</v>
      </c>
      <c r="V241" s="25">
        <v>710</v>
      </c>
      <c r="W241" s="34">
        <v>375</v>
      </c>
      <c r="X241" s="36">
        <v>120</v>
      </c>
      <c r="Y241" s="25">
        <v>310</v>
      </c>
      <c r="Z241" s="25">
        <v>710</v>
      </c>
      <c r="AA241" s="34">
        <v>400</v>
      </c>
      <c r="AB241" s="36">
        <v>120</v>
      </c>
      <c r="AC241" s="34" t="s">
        <v>87</v>
      </c>
      <c r="AD241" s="34">
        <v>83</v>
      </c>
      <c r="AE241" s="37">
        <v>1.1320000000000001</v>
      </c>
      <c r="AF241" s="37">
        <v>1.0044259259259261</v>
      </c>
      <c r="AG241" s="37">
        <v>1.0646914814814816</v>
      </c>
      <c r="AH241" s="38">
        <v>874.04208000000006</v>
      </c>
      <c r="AI241" s="39">
        <v>147.6728869610053</v>
      </c>
      <c r="AJ241" s="38">
        <v>161.46891045122629</v>
      </c>
      <c r="AK241" s="40">
        <v>320.97689434263378</v>
      </c>
      <c r="AL241" s="41">
        <v>321</v>
      </c>
      <c r="AM241" s="39">
        <v>346.68</v>
      </c>
      <c r="AN241" s="39">
        <v>369.10724280000005</v>
      </c>
      <c r="AO241" s="39">
        <v>1476.4289712000002</v>
      </c>
      <c r="AP241" s="42" t="s">
        <v>934</v>
      </c>
      <c r="AQ241" s="62" t="s">
        <v>935</v>
      </c>
      <c r="AR241" s="43" t="s">
        <v>936</v>
      </c>
    </row>
    <row r="242" spans="1:44" x14ac:dyDescent="0.3">
      <c r="A242" s="25" t="s">
        <v>1509</v>
      </c>
      <c r="B242" s="25" t="s">
        <v>119</v>
      </c>
      <c r="C242" s="25" t="s">
        <v>120</v>
      </c>
      <c r="D242" s="25" t="s">
        <v>121</v>
      </c>
      <c r="E242" s="86" t="s">
        <v>77</v>
      </c>
      <c r="F242" s="222" t="s">
        <v>139</v>
      </c>
      <c r="G242" s="228" t="s">
        <v>937</v>
      </c>
      <c r="H242" s="47" t="s">
        <v>79</v>
      </c>
      <c r="I242" s="47" t="s">
        <v>80</v>
      </c>
      <c r="J242" s="47" t="s">
        <v>94</v>
      </c>
      <c r="K242" s="87" t="s">
        <v>82</v>
      </c>
      <c r="L242" s="47" t="s">
        <v>938</v>
      </c>
      <c r="M242" s="47" t="s">
        <v>83</v>
      </c>
      <c r="N242" s="89" t="s">
        <v>103</v>
      </c>
      <c r="O242" s="229">
        <v>0.42</v>
      </c>
      <c r="P242" s="47">
        <v>108</v>
      </c>
      <c r="Q242" s="237">
        <v>25</v>
      </c>
      <c r="R242" s="230" t="s">
        <v>87</v>
      </c>
      <c r="S242" s="84" t="s">
        <v>87</v>
      </c>
      <c r="T242" s="92">
        <v>0.8</v>
      </c>
      <c r="U242" s="47">
        <v>335</v>
      </c>
      <c r="V242" s="47">
        <v>710</v>
      </c>
      <c r="W242" s="84">
        <v>375</v>
      </c>
      <c r="X242" s="93">
        <v>120</v>
      </c>
      <c r="Y242" s="47">
        <v>320</v>
      </c>
      <c r="Z242" s="47">
        <v>720</v>
      </c>
      <c r="AA242" s="84">
        <v>400</v>
      </c>
      <c r="AB242" s="93">
        <v>110</v>
      </c>
      <c r="AC242" s="84" t="s">
        <v>87</v>
      </c>
      <c r="AD242" s="84">
        <v>83</v>
      </c>
      <c r="AE242" s="75">
        <v>1.1486000000000001</v>
      </c>
      <c r="AF242" s="75">
        <v>1.0146472222222223</v>
      </c>
      <c r="AG242" s="75">
        <v>1.0755260555555555</v>
      </c>
      <c r="AH242" s="97">
        <v>875.34418400000015</v>
      </c>
      <c r="AI242" s="39">
        <v>145.53866275453424</v>
      </c>
      <c r="AJ242" s="97">
        <v>159.13530091484256</v>
      </c>
      <c r="AK242" s="40">
        <v>316.33801531939878</v>
      </c>
      <c r="AL242" s="41">
        <v>315</v>
      </c>
      <c r="AM242" s="39">
        <v>340.2</v>
      </c>
      <c r="AN242" s="39">
        <v>365.89396409999995</v>
      </c>
      <c r="AO242" s="39">
        <v>1463.5758563999998</v>
      </c>
      <c r="AP242" s="107" t="s">
        <v>939</v>
      </c>
      <c r="AQ242" s="108" t="s">
        <v>940</v>
      </c>
      <c r="AR242" s="88" t="s">
        <v>941</v>
      </c>
    </row>
    <row r="243" spans="1:44" x14ac:dyDescent="0.3">
      <c r="A243" s="25" t="s">
        <v>1509</v>
      </c>
      <c r="B243" s="25" t="s">
        <v>119</v>
      </c>
      <c r="C243" s="25" t="s">
        <v>120</v>
      </c>
      <c r="D243" s="25" t="s">
        <v>121</v>
      </c>
      <c r="E243" s="109" t="s">
        <v>77</v>
      </c>
      <c r="F243" s="182" t="s">
        <v>139</v>
      </c>
      <c r="G243" s="231" t="s">
        <v>942</v>
      </c>
      <c r="H243" s="66" t="s">
        <v>79</v>
      </c>
      <c r="I243" s="66" t="s">
        <v>80</v>
      </c>
      <c r="J243" s="66" t="s">
        <v>94</v>
      </c>
      <c r="K243" s="111" t="s">
        <v>82</v>
      </c>
      <c r="L243" s="66" t="s">
        <v>943</v>
      </c>
      <c r="M243" s="66" t="s">
        <v>83</v>
      </c>
      <c r="N243" s="183" t="s">
        <v>103</v>
      </c>
      <c r="O243" s="232">
        <v>0.45</v>
      </c>
      <c r="P243" s="66">
        <v>111</v>
      </c>
      <c r="Q243" s="66">
        <v>30</v>
      </c>
      <c r="R243" s="233" t="s">
        <v>87</v>
      </c>
      <c r="S243" s="115" t="s">
        <v>87</v>
      </c>
      <c r="T243" s="114">
        <v>0.8</v>
      </c>
      <c r="U243" s="66">
        <v>310</v>
      </c>
      <c r="V243" s="66">
        <v>620</v>
      </c>
      <c r="W243" s="115">
        <v>310</v>
      </c>
      <c r="X243" s="184">
        <v>190</v>
      </c>
      <c r="Y243" s="66">
        <v>265</v>
      </c>
      <c r="Z243" s="66">
        <v>665</v>
      </c>
      <c r="AA243" s="115">
        <v>400</v>
      </c>
      <c r="AB243" s="184">
        <v>145</v>
      </c>
      <c r="AC243" s="115" t="s">
        <v>87</v>
      </c>
      <c r="AD243" s="115">
        <v>81</v>
      </c>
      <c r="AE243" s="116">
        <v>1.1645000000000001</v>
      </c>
      <c r="AF243" s="116">
        <v>1.0315067567567568</v>
      </c>
      <c r="AG243" s="116">
        <v>1.0933971621621623</v>
      </c>
      <c r="AH243" s="118">
        <v>877.29733999999996</v>
      </c>
      <c r="AI243" s="117">
        <v>143.55148822658481</v>
      </c>
      <c r="AJ243" s="118">
        <v>156.96247885855573</v>
      </c>
      <c r="AK243" s="119">
        <v>312.01875860529105</v>
      </c>
      <c r="AL243" s="238">
        <v>145</v>
      </c>
      <c r="AM243" s="117">
        <v>160.94999999999999</v>
      </c>
      <c r="AN243" s="117">
        <v>175.98227325000002</v>
      </c>
      <c r="AO243" s="117">
        <v>586.60757750000005</v>
      </c>
      <c r="AP243" s="121" t="s">
        <v>960</v>
      </c>
      <c r="AQ243" s="123" t="s">
        <v>961</v>
      </c>
      <c r="AR243" s="123"/>
    </row>
    <row r="244" spans="1:44" x14ac:dyDescent="0.3">
      <c r="A244" s="25" t="s">
        <v>1509</v>
      </c>
      <c r="B244" s="25" t="s">
        <v>119</v>
      </c>
      <c r="C244" s="25" t="s">
        <v>120</v>
      </c>
      <c r="D244" s="25" t="s">
        <v>121</v>
      </c>
      <c r="E244" s="26" t="s">
        <v>77</v>
      </c>
      <c r="F244" s="27" t="s">
        <v>78</v>
      </c>
      <c r="G244" s="67" t="s">
        <v>944</v>
      </c>
      <c r="H244" s="25" t="s">
        <v>79</v>
      </c>
      <c r="I244" s="25" t="s">
        <v>80</v>
      </c>
      <c r="J244" s="25" t="s">
        <v>94</v>
      </c>
      <c r="K244" s="30" t="s">
        <v>82</v>
      </c>
      <c r="L244" s="25" t="s">
        <v>945</v>
      </c>
      <c r="M244" s="25" t="s">
        <v>83</v>
      </c>
      <c r="N244" s="74" t="s">
        <v>103</v>
      </c>
      <c r="O244" s="31">
        <v>0.49</v>
      </c>
      <c r="P244" s="25">
        <v>111</v>
      </c>
      <c r="Q244" s="25">
        <v>30</v>
      </c>
      <c r="R244" s="28" t="s">
        <v>87</v>
      </c>
      <c r="S244" s="34" t="s">
        <v>87</v>
      </c>
      <c r="T244" s="35">
        <v>0.8</v>
      </c>
      <c r="U244" s="25">
        <v>275</v>
      </c>
      <c r="V244" s="25">
        <v>675</v>
      </c>
      <c r="W244" s="34">
        <v>400</v>
      </c>
      <c r="X244" s="36">
        <v>135</v>
      </c>
      <c r="Y244" s="25">
        <v>275</v>
      </c>
      <c r="Z244" s="25">
        <v>675</v>
      </c>
      <c r="AA244" s="34">
        <v>400</v>
      </c>
      <c r="AB244" s="36">
        <v>135</v>
      </c>
      <c r="AC244" s="34" t="s">
        <v>87</v>
      </c>
      <c r="AD244" s="34">
        <v>81</v>
      </c>
      <c r="AE244" s="37">
        <v>1.1969000000000001</v>
      </c>
      <c r="AF244" s="37">
        <v>1.0520851351351352</v>
      </c>
      <c r="AG244" s="37">
        <v>1.1152102432432434</v>
      </c>
      <c r="AH244" s="38">
        <v>879.90154800000005</v>
      </c>
      <c r="AI244" s="39">
        <v>139.66555939498539</v>
      </c>
      <c r="AJ244" s="38">
        <v>152.71351544054488</v>
      </c>
      <c r="AK244" s="40">
        <v>303.57243244703938</v>
      </c>
      <c r="AL244" s="41">
        <v>300</v>
      </c>
      <c r="AM244" s="39">
        <v>333</v>
      </c>
      <c r="AN244" s="39">
        <v>371.36501100000004</v>
      </c>
      <c r="AO244" s="39">
        <v>1237.8833700000002</v>
      </c>
      <c r="AP244" s="42" t="s">
        <v>962</v>
      </c>
      <c r="AQ244" s="43" t="s">
        <v>963</v>
      </c>
      <c r="AR244" s="43"/>
    </row>
    <row r="245" spans="1:44" x14ac:dyDescent="0.3">
      <c r="A245" s="25" t="s">
        <v>1509</v>
      </c>
      <c r="B245" s="25" t="s">
        <v>119</v>
      </c>
      <c r="C245" s="25" t="s">
        <v>120</v>
      </c>
      <c r="D245" s="25" t="s">
        <v>121</v>
      </c>
      <c r="E245" s="26" t="s">
        <v>77</v>
      </c>
      <c r="F245" s="27" t="s">
        <v>78</v>
      </c>
      <c r="G245" s="67" t="s">
        <v>946</v>
      </c>
      <c r="H245" s="25" t="s">
        <v>79</v>
      </c>
      <c r="I245" s="25" t="s">
        <v>80</v>
      </c>
      <c r="J245" s="25" t="s">
        <v>94</v>
      </c>
      <c r="K245" s="30" t="s">
        <v>82</v>
      </c>
      <c r="L245" s="25" t="s">
        <v>947</v>
      </c>
      <c r="M245" s="25" t="s">
        <v>83</v>
      </c>
      <c r="N245" s="74" t="s">
        <v>103</v>
      </c>
      <c r="O245" s="31">
        <v>0.51</v>
      </c>
      <c r="P245" s="25">
        <v>111</v>
      </c>
      <c r="Q245" s="25">
        <v>30</v>
      </c>
      <c r="R245" s="28" t="s">
        <v>87</v>
      </c>
      <c r="S245" s="34" t="s">
        <v>87</v>
      </c>
      <c r="T245" s="35">
        <v>0.8</v>
      </c>
      <c r="U245" s="25">
        <v>310</v>
      </c>
      <c r="V245" s="25">
        <v>620</v>
      </c>
      <c r="W245" s="34">
        <v>310</v>
      </c>
      <c r="X245" s="36">
        <v>190</v>
      </c>
      <c r="Y245" s="25">
        <v>265</v>
      </c>
      <c r="Z245" s="25">
        <v>665</v>
      </c>
      <c r="AA245" s="34">
        <v>400</v>
      </c>
      <c r="AB245" s="36">
        <v>145</v>
      </c>
      <c r="AC245" s="34" t="s">
        <v>87</v>
      </c>
      <c r="AD245" s="34">
        <v>81</v>
      </c>
      <c r="AE245" s="37">
        <v>1.2131000000000001</v>
      </c>
      <c r="AF245" s="37">
        <v>1.0623743243243244</v>
      </c>
      <c r="AG245" s="37">
        <v>1.1261167837837838</v>
      </c>
      <c r="AH245" s="38">
        <v>881.20365200000003</v>
      </c>
      <c r="AI245" s="39">
        <v>137.80043528139313</v>
      </c>
      <c r="AJ245" s="38">
        <v>150.67414609742656</v>
      </c>
      <c r="AK245" s="40">
        <v>299.51846046975641</v>
      </c>
      <c r="AL245" s="212">
        <v>145</v>
      </c>
      <c r="AM245" s="39">
        <v>160.94999999999999</v>
      </c>
      <c r="AN245" s="39">
        <v>181.24849634999998</v>
      </c>
      <c r="AO245" s="39">
        <v>604.16165449999994</v>
      </c>
      <c r="AP245" s="42" t="s">
        <v>960</v>
      </c>
      <c r="AQ245" s="43" t="s">
        <v>964</v>
      </c>
      <c r="AR245" s="43"/>
    </row>
    <row r="246" spans="1:44" x14ac:dyDescent="0.3">
      <c r="A246" s="25" t="s">
        <v>1509</v>
      </c>
      <c r="B246" s="25" t="s">
        <v>119</v>
      </c>
      <c r="C246" s="25" t="s">
        <v>120</v>
      </c>
      <c r="D246" s="25" t="s">
        <v>121</v>
      </c>
      <c r="E246" s="26" t="s">
        <v>77</v>
      </c>
      <c r="F246" s="27" t="s">
        <v>78</v>
      </c>
      <c r="G246" s="67" t="s">
        <v>948</v>
      </c>
      <c r="H246" s="25" t="s">
        <v>79</v>
      </c>
      <c r="I246" s="25" t="s">
        <v>80</v>
      </c>
      <c r="J246" s="25" t="s">
        <v>94</v>
      </c>
      <c r="K246" s="30" t="s">
        <v>82</v>
      </c>
      <c r="L246" s="25" t="s">
        <v>949</v>
      </c>
      <c r="M246" s="25" t="s">
        <v>83</v>
      </c>
      <c r="N246" s="74" t="s">
        <v>103</v>
      </c>
      <c r="O246" s="31">
        <v>0.56000000000000005</v>
      </c>
      <c r="P246" s="25">
        <v>111</v>
      </c>
      <c r="Q246" s="25">
        <v>30</v>
      </c>
      <c r="R246" s="28" t="s">
        <v>87</v>
      </c>
      <c r="S246" s="34" t="s">
        <v>87</v>
      </c>
      <c r="T246" s="35">
        <v>0.8</v>
      </c>
      <c r="U246" s="25">
        <v>310</v>
      </c>
      <c r="V246" s="25">
        <v>620</v>
      </c>
      <c r="W246" s="34">
        <v>310</v>
      </c>
      <c r="X246" s="36">
        <v>190</v>
      </c>
      <c r="Y246" s="25">
        <v>265</v>
      </c>
      <c r="Z246" s="25">
        <v>665</v>
      </c>
      <c r="AA246" s="34">
        <v>400</v>
      </c>
      <c r="AB246" s="36">
        <v>145</v>
      </c>
      <c r="AC246" s="34" t="s">
        <v>87</v>
      </c>
      <c r="AD246" s="34">
        <v>81</v>
      </c>
      <c r="AE246" s="37">
        <v>1.2536</v>
      </c>
      <c r="AF246" s="37">
        <v>1.0880972972972975</v>
      </c>
      <c r="AG246" s="37">
        <v>1.1533831351351354</v>
      </c>
      <c r="AH246" s="38">
        <v>884.45891200000005</v>
      </c>
      <c r="AI246" s="39">
        <v>133.34852268654916</v>
      </c>
      <c r="AJ246" s="38">
        <v>145.80632309411948</v>
      </c>
      <c r="AK246" s="40">
        <v>289.84193075611159</v>
      </c>
      <c r="AL246" s="212">
        <v>145</v>
      </c>
      <c r="AM246" s="39">
        <v>160.94999999999999</v>
      </c>
      <c r="AN246" s="39">
        <v>185.63701560000001</v>
      </c>
      <c r="AO246" s="39">
        <v>618.79005200000006</v>
      </c>
      <c r="AP246" s="42" t="s">
        <v>960</v>
      </c>
      <c r="AQ246" s="43" t="s">
        <v>965</v>
      </c>
      <c r="AR246" s="43"/>
    </row>
    <row r="247" spans="1:44" x14ac:dyDescent="0.3">
      <c r="A247" s="25" t="s">
        <v>1509</v>
      </c>
      <c r="B247" s="25" t="s">
        <v>119</v>
      </c>
      <c r="C247" s="25" t="s">
        <v>120</v>
      </c>
      <c r="D247" s="25" t="s">
        <v>121</v>
      </c>
      <c r="E247" s="109" t="s">
        <v>77</v>
      </c>
      <c r="F247" s="182" t="s">
        <v>139</v>
      </c>
      <c r="G247" s="234" t="s">
        <v>950</v>
      </c>
      <c r="H247" s="66" t="s">
        <v>79</v>
      </c>
      <c r="I247" s="66" t="s">
        <v>80</v>
      </c>
      <c r="J247" s="66" t="s">
        <v>94</v>
      </c>
      <c r="K247" s="111" t="s">
        <v>82</v>
      </c>
      <c r="L247" s="66" t="s">
        <v>951</v>
      </c>
      <c r="M247" s="66" t="s">
        <v>83</v>
      </c>
      <c r="N247" s="183" t="s">
        <v>103</v>
      </c>
      <c r="O247" s="232">
        <v>0.33</v>
      </c>
      <c r="P247" s="209">
        <v>122</v>
      </c>
      <c r="Q247" s="66">
        <v>30</v>
      </c>
      <c r="R247" s="233" t="s">
        <v>87</v>
      </c>
      <c r="S247" s="84" t="s">
        <v>87</v>
      </c>
      <c r="T247" s="114">
        <v>0.8</v>
      </c>
      <c r="U247" s="66">
        <v>400</v>
      </c>
      <c r="V247" s="66">
        <v>730</v>
      </c>
      <c r="W247" s="115">
        <v>330</v>
      </c>
      <c r="X247" s="184">
        <v>190</v>
      </c>
      <c r="Y247" s="66">
        <v>365</v>
      </c>
      <c r="Z247" s="66">
        <v>765</v>
      </c>
      <c r="AA247" s="115">
        <v>400</v>
      </c>
      <c r="AB247" s="184">
        <v>155</v>
      </c>
      <c r="AC247" s="115" t="s">
        <v>87</v>
      </c>
      <c r="AD247" s="115">
        <v>92</v>
      </c>
      <c r="AE247" s="116">
        <v>1.1036000000000001</v>
      </c>
      <c r="AF247" s="116">
        <v>0.98912786885245907</v>
      </c>
      <c r="AG247" s="116">
        <v>1.0484755409836064</v>
      </c>
      <c r="AH247" s="118">
        <v>869.48471600000005</v>
      </c>
      <c r="AI247" s="117">
        <v>151.47309536050926</v>
      </c>
      <c r="AJ247" s="118">
        <v>165.62414518918823</v>
      </c>
      <c r="AK247" s="119">
        <v>329.23690140980557</v>
      </c>
      <c r="AL247" s="120">
        <v>325</v>
      </c>
      <c r="AM247" s="39">
        <v>396.5</v>
      </c>
      <c r="AN247" s="39">
        <v>415.72055199999994</v>
      </c>
      <c r="AO247" s="39">
        <v>1385.7351733333333</v>
      </c>
      <c r="AP247" s="121" t="s">
        <v>966</v>
      </c>
      <c r="AQ247" s="185"/>
      <c r="AR247" s="123"/>
    </row>
    <row r="248" spans="1:44" x14ac:dyDescent="0.3">
      <c r="A248" s="25" t="s">
        <v>1509</v>
      </c>
      <c r="B248" s="25" t="s">
        <v>119</v>
      </c>
      <c r="C248" s="25" t="s">
        <v>120</v>
      </c>
      <c r="D248" s="25" t="s">
        <v>121</v>
      </c>
      <c r="E248" s="26" t="s">
        <v>77</v>
      </c>
      <c r="F248" s="27" t="s">
        <v>78</v>
      </c>
      <c r="G248" s="67" t="s">
        <v>952</v>
      </c>
      <c r="H248" s="25" t="s">
        <v>79</v>
      </c>
      <c r="I248" s="25" t="s">
        <v>80</v>
      </c>
      <c r="J248" s="25" t="s">
        <v>94</v>
      </c>
      <c r="K248" s="30" t="s">
        <v>82</v>
      </c>
      <c r="L248" s="25" t="s">
        <v>953</v>
      </c>
      <c r="M248" s="25" t="s">
        <v>83</v>
      </c>
      <c r="N248" s="74" t="s">
        <v>103</v>
      </c>
      <c r="O248" s="31">
        <v>0.33</v>
      </c>
      <c r="P248" s="197">
        <v>120</v>
      </c>
      <c r="Q248" s="25">
        <v>30</v>
      </c>
      <c r="R248" s="28" t="s">
        <v>87</v>
      </c>
      <c r="S248" s="34" t="s">
        <v>87</v>
      </c>
      <c r="T248" s="35">
        <v>0.8</v>
      </c>
      <c r="U248" s="25">
        <v>410</v>
      </c>
      <c r="V248" s="25">
        <v>720</v>
      </c>
      <c r="W248" s="34">
        <v>310</v>
      </c>
      <c r="X248" s="36">
        <v>180</v>
      </c>
      <c r="Y248" s="25">
        <v>365</v>
      </c>
      <c r="Z248" s="25">
        <v>765</v>
      </c>
      <c r="AA248" s="34">
        <v>400</v>
      </c>
      <c r="AB248" s="36">
        <v>135</v>
      </c>
      <c r="AC248" s="34" t="s">
        <v>87</v>
      </c>
      <c r="AD248" s="34">
        <v>90</v>
      </c>
      <c r="AE248" s="37">
        <v>1.097</v>
      </c>
      <c r="AF248" s="37">
        <v>0.98562499999999997</v>
      </c>
      <c r="AG248" s="37">
        <v>1.0447625</v>
      </c>
      <c r="AH248" s="38">
        <v>869.48471600000005</v>
      </c>
      <c r="AI248" s="39">
        <v>152.38441936176667</v>
      </c>
      <c r="AJ248" s="38">
        <v>166.62060768531282</v>
      </c>
      <c r="AK248" s="40">
        <v>331.2177250645957</v>
      </c>
      <c r="AL248" s="41">
        <v>330</v>
      </c>
      <c r="AM248" s="39">
        <v>396</v>
      </c>
      <c r="AN248" s="39">
        <v>413.72595000000001</v>
      </c>
      <c r="AO248" s="39">
        <v>1379.0865000000001</v>
      </c>
      <c r="AP248" s="42" t="s">
        <v>967</v>
      </c>
      <c r="AQ248" s="62" t="s">
        <v>968</v>
      </c>
      <c r="AR248" s="43"/>
    </row>
    <row r="249" spans="1:44" x14ac:dyDescent="0.3">
      <c r="A249" s="25" t="s">
        <v>1509</v>
      </c>
      <c r="B249" s="25" t="s">
        <v>119</v>
      </c>
      <c r="C249" s="25" t="s">
        <v>120</v>
      </c>
      <c r="D249" s="25" t="s">
        <v>121</v>
      </c>
      <c r="E249" s="26" t="s">
        <v>77</v>
      </c>
      <c r="F249" s="27" t="s">
        <v>78</v>
      </c>
      <c r="G249" s="67" t="s">
        <v>954</v>
      </c>
      <c r="H249" s="25" t="s">
        <v>79</v>
      </c>
      <c r="I249" s="25" t="s">
        <v>80</v>
      </c>
      <c r="J249" s="25" t="s">
        <v>94</v>
      </c>
      <c r="K249" s="30" t="s">
        <v>82</v>
      </c>
      <c r="L249" s="25" t="s">
        <v>955</v>
      </c>
      <c r="M249" s="25" t="s">
        <v>83</v>
      </c>
      <c r="N249" s="74" t="s">
        <v>103</v>
      </c>
      <c r="O249" s="31">
        <v>0.33</v>
      </c>
      <c r="P249" s="25">
        <v>116</v>
      </c>
      <c r="Q249" s="25">
        <v>30</v>
      </c>
      <c r="R249" s="28" t="s">
        <v>87</v>
      </c>
      <c r="S249" s="34" t="s">
        <v>87</v>
      </c>
      <c r="T249" s="35">
        <v>0.8</v>
      </c>
      <c r="U249" s="25">
        <v>370</v>
      </c>
      <c r="V249" s="25">
        <v>680</v>
      </c>
      <c r="W249" s="34">
        <v>310</v>
      </c>
      <c r="X249" s="36">
        <v>180</v>
      </c>
      <c r="Y249" s="25">
        <v>325</v>
      </c>
      <c r="Z249" s="25">
        <v>725</v>
      </c>
      <c r="AA249" s="34">
        <v>400</v>
      </c>
      <c r="AB249" s="36">
        <v>135</v>
      </c>
      <c r="AC249" s="34" t="s">
        <v>87</v>
      </c>
      <c r="AD249" s="34">
        <v>86</v>
      </c>
      <c r="AE249" s="37">
        <v>1.0838000000000001</v>
      </c>
      <c r="AF249" s="37">
        <v>0.97859827586206904</v>
      </c>
      <c r="AG249" s="37">
        <v>1.0373141724137933</v>
      </c>
      <c r="AH249" s="38">
        <v>869.48471600000005</v>
      </c>
      <c r="AI249" s="39">
        <v>154.24036541784281</v>
      </c>
      <c r="AJ249" s="38">
        <v>168.64994153052976</v>
      </c>
      <c r="AK249" s="40">
        <v>335.25174792015264</v>
      </c>
      <c r="AL249" s="212">
        <v>155</v>
      </c>
      <c r="AM249" s="39">
        <v>179.8</v>
      </c>
      <c r="AN249" s="39">
        <v>186.50908820000004</v>
      </c>
      <c r="AO249" s="39">
        <v>621.69696066666677</v>
      </c>
      <c r="AP249" s="42" t="s">
        <v>969</v>
      </c>
      <c r="AQ249" s="62" t="s">
        <v>970</v>
      </c>
      <c r="AR249" s="239" t="s">
        <v>971</v>
      </c>
    </row>
    <row r="250" spans="1:44" x14ac:dyDescent="0.3">
      <c r="A250" s="25" t="s">
        <v>1509</v>
      </c>
      <c r="B250" s="25" t="s">
        <v>119</v>
      </c>
      <c r="C250" s="25" t="s">
        <v>120</v>
      </c>
      <c r="D250" s="25" t="s">
        <v>121</v>
      </c>
      <c r="E250" s="26" t="s">
        <v>77</v>
      </c>
      <c r="F250" s="27" t="s">
        <v>78</v>
      </c>
      <c r="G250" s="67" t="s">
        <v>956</v>
      </c>
      <c r="H250" s="25" t="s">
        <v>79</v>
      </c>
      <c r="I250" s="25" t="s">
        <v>80</v>
      </c>
      <c r="J250" s="25" t="s">
        <v>94</v>
      </c>
      <c r="K250" s="30" t="s">
        <v>82</v>
      </c>
      <c r="L250" s="25" t="s">
        <v>957</v>
      </c>
      <c r="M250" s="25" t="s">
        <v>83</v>
      </c>
      <c r="N250" s="74" t="s">
        <v>103</v>
      </c>
      <c r="O250" s="31">
        <v>0.38</v>
      </c>
      <c r="P250" s="25">
        <v>116</v>
      </c>
      <c r="Q250" s="25">
        <v>30</v>
      </c>
      <c r="R250" s="28" t="s">
        <v>87</v>
      </c>
      <c r="S250" s="34" t="s">
        <v>87</v>
      </c>
      <c r="T250" s="35">
        <v>0.8</v>
      </c>
      <c r="U250" s="25">
        <v>370</v>
      </c>
      <c r="V250" s="25">
        <v>680</v>
      </c>
      <c r="W250" s="34">
        <v>310</v>
      </c>
      <c r="X250" s="36">
        <v>180</v>
      </c>
      <c r="Y250" s="25">
        <v>325</v>
      </c>
      <c r="Z250" s="25">
        <v>725</v>
      </c>
      <c r="AA250" s="34">
        <v>400</v>
      </c>
      <c r="AB250" s="36">
        <v>135</v>
      </c>
      <c r="AC250" s="34" t="s">
        <v>87</v>
      </c>
      <c r="AD250" s="34">
        <v>86</v>
      </c>
      <c r="AE250" s="37">
        <v>1.1268</v>
      </c>
      <c r="AF250" s="37">
        <v>1.0056586206896552</v>
      </c>
      <c r="AG250" s="37">
        <v>1.0659981379310346</v>
      </c>
      <c r="AH250" s="38">
        <v>872.73997600000007</v>
      </c>
      <c r="AI250" s="39">
        <v>148.35437348230212</v>
      </c>
      <c r="AJ250" s="38">
        <v>162.21406339260577</v>
      </c>
      <c r="AK250" s="40">
        <v>322.45815086604676</v>
      </c>
      <c r="AL250" s="212">
        <v>155</v>
      </c>
      <c r="AM250" s="39">
        <v>179.8</v>
      </c>
      <c r="AN250" s="39">
        <v>191.66646520000003</v>
      </c>
      <c r="AO250" s="39">
        <v>638.8882173333335</v>
      </c>
      <c r="AP250" s="42" t="s">
        <v>969</v>
      </c>
      <c r="AQ250" s="62" t="s">
        <v>972</v>
      </c>
      <c r="AR250" s="43"/>
    </row>
    <row r="251" spans="1:44" x14ac:dyDescent="0.3">
      <c r="A251" s="25" t="s">
        <v>1509</v>
      </c>
      <c r="B251" s="25" t="s">
        <v>119</v>
      </c>
      <c r="C251" s="25" t="s">
        <v>120</v>
      </c>
      <c r="D251" s="25" t="s">
        <v>121</v>
      </c>
      <c r="E251" s="26" t="s">
        <v>77</v>
      </c>
      <c r="F251" s="27" t="s">
        <v>78</v>
      </c>
      <c r="G251" s="67" t="s">
        <v>958</v>
      </c>
      <c r="H251" s="25" t="s">
        <v>79</v>
      </c>
      <c r="I251" s="25" t="s">
        <v>80</v>
      </c>
      <c r="J251" s="25" t="s">
        <v>94</v>
      </c>
      <c r="K251" s="30" t="s">
        <v>82</v>
      </c>
      <c r="L251" s="25" t="s">
        <v>959</v>
      </c>
      <c r="M251" s="25" t="s">
        <v>83</v>
      </c>
      <c r="N251" s="74" t="s">
        <v>103</v>
      </c>
      <c r="O251" s="31">
        <v>0.43</v>
      </c>
      <c r="P251" s="25">
        <v>115</v>
      </c>
      <c r="Q251" s="25">
        <v>30</v>
      </c>
      <c r="R251" s="28" t="s">
        <v>87</v>
      </c>
      <c r="S251" s="34" t="s">
        <v>87</v>
      </c>
      <c r="T251" s="35">
        <v>0.8</v>
      </c>
      <c r="U251" s="25">
        <v>360</v>
      </c>
      <c r="V251" s="25">
        <v>670</v>
      </c>
      <c r="W251" s="34">
        <v>310</v>
      </c>
      <c r="X251" s="36">
        <v>180</v>
      </c>
      <c r="Y251" s="25">
        <v>315</v>
      </c>
      <c r="Z251" s="25">
        <v>715</v>
      </c>
      <c r="AA251" s="34">
        <v>400</v>
      </c>
      <c r="AB251" s="36">
        <v>135</v>
      </c>
      <c r="AC251" s="34" t="s">
        <v>87</v>
      </c>
      <c r="AD251" s="34">
        <v>85</v>
      </c>
      <c r="AE251" s="37">
        <v>1.1655</v>
      </c>
      <c r="AF251" s="37">
        <v>1.0304239130434782</v>
      </c>
      <c r="AG251" s="37">
        <v>1.0922493478260868</v>
      </c>
      <c r="AH251" s="38">
        <v>875.99523599999998</v>
      </c>
      <c r="AI251" s="39">
        <v>143.42832092651912</v>
      </c>
      <c r="AJ251" s="38">
        <v>156.82780491702115</v>
      </c>
      <c r="AK251" s="40">
        <v>311.75104624269539</v>
      </c>
      <c r="AL251" s="212">
        <v>155</v>
      </c>
      <c r="AM251" s="39">
        <v>178.25</v>
      </c>
      <c r="AN251" s="39">
        <v>194.69344624999999</v>
      </c>
      <c r="AO251" s="39">
        <v>648.97815416666663</v>
      </c>
      <c r="AP251" s="42" t="s">
        <v>969</v>
      </c>
      <c r="AQ251" s="62" t="s">
        <v>973</v>
      </c>
      <c r="AR251" s="43"/>
    </row>
    <row r="252" spans="1:44" x14ac:dyDescent="0.3">
      <c r="A252" s="25" t="s">
        <v>1509</v>
      </c>
      <c r="B252" s="25" t="s">
        <v>119</v>
      </c>
      <c r="C252" s="25" t="s">
        <v>120</v>
      </c>
      <c r="D252" s="25" t="s">
        <v>121</v>
      </c>
      <c r="E252" s="109" t="s">
        <v>77</v>
      </c>
      <c r="F252" s="182" t="s">
        <v>139</v>
      </c>
      <c r="G252" s="234" t="s">
        <v>974</v>
      </c>
      <c r="H252" s="66" t="s">
        <v>79</v>
      </c>
      <c r="I252" s="66" t="s">
        <v>80</v>
      </c>
      <c r="J252" s="66" t="s">
        <v>94</v>
      </c>
      <c r="K252" s="111" t="s">
        <v>82</v>
      </c>
      <c r="L252" s="66" t="s">
        <v>975</v>
      </c>
      <c r="M252" s="66" t="s">
        <v>83</v>
      </c>
      <c r="N252" s="183" t="s">
        <v>103</v>
      </c>
      <c r="O252" s="232">
        <v>0.52</v>
      </c>
      <c r="P252" s="209">
        <v>119</v>
      </c>
      <c r="Q252" s="235">
        <v>30</v>
      </c>
      <c r="R252" s="233" t="s">
        <v>87</v>
      </c>
      <c r="S252" s="84" t="s">
        <v>87</v>
      </c>
      <c r="T252" s="114">
        <v>0.8</v>
      </c>
      <c r="U252" s="66">
        <v>365</v>
      </c>
      <c r="V252" s="66">
        <v>765</v>
      </c>
      <c r="W252" s="115">
        <v>400</v>
      </c>
      <c r="X252" s="184">
        <v>125</v>
      </c>
      <c r="Y252" s="66">
        <v>365</v>
      </c>
      <c r="Z252" s="66">
        <v>765</v>
      </c>
      <c r="AA252" s="115">
        <v>400</v>
      </c>
      <c r="AB252" s="184">
        <v>125</v>
      </c>
      <c r="AC252" s="115" t="s">
        <v>87</v>
      </c>
      <c r="AD252" s="115">
        <v>89</v>
      </c>
      <c r="AE252" s="116">
        <v>1.2627999999999999</v>
      </c>
      <c r="AF252" s="116">
        <v>1.0897361344537817</v>
      </c>
      <c r="AG252" s="116">
        <v>1.1551203025210086</v>
      </c>
      <c r="AH252" s="118">
        <v>881.85470400000008</v>
      </c>
      <c r="AI252" s="117">
        <v>132.37702568883279</v>
      </c>
      <c r="AJ252" s="118">
        <v>144.74406606809325</v>
      </c>
      <c r="AK252" s="119">
        <v>287.73031706989349</v>
      </c>
      <c r="AL252" s="120">
        <v>285</v>
      </c>
      <c r="AM252" s="117">
        <v>339.15</v>
      </c>
      <c r="AN252" s="117">
        <v>391.75905060000002</v>
      </c>
      <c r="AO252" s="117">
        <v>1305.8635020000002</v>
      </c>
      <c r="AP252" s="121" t="s">
        <v>987</v>
      </c>
      <c r="AQ252" s="185" t="s">
        <v>988</v>
      </c>
      <c r="AR252" s="123"/>
    </row>
    <row r="253" spans="1:44" x14ac:dyDescent="0.3">
      <c r="A253" s="25" t="s">
        <v>1509</v>
      </c>
      <c r="B253" s="25" t="s">
        <v>119</v>
      </c>
      <c r="C253" s="25" t="s">
        <v>120</v>
      </c>
      <c r="D253" s="25" t="s">
        <v>121</v>
      </c>
      <c r="E253" s="26" t="s">
        <v>77</v>
      </c>
      <c r="F253" s="27" t="s">
        <v>78</v>
      </c>
      <c r="G253" s="67" t="s">
        <v>976</v>
      </c>
      <c r="H253" s="25" t="s">
        <v>79</v>
      </c>
      <c r="I253" s="25" t="s">
        <v>80</v>
      </c>
      <c r="J253" s="25" t="s">
        <v>94</v>
      </c>
      <c r="K253" s="30" t="s">
        <v>82</v>
      </c>
      <c r="L253" s="25" t="s">
        <v>977</v>
      </c>
      <c r="M253" s="25" t="s">
        <v>83</v>
      </c>
      <c r="N253" s="74" t="s">
        <v>103</v>
      </c>
      <c r="O253" s="31">
        <v>0.54</v>
      </c>
      <c r="P253" s="32">
        <v>119</v>
      </c>
      <c r="Q253" s="25">
        <v>30</v>
      </c>
      <c r="R253" s="28" t="s">
        <v>87</v>
      </c>
      <c r="S253" s="34" t="s">
        <v>87</v>
      </c>
      <c r="T253" s="35">
        <v>0.8</v>
      </c>
      <c r="U253" s="25">
        <v>365</v>
      </c>
      <c r="V253" s="25">
        <v>765</v>
      </c>
      <c r="W253" s="34">
        <v>400</v>
      </c>
      <c r="X253" s="36">
        <v>125</v>
      </c>
      <c r="Y253" s="25">
        <v>365</v>
      </c>
      <c r="Z253" s="25">
        <v>765</v>
      </c>
      <c r="AA253" s="34">
        <v>400</v>
      </c>
      <c r="AB253" s="36">
        <v>125</v>
      </c>
      <c r="AC253" s="34" t="s">
        <v>87</v>
      </c>
      <c r="AD253" s="34">
        <v>89</v>
      </c>
      <c r="AE253" s="37">
        <v>1.2806000000000002</v>
      </c>
      <c r="AF253" s="37">
        <v>1.1008798319327733</v>
      </c>
      <c r="AG253" s="37">
        <v>1.1669326218487397</v>
      </c>
      <c r="AH253" s="38">
        <v>883.15680800000007</v>
      </c>
      <c r="AI253" s="39">
        <v>130.53702017793069</v>
      </c>
      <c r="AJ253" s="38">
        <v>142.73216197937541</v>
      </c>
      <c r="AK253" s="40">
        <v>283.73094205517839</v>
      </c>
      <c r="AL253" s="41">
        <v>134</v>
      </c>
      <c r="AM253" s="39">
        <v>159.46</v>
      </c>
      <c r="AN253" s="39">
        <v>186.07907588000003</v>
      </c>
      <c r="AO253" s="39">
        <v>620.26358626666683</v>
      </c>
      <c r="AP253" s="42" t="s">
        <v>989</v>
      </c>
      <c r="AQ253" s="43" t="s">
        <v>990</v>
      </c>
      <c r="AR253" s="43" t="s">
        <v>991</v>
      </c>
    </row>
    <row r="254" spans="1:44" x14ac:dyDescent="0.3">
      <c r="A254" s="25" t="s">
        <v>1509</v>
      </c>
      <c r="B254" s="25" t="s">
        <v>119</v>
      </c>
      <c r="C254" s="25" t="s">
        <v>120</v>
      </c>
      <c r="D254" s="25" t="s">
        <v>121</v>
      </c>
      <c r="E254" s="26" t="s">
        <v>77</v>
      </c>
      <c r="F254" s="27" t="s">
        <v>78</v>
      </c>
      <c r="G254" s="67" t="s">
        <v>978</v>
      </c>
      <c r="H254" s="25" t="s">
        <v>79</v>
      </c>
      <c r="I254" s="25" t="s">
        <v>80</v>
      </c>
      <c r="J254" s="25" t="s">
        <v>94</v>
      </c>
      <c r="K254" s="30" t="s">
        <v>82</v>
      </c>
      <c r="L254" s="25" t="s">
        <v>979</v>
      </c>
      <c r="M254" s="25" t="s">
        <v>83</v>
      </c>
      <c r="N254" s="74" t="s">
        <v>103</v>
      </c>
      <c r="O254" s="31">
        <v>0.63</v>
      </c>
      <c r="P254" s="32">
        <v>119</v>
      </c>
      <c r="Q254" s="25">
        <v>30</v>
      </c>
      <c r="R254" s="28" t="s">
        <v>87</v>
      </c>
      <c r="S254" s="34" t="s">
        <v>87</v>
      </c>
      <c r="T254" s="35">
        <v>0.8</v>
      </c>
      <c r="U254" s="25">
        <v>365</v>
      </c>
      <c r="V254" s="25">
        <v>765</v>
      </c>
      <c r="W254" s="34">
        <v>400</v>
      </c>
      <c r="X254" s="36">
        <v>125</v>
      </c>
      <c r="Y254" s="25">
        <v>365</v>
      </c>
      <c r="Z254" s="25">
        <v>765</v>
      </c>
      <c r="AA254" s="34">
        <v>400</v>
      </c>
      <c r="AB254" s="36">
        <v>125</v>
      </c>
      <c r="AC254" s="34" t="s">
        <v>87</v>
      </c>
      <c r="AD254" s="34">
        <v>89</v>
      </c>
      <c r="AE254" s="37">
        <v>1.3607</v>
      </c>
      <c r="AF254" s="37">
        <v>1.1510264705882354</v>
      </c>
      <c r="AG254" s="37">
        <v>1.2200880588235294</v>
      </c>
      <c r="AH254" s="38">
        <v>889.01627600000006</v>
      </c>
      <c r="AI254" s="39">
        <v>122.85272877185128</v>
      </c>
      <c r="AJ254" s="38">
        <v>134.32998209067992</v>
      </c>
      <c r="AK254" s="40">
        <v>267.02862085387039</v>
      </c>
      <c r="AL254" s="41">
        <v>134</v>
      </c>
      <c r="AM254" s="39">
        <v>159.46</v>
      </c>
      <c r="AN254" s="39">
        <v>194.55524186000002</v>
      </c>
      <c r="AO254" s="39">
        <v>648.51747286666682</v>
      </c>
      <c r="AP254" s="42" t="s">
        <v>924</v>
      </c>
      <c r="AQ254" s="62" t="s">
        <v>992</v>
      </c>
      <c r="AR254" s="43" t="s">
        <v>993</v>
      </c>
    </row>
    <row r="255" spans="1:44" x14ac:dyDescent="0.3">
      <c r="A255" s="25" t="s">
        <v>1509</v>
      </c>
      <c r="B255" s="25" t="s">
        <v>119</v>
      </c>
      <c r="C255" s="25" t="s">
        <v>120</v>
      </c>
      <c r="D255" s="25" t="s">
        <v>121</v>
      </c>
      <c r="E255" s="86" t="s">
        <v>77</v>
      </c>
      <c r="F255" s="47" t="s">
        <v>122</v>
      </c>
      <c r="G255" s="230" t="s">
        <v>980</v>
      </c>
      <c r="H255" s="47" t="s">
        <v>79</v>
      </c>
      <c r="I255" s="47" t="s">
        <v>80</v>
      </c>
      <c r="J255" s="47" t="s">
        <v>94</v>
      </c>
      <c r="K255" s="87" t="s">
        <v>82</v>
      </c>
      <c r="L255" s="108" t="s">
        <v>981</v>
      </c>
      <c r="M255" s="47" t="s">
        <v>83</v>
      </c>
      <c r="N255" s="89" t="s">
        <v>103</v>
      </c>
      <c r="O255" s="229">
        <v>0.56999999999999995</v>
      </c>
      <c r="P255" s="47">
        <v>107</v>
      </c>
      <c r="Q255" s="218">
        <v>30</v>
      </c>
      <c r="R255" s="230" t="s">
        <v>87</v>
      </c>
      <c r="S255" s="84" t="s">
        <v>87</v>
      </c>
      <c r="T255" s="92">
        <v>0.8</v>
      </c>
      <c r="U255" s="47">
        <v>360</v>
      </c>
      <c r="V255" s="47">
        <v>560</v>
      </c>
      <c r="W255" s="84">
        <v>200</v>
      </c>
      <c r="X255" s="93">
        <v>210</v>
      </c>
      <c r="Y255" s="47">
        <v>260</v>
      </c>
      <c r="Z255" s="47">
        <v>660</v>
      </c>
      <c r="AA255" s="84">
        <v>400</v>
      </c>
      <c r="AB255" s="93">
        <v>110</v>
      </c>
      <c r="AC255" s="84" t="s">
        <v>87</v>
      </c>
      <c r="AD255" s="84">
        <v>77</v>
      </c>
      <c r="AE255" s="75">
        <v>1.2389000000000001</v>
      </c>
      <c r="AF255" s="75">
        <v>1.0809780373831774</v>
      </c>
      <c r="AG255" s="75">
        <v>1.1458367196261681</v>
      </c>
      <c r="AH255" s="97">
        <v>885.10996399999999</v>
      </c>
      <c r="AI255" s="39">
        <v>134.93075150525306</v>
      </c>
      <c r="AJ255" s="97">
        <v>147.53636825473257</v>
      </c>
      <c r="AK255" s="40">
        <v>293.28101089342272</v>
      </c>
      <c r="AL255" s="212">
        <v>140</v>
      </c>
      <c r="AM255" s="39">
        <v>149.80000000000001</v>
      </c>
      <c r="AN255" s="39">
        <v>171.6463406</v>
      </c>
      <c r="AO255" s="39">
        <v>572.15446866666673</v>
      </c>
      <c r="AP255" s="107" t="s">
        <v>994</v>
      </c>
      <c r="AQ255" s="108" t="s">
        <v>995</v>
      </c>
      <c r="AR255" s="241"/>
    </row>
    <row r="256" spans="1:44" x14ac:dyDescent="0.3">
      <c r="A256" s="25" t="s">
        <v>1509</v>
      </c>
      <c r="B256" s="25" t="s">
        <v>119</v>
      </c>
      <c r="C256" s="25" t="s">
        <v>120</v>
      </c>
      <c r="D256" s="25" t="s">
        <v>121</v>
      </c>
      <c r="E256" s="86" t="s">
        <v>77</v>
      </c>
      <c r="F256" s="47" t="s">
        <v>122</v>
      </c>
      <c r="G256" s="230" t="s">
        <v>982</v>
      </c>
      <c r="H256" s="47" t="s">
        <v>79</v>
      </c>
      <c r="I256" s="240" t="s">
        <v>983</v>
      </c>
      <c r="J256" s="47" t="s">
        <v>94</v>
      </c>
      <c r="K256" s="87" t="s">
        <v>82</v>
      </c>
      <c r="L256" s="47" t="s">
        <v>984</v>
      </c>
      <c r="M256" s="47" t="s">
        <v>83</v>
      </c>
      <c r="N256" s="89" t="s">
        <v>103</v>
      </c>
      <c r="O256" s="229">
        <v>0.6</v>
      </c>
      <c r="P256" s="47">
        <v>107</v>
      </c>
      <c r="Q256" s="218">
        <v>28</v>
      </c>
      <c r="R256" s="230" t="s">
        <v>87</v>
      </c>
      <c r="S256" s="84" t="s">
        <v>87</v>
      </c>
      <c r="T256" s="92">
        <v>0.8</v>
      </c>
      <c r="U256" s="47">
        <v>260</v>
      </c>
      <c r="V256" s="47">
        <v>660</v>
      </c>
      <c r="W256" s="84">
        <v>400</v>
      </c>
      <c r="X256" s="93">
        <v>130</v>
      </c>
      <c r="Y256" s="47">
        <v>260</v>
      </c>
      <c r="Z256" s="47">
        <v>660</v>
      </c>
      <c r="AA256" s="84">
        <v>400</v>
      </c>
      <c r="AB256" s="93">
        <v>130</v>
      </c>
      <c r="AC256" s="84" t="s">
        <v>87</v>
      </c>
      <c r="AD256" s="84">
        <v>79</v>
      </c>
      <c r="AE256" s="75">
        <v>1.274</v>
      </c>
      <c r="AF256" s="75">
        <v>1.099018691588785</v>
      </c>
      <c r="AG256" s="75">
        <v>1.1649598130841121</v>
      </c>
      <c r="AH256" s="97">
        <v>887.06312000000003</v>
      </c>
      <c r="AI256" s="39">
        <v>131.21327161684303</v>
      </c>
      <c r="AJ256" s="97">
        <v>143.47159076200012</v>
      </c>
      <c r="AK256" s="40">
        <v>285.20081977697129</v>
      </c>
      <c r="AL256" s="212">
        <v>140</v>
      </c>
      <c r="AM256" s="39">
        <v>149.80000000000001</v>
      </c>
      <c r="AN256" s="39">
        <v>174.51098000000002</v>
      </c>
      <c r="AO256" s="39">
        <v>623.25350000000003</v>
      </c>
      <c r="AP256" s="107" t="s">
        <v>996</v>
      </c>
      <c r="AQ256" s="108" t="s">
        <v>997</v>
      </c>
      <c r="AR256" s="241"/>
    </row>
    <row r="257" spans="1:44" x14ac:dyDescent="0.3">
      <c r="A257" s="25" t="s">
        <v>1509</v>
      </c>
      <c r="B257" s="25" t="s">
        <v>119</v>
      </c>
      <c r="C257" s="25" t="s">
        <v>120</v>
      </c>
      <c r="D257" s="25" t="s">
        <v>121</v>
      </c>
      <c r="E257" s="86" t="s">
        <v>77</v>
      </c>
      <c r="F257" s="47" t="s">
        <v>122</v>
      </c>
      <c r="G257" s="230" t="s">
        <v>985</v>
      </c>
      <c r="H257" s="47" t="s">
        <v>79</v>
      </c>
      <c r="I257" s="47" t="s">
        <v>80</v>
      </c>
      <c r="J257" s="47" t="s">
        <v>94</v>
      </c>
      <c r="K257" s="87" t="s">
        <v>82</v>
      </c>
      <c r="L257" s="108" t="s">
        <v>986</v>
      </c>
      <c r="M257" s="47" t="s">
        <v>83</v>
      </c>
      <c r="N257" s="89" t="s">
        <v>103</v>
      </c>
      <c r="O257" s="229">
        <v>0.63</v>
      </c>
      <c r="P257" s="47">
        <v>107</v>
      </c>
      <c r="Q257" s="218">
        <v>30</v>
      </c>
      <c r="R257" s="230" t="s">
        <v>87</v>
      </c>
      <c r="S257" s="84" t="s">
        <v>87</v>
      </c>
      <c r="T257" s="92">
        <v>0.8</v>
      </c>
      <c r="U257" s="47">
        <v>360</v>
      </c>
      <c r="V257" s="47">
        <v>560</v>
      </c>
      <c r="W257" s="84">
        <v>200</v>
      </c>
      <c r="X257" s="93">
        <v>210</v>
      </c>
      <c r="Y257" s="47">
        <v>260</v>
      </c>
      <c r="Z257" s="47">
        <v>660</v>
      </c>
      <c r="AA257" s="84">
        <v>400</v>
      </c>
      <c r="AB257" s="93">
        <v>110</v>
      </c>
      <c r="AC257" s="84" t="s">
        <v>87</v>
      </c>
      <c r="AD257" s="84">
        <v>77</v>
      </c>
      <c r="AE257" s="75">
        <v>1.2850999999999999</v>
      </c>
      <c r="AF257" s="75">
        <v>1.1105546728971962</v>
      </c>
      <c r="AG257" s="75">
        <v>1.1771879532710281</v>
      </c>
      <c r="AH257" s="97">
        <v>889.01627600000006</v>
      </c>
      <c r="AI257" s="39">
        <v>130.07992221605949</v>
      </c>
      <c r="AJ257" s="97">
        <v>142.23236061846407</v>
      </c>
      <c r="AK257" s="40">
        <v>282.73740907000354</v>
      </c>
      <c r="AL257" s="212">
        <v>140</v>
      </c>
      <c r="AM257" s="39">
        <v>149.80000000000001</v>
      </c>
      <c r="AN257" s="39">
        <v>176.34275540000002</v>
      </c>
      <c r="AO257" s="39">
        <v>587.80918466666674</v>
      </c>
      <c r="AP257" s="107" t="s">
        <v>994</v>
      </c>
      <c r="AQ257" s="108" t="s">
        <v>998</v>
      </c>
      <c r="AR257" s="241"/>
    </row>
    <row r="258" spans="1:44" x14ac:dyDescent="0.3">
      <c r="A258" s="25" t="s">
        <v>1509</v>
      </c>
      <c r="B258" s="25" t="s">
        <v>119</v>
      </c>
      <c r="C258" s="25" t="s">
        <v>120</v>
      </c>
      <c r="D258" s="25" t="s">
        <v>121</v>
      </c>
      <c r="E258" s="109" t="s">
        <v>77</v>
      </c>
      <c r="F258" s="182" t="s">
        <v>139</v>
      </c>
      <c r="G258" s="234" t="s">
        <v>999</v>
      </c>
      <c r="H258" s="66" t="s">
        <v>79</v>
      </c>
      <c r="I258" s="66" t="s">
        <v>80</v>
      </c>
      <c r="J258" s="66" t="s">
        <v>94</v>
      </c>
      <c r="K258" s="111" t="s">
        <v>82</v>
      </c>
      <c r="L258" s="66" t="s">
        <v>1000</v>
      </c>
      <c r="M258" s="66" t="s">
        <v>83</v>
      </c>
      <c r="N258" s="183" t="s">
        <v>103</v>
      </c>
      <c r="O258" s="232">
        <v>0.55000000000000004</v>
      </c>
      <c r="P258" s="66">
        <v>104</v>
      </c>
      <c r="Q258" s="66">
        <v>30</v>
      </c>
      <c r="R258" s="233" t="s">
        <v>87</v>
      </c>
      <c r="S258" s="84" t="s">
        <v>87</v>
      </c>
      <c r="T258" s="114">
        <v>0.8</v>
      </c>
      <c r="U258" s="66">
        <v>280</v>
      </c>
      <c r="V258" s="66">
        <v>620</v>
      </c>
      <c r="W258" s="115">
        <v>340</v>
      </c>
      <c r="X258" s="184">
        <v>120</v>
      </c>
      <c r="Y258" s="66">
        <v>250</v>
      </c>
      <c r="Z258" s="66">
        <v>650</v>
      </c>
      <c r="AA258" s="115">
        <v>400</v>
      </c>
      <c r="AB258" s="184">
        <v>90</v>
      </c>
      <c r="AC258" s="115" t="s">
        <v>87</v>
      </c>
      <c r="AD258" s="115">
        <v>74</v>
      </c>
      <c r="AE258" s="116">
        <v>1.2070000000000001</v>
      </c>
      <c r="AF258" s="116">
        <v>1.0622019230769231</v>
      </c>
      <c r="AG258" s="116">
        <v>1.1259340384615384</v>
      </c>
      <c r="AH258" s="118">
        <v>883.80786000000012</v>
      </c>
      <c r="AI258" s="117">
        <v>138.49685835945155</v>
      </c>
      <c r="AJ258" s="118">
        <v>151.43563101142351</v>
      </c>
      <c r="AK258" s="119">
        <v>301.03218259806255</v>
      </c>
      <c r="AL258" s="120">
        <v>300</v>
      </c>
      <c r="AM258" s="117">
        <v>312</v>
      </c>
      <c r="AN258" s="117">
        <v>351.29141999999996</v>
      </c>
      <c r="AO258" s="117">
        <v>1170.9713999999999</v>
      </c>
      <c r="AP258" s="121" t="s">
        <v>1008</v>
      </c>
      <c r="AQ258" s="185" t="s">
        <v>1009</v>
      </c>
      <c r="AR258" s="123"/>
    </row>
    <row r="259" spans="1:44" x14ac:dyDescent="0.3">
      <c r="A259" s="25" t="s">
        <v>1509</v>
      </c>
      <c r="B259" s="25" t="s">
        <v>119</v>
      </c>
      <c r="C259" s="25" t="s">
        <v>120</v>
      </c>
      <c r="D259" s="25" t="s">
        <v>121</v>
      </c>
      <c r="E259" s="26" t="s">
        <v>77</v>
      </c>
      <c r="F259" s="27" t="s">
        <v>78</v>
      </c>
      <c r="G259" s="67" t="s">
        <v>1001</v>
      </c>
      <c r="H259" s="25" t="s">
        <v>79</v>
      </c>
      <c r="I259" s="25" t="s">
        <v>80</v>
      </c>
      <c r="J259" s="25" t="s">
        <v>94</v>
      </c>
      <c r="K259" s="30" t="s">
        <v>82</v>
      </c>
      <c r="L259" s="25" t="s">
        <v>1002</v>
      </c>
      <c r="M259" s="25" t="s">
        <v>83</v>
      </c>
      <c r="N259" s="74" t="s">
        <v>103</v>
      </c>
      <c r="O259" s="31">
        <v>0.56999999999999995</v>
      </c>
      <c r="P259" s="25">
        <v>104</v>
      </c>
      <c r="Q259" s="25">
        <v>30</v>
      </c>
      <c r="R259" s="28" t="s">
        <v>87</v>
      </c>
      <c r="S259" s="34" t="s">
        <v>87</v>
      </c>
      <c r="T259" s="35">
        <v>0.8</v>
      </c>
      <c r="U259" s="25">
        <v>280</v>
      </c>
      <c r="V259" s="25">
        <v>620</v>
      </c>
      <c r="W259" s="34">
        <v>340</v>
      </c>
      <c r="X259" s="36">
        <v>120</v>
      </c>
      <c r="Y259" s="25">
        <v>250</v>
      </c>
      <c r="Z259" s="25">
        <v>650</v>
      </c>
      <c r="AA259" s="34">
        <v>400</v>
      </c>
      <c r="AB259" s="36">
        <v>90</v>
      </c>
      <c r="AC259" s="34" t="s">
        <v>87</v>
      </c>
      <c r="AD259" s="34">
        <v>74</v>
      </c>
      <c r="AE259" s="37">
        <v>1.2218</v>
      </c>
      <c r="AF259" s="37">
        <v>1.0717365384615383</v>
      </c>
      <c r="AG259" s="37">
        <v>1.1360407307692304</v>
      </c>
      <c r="AH259" s="38">
        <v>885.10996399999999</v>
      </c>
      <c r="AI259" s="39">
        <v>136.81920775892783</v>
      </c>
      <c r="AJ259" s="38">
        <v>149.60124949319706</v>
      </c>
      <c r="AK259" s="40">
        <v>297.38569683733954</v>
      </c>
      <c r="AL259" s="41">
        <v>140</v>
      </c>
      <c r="AM259" s="39">
        <v>145.6</v>
      </c>
      <c r="AN259" s="39">
        <v>165.40753039999993</v>
      </c>
      <c r="AO259" s="39">
        <v>551.35843466666643</v>
      </c>
      <c r="AP259" s="42" t="s">
        <v>1010</v>
      </c>
      <c r="AQ259" s="62" t="s">
        <v>1011</v>
      </c>
      <c r="AR259" s="43"/>
    </row>
    <row r="260" spans="1:44" x14ac:dyDescent="0.3">
      <c r="A260" s="25" t="s">
        <v>1509</v>
      </c>
      <c r="B260" s="25" t="s">
        <v>119</v>
      </c>
      <c r="C260" s="25" t="s">
        <v>120</v>
      </c>
      <c r="D260" s="25" t="s">
        <v>121</v>
      </c>
      <c r="E260" s="26" t="s">
        <v>77</v>
      </c>
      <c r="F260" s="27" t="s">
        <v>78</v>
      </c>
      <c r="G260" s="67" t="s">
        <v>1003</v>
      </c>
      <c r="H260" s="25" t="s">
        <v>79</v>
      </c>
      <c r="I260" s="25" t="s">
        <v>80</v>
      </c>
      <c r="J260" s="25" t="s">
        <v>94</v>
      </c>
      <c r="K260" s="30" t="s">
        <v>82</v>
      </c>
      <c r="L260" s="25" t="s">
        <v>1004</v>
      </c>
      <c r="M260" s="25" t="s">
        <v>83</v>
      </c>
      <c r="N260" s="74" t="s">
        <v>103</v>
      </c>
      <c r="O260" s="31">
        <v>0.62</v>
      </c>
      <c r="P260" s="25">
        <v>104</v>
      </c>
      <c r="Q260" s="25">
        <v>30</v>
      </c>
      <c r="R260" s="28" t="s">
        <v>87</v>
      </c>
      <c r="S260" s="34" t="s">
        <v>87</v>
      </c>
      <c r="T260" s="35">
        <v>0.8</v>
      </c>
      <c r="U260" s="25">
        <v>280</v>
      </c>
      <c r="V260" s="25">
        <v>620</v>
      </c>
      <c r="W260" s="34">
        <v>340</v>
      </c>
      <c r="X260" s="36">
        <v>120</v>
      </c>
      <c r="Y260" s="25">
        <v>250</v>
      </c>
      <c r="Z260" s="25">
        <v>650</v>
      </c>
      <c r="AA260" s="34">
        <v>400</v>
      </c>
      <c r="AB260" s="36">
        <v>90</v>
      </c>
      <c r="AC260" s="34" t="s">
        <v>87</v>
      </c>
      <c r="AD260" s="34">
        <v>74</v>
      </c>
      <c r="AE260" s="37">
        <v>1.2587999999999999</v>
      </c>
      <c r="AF260" s="37">
        <v>1.0955730769230767</v>
      </c>
      <c r="AG260" s="37">
        <v>1.1613074615384613</v>
      </c>
      <c r="AH260" s="38">
        <v>888.36522400000001</v>
      </c>
      <c r="AI260" s="39">
        <v>132.79767082924852</v>
      </c>
      <c r="AJ260" s="38">
        <v>145.20400908070241</v>
      </c>
      <c r="AK260" s="40">
        <v>288.64461741012195</v>
      </c>
      <c r="AL260" s="41">
        <v>140</v>
      </c>
      <c r="AM260" s="39">
        <v>145.6</v>
      </c>
      <c r="AN260" s="39">
        <v>169.08636639999997</v>
      </c>
      <c r="AO260" s="39">
        <v>563.62122133333332</v>
      </c>
      <c r="AP260" s="42" t="s">
        <v>1010</v>
      </c>
      <c r="AQ260" s="62" t="s">
        <v>1012</v>
      </c>
      <c r="AR260" s="43"/>
    </row>
    <row r="261" spans="1:44" x14ac:dyDescent="0.3">
      <c r="A261" s="25" t="s">
        <v>1509</v>
      </c>
      <c r="B261" s="25" t="s">
        <v>119</v>
      </c>
      <c r="C261" s="25" t="s">
        <v>120</v>
      </c>
      <c r="D261" s="25" t="s">
        <v>121</v>
      </c>
      <c r="E261" s="26" t="s">
        <v>77</v>
      </c>
      <c r="F261" s="27" t="s">
        <v>78</v>
      </c>
      <c r="G261" s="67" t="s">
        <v>1005</v>
      </c>
      <c r="H261" s="25" t="s">
        <v>79</v>
      </c>
      <c r="I261" s="25" t="s">
        <v>80</v>
      </c>
      <c r="J261" s="25" t="s">
        <v>94</v>
      </c>
      <c r="K261" s="30" t="s">
        <v>82</v>
      </c>
      <c r="L261" s="25" t="s">
        <v>1006</v>
      </c>
      <c r="M261" s="25" t="s">
        <v>83</v>
      </c>
      <c r="N261" s="74" t="s">
        <v>103</v>
      </c>
      <c r="O261" s="31">
        <v>0.67</v>
      </c>
      <c r="P261" s="25">
        <v>104</v>
      </c>
      <c r="Q261" s="25">
        <v>30</v>
      </c>
      <c r="R261" s="28" t="s">
        <v>87</v>
      </c>
      <c r="S261" s="34" t="s">
        <v>87</v>
      </c>
      <c r="T261" s="35">
        <v>0.8</v>
      </c>
      <c r="U261" s="25">
        <v>280</v>
      </c>
      <c r="V261" s="25">
        <v>620</v>
      </c>
      <c r="W261" s="34">
        <v>340</v>
      </c>
      <c r="X261" s="36">
        <v>120</v>
      </c>
      <c r="Y261" s="25">
        <v>250</v>
      </c>
      <c r="Z261" s="25">
        <v>650</v>
      </c>
      <c r="AA261" s="34">
        <v>400</v>
      </c>
      <c r="AB261" s="36">
        <v>90</v>
      </c>
      <c r="AC261" s="34" t="s">
        <v>87</v>
      </c>
      <c r="AD261" s="34">
        <v>74</v>
      </c>
      <c r="AE261" s="37">
        <v>1.2958000000000001</v>
      </c>
      <c r="AF261" s="37">
        <v>1.1194096153846154</v>
      </c>
      <c r="AG261" s="37">
        <v>1.1865741923076922</v>
      </c>
      <c r="AH261" s="38">
        <v>891.62048400000003</v>
      </c>
      <c r="AI261" s="39">
        <v>129.00579413478781</v>
      </c>
      <c r="AJ261" s="38">
        <v>141.05788441950006</v>
      </c>
      <c r="AK261" s="40">
        <v>280.40271986098276</v>
      </c>
      <c r="AL261" s="41">
        <v>140</v>
      </c>
      <c r="AM261" s="39">
        <v>145.6</v>
      </c>
      <c r="AN261" s="39">
        <v>172.76520239999999</v>
      </c>
      <c r="AO261" s="39">
        <v>575.88400799999999</v>
      </c>
      <c r="AP261" s="42" t="s">
        <v>1010</v>
      </c>
      <c r="AQ261" s="62" t="s">
        <v>1013</v>
      </c>
      <c r="AR261" s="43"/>
    </row>
    <row r="262" spans="1:44" x14ac:dyDescent="0.3">
      <c r="A262" s="25" t="s">
        <v>1509</v>
      </c>
      <c r="B262" s="25" t="s">
        <v>119</v>
      </c>
      <c r="C262" s="25" t="s">
        <v>120</v>
      </c>
      <c r="D262" s="25" t="s">
        <v>121</v>
      </c>
      <c r="E262" s="86" t="s">
        <v>77</v>
      </c>
      <c r="F262" s="47" t="s">
        <v>122</v>
      </c>
      <c r="G262" s="230" t="s">
        <v>1007</v>
      </c>
      <c r="H262" s="47" t="s">
        <v>79</v>
      </c>
      <c r="I262" s="47" t="s">
        <v>80</v>
      </c>
      <c r="J262" s="47" t="s">
        <v>94</v>
      </c>
      <c r="K262" s="87" t="s">
        <v>82</v>
      </c>
      <c r="L262" s="108" t="s">
        <v>186</v>
      </c>
      <c r="M262" s="47" t="s">
        <v>83</v>
      </c>
      <c r="N262" s="89" t="s">
        <v>103</v>
      </c>
      <c r="O262" s="229">
        <v>0.55000000000000004</v>
      </c>
      <c r="P262" s="47">
        <v>115</v>
      </c>
      <c r="Q262" s="218">
        <v>30</v>
      </c>
      <c r="R262" s="230" t="s">
        <v>87</v>
      </c>
      <c r="S262" s="84" t="s">
        <v>87</v>
      </c>
      <c r="T262" s="92">
        <v>0.8</v>
      </c>
      <c r="U262" s="47">
        <v>440</v>
      </c>
      <c r="V262" s="47">
        <v>680</v>
      </c>
      <c r="W262" s="84">
        <v>240</v>
      </c>
      <c r="X262" s="93">
        <v>170</v>
      </c>
      <c r="Y262" s="47">
        <v>360</v>
      </c>
      <c r="Z262" s="47">
        <v>760</v>
      </c>
      <c r="AA262" s="84">
        <v>400</v>
      </c>
      <c r="AB262" s="93">
        <v>90</v>
      </c>
      <c r="AC262" s="84" t="s">
        <v>87</v>
      </c>
      <c r="AD262" s="84">
        <v>85</v>
      </c>
      <c r="AE262" s="75">
        <v>1.2675000000000001</v>
      </c>
      <c r="AF262" s="75">
        <v>1.0947282608695652</v>
      </c>
      <c r="AG262" s="75">
        <v>1.160411956521739</v>
      </c>
      <c r="AH262" s="97">
        <v>883.80786000000012</v>
      </c>
      <c r="AI262" s="39">
        <v>131.8861601892371</v>
      </c>
      <c r="AJ262" s="97">
        <v>144.20734250949758</v>
      </c>
      <c r="AK262" s="40">
        <v>286.66338808351992</v>
      </c>
      <c r="AL262" s="212">
        <v>285</v>
      </c>
      <c r="AM262" s="39">
        <v>327.75</v>
      </c>
      <c r="AN262" s="39">
        <v>380.32501874999997</v>
      </c>
      <c r="AO262" s="39">
        <v>1267.7500625</v>
      </c>
      <c r="AP262" s="107" t="s">
        <v>1014</v>
      </c>
      <c r="AQ262" s="108" t="s">
        <v>1015</v>
      </c>
      <c r="AR262" s="241"/>
    </row>
    <row r="263" spans="1:44" x14ac:dyDescent="0.3">
      <c r="A263" s="25" t="s">
        <v>1509</v>
      </c>
      <c r="B263" s="25" t="s">
        <v>119</v>
      </c>
      <c r="C263" s="25" t="s">
        <v>120</v>
      </c>
      <c r="D263" s="25" t="s">
        <v>121</v>
      </c>
      <c r="E263" s="243" t="s">
        <v>77</v>
      </c>
      <c r="F263" s="149" t="s">
        <v>122</v>
      </c>
      <c r="G263" s="242" t="s">
        <v>1016</v>
      </c>
      <c r="H263" s="149" t="s">
        <v>79</v>
      </c>
      <c r="I263" s="149" t="s">
        <v>80</v>
      </c>
      <c r="J263" s="149" t="s">
        <v>94</v>
      </c>
      <c r="K263" s="244" t="s">
        <v>82</v>
      </c>
      <c r="L263" s="149" t="s">
        <v>1017</v>
      </c>
      <c r="M263" s="149" t="s">
        <v>83</v>
      </c>
      <c r="N263" s="245" t="s">
        <v>103</v>
      </c>
      <c r="O263" s="246">
        <v>0.49</v>
      </c>
      <c r="P263" s="149">
        <v>106</v>
      </c>
      <c r="Q263" s="149">
        <v>29</v>
      </c>
      <c r="R263" s="247" t="s">
        <v>87</v>
      </c>
      <c r="S263" s="155" t="s">
        <v>87</v>
      </c>
      <c r="T263" s="248">
        <v>0.8</v>
      </c>
      <c r="U263" s="149">
        <v>350</v>
      </c>
      <c r="V263" s="149">
        <v>620</v>
      </c>
      <c r="W263" s="155">
        <v>270</v>
      </c>
      <c r="X263" s="157">
        <v>150</v>
      </c>
      <c r="Y263" s="149">
        <v>285</v>
      </c>
      <c r="Z263" s="149">
        <v>685</v>
      </c>
      <c r="AA263" s="155">
        <v>400</v>
      </c>
      <c r="AB263" s="157">
        <v>85</v>
      </c>
      <c r="AC263" s="155" t="s">
        <v>87</v>
      </c>
      <c r="AD263" s="155">
        <v>77</v>
      </c>
      <c r="AE263" s="163">
        <v>1.1773</v>
      </c>
      <c r="AF263" s="163">
        <v>1.0402617924528303</v>
      </c>
      <c r="AG263" s="163">
        <v>1.1026775000000002</v>
      </c>
      <c r="AH263" s="164">
        <v>879.90154800000005</v>
      </c>
      <c r="AI263" s="165">
        <v>141.99074835628815</v>
      </c>
      <c r="AJ263" s="164">
        <v>155.25593020537517</v>
      </c>
      <c r="AK263" s="166">
        <v>308.62638613425759</v>
      </c>
      <c r="AL263" s="249">
        <v>150</v>
      </c>
      <c r="AM263" s="165">
        <v>159</v>
      </c>
      <c r="AN263" s="165">
        <v>175.32572250000004</v>
      </c>
      <c r="AO263" s="165">
        <v>604.57145689655192</v>
      </c>
      <c r="AP263" s="250" t="s">
        <v>1018</v>
      </c>
      <c r="AQ263" s="251" t="s">
        <v>1019</v>
      </c>
      <c r="AR263" s="251"/>
    </row>
    <row r="264" spans="1:44" ht="33" x14ac:dyDescent="0.3">
      <c r="A264" s="25" t="s">
        <v>1509</v>
      </c>
      <c r="B264" s="25" t="s">
        <v>119</v>
      </c>
      <c r="C264" s="25" t="s">
        <v>120</v>
      </c>
      <c r="D264" s="25" t="s">
        <v>121</v>
      </c>
      <c r="E264" s="109" t="s">
        <v>77</v>
      </c>
      <c r="F264" s="182" t="s">
        <v>139</v>
      </c>
      <c r="G264" s="66" t="s">
        <v>1020</v>
      </c>
      <c r="H264" s="181" t="s">
        <v>79</v>
      </c>
      <c r="I264" s="66" t="s">
        <v>80</v>
      </c>
      <c r="J264" s="66" t="s">
        <v>94</v>
      </c>
      <c r="K264" s="111" t="s">
        <v>82</v>
      </c>
      <c r="L264" s="66" t="s">
        <v>1021</v>
      </c>
      <c r="M264" s="66" t="s">
        <v>83</v>
      </c>
      <c r="N264" s="252" t="s">
        <v>142</v>
      </c>
      <c r="O264" s="113">
        <v>0.48</v>
      </c>
      <c r="P264" s="66">
        <v>108</v>
      </c>
      <c r="Q264" s="214">
        <v>25</v>
      </c>
      <c r="R264" s="66" t="s">
        <v>87</v>
      </c>
      <c r="S264" s="115" t="s">
        <v>87</v>
      </c>
      <c r="T264" s="114">
        <v>0.8</v>
      </c>
      <c r="U264" s="66">
        <v>200</v>
      </c>
      <c r="V264" s="66">
        <v>600</v>
      </c>
      <c r="W264" s="115">
        <v>400</v>
      </c>
      <c r="X264" s="184">
        <v>230</v>
      </c>
      <c r="Y264" s="66">
        <v>200</v>
      </c>
      <c r="Z264" s="66">
        <v>600</v>
      </c>
      <c r="AA264" s="115">
        <v>400</v>
      </c>
      <c r="AB264" s="184">
        <v>230</v>
      </c>
      <c r="AC264" s="115" t="s">
        <v>87</v>
      </c>
      <c r="AD264" s="115">
        <v>83</v>
      </c>
      <c r="AE264" s="116">
        <v>1.1983999999999999</v>
      </c>
      <c r="AF264" s="116">
        <v>1.0453111111111111</v>
      </c>
      <c r="AG264" s="116">
        <v>1.1080297777777779</v>
      </c>
      <c r="AH264" s="118">
        <v>879.250496</v>
      </c>
      <c r="AI264" s="117">
        <v>139.49074435902708</v>
      </c>
      <c r="AJ264" s="118">
        <v>152.52236868390202</v>
      </c>
      <c r="AK264" s="119">
        <v>303.19246027692049</v>
      </c>
      <c r="AL264" s="120">
        <v>303</v>
      </c>
      <c r="AM264" s="117">
        <v>327.24</v>
      </c>
      <c r="AN264" s="117">
        <v>362.59166448000002</v>
      </c>
      <c r="AO264" s="117">
        <v>1450.3666579200001</v>
      </c>
      <c r="AP264" s="255" t="s">
        <v>1052</v>
      </c>
      <c r="AQ264" s="185" t="s">
        <v>1053</v>
      </c>
      <c r="AR264" s="256"/>
    </row>
    <row r="265" spans="1:44" x14ac:dyDescent="0.3">
      <c r="A265" s="25" t="s">
        <v>1509</v>
      </c>
      <c r="B265" s="25" t="s">
        <v>119</v>
      </c>
      <c r="C265" s="25" t="s">
        <v>120</v>
      </c>
      <c r="D265" s="25" t="s">
        <v>121</v>
      </c>
      <c r="E265" s="26" t="s">
        <v>77</v>
      </c>
      <c r="F265" s="27" t="s">
        <v>78</v>
      </c>
      <c r="G265" s="25" t="s">
        <v>1022</v>
      </c>
      <c r="H265" s="178" t="s">
        <v>101</v>
      </c>
      <c r="I265" s="25" t="s">
        <v>80</v>
      </c>
      <c r="J265" s="25" t="s">
        <v>94</v>
      </c>
      <c r="K265" s="30" t="s">
        <v>82</v>
      </c>
      <c r="L265" s="25" t="s">
        <v>1023</v>
      </c>
      <c r="M265" s="25" t="s">
        <v>83</v>
      </c>
      <c r="N265" s="74" t="s">
        <v>103</v>
      </c>
      <c r="O265" s="61">
        <v>0.56999999999999995</v>
      </c>
      <c r="P265" s="25">
        <v>111</v>
      </c>
      <c r="Q265" s="25">
        <v>30</v>
      </c>
      <c r="R265" s="25" t="s">
        <v>87</v>
      </c>
      <c r="S265" s="34" t="s">
        <v>87</v>
      </c>
      <c r="T265" s="35">
        <v>0.8</v>
      </c>
      <c r="U265" s="25">
        <v>273</v>
      </c>
      <c r="V265" s="25">
        <v>491</v>
      </c>
      <c r="W265" s="34">
        <v>218</v>
      </c>
      <c r="X265" s="36">
        <v>319</v>
      </c>
      <c r="Y265" s="25">
        <v>273</v>
      </c>
      <c r="Z265" s="25">
        <v>673</v>
      </c>
      <c r="AA265" s="34">
        <v>400</v>
      </c>
      <c r="AB265" s="36">
        <v>137</v>
      </c>
      <c r="AC265" s="34" t="s">
        <v>87</v>
      </c>
      <c r="AD265" s="34">
        <v>81</v>
      </c>
      <c r="AE265" s="37">
        <v>1.2617</v>
      </c>
      <c r="AF265" s="37">
        <v>1.093241891891892</v>
      </c>
      <c r="AG265" s="37">
        <v>1.1588364054054054</v>
      </c>
      <c r="AH265" s="38">
        <v>885.10996399999999</v>
      </c>
      <c r="AI265" s="39">
        <v>132.4924372195118</v>
      </c>
      <c r="AJ265" s="38">
        <v>144.87025967408113</v>
      </c>
      <c r="AK265" s="40">
        <v>287.98117174911744</v>
      </c>
      <c r="AL265" s="41">
        <v>145</v>
      </c>
      <c r="AM265" s="39">
        <v>160.94999999999999</v>
      </c>
      <c r="AN265" s="39">
        <v>186.51471945</v>
      </c>
      <c r="AO265" s="39">
        <v>621.71573150000006</v>
      </c>
      <c r="AP265" s="257" t="s">
        <v>1054</v>
      </c>
      <c r="AQ265" s="201" t="s">
        <v>1055</v>
      </c>
      <c r="AR265" s="44"/>
    </row>
    <row r="266" spans="1:44" x14ac:dyDescent="0.3">
      <c r="A266" s="25" t="s">
        <v>1509</v>
      </c>
      <c r="B266" s="25" t="s">
        <v>119</v>
      </c>
      <c r="C266" s="25" t="s">
        <v>120</v>
      </c>
      <c r="D266" s="25" t="s">
        <v>121</v>
      </c>
      <c r="E266" s="26" t="s">
        <v>77</v>
      </c>
      <c r="F266" s="27" t="s">
        <v>78</v>
      </c>
      <c r="G266" s="25" t="s">
        <v>1024</v>
      </c>
      <c r="H266" s="178" t="s">
        <v>101</v>
      </c>
      <c r="I266" s="25" t="s">
        <v>80</v>
      </c>
      <c r="J266" s="25" t="s">
        <v>94</v>
      </c>
      <c r="K266" s="30" t="s">
        <v>82</v>
      </c>
      <c r="L266" s="25" t="s">
        <v>1025</v>
      </c>
      <c r="M266" s="25" t="s">
        <v>83</v>
      </c>
      <c r="N266" s="74" t="s">
        <v>103</v>
      </c>
      <c r="O266" s="61">
        <v>0.54</v>
      </c>
      <c r="P266" s="25">
        <v>111</v>
      </c>
      <c r="Q266" s="25">
        <v>30</v>
      </c>
      <c r="R266" s="25" t="s">
        <v>87</v>
      </c>
      <c r="S266" s="34" t="s">
        <v>87</v>
      </c>
      <c r="T266" s="35">
        <v>0.8</v>
      </c>
      <c r="U266" s="25">
        <v>273</v>
      </c>
      <c r="V266" s="25">
        <v>491</v>
      </c>
      <c r="W266" s="34">
        <v>218</v>
      </c>
      <c r="X266" s="36">
        <v>319</v>
      </c>
      <c r="Y266" s="25">
        <v>273</v>
      </c>
      <c r="Z266" s="25">
        <v>673</v>
      </c>
      <c r="AA266" s="34">
        <v>400</v>
      </c>
      <c r="AB266" s="36">
        <v>137</v>
      </c>
      <c r="AC266" s="34" t="s">
        <v>87</v>
      </c>
      <c r="AD266" s="34">
        <v>81</v>
      </c>
      <c r="AE266" s="37">
        <v>1.2374000000000001</v>
      </c>
      <c r="AF266" s="37">
        <v>1.0778081081081081</v>
      </c>
      <c r="AG266" s="37">
        <v>1.1424765945945947</v>
      </c>
      <c r="AH266" s="38">
        <v>883.15680800000007</v>
      </c>
      <c r="AI266" s="39">
        <v>135.09431714874577</v>
      </c>
      <c r="AJ266" s="38">
        <v>147.7152146684889</v>
      </c>
      <c r="AK266" s="40">
        <v>293.63653175679769</v>
      </c>
      <c r="AL266" s="41">
        <v>148</v>
      </c>
      <c r="AM266" s="39">
        <v>164.28</v>
      </c>
      <c r="AN266" s="39">
        <v>187.68605496000004</v>
      </c>
      <c r="AO266" s="39">
        <v>625.62018320000016</v>
      </c>
      <c r="AP266" s="257" t="s">
        <v>1056</v>
      </c>
      <c r="AQ266" s="201" t="s">
        <v>1057</v>
      </c>
      <c r="AR266" s="44"/>
    </row>
    <row r="267" spans="1:44" x14ac:dyDescent="0.3">
      <c r="A267" s="25" t="s">
        <v>1509</v>
      </c>
      <c r="B267" s="25" t="s">
        <v>119</v>
      </c>
      <c r="C267" s="25" t="s">
        <v>120</v>
      </c>
      <c r="D267" s="25" t="s">
        <v>121</v>
      </c>
      <c r="E267" s="86" t="s">
        <v>77</v>
      </c>
      <c r="F267" s="47" t="s">
        <v>122</v>
      </c>
      <c r="G267" s="47" t="s">
        <v>1026</v>
      </c>
      <c r="H267" s="85" t="s">
        <v>101</v>
      </c>
      <c r="I267" s="47" t="s">
        <v>80</v>
      </c>
      <c r="J267" s="47" t="s">
        <v>94</v>
      </c>
      <c r="K267" s="87" t="s">
        <v>82</v>
      </c>
      <c r="L267" s="47" t="s">
        <v>1027</v>
      </c>
      <c r="M267" s="47" t="s">
        <v>83</v>
      </c>
      <c r="N267" s="89" t="s">
        <v>103</v>
      </c>
      <c r="O267" s="90">
        <v>0.48</v>
      </c>
      <c r="P267" s="47">
        <v>111</v>
      </c>
      <c r="Q267" s="47">
        <v>30</v>
      </c>
      <c r="R267" s="47" t="s">
        <v>87</v>
      </c>
      <c r="S267" s="84" t="s">
        <v>87</v>
      </c>
      <c r="T267" s="92">
        <v>0.8</v>
      </c>
      <c r="U267" s="47">
        <v>273</v>
      </c>
      <c r="V267" s="47">
        <v>491</v>
      </c>
      <c r="W267" s="84">
        <v>218</v>
      </c>
      <c r="X267" s="93">
        <v>319</v>
      </c>
      <c r="Y267" s="47">
        <v>273</v>
      </c>
      <c r="Z267" s="47">
        <v>673</v>
      </c>
      <c r="AA267" s="84">
        <v>400</v>
      </c>
      <c r="AB267" s="93">
        <v>137</v>
      </c>
      <c r="AC267" s="84" t="s">
        <v>87</v>
      </c>
      <c r="AD267" s="84">
        <v>81</v>
      </c>
      <c r="AE267" s="75">
        <v>1.1888000000000001</v>
      </c>
      <c r="AF267" s="75">
        <v>1.0469405405405405</v>
      </c>
      <c r="AG267" s="75">
        <v>1.109756972972973</v>
      </c>
      <c r="AH267" s="97">
        <v>879.250496</v>
      </c>
      <c r="AI267" s="39">
        <v>140.61718374819819</v>
      </c>
      <c r="AJ267" s="97">
        <v>153.75404326277604</v>
      </c>
      <c r="AK267" s="40">
        <v>305.64085161159272</v>
      </c>
      <c r="AL267" s="98">
        <v>120</v>
      </c>
      <c r="AM267" s="39">
        <v>133.19999999999999</v>
      </c>
      <c r="AN267" s="39">
        <v>147.8196288</v>
      </c>
      <c r="AO267" s="39">
        <v>492.73209600000001</v>
      </c>
      <c r="AP267" s="258" t="s">
        <v>1058</v>
      </c>
      <c r="AQ267" s="217" t="s">
        <v>1059</v>
      </c>
      <c r="AR267" s="241"/>
    </row>
    <row r="268" spans="1:44" x14ac:dyDescent="0.3">
      <c r="A268" s="25" t="s">
        <v>1509</v>
      </c>
      <c r="B268" s="25" t="s">
        <v>119</v>
      </c>
      <c r="C268" s="25" t="s">
        <v>120</v>
      </c>
      <c r="D268" s="25" t="s">
        <v>121</v>
      </c>
      <c r="E268" s="160" t="s">
        <v>77</v>
      </c>
      <c r="F268" s="47" t="s">
        <v>122</v>
      </c>
      <c r="G268" s="91" t="s">
        <v>1028</v>
      </c>
      <c r="H268" s="85" t="s">
        <v>101</v>
      </c>
      <c r="I268" s="47" t="s">
        <v>80</v>
      </c>
      <c r="J268" s="47" t="s">
        <v>94</v>
      </c>
      <c r="K268" s="87" t="s">
        <v>82</v>
      </c>
      <c r="L268" s="91" t="s">
        <v>1029</v>
      </c>
      <c r="M268" s="91" t="s">
        <v>83</v>
      </c>
      <c r="N268" s="89" t="s">
        <v>103</v>
      </c>
      <c r="O268" s="103">
        <v>0.39</v>
      </c>
      <c r="P268" s="91">
        <v>112</v>
      </c>
      <c r="Q268" s="47">
        <v>30</v>
      </c>
      <c r="R268" s="47" t="s">
        <v>87</v>
      </c>
      <c r="S268" s="84" t="s">
        <v>87</v>
      </c>
      <c r="T268" s="92">
        <v>0.8</v>
      </c>
      <c r="U268" s="91">
        <v>200</v>
      </c>
      <c r="V268" s="91">
        <v>600</v>
      </c>
      <c r="W268" s="84">
        <v>400</v>
      </c>
      <c r="X268" s="93">
        <v>220</v>
      </c>
      <c r="Y268" s="91">
        <v>200</v>
      </c>
      <c r="Z268" s="91">
        <v>600</v>
      </c>
      <c r="AA268" s="84">
        <v>400</v>
      </c>
      <c r="AB268" s="93">
        <v>220</v>
      </c>
      <c r="AC268" s="84" t="s">
        <v>87</v>
      </c>
      <c r="AD268" s="84">
        <v>82</v>
      </c>
      <c r="AE268" s="75">
        <v>1.1198000000000001</v>
      </c>
      <c r="AF268" s="75">
        <v>1.0027303571428572</v>
      </c>
      <c r="AG268" s="75">
        <v>1.0628941785714288</v>
      </c>
      <c r="AH268" s="97">
        <v>873.39102800000012</v>
      </c>
      <c r="AI268" s="39">
        <v>149.28175392021612</v>
      </c>
      <c r="AJ268" s="97">
        <v>163.22808236362579</v>
      </c>
      <c r="AK268" s="40">
        <v>324.47387425956549</v>
      </c>
      <c r="AL268" s="41">
        <v>163</v>
      </c>
      <c r="AM268" s="39">
        <v>182.56</v>
      </c>
      <c r="AN268" s="39">
        <v>194.04196124000003</v>
      </c>
      <c r="AO268" s="39">
        <v>646.80653746666678</v>
      </c>
      <c r="AP268" s="258" t="s">
        <v>1060</v>
      </c>
      <c r="AQ268" s="217" t="s">
        <v>1061</v>
      </c>
      <c r="AR268" s="43"/>
    </row>
    <row r="269" spans="1:44" x14ac:dyDescent="0.3">
      <c r="A269" s="25" t="s">
        <v>1509</v>
      </c>
      <c r="B269" s="25" t="s">
        <v>119</v>
      </c>
      <c r="C269" s="25" t="s">
        <v>120</v>
      </c>
      <c r="D269" s="25" t="s">
        <v>121</v>
      </c>
      <c r="E269" s="86" t="s">
        <v>77</v>
      </c>
      <c r="F269" s="47" t="s">
        <v>122</v>
      </c>
      <c r="G269" s="47" t="s">
        <v>1030</v>
      </c>
      <c r="H269" s="85" t="s">
        <v>101</v>
      </c>
      <c r="I269" s="47" t="s">
        <v>80</v>
      </c>
      <c r="J269" s="47" t="s">
        <v>94</v>
      </c>
      <c r="K269" s="87" t="s">
        <v>82</v>
      </c>
      <c r="L269" s="47" t="s">
        <v>1031</v>
      </c>
      <c r="M269" s="47" t="s">
        <v>83</v>
      </c>
      <c r="N269" s="89" t="s">
        <v>103</v>
      </c>
      <c r="O269" s="90">
        <v>0.38</v>
      </c>
      <c r="P269" s="91">
        <v>112</v>
      </c>
      <c r="Q269" s="47">
        <v>30</v>
      </c>
      <c r="R269" s="47" t="s">
        <v>87</v>
      </c>
      <c r="S269" s="84" t="s">
        <v>87</v>
      </c>
      <c r="T269" s="92">
        <v>0.8</v>
      </c>
      <c r="U269" s="47">
        <v>200</v>
      </c>
      <c r="V269" s="47">
        <v>600</v>
      </c>
      <c r="W269" s="84">
        <v>400</v>
      </c>
      <c r="X269" s="93">
        <v>220</v>
      </c>
      <c r="Y269" s="47">
        <v>200</v>
      </c>
      <c r="Z269" s="47">
        <v>600</v>
      </c>
      <c r="AA269" s="84">
        <v>400</v>
      </c>
      <c r="AB269" s="93">
        <v>220</v>
      </c>
      <c r="AC269" s="84" t="s">
        <v>87</v>
      </c>
      <c r="AD269" s="84">
        <v>82</v>
      </c>
      <c r="AE269" s="75">
        <v>1.1116000000000001</v>
      </c>
      <c r="AF269" s="75">
        <v>0.99753214285714287</v>
      </c>
      <c r="AG269" s="75">
        <v>1.0573840714285716</v>
      </c>
      <c r="AH269" s="97">
        <v>872.73997600000007</v>
      </c>
      <c r="AI269" s="39">
        <v>150.38296872963119</v>
      </c>
      <c r="AJ269" s="97">
        <v>164.43217581035279</v>
      </c>
      <c r="AK269" s="40">
        <v>326.8674382834306</v>
      </c>
      <c r="AL269" s="41">
        <v>300</v>
      </c>
      <c r="AM269" s="39">
        <v>336</v>
      </c>
      <c r="AN269" s="39">
        <v>355.28104800000006</v>
      </c>
      <c r="AO269" s="39">
        <v>1184.2701600000003</v>
      </c>
      <c r="AP269" s="258" t="s">
        <v>1062</v>
      </c>
      <c r="AQ269" s="259" t="s">
        <v>1063</v>
      </c>
      <c r="AR269" s="88"/>
    </row>
    <row r="270" spans="1:44" x14ac:dyDescent="0.3">
      <c r="A270" s="25" t="s">
        <v>1509</v>
      </c>
      <c r="B270" s="25" t="s">
        <v>119</v>
      </c>
      <c r="C270" s="25" t="s">
        <v>120</v>
      </c>
      <c r="D270" s="25" t="s">
        <v>121</v>
      </c>
      <c r="E270" s="109" t="s">
        <v>77</v>
      </c>
      <c r="F270" s="182" t="s">
        <v>139</v>
      </c>
      <c r="G270" s="66" t="s">
        <v>1032</v>
      </c>
      <c r="H270" s="181" t="s">
        <v>101</v>
      </c>
      <c r="I270" s="235" t="s">
        <v>983</v>
      </c>
      <c r="J270" s="66" t="s">
        <v>94</v>
      </c>
      <c r="K270" s="111" t="s">
        <v>82</v>
      </c>
      <c r="L270" s="66" t="s">
        <v>1033</v>
      </c>
      <c r="M270" s="66" t="s">
        <v>83</v>
      </c>
      <c r="N270" s="183" t="s">
        <v>103</v>
      </c>
      <c r="O270" s="113">
        <v>0.43</v>
      </c>
      <c r="P270" s="66">
        <v>112</v>
      </c>
      <c r="Q270" s="214">
        <v>20</v>
      </c>
      <c r="R270" s="66" t="s">
        <v>87</v>
      </c>
      <c r="S270" s="84" t="s">
        <v>87</v>
      </c>
      <c r="T270" s="114">
        <v>0.8</v>
      </c>
      <c r="U270" s="66">
        <v>150</v>
      </c>
      <c r="V270" s="66">
        <v>550</v>
      </c>
      <c r="W270" s="115">
        <v>400</v>
      </c>
      <c r="X270" s="184">
        <v>370</v>
      </c>
      <c r="Y270" s="66">
        <v>150</v>
      </c>
      <c r="Z270" s="66">
        <v>550</v>
      </c>
      <c r="AA270" s="115">
        <v>400</v>
      </c>
      <c r="AB270" s="184">
        <v>370</v>
      </c>
      <c r="AC270" s="115" t="s">
        <v>87</v>
      </c>
      <c r="AD270" s="115">
        <v>92</v>
      </c>
      <c r="AE270" s="116">
        <v>1.1956</v>
      </c>
      <c r="AF270" s="116">
        <v>1.0331214285714285</v>
      </c>
      <c r="AG270" s="116">
        <v>1.0951087142857141</v>
      </c>
      <c r="AH270" s="118">
        <v>875.99523599999998</v>
      </c>
      <c r="AI270" s="117">
        <v>139.81742057532455</v>
      </c>
      <c r="AJ270" s="118">
        <v>152.87956392672146</v>
      </c>
      <c r="AK270" s="119">
        <v>303.90251287710061</v>
      </c>
      <c r="AL270" s="120" t="s">
        <v>1050</v>
      </c>
      <c r="AM270" s="117"/>
      <c r="AN270" s="117"/>
      <c r="AO270" s="117"/>
      <c r="AP270" s="255" t="s">
        <v>1064</v>
      </c>
      <c r="AQ270" s="223" t="s">
        <v>1065</v>
      </c>
      <c r="AR270" s="123" t="s">
        <v>1066</v>
      </c>
    </row>
    <row r="271" spans="1:44" x14ac:dyDescent="0.3">
      <c r="A271" s="25" t="s">
        <v>1509</v>
      </c>
      <c r="B271" s="25" t="s">
        <v>119</v>
      </c>
      <c r="C271" s="25" t="s">
        <v>120</v>
      </c>
      <c r="D271" s="25" t="s">
        <v>121</v>
      </c>
      <c r="E271" s="26" t="s">
        <v>77</v>
      </c>
      <c r="F271" s="27" t="s">
        <v>78</v>
      </c>
      <c r="G271" s="25" t="s">
        <v>1034</v>
      </c>
      <c r="H271" s="178" t="s">
        <v>101</v>
      </c>
      <c r="I271" s="25" t="s">
        <v>80</v>
      </c>
      <c r="J271" s="25" t="s">
        <v>94</v>
      </c>
      <c r="K271" s="30" t="s">
        <v>82</v>
      </c>
      <c r="L271" s="25" t="s">
        <v>1035</v>
      </c>
      <c r="M271" s="25" t="s">
        <v>83</v>
      </c>
      <c r="N271" s="74" t="s">
        <v>103</v>
      </c>
      <c r="O271" s="61">
        <v>0.43</v>
      </c>
      <c r="P271" s="25">
        <v>112</v>
      </c>
      <c r="Q271" s="96">
        <v>20</v>
      </c>
      <c r="R271" s="25" t="s">
        <v>87</v>
      </c>
      <c r="S271" s="34" t="s">
        <v>87</v>
      </c>
      <c r="T271" s="35">
        <v>0.8</v>
      </c>
      <c r="U271" s="25">
        <v>150</v>
      </c>
      <c r="V271" s="25">
        <v>550</v>
      </c>
      <c r="W271" s="34">
        <v>400</v>
      </c>
      <c r="X271" s="36">
        <v>370</v>
      </c>
      <c r="Y271" s="25">
        <v>150</v>
      </c>
      <c r="Z271" s="25">
        <v>550</v>
      </c>
      <c r="AA271" s="34">
        <v>400</v>
      </c>
      <c r="AB271" s="36">
        <v>370</v>
      </c>
      <c r="AC271" s="34" t="s">
        <v>87</v>
      </c>
      <c r="AD271" s="34">
        <v>92</v>
      </c>
      <c r="AE271" s="37">
        <v>1.1956</v>
      </c>
      <c r="AF271" s="37">
        <v>1.0331214285714285</v>
      </c>
      <c r="AG271" s="37">
        <v>1.0951087142857141</v>
      </c>
      <c r="AH271" s="38">
        <v>875.99523599999998</v>
      </c>
      <c r="AI271" s="39">
        <v>139.81742057532455</v>
      </c>
      <c r="AJ271" s="38">
        <v>152.87956392672146</v>
      </c>
      <c r="AK271" s="40">
        <v>303.90251287710061</v>
      </c>
      <c r="AL271" s="41">
        <v>300</v>
      </c>
      <c r="AM271" s="39">
        <v>336</v>
      </c>
      <c r="AN271" s="39">
        <v>367.95652799999993</v>
      </c>
      <c r="AO271" s="39">
        <v>1839.7826399999997</v>
      </c>
      <c r="AP271" s="257" t="s">
        <v>1067</v>
      </c>
      <c r="AQ271" s="201" t="s">
        <v>1068</v>
      </c>
      <c r="AR271" s="43" t="s">
        <v>1069</v>
      </c>
    </row>
    <row r="272" spans="1:44" x14ac:dyDescent="0.3">
      <c r="A272" s="25" t="s">
        <v>1509</v>
      </c>
      <c r="B272" s="25" t="s">
        <v>119</v>
      </c>
      <c r="C272" s="25" t="s">
        <v>120</v>
      </c>
      <c r="D272" s="25" t="s">
        <v>121</v>
      </c>
      <c r="E272" s="26" t="s">
        <v>77</v>
      </c>
      <c r="F272" s="27" t="s">
        <v>78</v>
      </c>
      <c r="G272" s="25" t="s">
        <v>1036</v>
      </c>
      <c r="H272" s="178" t="s">
        <v>101</v>
      </c>
      <c r="I272" s="25" t="s">
        <v>80</v>
      </c>
      <c r="J272" s="25" t="s">
        <v>94</v>
      </c>
      <c r="K272" s="30" t="s">
        <v>82</v>
      </c>
      <c r="L272" s="25" t="s">
        <v>1037</v>
      </c>
      <c r="M272" s="25" t="s">
        <v>83</v>
      </c>
      <c r="N272" s="74" t="s">
        <v>103</v>
      </c>
      <c r="O272" s="61">
        <v>0.48</v>
      </c>
      <c r="P272" s="25">
        <v>112</v>
      </c>
      <c r="Q272" s="32">
        <v>25</v>
      </c>
      <c r="R272" s="25" t="s">
        <v>87</v>
      </c>
      <c r="S272" s="34" t="s">
        <v>87</v>
      </c>
      <c r="T272" s="35">
        <v>0.8</v>
      </c>
      <c r="U272" s="25">
        <v>200</v>
      </c>
      <c r="V272" s="25">
        <v>600</v>
      </c>
      <c r="W272" s="34">
        <v>400</v>
      </c>
      <c r="X272" s="36">
        <v>270</v>
      </c>
      <c r="Y272" s="25">
        <v>200</v>
      </c>
      <c r="Z272" s="25">
        <v>600</v>
      </c>
      <c r="AA272" s="34">
        <v>400</v>
      </c>
      <c r="AB272" s="36">
        <v>270</v>
      </c>
      <c r="AC272" s="34" t="s">
        <v>87</v>
      </c>
      <c r="AD272" s="34">
        <v>87</v>
      </c>
      <c r="AE272" s="37">
        <v>1.2176</v>
      </c>
      <c r="AF272" s="37">
        <v>1.0554071428571428</v>
      </c>
      <c r="AG272" s="37">
        <v>1.1187315714285713</v>
      </c>
      <c r="AH272" s="38">
        <v>879.250496</v>
      </c>
      <c r="AI272" s="39">
        <v>137.29115312077695</v>
      </c>
      <c r="AJ272" s="38">
        <v>150.11728534066046</v>
      </c>
      <c r="AK272" s="40">
        <v>298.41150163917661</v>
      </c>
      <c r="AL272" s="41">
        <v>150</v>
      </c>
      <c r="AM272" s="39">
        <v>168</v>
      </c>
      <c r="AN272" s="39">
        <v>187.94690399999996</v>
      </c>
      <c r="AO272" s="39">
        <v>751.78761599999984</v>
      </c>
      <c r="AP272" s="257" t="s">
        <v>1070</v>
      </c>
      <c r="AQ272" s="201" t="s">
        <v>1071</v>
      </c>
      <c r="AR272" s="43" t="s">
        <v>1069</v>
      </c>
    </row>
    <row r="273" spans="1:44" x14ac:dyDescent="0.3">
      <c r="A273" s="25" t="s">
        <v>1509</v>
      </c>
      <c r="B273" s="25" t="s">
        <v>119</v>
      </c>
      <c r="C273" s="25" t="s">
        <v>120</v>
      </c>
      <c r="D273" s="25" t="s">
        <v>121</v>
      </c>
      <c r="E273" s="26" t="s">
        <v>77</v>
      </c>
      <c r="F273" s="27" t="s">
        <v>78</v>
      </c>
      <c r="G273" s="25" t="s">
        <v>1038</v>
      </c>
      <c r="H273" s="178" t="s">
        <v>101</v>
      </c>
      <c r="I273" s="25" t="s">
        <v>80</v>
      </c>
      <c r="J273" s="25" t="s">
        <v>94</v>
      </c>
      <c r="K273" s="30" t="s">
        <v>82</v>
      </c>
      <c r="L273" s="25" t="s">
        <v>1039</v>
      </c>
      <c r="M273" s="25" t="s">
        <v>83</v>
      </c>
      <c r="N273" s="74" t="s">
        <v>103</v>
      </c>
      <c r="O273" s="61">
        <v>0.37</v>
      </c>
      <c r="P273" s="220">
        <v>136</v>
      </c>
      <c r="Q273" s="32">
        <v>15</v>
      </c>
      <c r="R273" s="25" t="s">
        <v>87</v>
      </c>
      <c r="S273" s="34" t="s">
        <v>87</v>
      </c>
      <c r="T273" s="143">
        <v>0.85</v>
      </c>
      <c r="U273" s="25">
        <v>350</v>
      </c>
      <c r="V273" s="25">
        <v>800</v>
      </c>
      <c r="W273" s="34">
        <v>450</v>
      </c>
      <c r="X273" s="36">
        <v>410</v>
      </c>
      <c r="Y273" s="25">
        <v>350</v>
      </c>
      <c r="Z273" s="25">
        <v>800</v>
      </c>
      <c r="AA273" s="34">
        <v>450</v>
      </c>
      <c r="AB273" s="36">
        <v>410</v>
      </c>
      <c r="AC273" s="34" t="s">
        <v>87</v>
      </c>
      <c r="AD273" s="34">
        <v>121</v>
      </c>
      <c r="AE273" s="37">
        <v>1.2977000000000001</v>
      </c>
      <c r="AF273" s="37">
        <v>1.0985393382352939</v>
      </c>
      <c r="AG273" s="37">
        <v>1.1644516985294115</v>
      </c>
      <c r="AH273" s="38">
        <v>925.08892400000002</v>
      </c>
      <c r="AI273" s="39">
        <v>128.81691303063732</v>
      </c>
      <c r="AJ273" s="38">
        <v>140.85135750234119</v>
      </c>
      <c r="AK273" s="40">
        <v>279.99217415108382</v>
      </c>
      <c r="AL273" s="41">
        <v>141</v>
      </c>
      <c r="AM273" s="39">
        <v>191.76</v>
      </c>
      <c r="AN273" s="39">
        <v>223.29525770999996</v>
      </c>
      <c r="AO273" s="39">
        <v>1488.6350513999998</v>
      </c>
      <c r="AP273" s="257" t="s">
        <v>1072</v>
      </c>
      <c r="AQ273" s="201" t="s">
        <v>1073</v>
      </c>
      <c r="AR273" s="43" t="s">
        <v>1074</v>
      </c>
    </row>
    <row r="274" spans="1:44" x14ac:dyDescent="0.3">
      <c r="A274" s="25" t="s">
        <v>1509</v>
      </c>
      <c r="B274" s="25" t="s">
        <v>119</v>
      </c>
      <c r="C274" s="25" t="s">
        <v>120</v>
      </c>
      <c r="D274" s="25" t="s">
        <v>121</v>
      </c>
      <c r="E274" s="109" t="s">
        <v>77</v>
      </c>
      <c r="F274" s="182" t="s">
        <v>139</v>
      </c>
      <c r="G274" s="66" t="s">
        <v>1040</v>
      </c>
      <c r="H274" s="181" t="s">
        <v>101</v>
      </c>
      <c r="I274" s="66" t="s">
        <v>80</v>
      </c>
      <c r="J274" s="66" t="s">
        <v>94</v>
      </c>
      <c r="K274" s="111" t="s">
        <v>82</v>
      </c>
      <c r="L274" s="66" t="s">
        <v>1041</v>
      </c>
      <c r="M274" s="66" t="s">
        <v>83</v>
      </c>
      <c r="N274" s="183" t="s">
        <v>103</v>
      </c>
      <c r="O274" s="113">
        <v>0.37</v>
      </c>
      <c r="P274" s="253">
        <v>136</v>
      </c>
      <c r="Q274" s="214">
        <v>15</v>
      </c>
      <c r="R274" s="66" t="s">
        <v>87</v>
      </c>
      <c r="S274" s="115" t="s">
        <v>87</v>
      </c>
      <c r="T274" s="254">
        <v>0.87</v>
      </c>
      <c r="U274" s="66">
        <v>350</v>
      </c>
      <c r="V274" s="66">
        <v>800</v>
      </c>
      <c r="W274" s="115">
        <v>450</v>
      </c>
      <c r="X274" s="184">
        <v>410</v>
      </c>
      <c r="Y274" s="66">
        <v>350</v>
      </c>
      <c r="Z274" s="66">
        <v>800</v>
      </c>
      <c r="AA274" s="115">
        <v>450</v>
      </c>
      <c r="AB274" s="184">
        <v>410</v>
      </c>
      <c r="AC274" s="115" t="s">
        <v>87</v>
      </c>
      <c r="AD274" s="115">
        <v>121</v>
      </c>
      <c r="AE274" s="116">
        <v>1.3177000000000001</v>
      </c>
      <c r="AF274" s="116">
        <v>1.1185393382352942</v>
      </c>
      <c r="AG274" s="116">
        <v>1.1856516985294119</v>
      </c>
      <c r="AH274" s="118">
        <v>946.28892399999995</v>
      </c>
      <c r="AI274" s="117">
        <v>126.86173487125903</v>
      </c>
      <c r="AJ274" s="118">
        <v>138.713521006897</v>
      </c>
      <c r="AK274" s="119">
        <v>275.74246368358615</v>
      </c>
      <c r="AL274" s="236">
        <v>120</v>
      </c>
      <c r="AM274" s="117">
        <v>163.19999999999999</v>
      </c>
      <c r="AN274" s="117">
        <v>193.49835720000002</v>
      </c>
      <c r="AO274" s="117">
        <v>1289.9890480000001</v>
      </c>
      <c r="AP274" s="255" t="s">
        <v>1075</v>
      </c>
      <c r="AQ274" s="260" t="s">
        <v>1076</v>
      </c>
      <c r="AR274" s="123"/>
    </row>
    <row r="275" spans="1:44" x14ac:dyDescent="0.3">
      <c r="A275" s="25" t="s">
        <v>1509</v>
      </c>
      <c r="B275" s="25" t="s">
        <v>119</v>
      </c>
      <c r="C275" s="25" t="s">
        <v>120</v>
      </c>
      <c r="D275" s="25" t="s">
        <v>121</v>
      </c>
      <c r="E275" s="26" t="s">
        <v>77</v>
      </c>
      <c r="F275" s="27" t="s">
        <v>78</v>
      </c>
      <c r="G275" s="25" t="s">
        <v>1042</v>
      </c>
      <c r="H275" s="178" t="s">
        <v>101</v>
      </c>
      <c r="I275" s="25" t="s">
        <v>80</v>
      </c>
      <c r="J275" s="25" t="s">
        <v>94</v>
      </c>
      <c r="K275" s="30" t="s">
        <v>82</v>
      </c>
      <c r="L275" s="25" t="s">
        <v>1043</v>
      </c>
      <c r="M275" s="25" t="s">
        <v>83</v>
      </c>
      <c r="N275" s="74" t="s">
        <v>103</v>
      </c>
      <c r="O275" s="61">
        <v>0.37</v>
      </c>
      <c r="P275" s="220">
        <v>136</v>
      </c>
      <c r="Q275" s="32">
        <v>20</v>
      </c>
      <c r="R275" s="25" t="s">
        <v>87</v>
      </c>
      <c r="S275" s="34" t="s">
        <v>87</v>
      </c>
      <c r="T275" s="35">
        <v>0.8</v>
      </c>
      <c r="U275" s="25">
        <v>350</v>
      </c>
      <c r="V275" s="25">
        <v>800</v>
      </c>
      <c r="W275" s="34">
        <v>450</v>
      </c>
      <c r="X275" s="36">
        <v>360</v>
      </c>
      <c r="Y275" s="25">
        <v>350</v>
      </c>
      <c r="Z275" s="25">
        <v>800</v>
      </c>
      <c r="AA275" s="34">
        <v>450</v>
      </c>
      <c r="AB275" s="36">
        <v>360</v>
      </c>
      <c r="AC275" s="34" t="s">
        <v>87</v>
      </c>
      <c r="AD275" s="34">
        <v>116</v>
      </c>
      <c r="AE275" s="37">
        <v>1.2292000000000001</v>
      </c>
      <c r="AF275" s="37">
        <v>1.0461588235294119</v>
      </c>
      <c r="AG275" s="37">
        <v>1.1089283529411766</v>
      </c>
      <c r="AH275" s="38">
        <v>872.08892400000002</v>
      </c>
      <c r="AI275" s="39">
        <v>135.99553208579403</v>
      </c>
      <c r="AJ275" s="38">
        <v>148.70062368271084</v>
      </c>
      <c r="AK275" s="40">
        <v>295.59538268456026</v>
      </c>
      <c r="AL275" s="41">
        <v>149</v>
      </c>
      <c r="AM275" s="39">
        <v>202.64</v>
      </c>
      <c r="AN275" s="39">
        <v>224.71324144000002</v>
      </c>
      <c r="AO275" s="39">
        <v>1123.5662072</v>
      </c>
      <c r="AP275" s="257" t="s">
        <v>1077</v>
      </c>
      <c r="AQ275" s="201" t="s">
        <v>1078</v>
      </c>
      <c r="AR275" s="43"/>
    </row>
    <row r="276" spans="1:44" x14ac:dyDescent="0.3">
      <c r="A276" s="25" t="s">
        <v>1509</v>
      </c>
      <c r="B276" s="25" t="s">
        <v>119</v>
      </c>
      <c r="C276" s="25" t="s">
        <v>120</v>
      </c>
      <c r="D276" s="25" t="s">
        <v>121</v>
      </c>
      <c r="E276" s="26" t="s">
        <v>77</v>
      </c>
      <c r="F276" s="27" t="s">
        <v>78</v>
      </c>
      <c r="G276" s="25" t="s">
        <v>1044</v>
      </c>
      <c r="H276" s="178" t="s">
        <v>101</v>
      </c>
      <c r="I276" s="25" t="s">
        <v>80</v>
      </c>
      <c r="J276" s="25" t="s">
        <v>94</v>
      </c>
      <c r="K276" s="30" t="s">
        <v>82</v>
      </c>
      <c r="L276" s="25" t="s">
        <v>1045</v>
      </c>
      <c r="M276" s="25" t="s">
        <v>83</v>
      </c>
      <c r="N276" s="74" t="s">
        <v>103</v>
      </c>
      <c r="O276" s="61">
        <v>0.37</v>
      </c>
      <c r="P276" s="142">
        <v>139</v>
      </c>
      <c r="Q276" s="25">
        <v>30</v>
      </c>
      <c r="R276" s="25" t="s">
        <v>87</v>
      </c>
      <c r="S276" s="34" t="s">
        <v>87</v>
      </c>
      <c r="T276" s="35">
        <v>0.8</v>
      </c>
      <c r="U276" s="25">
        <v>350</v>
      </c>
      <c r="V276" s="25">
        <v>800</v>
      </c>
      <c r="W276" s="34">
        <v>450</v>
      </c>
      <c r="X276" s="36">
        <v>290</v>
      </c>
      <c r="Y276" s="25">
        <v>350</v>
      </c>
      <c r="Z276" s="25">
        <v>800</v>
      </c>
      <c r="AA276" s="34">
        <v>450</v>
      </c>
      <c r="AB276" s="36">
        <v>290</v>
      </c>
      <c r="AC276" s="34" t="s">
        <v>87</v>
      </c>
      <c r="AD276" s="34">
        <v>109</v>
      </c>
      <c r="AE276" s="37">
        <v>1.2033</v>
      </c>
      <c r="AF276" s="37">
        <v>1.0451715827338133</v>
      </c>
      <c r="AG276" s="37">
        <v>1.1078818776978421</v>
      </c>
      <c r="AH276" s="38">
        <v>872.08892400000002</v>
      </c>
      <c r="AI276" s="39">
        <v>138.92271922202113</v>
      </c>
      <c r="AJ276" s="38">
        <v>151.90127701386865</v>
      </c>
      <c r="AK276" s="40">
        <v>301.95781965915523</v>
      </c>
      <c r="AL276" s="41">
        <v>50</v>
      </c>
      <c r="AM276" s="39">
        <v>69.5</v>
      </c>
      <c r="AN276" s="39">
        <v>76.997790500000022</v>
      </c>
      <c r="AO276" s="39">
        <v>256.65930166666675</v>
      </c>
      <c r="AP276" s="257" t="s">
        <v>1079</v>
      </c>
      <c r="AQ276" s="201" t="s">
        <v>1080</v>
      </c>
      <c r="AR276" s="43" t="s">
        <v>1069</v>
      </c>
    </row>
    <row r="277" spans="1:44" x14ac:dyDescent="0.3">
      <c r="A277" s="25" t="s">
        <v>1509</v>
      </c>
      <c r="B277" s="25" t="s">
        <v>119</v>
      </c>
      <c r="C277" s="25" t="s">
        <v>120</v>
      </c>
      <c r="D277" s="25" t="s">
        <v>121</v>
      </c>
      <c r="E277" s="26" t="s">
        <v>77</v>
      </c>
      <c r="F277" s="27" t="s">
        <v>78</v>
      </c>
      <c r="G277" s="25" t="s">
        <v>1046</v>
      </c>
      <c r="H277" s="178" t="s">
        <v>101</v>
      </c>
      <c r="I277" s="25" t="s">
        <v>80</v>
      </c>
      <c r="J277" s="25" t="s">
        <v>94</v>
      </c>
      <c r="K277" s="30" t="s">
        <v>82</v>
      </c>
      <c r="L277" s="25" t="s">
        <v>1047</v>
      </c>
      <c r="M277" s="25" t="s">
        <v>83</v>
      </c>
      <c r="N277" s="74" t="s">
        <v>103</v>
      </c>
      <c r="O277" s="61">
        <v>0.37</v>
      </c>
      <c r="P277" s="142">
        <v>136</v>
      </c>
      <c r="Q277" s="25">
        <v>30</v>
      </c>
      <c r="R277" s="25" t="s">
        <v>87</v>
      </c>
      <c r="S277" s="34" t="s">
        <v>87</v>
      </c>
      <c r="T277" s="35">
        <v>0.8</v>
      </c>
      <c r="U277" s="25">
        <v>320</v>
      </c>
      <c r="V277" s="25">
        <v>770</v>
      </c>
      <c r="W277" s="34">
        <v>450</v>
      </c>
      <c r="X277" s="36">
        <v>290</v>
      </c>
      <c r="Y277" s="25">
        <v>320</v>
      </c>
      <c r="Z277" s="25">
        <v>770</v>
      </c>
      <c r="AA277" s="34">
        <v>450</v>
      </c>
      <c r="AB277" s="36">
        <v>290</v>
      </c>
      <c r="AC277" s="34" t="s">
        <v>87</v>
      </c>
      <c r="AD277" s="34">
        <v>106</v>
      </c>
      <c r="AE277" s="37">
        <v>1.1922000000000001</v>
      </c>
      <c r="AF277" s="37">
        <v>1.0393573529411764</v>
      </c>
      <c r="AG277" s="37">
        <v>1.1017187941176469</v>
      </c>
      <c r="AH277" s="38">
        <v>872.08892400000002</v>
      </c>
      <c r="AI277" s="39">
        <v>140.21616175126491</v>
      </c>
      <c r="AJ277" s="38">
        <v>153.31555664384175</v>
      </c>
      <c r="AK277" s="40">
        <v>304.76920348587601</v>
      </c>
      <c r="AL277" s="41">
        <v>153</v>
      </c>
      <c r="AM277" s="39">
        <v>208.08</v>
      </c>
      <c r="AN277" s="39">
        <v>229.24564667999999</v>
      </c>
      <c r="AO277" s="39">
        <v>764.15215560000001</v>
      </c>
      <c r="AP277" s="257" t="s">
        <v>1081</v>
      </c>
      <c r="AQ277" s="201" t="s">
        <v>1082</v>
      </c>
      <c r="AR277" s="43" t="s">
        <v>1069</v>
      </c>
    </row>
    <row r="278" spans="1:44" x14ac:dyDescent="0.3">
      <c r="A278" s="25" t="s">
        <v>1509</v>
      </c>
      <c r="B278" s="25" t="s">
        <v>119</v>
      </c>
      <c r="C278" s="25" t="s">
        <v>120</v>
      </c>
      <c r="D278" s="25" t="s">
        <v>121</v>
      </c>
      <c r="E278" s="26" t="s">
        <v>77</v>
      </c>
      <c r="F278" s="27" t="s">
        <v>78</v>
      </c>
      <c r="G278" s="25" t="s">
        <v>1048</v>
      </c>
      <c r="H278" s="178" t="s">
        <v>101</v>
      </c>
      <c r="I278" s="25" t="s">
        <v>80</v>
      </c>
      <c r="J278" s="25" t="s">
        <v>94</v>
      </c>
      <c r="K278" s="30" t="s">
        <v>82</v>
      </c>
      <c r="L278" s="25" t="s">
        <v>1049</v>
      </c>
      <c r="M278" s="25" t="s">
        <v>83</v>
      </c>
      <c r="N278" s="74" t="s">
        <v>103</v>
      </c>
      <c r="O278" s="61">
        <v>0.37</v>
      </c>
      <c r="P278" s="142">
        <v>136</v>
      </c>
      <c r="Q278" s="32">
        <v>5</v>
      </c>
      <c r="R278" s="25" t="s">
        <v>87</v>
      </c>
      <c r="S278" s="34" t="s">
        <v>87</v>
      </c>
      <c r="T278" s="35">
        <v>0.8</v>
      </c>
      <c r="U278" s="25">
        <v>350</v>
      </c>
      <c r="V278" s="25">
        <v>800</v>
      </c>
      <c r="W278" s="34">
        <v>450</v>
      </c>
      <c r="X278" s="36">
        <v>510</v>
      </c>
      <c r="Y278" s="25">
        <v>350</v>
      </c>
      <c r="Z278" s="25">
        <v>800</v>
      </c>
      <c r="AA278" s="34">
        <v>450</v>
      </c>
      <c r="AB278" s="36">
        <v>510</v>
      </c>
      <c r="AC278" s="34" t="s">
        <v>87</v>
      </c>
      <c r="AD278" s="34">
        <v>131</v>
      </c>
      <c r="AE278" s="37">
        <v>1.2847</v>
      </c>
      <c r="AF278" s="37">
        <v>1.051259926470588</v>
      </c>
      <c r="AG278" s="37">
        <v>1.1143355220588231</v>
      </c>
      <c r="AH278" s="38">
        <v>872.08892400000002</v>
      </c>
      <c r="AI278" s="39">
        <v>130.12042347618745</v>
      </c>
      <c r="AJ278" s="38">
        <v>142.27664562215941</v>
      </c>
      <c r="AK278" s="40">
        <v>282.82544126711406</v>
      </c>
      <c r="AL278" s="41" t="s">
        <v>1051</v>
      </c>
      <c r="AM278" s="39"/>
      <c r="AN278" s="39"/>
      <c r="AO278" s="39"/>
      <c r="AP278" s="257" t="s">
        <v>1083</v>
      </c>
      <c r="AQ278" s="201" t="s">
        <v>1084</v>
      </c>
      <c r="AR278" s="43" t="s">
        <v>1085</v>
      </c>
    </row>
    <row r="279" spans="1:44" ht="115.5" x14ac:dyDescent="0.3">
      <c r="A279" s="25" t="s">
        <v>1509</v>
      </c>
      <c r="B279" s="25" t="s">
        <v>119</v>
      </c>
      <c r="C279" s="25" t="s">
        <v>120</v>
      </c>
      <c r="D279" s="25" t="s">
        <v>121</v>
      </c>
      <c r="E279" s="66" t="s">
        <v>130</v>
      </c>
      <c r="F279" s="182" t="s">
        <v>139</v>
      </c>
      <c r="G279" s="66" t="s">
        <v>1086</v>
      </c>
      <c r="H279" s="181" t="s">
        <v>101</v>
      </c>
      <c r="I279" s="66" t="s">
        <v>124</v>
      </c>
      <c r="J279" s="66" t="s">
        <v>94</v>
      </c>
      <c r="K279" s="111" t="s">
        <v>82</v>
      </c>
      <c r="L279" s="66" t="s">
        <v>1087</v>
      </c>
      <c r="M279" s="66" t="s">
        <v>83</v>
      </c>
      <c r="N279" s="112" t="s">
        <v>142</v>
      </c>
      <c r="O279" s="113">
        <v>0.4</v>
      </c>
      <c r="P279" s="200">
        <v>115</v>
      </c>
      <c r="Q279" s="214">
        <v>23</v>
      </c>
      <c r="R279" s="66" t="s">
        <v>87</v>
      </c>
      <c r="S279" s="115" t="s">
        <v>87</v>
      </c>
      <c r="T279" s="114">
        <v>0.8</v>
      </c>
      <c r="U279" s="66">
        <v>200</v>
      </c>
      <c r="V279" s="66">
        <v>800</v>
      </c>
      <c r="W279" s="115">
        <v>600</v>
      </c>
      <c r="X279" s="184">
        <v>120</v>
      </c>
      <c r="Y279" s="66">
        <v>200</v>
      </c>
      <c r="Z279" s="66">
        <v>800</v>
      </c>
      <c r="AA279" s="115">
        <v>600</v>
      </c>
      <c r="AB279" s="184">
        <v>120</v>
      </c>
      <c r="AC279" s="115" t="s">
        <v>87</v>
      </c>
      <c r="AD279" s="115">
        <v>92</v>
      </c>
      <c r="AE279" s="116">
        <v>1.1680000000000001</v>
      </c>
      <c r="AF279" s="116">
        <v>1.0208000000000002</v>
      </c>
      <c r="AG279" s="116">
        <v>1.0820480000000001</v>
      </c>
      <c r="AH279" s="118">
        <v>874.04208000000006</v>
      </c>
      <c r="AI279" s="117">
        <v>143.12132537659076</v>
      </c>
      <c r="AJ279" s="118">
        <v>156.49212896471587</v>
      </c>
      <c r="AK279" s="119">
        <v>311.08377088686763</v>
      </c>
      <c r="AL279" s="120">
        <v>156</v>
      </c>
      <c r="AM279" s="117">
        <v>179.4</v>
      </c>
      <c r="AN279" s="117">
        <v>194.11941120000003</v>
      </c>
      <c r="AO279" s="117">
        <v>843.9974400000001</v>
      </c>
      <c r="AP279" s="255" t="s">
        <v>1097</v>
      </c>
      <c r="AQ279" s="263" t="s">
        <v>1098</v>
      </c>
      <c r="AR279" s="256" t="s">
        <v>1099</v>
      </c>
    </row>
    <row r="280" spans="1:44" x14ac:dyDescent="0.3">
      <c r="A280" s="25" t="s">
        <v>1509</v>
      </c>
      <c r="B280" s="25" t="s">
        <v>119</v>
      </c>
      <c r="C280" s="25" t="s">
        <v>120</v>
      </c>
      <c r="D280" s="25" t="s">
        <v>121</v>
      </c>
      <c r="E280" s="66" t="s">
        <v>130</v>
      </c>
      <c r="F280" s="182" t="s">
        <v>139</v>
      </c>
      <c r="G280" s="66" t="s">
        <v>1088</v>
      </c>
      <c r="H280" s="181" t="s">
        <v>101</v>
      </c>
      <c r="I280" s="66" t="s">
        <v>124</v>
      </c>
      <c r="J280" s="66" t="s">
        <v>94</v>
      </c>
      <c r="K280" s="111" t="s">
        <v>82</v>
      </c>
      <c r="L280" s="66"/>
      <c r="M280" s="66"/>
      <c r="N280" s="89" t="s">
        <v>103</v>
      </c>
      <c r="O280" s="113">
        <v>0.4</v>
      </c>
      <c r="P280" s="200">
        <v>115</v>
      </c>
      <c r="Q280" s="214">
        <v>22</v>
      </c>
      <c r="R280" s="66" t="s">
        <v>87</v>
      </c>
      <c r="S280" s="115" t="s">
        <v>87</v>
      </c>
      <c r="T280" s="114">
        <v>0.8</v>
      </c>
      <c r="U280" s="66">
        <v>200</v>
      </c>
      <c r="V280" s="66">
        <v>800</v>
      </c>
      <c r="W280" s="115">
        <v>600</v>
      </c>
      <c r="X280" s="184">
        <v>130</v>
      </c>
      <c r="Y280" s="66">
        <v>200</v>
      </c>
      <c r="Z280" s="66">
        <v>800</v>
      </c>
      <c r="AA280" s="115">
        <v>600</v>
      </c>
      <c r="AB280" s="184">
        <v>130</v>
      </c>
      <c r="AC280" s="115" t="s">
        <v>87</v>
      </c>
      <c r="AD280" s="115">
        <v>93</v>
      </c>
      <c r="AE280" s="116">
        <v>1.1720000000000002</v>
      </c>
      <c r="AF280" s="116">
        <v>1.0215826086956523</v>
      </c>
      <c r="AG280" s="116">
        <v>1.0828775652173914</v>
      </c>
      <c r="AH280" s="118">
        <v>874.04208000000006</v>
      </c>
      <c r="AI280" s="117">
        <v>142.63285668929865</v>
      </c>
      <c r="AJ280" s="118">
        <v>155.95802613548477</v>
      </c>
      <c r="AK280" s="119">
        <v>310.022051532305</v>
      </c>
      <c r="AL280" s="120">
        <v>156</v>
      </c>
      <c r="AM280" s="117">
        <v>179.4</v>
      </c>
      <c r="AN280" s="117">
        <v>194.26823520000002</v>
      </c>
      <c r="AO280" s="117">
        <v>883.03743272727286</v>
      </c>
      <c r="AP280" s="255"/>
      <c r="AQ280" s="263"/>
      <c r="AR280" s="256"/>
    </row>
    <row r="281" spans="1:44" x14ac:dyDescent="0.3">
      <c r="A281" s="25" t="s">
        <v>1509</v>
      </c>
      <c r="B281" s="25" t="s">
        <v>119</v>
      </c>
      <c r="C281" s="25" t="s">
        <v>120</v>
      </c>
      <c r="D281" s="25" t="s">
        <v>121</v>
      </c>
      <c r="E281" s="66" t="s">
        <v>130</v>
      </c>
      <c r="F281" s="110" t="s">
        <v>139</v>
      </c>
      <c r="G281" s="66" t="s">
        <v>1089</v>
      </c>
      <c r="H281" s="181" t="s">
        <v>101</v>
      </c>
      <c r="I281" s="66" t="s">
        <v>124</v>
      </c>
      <c r="J281" s="66" t="s">
        <v>94</v>
      </c>
      <c r="K281" s="111" t="s">
        <v>82</v>
      </c>
      <c r="L281" s="66" t="s">
        <v>1090</v>
      </c>
      <c r="M281" s="66" t="s">
        <v>83</v>
      </c>
      <c r="N281" s="261" t="s">
        <v>142</v>
      </c>
      <c r="O281" s="113">
        <v>0.56000000000000005</v>
      </c>
      <c r="P281" s="200">
        <v>115</v>
      </c>
      <c r="Q281" s="214">
        <v>23</v>
      </c>
      <c r="R281" s="66" t="s">
        <v>87</v>
      </c>
      <c r="S281" s="84" t="s">
        <v>87</v>
      </c>
      <c r="T281" s="114">
        <v>0.8</v>
      </c>
      <c r="U281" s="66">
        <v>200</v>
      </c>
      <c r="V281" s="66">
        <v>800</v>
      </c>
      <c r="W281" s="115">
        <v>600</v>
      </c>
      <c r="X281" s="184">
        <v>120</v>
      </c>
      <c r="Y281" s="66">
        <v>200</v>
      </c>
      <c r="Z281" s="66">
        <v>800</v>
      </c>
      <c r="AA281" s="115">
        <v>600</v>
      </c>
      <c r="AB281" s="184">
        <v>120</v>
      </c>
      <c r="AC281" s="115" t="s">
        <v>87</v>
      </c>
      <c r="AD281" s="115">
        <v>92</v>
      </c>
      <c r="AE281" s="116">
        <v>1.3152000000000001</v>
      </c>
      <c r="AF281" s="116">
        <v>1.1091200000000001</v>
      </c>
      <c r="AG281" s="116">
        <v>1.1756672000000001</v>
      </c>
      <c r="AH281" s="118">
        <v>884.45891200000005</v>
      </c>
      <c r="AI281" s="117">
        <v>127.10288020062197</v>
      </c>
      <c r="AJ281" s="118">
        <v>138.97719482267954</v>
      </c>
      <c r="AK281" s="119">
        <v>276.2666091817681</v>
      </c>
      <c r="AL281" s="120">
        <v>139</v>
      </c>
      <c r="AM281" s="117">
        <v>159.85</v>
      </c>
      <c r="AN281" s="117">
        <v>187.93040192000001</v>
      </c>
      <c r="AO281" s="117">
        <v>817.08870400000001</v>
      </c>
      <c r="AP281" s="255" t="s">
        <v>1100</v>
      </c>
      <c r="AQ281" s="263" t="s">
        <v>1101</v>
      </c>
      <c r="AR281" s="256"/>
    </row>
    <row r="282" spans="1:44" x14ac:dyDescent="0.3">
      <c r="A282" s="25" t="s">
        <v>1509</v>
      </c>
      <c r="B282" s="25" t="s">
        <v>119</v>
      </c>
      <c r="C282" s="25" t="s">
        <v>120</v>
      </c>
      <c r="D282" s="25" t="s">
        <v>121</v>
      </c>
      <c r="E282" s="66" t="s">
        <v>130</v>
      </c>
      <c r="F282" s="110" t="s">
        <v>139</v>
      </c>
      <c r="G282" s="66" t="s">
        <v>1091</v>
      </c>
      <c r="H282" s="181" t="s">
        <v>101</v>
      </c>
      <c r="I282" s="66" t="s">
        <v>124</v>
      </c>
      <c r="J282" s="66" t="s">
        <v>94</v>
      </c>
      <c r="K282" s="111" t="s">
        <v>82</v>
      </c>
      <c r="L282" s="66"/>
      <c r="M282" s="66" t="s">
        <v>83</v>
      </c>
      <c r="N282" s="89" t="s">
        <v>103</v>
      </c>
      <c r="O282" s="113">
        <v>0.56000000000000005</v>
      </c>
      <c r="P282" s="200">
        <v>115</v>
      </c>
      <c r="Q282" s="214">
        <v>22</v>
      </c>
      <c r="R282" s="66" t="s">
        <v>87</v>
      </c>
      <c r="S282" s="84" t="s">
        <v>87</v>
      </c>
      <c r="T282" s="114">
        <v>0.8</v>
      </c>
      <c r="U282" s="66">
        <v>200</v>
      </c>
      <c r="V282" s="66">
        <v>800</v>
      </c>
      <c r="W282" s="115">
        <v>600</v>
      </c>
      <c r="X282" s="184">
        <v>130</v>
      </c>
      <c r="Y282" s="66">
        <v>200</v>
      </c>
      <c r="Z282" s="66">
        <v>800</v>
      </c>
      <c r="AA282" s="115">
        <v>600</v>
      </c>
      <c r="AB282" s="184">
        <v>130</v>
      </c>
      <c r="AC282" s="115" t="s">
        <v>87</v>
      </c>
      <c r="AD282" s="115">
        <v>93</v>
      </c>
      <c r="AE282" s="116">
        <v>1.3208000000000002</v>
      </c>
      <c r="AF282" s="116">
        <v>1.110215652173913</v>
      </c>
      <c r="AG282" s="116">
        <v>1.1768285913043479</v>
      </c>
      <c r="AH282" s="118">
        <v>884.45891200000005</v>
      </c>
      <c r="AI282" s="117">
        <v>126.56398246506511</v>
      </c>
      <c r="AJ282" s="118">
        <v>138.38795171925207</v>
      </c>
      <c r="AK282" s="119">
        <v>275.09527891873211</v>
      </c>
      <c r="AL282" s="120">
        <v>138</v>
      </c>
      <c r="AM282" s="117">
        <v>158.69999999999999</v>
      </c>
      <c r="AN282" s="117">
        <v>186.76269744000001</v>
      </c>
      <c r="AO282" s="117">
        <v>848.92135200000007</v>
      </c>
      <c r="AP282" s="255"/>
      <c r="AQ282" s="263"/>
      <c r="AR282" s="256"/>
    </row>
    <row r="283" spans="1:44" x14ac:dyDescent="0.3">
      <c r="A283" s="25" t="s">
        <v>1509</v>
      </c>
      <c r="B283" s="25" t="s">
        <v>119</v>
      </c>
      <c r="C283" s="25" t="s">
        <v>120</v>
      </c>
      <c r="D283" s="25" t="s">
        <v>121</v>
      </c>
      <c r="E283" s="66" t="s">
        <v>130</v>
      </c>
      <c r="F283" s="110" t="s">
        <v>139</v>
      </c>
      <c r="G283" s="66" t="s">
        <v>1092</v>
      </c>
      <c r="H283" s="181" t="s">
        <v>101</v>
      </c>
      <c r="I283" s="66" t="s">
        <v>124</v>
      </c>
      <c r="J283" s="66" t="s">
        <v>94</v>
      </c>
      <c r="K283" s="111" t="s">
        <v>82</v>
      </c>
      <c r="L283" s="66" t="s">
        <v>1093</v>
      </c>
      <c r="M283" s="66" t="s">
        <v>83</v>
      </c>
      <c r="N283" s="261" t="s">
        <v>142</v>
      </c>
      <c r="O283" s="113">
        <v>0.44</v>
      </c>
      <c r="P283" s="200">
        <v>115</v>
      </c>
      <c r="Q283" s="214">
        <v>23</v>
      </c>
      <c r="R283" s="66" t="s">
        <v>87</v>
      </c>
      <c r="S283" s="84" t="s">
        <v>87</v>
      </c>
      <c r="T283" s="114">
        <v>0.8</v>
      </c>
      <c r="U283" s="66">
        <v>200</v>
      </c>
      <c r="V283" s="66">
        <v>800</v>
      </c>
      <c r="W283" s="115">
        <v>600</v>
      </c>
      <c r="X283" s="184">
        <v>120</v>
      </c>
      <c r="Y283" s="66">
        <v>200</v>
      </c>
      <c r="Z283" s="66">
        <v>800</v>
      </c>
      <c r="AA283" s="115">
        <v>600</v>
      </c>
      <c r="AB283" s="184">
        <v>120</v>
      </c>
      <c r="AC283" s="115" t="s">
        <v>87</v>
      </c>
      <c r="AD283" s="115">
        <v>92</v>
      </c>
      <c r="AE283" s="116">
        <v>1.2048000000000001</v>
      </c>
      <c r="AF283" s="116">
        <v>1.0428800000000003</v>
      </c>
      <c r="AG283" s="116">
        <v>1.1054528000000001</v>
      </c>
      <c r="AH283" s="118">
        <v>876.64628800000003</v>
      </c>
      <c r="AI283" s="117">
        <v>138.74975766920485</v>
      </c>
      <c r="AJ283" s="118">
        <v>151.71215689806456</v>
      </c>
      <c r="AK283" s="119">
        <v>301.58187615858355</v>
      </c>
      <c r="AL283" s="120">
        <v>152</v>
      </c>
      <c r="AM283" s="117">
        <v>174.8</v>
      </c>
      <c r="AN283" s="117">
        <v>193.23314944000003</v>
      </c>
      <c r="AO283" s="117">
        <v>840.14412800000014</v>
      </c>
      <c r="AP283" s="255" t="s">
        <v>1102</v>
      </c>
      <c r="AQ283" s="263" t="s">
        <v>1103</v>
      </c>
      <c r="AR283" s="256"/>
    </row>
    <row r="284" spans="1:44" x14ac:dyDescent="0.3">
      <c r="A284" s="25" t="s">
        <v>1509</v>
      </c>
      <c r="B284" s="25" t="s">
        <v>119</v>
      </c>
      <c r="C284" s="25" t="s">
        <v>120</v>
      </c>
      <c r="D284" s="25" t="s">
        <v>121</v>
      </c>
      <c r="E284" s="66" t="s">
        <v>130</v>
      </c>
      <c r="F284" s="110" t="s">
        <v>139</v>
      </c>
      <c r="G284" s="66" t="s">
        <v>1094</v>
      </c>
      <c r="H284" s="181" t="s">
        <v>101</v>
      </c>
      <c r="I284" s="66" t="s">
        <v>124</v>
      </c>
      <c r="J284" s="66" t="s">
        <v>94</v>
      </c>
      <c r="K284" s="111" t="s">
        <v>82</v>
      </c>
      <c r="L284" s="66"/>
      <c r="M284" s="66" t="s">
        <v>83</v>
      </c>
      <c r="N284" s="89" t="s">
        <v>103</v>
      </c>
      <c r="O284" s="113">
        <v>0.44</v>
      </c>
      <c r="P284" s="200">
        <v>115</v>
      </c>
      <c r="Q284" s="214">
        <v>22</v>
      </c>
      <c r="R284" s="66" t="s">
        <v>87</v>
      </c>
      <c r="S284" s="84" t="s">
        <v>87</v>
      </c>
      <c r="T284" s="114">
        <v>0.8</v>
      </c>
      <c r="U284" s="66">
        <v>200</v>
      </c>
      <c r="V284" s="66">
        <v>800</v>
      </c>
      <c r="W284" s="115">
        <v>600</v>
      </c>
      <c r="X284" s="184">
        <v>130</v>
      </c>
      <c r="Y284" s="66">
        <v>200</v>
      </c>
      <c r="Z284" s="66">
        <v>800</v>
      </c>
      <c r="AA284" s="115">
        <v>600</v>
      </c>
      <c r="AB284" s="184">
        <v>130</v>
      </c>
      <c r="AC284" s="115" t="s">
        <v>87</v>
      </c>
      <c r="AD284" s="115">
        <v>93</v>
      </c>
      <c r="AE284" s="116">
        <v>1.2092000000000001</v>
      </c>
      <c r="AF284" s="116">
        <v>1.0437408695652173</v>
      </c>
      <c r="AG284" s="116">
        <v>1.1063653217391303</v>
      </c>
      <c r="AH284" s="118">
        <v>876.64628800000003</v>
      </c>
      <c r="AI284" s="117">
        <v>138.24487929197653</v>
      </c>
      <c r="AJ284" s="118">
        <v>151.16011133872655</v>
      </c>
      <c r="AK284" s="119">
        <v>300.48448924566776</v>
      </c>
      <c r="AL284" s="120">
        <v>151</v>
      </c>
      <c r="AM284" s="117">
        <v>173.65</v>
      </c>
      <c r="AN284" s="117">
        <v>192.12033811999999</v>
      </c>
      <c r="AO284" s="117">
        <v>873.27426418181813</v>
      </c>
      <c r="AP284" s="255"/>
      <c r="AQ284" s="263"/>
      <c r="AR284" s="256"/>
    </row>
    <row r="285" spans="1:44" ht="49.5" x14ac:dyDescent="0.3">
      <c r="A285" s="25" t="s">
        <v>1509</v>
      </c>
      <c r="B285" s="25" t="s">
        <v>119</v>
      </c>
      <c r="C285" s="25" t="s">
        <v>120</v>
      </c>
      <c r="D285" s="25" t="s">
        <v>121</v>
      </c>
      <c r="E285" s="25" t="s">
        <v>130</v>
      </c>
      <c r="F285" s="27" t="s">
        <v>78</v>
      </c>
      <c r="G285" s="25" t="s">
        <v>1095</v>
      </c>
      <c r="H285" s="178" t="s">
        <v>101</v>
      </c>
      <c r="I285" s="25" t="s">
        <v>124</v>
      </c>
      <c r="J285" s="25" t="s">
        <v>94</v>
      </c>
      <c r="K285" s="30" t="s">
        <v>82</v>
      </c>
      <c r="L285" s="25" t="s">
        <v>1096</v>
      </c>
      <c r="M285" s="25" t="s">
        <v>83</v>
      </c>
      <c r="N285" s="74" t="s">
        <v>103</v>
      </c>
      <c r="O285" s="61">
        <v>0.48</v>
      </c>
      <c r="P285" s="262">
        <v>115</v>
      </c>
      <c r="Q285" s="96">
        <v>23</v>
      </c>
      <c r="R285" s="25" t="s">
        <v>87</v>
      </c>
      <c r="S285" s="34" t="s">
        <v>87</v>
      </c>
      <c r="T285" s="35">
        <v>0.8</v>
      </c>
      <c r="U285" s="25">
        <v>200</v>
      </c>
      <c r="V285" s="25">
        <v>800</v>
      </c>
      <c r="W285" s="34">
        <v>600</v>
      </c>
      <c r="X285" s="36">
        <v>120</v>
      </c>
      <c r="Y285" s="25">
        <v>200</v>
      </c>
      <c r="Z285" s="25">
        <v>800</v>
      </c>
      <c r="AA285" s="34">
        <v>600</v>
      </c>
      <c r="AB285" s="36">
        <v>120</v>
      </c>
      <c r="AC285" s="34" t="s">
        <v>87</v>
      </c>
      <c r="AD285" s="34">
        <v>92</v>
      </c>
      <c r="AE285" s="37">
        <v>1.2416</v>
      </c>
      <c r="AF285" s="37">
        <v>1.0649599999999999</v>
      </c>
      <c r="AG285" s="37">
        <v>1.1288575999999999</v>
      </c>
      <c r="AH285" s="38">
        <v>879.250496</v>
      </c>
      <c r="AI285" s="39">
        <v>134.63732928467948</v>
      </c>
      <c r="AJ285" s="38">
        <v>147.2155336910343</v>
      </c>
      <c r="AK285" s="40">
        <v>292.6432380765637</v>
      </c>
      <c r="AL285" s="41">
        <v>147</v>
      </c>
      <c r="AM285" s="39">
        <v>169.05</v>
      </c>
      <c r="AN285" s="39">
        <v>190.83337728000001</v>
      </c>
      <c r="AO285" s="39">
        <v>829.71033599999998</v>
      </c>
      <c r="AP285" s="257" t="s">
        <v>1104</v>
      </c>
      <c r="AQ285" s="43" t="s">
        <v>1105</v>
      </c>
      <c r="AR285" s="44" t="s">
        <v>1106</v>
      </c>
    </row>
    <row r="286" spans="1:44" x14ac:dyDescent="0.3">
      <c r="A286" s="25" t="s">
        <v>1509</v>
      </c>
      <c r="B286" s="25" t="s">
        <v>119</v>
      </c>
      <c r="C286" s="25" t="s">
        <v>120</v>
      </c>
      <c r="D286" s="25" t="s">
        <v>121</v>
      </c>
      <c r="E286" s="66" t="s">
        <v>130</v>
      </c>
      <c r="F286" s="182" t="s">
        <v>139</v>
      </c>
      <c r="G286" s="66" t="s">
        <v>1107</v>
      </c>
      <c r="H286" s="181" t="s">
        <v>101</v>
      </c>
      <c r="I286" s="66" t="s">
        <v>124</v>
      </c>
      <c r="J286" s="66" t="s">
        <v>94</v>
      </c>
      <c r="K286" s="111" t="s">
        <v>82</v>
      </c>
      <c r="L286" s="66"/>
      <c r="M286" s="66"/>
      <c r="N286" s="89" t="s">
        <v>103</v>
      </c>
      <c r="O286" s="113">
        <v>0.48</v>
      </c>
      <c r="P286" s="66">
        <v>117</v>
      </c>
      <c r="Q286" s="214">
        <v>24</v>
      </c>
      <c r="R286" s="66" t="s">
        <v>87</v>
      </c>
      <c r="S286" s="115" t="s">
        <v>87</v>
      </c>
      <c r="T286" s="114">
        <v>0.8</v>
      </c>
      <c r="U286" s="66">
        <v>200</v>
      </c>
      <c r="V286" s="66">
        <v>800</v>
      </c>
      <c r="W286" s="115">
        <v>600</v>
      </c>
      <c r="X286" s="184">
        <v>130</v>
      </c>
      <c r="Y286" s="66">
        <v>200</v>
      </c>
      <c r="Z286" s="66">
        <v>800</v>
      </c>
      <c r="AA286" s="115">
        <v>600</v>
      </c>
      <c r="AB286" s="184">
        <v>130</v>
      </c>
      <c r="AC286" s="115" t="s">
        <v>87</v>
      </c>
      <c r="AD286" s="115">
        <v>93</v>
      </c>
      <c r="AE286" s="116">
        <v>1.2464</v>
      </c>
      <c r="AF286" s="116">
        <v>1.0689846153846156</v>
      </c>
      <c r="AG286" s="116">
        <v>1.1331236923076926</v>
      </c>
      <c r="AH286" s="118">
        <v>879.250496</v>
      </c>
      <c r="AI286" s="117">
        <v>134.11882865842267</v>
      </c>
      <c r="AJ286" s="118">
        <v>146.64859325319975</v>
      </c>
      <c r="AK286" s="119">
        <v>291.51624229449732</v>
      </c>
      <c r="AL286" s="120">
        <v>147</v>
      </c>
      <c r="AM286" s="117">
        <v>171.99</v>
      </c>
      <c r="AN286" s="117">
        <v>194.88594384000007</v>
      </c>
      <c r="AO286" s="117">
        <v>812.02476600000034</v>
      </c>
      <c r="AP286" s="255"/>
      <c r="AQ286" s="263"/>
      <c r="AR286" s="256"/>
    </row>
    <row r="287" spans="1:44" x14ac:dyDescent="0.25">
      <c r="A287" s="25" t="s">
        <v>1509</v>
      </c>
      <c r="B287" s="25" t="s">
        <v>119</v>
      </c>
      <c r="C287" s="25" t="s">
        <v>120</v>
      </c>
      <c r="D287" s="25" t="s">
        <v>121</v>
      </c>
      <c r="E287" s="66" t="s">
        <v>130</v>
      </c>
      <c r="F287" s="66" t="s">
        <v>122</v>
      </c>
      <c r="G287" s="235" t="s">
        <v>1108</v>
      </c>
      <c r="H287" s="181" t="s">
        <v>101</v>
      </c>
      <c r="I287" s="66" t="s">
        <v>124</v>
      </c>
      <c r="J287" s="66" t="s">
        <v>94</v>
      </c>
      <c r="K287" s="111" t="s">
        <v>82</v>
      </c>
      <c r="L287" s="66"/>
      <c r="M287" s="66"/>
      <c r="N287" s="89" t="s">
        <v>103</v>
      </c>
      <c r="O287" s="113">
        <v>0.48</v>
      </c>
      <c r="P287" s="66">
        <v>118</v>
      </c>
      <c r="Q287" s="189">
        <v>30</v>
      </c>
      <c r="R287" s="66" t="s">
        <v>87</v>
      </c>
      <c r="S287" s="115" t="s">
        <v>87</v>
      </c>
      <c r="T287" s="114">
        <v>0.8</v>
      </c>
      <c r="U287" s="66">
        <v>200</v>
      </c>
      <c r="V287" s="66">
        <v>600</v>
      </c>
      <c r="W287" s="115">
        <v>400</v>
      </c>
      <c r="X287" s="184">
        <v>280</v>
      </c>
      <c r="Y287" s="66">
        <v>200</v>
      </c>
      <c r="Z287" s="66">
        <v>600</v>
      </c>
      <c r="AA287" s="115">
        <v>400</v>
      </c>
      <c r="AB287" s="184">
        <v>280</v>
      </c>
      <c r="AC287" s="115" t="s">
        <v>87</v>
      </c>
      <c r="AD287" s="115">
        <v>88</v>
      </c>
      <c r="AE287" s="116">
        <v>1.2223999999999999</v>
      </c>
      <c r="AF287" s="116">
        <v>1.0648949152542373</v>
      </c>
      <c r="AG287" s="116">
        <v>1.1287886101694915</v>
      </c>
      <c r="AH287" s="118">
        <v>879.250496</v>
      </c>
      <c r="AI287" s="117">
        <v>136.75205173417709</v>
      </c>
      <c r="AJ287" s="118">
        <v>149.52781956052698</v>
      </c>
      <c r="AK287" s="119">
        <v>297.23972872698096</v>
      </c>
      <c r="AL287" s="120">
        <v>150</v>
      </c>
      <c r="AM287" s="117">
        <v>177</v>
      </c>
      <c r="AN287" s="117">
        <v>199.79558399999999</v>
      </c>
      <c r="AO287" s="117">
        <v>665.98527999999999</v>
      </c>
      <c r="AP287" s="255"/>
      <c r="AQ287" s="226" t="s">
        <v>1121</v>
      </c>
      <c r="AR287" s="256"/>
    </row>
    <row r="288" spans="1:44" x14ac:dyDescent="0.25">
      <c r="A288" s="25" t="s">
        <v>1509</v>
      </c>
      <c r="B288" s="25" t="s">
        <v>119</v>
      </c>
      <c r="C288" s="25" t="s">
        <v>120</v>
      </c>
      <c r="D288" s="25" t="s">
        <v>121</v>
      </c>
      <c r="E288" s="66" t="s">
        <v>130</v>
      </c>
      <c r="F288" s="66" t="s">
        <v>122</v>
      </c>
      <c r="G288" s="235" t="s">
        <v>1109</v>
      </c>
      <c r="H288" s="181" t="s">
        <v>101</v>
      </c>
      <c r="I288" s="66" t="s">
        <v>124</v>
      </c>
      <c r="J288" s="66" t="s">
        <v>94</v>
      </c>
      <c r="K288" s="111" t="s">
        <v>82</v>
      </c>
      <c r="L288" s="66"/>
      <c r="M288" s="66"/>
      <c r="N288" s="89" t="s">
        <v>103</v>
      </c>
      <c r="O288" s="113">
        <v>0.48</v>
      </c>
      <c r="P288" s="66">
        <v>118</v>
      </c>
      <c r="Q288" s="189">
        <v>30</v>
      </c>
      <c r="R288" s="264">
        <v>12</v>
      </c>
      <c r="S288" s="115">
        <v>106</v>
      </c>
      <c r="T288" s="114">
        <v>0.8</v>
      </c>
      <c r="U288" s="66">
        <v>200</v>
      </c>
      <c r="V288" s="66">
        <v>600</v>
      </c>
      <c r="W288" s="115">
        <v>400</v>
      </c>
      <c r="X288" s="184">
        <v>280</v>
      </c>
      <c r="Y288" s="66">
        <v>200</v>
      </c>
      <c r="Z288" s="66">
        <v>600</v>
      </c>
      <c r="AA288" s="115">
        <v>400</v>
      </c>
      <c r="AB288" s="184">
        <v>280</v>
      </c>
      <c r="AC288" s="115" t="s">
        <v>87</v>
      </c>
      <c r="AD288" s="115">
        <v>88</v>
      </c>
      <c r="AE288" s="116">
        <v>1.2223999999999999</v>
      </c>
      <c r="AF288" s="116">
        <v>1.0648949152542373</v>
      </c>
      <c r="AG288" s="116">
        <v>1.1287886101694915</v>
      </c>
      <c r="AH288" s="118">
        <v>879.250496</v>
      </c>
      <c r="AI288" s="117">
        <v>136.75205173417709</v>
      </c>
      <c r="AJ288" s="118">
        <v>149.52781956052698</v>
      </c>
      <c r="AK288" s="119">
        <v>297.23972872698096</v>
      </c>
      <c r="AL288" s="120">
        <v>150</v>
      </c>
      <c r="AM288" s="117">
        <v>177</v>
      </c>
      <c r="AN288" s="117">
        <v>199.79558399999999</v>
      </c>
      <c r="AO288" s="117">
        <v>665.98527999999999</v>
      </c>
      <c r="AP288" s="255"/>
      <c r="AQ288" s="226" t="s">
        <v>1122</v>
      </c>
      <c r="AR288" s="256"/>
    </row>
    <row r="289" spans="1:44" x14ac:dyDescent="0.3">
      <c r="A289" s="25" t="s">
        <v>1509</v>
      </c>
      <c r="B289" s="25" t="s">
        <v>119</v>
      </c>
      <c r="C289" s="25" t="s">
        <v>120</v>
      </c>
      <c r="D289" s="25" t="s">
        <v>121</v>
      </c>
      <c r="E289" s="47" t="s">
        <v>130</v>
      </c>
      <c r="F289" s="47" t="s">
        <v>122</v>
      </c>
      <c r="G289" s="47" t="s">
        <v>1110</v>
      </c>
      <c r="H289" s="85" t="s">
        <v>101</v>
      </c>
      <c r="I289" s="47" t="s">
        <v>124</v>
      </c>
      <c r="J289" s="265" t="s">
        <v>81</v>
      </c>
      <c r="K289" s="87" t="s">
        <v>82</v>
      </c>
      <c r="L289" s="47" t="s">
        <v>1111</v>
      </c>
      <c r="M289" s="47" t="s">
        <v>83</v>
      </c>
      <c r="N289" s="89" t="s">
        <v>103</v>
      </c>
      <c r="O289" s="90">
        <v>0.62</v>
      </c>
      <c r="P289" s="218">
        <v>92</v>
      </c>
      <c r="Q289" s="96">
        <v>24</v>
      </c>
      <c r="R289" s="264">
        <v>18</v>
      </c>
      <c r="S289" s="84">
        <v>74</v>
      </c>
      <c r="T289" s="92">
        <v>0.8</v>
      </c>
      <c r="U289" s="47">
        <v>160</v>
      </c>
      <c r="V289" s="47">
        <v>560</v>
      </c>
      <c r="W289" s="84">
        <v>400</v>
      </c>
      <c r="X289" s="93">
        <v>120</v>
      </c>
      <c r="Y289" s="47">
        <v>160</v>
      </c>
      <c r="Z289" s="47">
        <v>560</v>
      </c>
      <c r="AA289" s="84">
        <v>400</v>
      </c>
      <c r="AB289" s="93">
        <v>120</v>
      </c>
      <c r="AC289" s="84">
        <v>60</v>
      </c>
      <c r="AD289" s="84">
        <v>68</v>
      </c>
      <c r="AE289" s="75">
        <v>1.2216</v>
      </c>
      <c r="AF289" s="75">
        <v>1.0657913043478262</v>
      </c>
      <c r="AG289" s="75">
        <v>1.1297387826086958</v>
      </c>
      <c r="AH289" s="97">
        <v>888.36522400000001</v>
      </c>
      <c r="AI289" s="39">
        <v>136.84160776019814</v>
      </c>
      <c r="AJ289" s="97">
        <v>149.62574216665698</v>
      </c>
      <c r="AK289" s="40">
        <v>297.43438473793503</v>
      </c>
      <c r="AL289" s="41">
        <v>250</v>
      </c>
      <c r="AM289" s="39">
        <v>230</v>
      </c>
      <c r="AN289" s="39">
        <v>259.83992000000001</v>
      </c>
      <c r="AO289" s="39">
        <v>1082.6663333333333</v>
      </c>
      <c r="AP289" s="258" t="s">
        <v>1123</v>
      </c>
      <c r="AQ289" s="108" t="s">
        <v>1124</v>
      </c>
      <c r="AR289" s="241"/>
    </row>
    <row r="290" spans="1:44" x14ac:dyDescent="0.3">
      <c r="A290" s="25" t="s">
        <v>1509</v>
      </c>
      <c r="B290" s="25" t="s">
        <v>119</v>
      </c>
      <c r="C290" s="25" t="s">
        <v>120</v>
      </c>
      <c r="D290" s="25" t="s">
        <v>121</v>
      </c>
      <c r="E290" s="25" t="s">
        <v>130</v>
      </c>
      <c r="F290" s="27" t="s">
        <v>78</v>
      </c>
      <c r="G290" s="25" t="s">
        <v>1112</v>
      </c>
      <c r="H290" s="178" t="s">
        <v>101</v>
      </c>
      <c r="I290" s="25" t="s">
        <v>124</v>
      </c>
      <c r="J290" s="25" t="s">
        <v>94</v>
      </c>
      <c r="K290" s="30" t="s">
        <v>82</v>
      </c>
      <c r="L290" s="25" t="s">
        <v>1113</v>
      </c>
      <c r="M290" s="25" t="s">
        <v>83</v>
      </c>
      <c r="N290" s="74" t="s">
        <v>103</v>
      </c>
      <c r="O290" s="61">
        <v>0.64</v>
      </c>
      <c r="P290" s="262">
        <v>115</v>
      </c>
      <c r="Q290" s="96">
        <v>23</v>
      </c>
      <c r="R290" s="25" t="s">
        <v>87</v>
      </c>
      <c r="S290" s="34" t="s">
        <v>87</v>
      </c>
      <c r="T290" s="35">
        <v>0.8</v>
      </c>
      <c r="U290" s="25">
        <v>200</v>
      </c>
      <c r="V290" s="25">
        <v>800</v>
      </c>
      <c r="W290" s="34">
        <v>600</v>
      </c>
      <c r="X290" s="36">
        <v>120</v>
      </c>
      <c r="Y290" s="25">
        <v>200</v>
      </c>
      <c r="Z290" s="25">
        <v>800</v>
      </c>
      <c r="AA290" s="34">
        <v>600</v>
      </c>
      <c r="AB290" s="36">
        <v>120</v>
      </c>
      <c r="AC290" s="34" t="s">
        <v>87</v>
      </c>
      <c r="AD290" s="34">
        <v>92</v>
      </c>
      <c r="AE290" s="37">
        <v>1.3888</v>
      </c>
      <c r="AF290" s="37">
        <v>1.1532800000000001</v>
      </c>
      <c r="AG290" s="37">
        <v>1.2224767999999999</v>
      </c>
      <c r="AH290" s="38">
        <v>889.66732800000011</v>
      </c>
      <c r="AI290" s="39">
        <v>120.36701327754754</v>
      </c>
      <c r="AJ290" s="38">
        <v>131.61204394497997</v>
      </c>
      <c r="AK290" s="40">
        <v>261.62575201314911</v>
      </c>
      <c r="AL290" s="41">
        <v>132</v>
      </c>
      <c r="AM290" s="39">
        <v>151.80000000000001</v>
      </c>
      <c r="AN290" s="39">
        <v>185.57197823999999</v>
      </c>
      <c r="AO290" s="39">
        <v>806.83468799999991</v>
      </c>
      <c r="AP290" s="257" t="s">
        <v>1104</v>
      </c>
      <c r="AQ290" s="43" t="s">
        <v>1125</v>
      </c>
      <c r="AR290" s="44"/>
    </row>
    <row r="291" spans="1:44" ht="99" x14ac:dyDescent="0.3">
      <c r="A291" s="25" t="s">
        <v>1509</v>
      </c>
      <c r="B291" s="25" t="s">
        <v>119</v>
      </c>
      <c r="C291" s="25" t="s">
        <v>120</v>
      </c>
      <c r="D291" s="25" t="s">
        <v>121</v>
      </c>
      <c r="E291" s="25" t="s">
        <v>130</v>
      </c>
      <c r="F291" s="27" t="s">
        <v>78</v>
      </c>
      <c r="G291" s="25" t="s">
        <v>1114</v>
      </c>
      <c r="H291" s="178" t="s">
        <v>101</v>
      </c>
      <c r="I291" s="25" t="s">
        <v>124</v>
      </c>
      <c r="J291" s="25" t="s">
        <v>94</v>
      </c>
      <c r="K291" s="30" t="s">
        <v>82</v>
      </c>
      <c r="L291" s="25" t="s">
        <v>1115</v>
      </c>
      <c r="M291" s="25" t="s">
        <v>83</v>
      </c>
      <c r="N291" s="74" t="s">
        <v>103</v>
      </c>
      <c r="O291" s="61">
        <v>0.52</v>
      </c>
      <c r="P291" s="262">
        <v>113</v>
      </c>
      <c r="Q291" s="96">
        <v>21</v>
      </c>
      <c r="R291" s="25" t="s">
        <v>87</v>
      </c>
      <c r="S291" s="34" t="s">
        <v>87</v>
      </c>
      <c r="T291" s="35">
        <v>0.8</v>
      </c>
      <c r="U291" s="25">
        <v>200</v>
      </c>
      <c r="V291" s="25">
        <v>800</v>
      </c>
      <c r="W291" s="34">
        <v>600</v>
      </c>
      <c r="X291" s="36">
        <v>120</v>
      </c>
      <c r="Y291" s="25">
        <v>200</v>
      </c>
      <c r="Z291" s="25">
        <v>800</v>
      </c>
      <c r="AA291" s="34">
        <v>600</v>
      </c>
      <c r="AB291" s="36">
        <v>120</v>
      </c>
      <c r="AC291" s="34" t="s">
        <v>87</v>
      </c>
      <c r="AD291" s="34">
        <v>92</v>
      </c>
      <c r="AE291" s="37">
        <v>1.2784</v>
      </c>
      <c r="AF291" s="37">
        <v>1.0836530973451328</v>
      </c>
      <c r="AG291" s="37">
        <v>1.1486722831858407</v>
      </c>
      <c r="AH291" s="38">
        <v>881.85470400000008</v>
      </c>
      <c r="AI291" s="39">
        <v>130.76166148299282</v>
      </c>
      <c r="AJ291" s="38">
        <v>142.97778991770036</v>
      </c>
      <c r="AK291" s="40">
        <v>284.21921495295794</v>
      </c>
      <c r="AL291" s="41">
        <v>143</v>
      </c>
      <c r="AM291" s="39">
        <v>161.59</v>
      </c>
      <c r="AN291" s="39">
        <v>185.61395424</v>
      </c>
      <c r="AO291" s="39">
        <v>883.87597257142863</v>
      </c>
      <c r="AP291" s="257" t="s">
        <v>1126</v>
      </c>
      <c r="AQ291" s="43" t="s">
        <v>1127</v>
      </c>
      <c r="AR291" s="44" t="s">
        <v>1128</v>
      </c>
    </row>
    <row r="292" spans="1:44" ht="66" x14ac:dyDescent="0.3">
      <c r="A292" s="25" t="s">
        <v>1509</v>
      </c>
      <c r="B292" s="25" t="s">
        <v>119</v>
      </c>
      <c r="C292" s="25" t="s">
        <v>120</v>
      </c>
      <c r="D292" s="25" t="s">
        <v>121</v>
      </c>
      <c r="E292" s="66" t="s">
        <v>130</v>
      </c>
      <c r="F292" s="110" t="s">
        <v>139</v>
      </c>
      <c r="G292" s="66" t="s">
        <v>1116</v>
      </c>
      <c r="H292" s="181" t="s">
        <v>101</v>
      </c>
      <c r="I292" s="66" t="s">
        <v>124</v>
      </c>
      <c r="J292" s="66" t="s">
        <v>94</v>
      </c>
      <c r="K292" s="111" t="s">
        <v>82</v>
      </c>
      <c r="L292" s="66" t="s">
        <v>1117</v>
      </c>
      <c r="M292" s="66" t="s">
        <v>83</v>
      </c>
      <c r="N292" s="261" t="s">
        <v>142</v>
      </c>
      <c r="O292" s="113">
        <v>0.52</v>
      </c>
      <c r="P292" s="200">
        <v>115</v>
      </c>
      <c r="Q292" s="214">
        <v>23</v>
      </c>
      <c r="R292" s="66" t="s">
        <v>87</v>
      </c>
      <c r="S292" s="84" t="s">
        <v>87</v>
      </c>
      <c r="T292" s="114">
        <v>0.8</v>
      </c>
      <c r="U292" s="66">
        <v>200</v>
      </c>
      <c r="V292" s="66">
        <v>800</v>
      </c>
      <c r="W292" s="115">
        <v>600</v>
      </c>
      <c r="X292" s="184">
        <v>120</v>
      </c>
      <c r="Y292" s="66">
        <v>200</v>
      </c>
      <c r="Z292" s="66">
        <v>800</v>
      </c>
      <c r="AA292" s="115">
        <v>600</v>
      </c>
      <c r="AB292" s="184">
        <v>120</v>
      </c>
      <c r="AC292" s="115" t="s">
        <v>87</v>
      </c>
      <c r="AD292" s="115">
        <v>92</v>
      </c>
      <c r="AE292" s="116">
        <v>1.2784</v>
      </c>
      <c r="AF292" s="116">
        <v>1.08704</v>
      </c>
      <c r="AG292" s="116">
        <v>1.1522624000000001</v>
      </c>
      <c r="AH292" s="118">
        <v>881.85470400000008</v>
      </c>
      <c r="AI292" s="117">
        <v>130.76166148299282</v>
      </c>
      <c r="AJ292" s="118">
        <v>142.97778991770036</v>
      </c>
      <c r="AK292" s="119">
        <v>284.21921495295794</v>
      </c>
      <c r="AL292" s="120">
        <v>143</v>
      </c>
      <c r="AM292" s="117">
        <v>164.45</v>
      </c>
      <c r="AN292" s="117">
        <v>189.48955168000001</v>
      </c>
      <c r="AO292" s="117">
        <v>823.867616</v>
      </c>
      <c r="AP292" s="255" t="s">
        <v>1102</v>
      </c>
      <c r="AQ292" s="263" t="s">
        <v>1129</v>
      </c>
      <c r="AR292" s="256" t="s">
        <v>1130</v>
      </c>
    </row>
    <row r="293" spans="1:44" x14ac:dyDescent="0.3">
      <c r="A293" s="25" t="s">
        <v>1509</v>
      </c>
      <c r="B293" s="25" t="s">
        <v>119</v>
      </c>
      <c r="C293" s="25" t="s">
        <v>120</v>
      </c>
      <c r="D293" s="25" t="s">
        <v>121</v>
      </c>
      <c r="E293" s="66" t="s">
        <v>130</v>
      </c>
      <c r="F293" s="110" t="s">
        <v>139</v>
      </c>
      <c r="G293" s="66" t="s">
        <v>1118</v>
      </c>
      <c r="H293" s="181" t="s">
        <v>101</v>
      </c>
      <c r="I293" s="66" t="s">
        <v>124</v>
      </c>
      <c r="J293" s="66" t="s">
        <v>94</v>
      </c>
      <c r="K293" s="111" t="s">
        <v>82</v>
      </c>
      <c r="L293" s="66"/>
      <c r="M293" s="66" t="s">
        <v>83</v>
      </c>
      <c r="N293" s="89" t="s">
        <v>103</v>
      </c>
      <c r="O293" s="113">
        <v>0.52</v>
      </c>
      <c r="P293" s="200">
        <v>115</v>
      </c>
      <c r="Q293" s="214">
        <v>22</v>
      </c>
      <c r="R293" s="66" t="s">
        <v>87</v>
      </c>
      <c r="S293" s="84" t="s">
        <v>87</v>
      </c>
      <c r="T293" s="114">
        <v>0.8</v>
      </c>
      <c r="U293" s="66">
        <v>200</v>
      </c>
      <c r="V293" s="66">
        <v>800</v>
      </c>
      <c r="W293" s="115">
        <v>600</v>
      </c>
      <c r="X293" s="184">
        <v>130</v>
      </c>
      <c r="Y293" s="66">
        <v>200</v>
      </c>
      <c r="Z293" s="66">
        <v>800</v>
      </c>
      <c r="AA293" s="115">
        <v>600</v>
      </c>
      <c r="AB293" s="184">
        <v>130</v>
      </c>
      <c r="AC293" s="115" t="s">
        <v>87</v>
      </c>
      <c r="AD293" s="115">
        <v>93</v>
      </c>
      <c r="AE293" s="116">
        <v>1.2836000000000001</v>
      </c>
      <c r="AF293" s="116">
        <v>1.0880573913043479</v>
      </c>
      <c r="AG293" s="116">
        <v>1.1533408347826086</v>
      </c>
      <c r="AH293" s="118">
        <v>881.85470400000008</v>
      </c>
      <c r="AI293" s="117">
        <v>130.23193209711596</v>
      </c>
      <c r="AJ293" s="118">
        <v>142.39857169740432</v>
      </c>
      <c r="AK293" s="119">
        <v>283.06781271101704</v>
      </c>
      <c r="AL293" s="120">
        <v>142</v>
      </c>
      <c r="AM293" s="117">
        <v>163.30000000000001</v>
      </c>
      <c r="AN293" s="117">
        <v>188.34055832000001</v>
      </c>
      <c r="AO293" s="117">
        <v>856.09344690909097</v>
      </c>
      <c r="AP293" s="255"/>
      <c r="AQ293" s="263"/>
      <c r="AR293" s="256"/>
    </row>
    <row r="294" spans="1:44" x14ac:dyDescent="0.3">
      <c r="A294" s="25" t="s">
        <v>1509</v>
      </c>
      <c r="B294" s="25" t="s">
        <v>119</v>
      </c>
      <c r="C294" s="25" t="s">
        <v>120</v>
      </c>
      <c r="D294" s="25" t="s">
        <v>121</v>
      </c>
      <c r="E294" s="47" t="s">
        <v>130</v>
      </c>
      <c r="F294" s="47" t="s">
        <v>122</v>
      </c>
      <c r="G294" s="47" t="s">
        <v>1119</v>
      </c>
      <c r="H294" s="85" t="s">
        <v>101</v>
      </c>
      <c r="I294" s="47" t="s">
        <v>124</v>
      </c>
      <c r="J294" s="265" t="s">
        <v>81</v>
      </c>
      <c r="K294" s="87" t="s">
        <v>82</v>
      </c>
      <c r="L294" s="47"/>
      <c r="M294" s="47" t="s">
        <v>83</v>
      </c>
      <c r="N294" s="89" t="s">
        <v>103</v>
      </c>
      <c r="O294" s="90">
        <v>0.42</v>
      </c>
      <c r="P294" s="218">
        <v>115</v>
      </c>
      <c r="Q294" s="91">
        <v>30</v>
      </c>
      <c r="R294" s="264">
        <v>18</v>
      </c>
      <c r="S294" s="84">
        <v>97</v>
      </c>
      <c r="T294" s="92">
        <v>0.8</v>
      </c>
      <c r="U294" s="47">
        <v>200</v>
      </c>
      <c r="V294" s="47">
        <v>600</v>
      </c>
      <c r="W294" s="84">
        <v>400</v>
      </c>
      <c r="X294" s="93">
        <v>250</v>
      </c>
      <c r="Y294" s="47">
        <v>200</v>
      </c>
      <c r="Z294" s="47">
        <v>600</v>
      </c>
      <c r="AA294" s="84">
        <v>400</v>
      </c>
      <c r="AB294" s="93">
        <v>250</v>
      </c>
      <c r="AC294" s="84">
        <v>120</v>
      </c>
      <c r="AD294" s="84">
        <v>85</v>
      </c>
      <c r="AE294" s="75">
        <v>1.157</v>
      </c>
      <c r="AF294" s="75">
        <v>1.0250652173913042</v>
      </c>
      <c r="AG294" s="75">
        <v>1.0865691304347824</v>
      </c>
      <c r="AH294" s="97">
        <v>875.34418400000015</v>
      </c>
      <c r="AI294" s="39">
        <v>144.48202942079345</v>
      </c>
      <c r="AJ294" s="97">
        <v>157.97995387276421</v>
      </c>
      <c r="AK294" s="40">
        <v>314.0413521139684</v>
      </c>
      <c r="AL294" s="41">
        <v>158</v>
      </c>
      <c r="AM294" s="39">
        <v>181.7</v>
      </c>
      <c r="AN294" s="39">
        <v>197.42961099999997</v>
      </c>
      <c r="AO294" s="39">
        <v>658.09870333333322</v>
      </c>
      <c r="AP294" s="258" t="s">
        <v>1131</v>
      </c>
      <c r="AQ294" s="108"/>
      <c r="AR294" s="241"/>
    </row>
    <row r="295" spans="1:44" x14ac:dyDescent="0.3">
      <c r="A295" s="25" t="s">
        <v>1509</v>
      </c>
      <c r="B295" s="25" t="s">
        <v>119</v>
      </c>
      <c r="C295" s="25" t="s">
        <v>120</v>
      </c>
      <c r="D295" s="25" t="s">
        <v>121</v>
      </c>
      <c r="E295" s="47" t="s">
        <v>130</v>
      </c>
      <c r="F295" s="47" t="s">
        <v>122</v>
      </c>
      <c r="G295" s="47" t="s">
        <v>1120</v>
      </c>
      <c r="H295" s="85" t="s">
        <v>101</v>
      </c>
      <c r="I295" s="47" t="s">
        <v>124</v>
      </c>
      <c r="J295" s="265" t="s">
        <v>81</v>
      </c>
      <c r="K295" s="87" t="s">
        <v>82</v>
      </c>
      <c r="L295" s="47"/>
      <c r="M295" s="47" t="s">
        <v>83</v>
      </c>
      <c r="N295" s="89" t="s">
        <v>103</v>
      </c>
      <c r="O295" s="90">
        <v>0.44</v>
      </c>
      <c r="P295" s="218">
        <v>97</v>
      </c>
      <c r="Q295" s="96">
        <v>20</v>
      </c>
      <c r="R295" s="264">
        <v>17</v>
      </c>
      <c r="S295" s="84">
        <v>80</v>
      </c>
      <c r="T295" s="92">
        <v>0.8</v>
      </c>
      <c r="U295" s="47">
        <v>200</v>
      </c>
      <c r="V295" s="47">
        <v>640</v>
      </c>
      <c r="W295" s="84">
        <v>440</v>
      </c>
      <c r="X295" s="93">
        <v>130</v>
      </c>
      <c r="Y295" s="47">
        <v>200</v>
      </c>
      <c r="Z295" s="47">
        <v>640</v>
      </c>
      <c r="AA295" s="84">
        <v>440</v>
      </c>
      <c r="AB295" s="93">
        <v>130</v>
      </c>
      <c r="AC295" s="84">
        <v>30</v>
      </c>
      <c r="AD295" s="84">
        <v>77</v>
      </c>
      <c r="AE295" s="75">
        <v>1.1388</v>
      </c>
      <c r="AF295" s="75">
        <v>1.0043278350515463</v>
      </c>
      <c r="AG295" s="75">
        <v>1.0645875051546392</v>
      </c>
      <c r="AH295" s="97">
        <v>876.64628800000003</v>
      </c>
      <c r="AI295" s="39">
        <v>146.79110295034951</v>
      </c>
      <c r="AJ295" s="97">
        <v>160.50474765611887</v>
      </c>
      <c r="AK295" s="40">
        <v>319.06027783268479</v>
      </c>
      <c r="AL295" s="41">
        <v>161</v>
      </c>
      <c r="AM295" s="39">
        <v>156.16999999999999</v>
      </c>
      <c r="AN295" s="39">
        <v>166.25663068</v>
      </c>
      <c r="AO295" s="39">
        <v>831.28315339999995</v>
      </c>
      <c r="AP295" s="258" t="s">
        <v>1132</v>
      </c>
      <c r="AQ295" s="108"/>
      <c r="AR295" s="241"/>
    </row>
    <row r="296" spans="1:44" x14ac:dyDescent="0.3">
      <c r="A296" s="25" t="s">
        <v>1509</v>
      </c>
      <c r="B296" s="25" t="s">
        <v>119</v>
      </c>
      <c r="C296" s="25" t="s">
        <v>120</v>
      </c>
      <c r="D296" s="25" t="s">
        <v>121</v>
      </c>
      <c r="E296" s="86" t="s">
        <v>77</v>
      </c>
      <c r="F296" s="47" t="s">
        <v>122</v>
      </c>
      <c r="G296" s="91" t="s">
        <v>1133</v>
      </c>
      <c r="H296" s="187" t="s">
        <v>101</v>
      </c>
      <c r="I296" s="91" t="s">
        <v>124</v>
      </c>
      <c r="J296" s="91" t="s">
        <v>94</v>
      </c>
      <c r="K296" s="140" t="s">
        <v>82</v>
      </c>
      <c r="L296" s="91" t="s">
        <v>1134</v>
      </c>
      <c r="M296" s="91" t="s">
        <v>83</v>
      </c>
      <c r="N296" s="162" t="s">
        <v>103</v>
      </c>
      <c r="O296" s="103">
        <v>0.41</v>
      </c>
      <c r="P296" s="91">
        <v>110</v>
      </c>
      <c r="Q296" s="91">
        <v>30</v>
      </c>
      <c r="R296" s="91" t="s">
        <v>87</v>
      </c>
      <c r="S296" s="84" t="s">
        <v>87</v>
      </c>
      <c r="T296" s="104">
        <v>0.8</v>
      </c>
      <c r="U296" s="91">
        <v>279</v>
      </c>
      <c r="V296" s="91">
        <v>650</v>
      </c>
      <c r="W296" s="84">
        <v>371</v>
      </c>
      <c r="X296" s="93">
        <v>150</v>
      </c>
      <c r="Y296" s="91">
        <v>250</v>
      </c>
      <c r="Z296" s="91">
        <v>650</v>
      </c>
      <c r="AA296" s="84">
        <v>400</v>
      </c>
      <c r="AB296" s="93">
        <v>150</v>
      </c>
      <c r="AC296" s="84" t="s">
        <v>87</v>
      </c>
      <c r="AD296" s="84">
        <v>80</v>
      </c>
      <c r="AE296" s="75">
        <v>1.1280000000000001</v>
      </c>
      <c r="AF296" s="75">
        <v>1.0087272727272727</v>
      </c>
      <c r="AG296" s="75">
        <v>1.069250909090909</v>
      </c>
      <c r="AH296" s="97">
        <v>874.69313200000011</v>
      </c>
      <c r="AI296" s="39">
        <v>148.19654968072518</v>
      </c>
      <c r="AJ296" s="97">
        <v>162.04149524006041</v>
      </c>
      <c r="AK296" s="40">
        <v>322.115110280019</v>
      </c>
      <c r="AL296" s="41">
        <v>162</v>
      </c>
      <c r="AM296" s="39">
        <v>178.2</v>
      </c>
      <c r="AN296" s="39">
        <v>190.54051199999998</v>
      </c>
      <c r="AO296" s="39">
        <v>635.13504</v>
      </c>
      <c r="AP296" s="258" t="s">
        <v>1137</v>
      </c>
      <c r="AQ296" s="176"/>
      <c r="AR296" s="44"/>
    </row>
    <row r="297" spans="1:44" x14ac:dyDescent="0.3">
      <c r="A297" s="25" t="s">
        <v>1509</v>
      </c>
      <c r="B297" s="25" t="s">
        <v>119</v>
      </c>
      <c r="C297" s="25" t="s">
        <v>120</v>
      </c>
      <c r="D297" s="25" t="s">
        <v>121</v>
      </c>
      <c r="E297" s="86" t="s">
        <v>77</v>
      </c>
      <c r="F297" s="47" t="s">
        <v>122</v>
      </c>
      <c r="G297" s="91" t="s">
        <v>1135</v>
      </c>
      <c r="H297" s="187" t="s">
        <v>101</v>
      </c>
      <c r="I297" s="91" t="s">
        <v>124</v>
      </c>
      <c r="J297" s="91" t="s">
        <v>94</v>
      </c>
      <c r="K297" s="140" t="s">
        <v>82</v>
      </c>
      <c r="L297" s="91" t="s">
        <v>1136</v>
      </c>
      <c r="M297" s="91" t="s">
        <v>83</v>
      </c>
      <c r="N297" s="162" t="s">
        <v>103</v>
      </c>
      <c r="O297" s="103">
        <v>0.49</v>
      </c>
      <c r="P297" s="91">
        <v>110</v>
      </c>
      <c r="Q297" s="91">
        <v>30</v>
      </c>
      <c r="R297" s="91" t="s">
        <v>87</v>
      </c>
      <c r="S297" s="84" t="s">
        <v>87</v>
      </c>
      <c r="T297" s="104">
        <v>0.8</v>
      </c>
      <c r="U297" s="91">
        <v>180</v>
      </c>
      <c r="V297" s="91">
        <v>440</v>
      </c>
      <c r="W297" s="84">
        <v>260</v>
      </c>
      <c r="X297" s="93">
        <v>360</v>
      </c>
      <c r="Y297" s="91">
        <v>180</v>
      </c>
      <c r="Z297" s="91">
        <v>580</v>
      </c>
      <c r="AA297" s="84">
        <v>400</v>
      </c>
      <c r="AB297" s="93">
        <v>220</v>
      </c>
      <c r="AC297" s="84" t="s">
        <v>87</v>
      </c>
      <c r="AD297" s="84">
        <v>80</v>
      </c>
      <c r="AE297" s="75">
        <v>1.1920000000000002</v>
      </c>
      <c r="AF297" s="75">
        <v>1.0494545454545456</v>
      </c>
      <c r="AG297" s="75">
        <v>1.1124218181818184</v>
      </c>
      <c r="AH297" s="97">
        <v>879.90154800000005</v>
      </c>
      <c r="AI297" s="39">
        <v>140.23968795290102</v>
      </c>
      <c r="AJ297" s="97">
        <v>153.34128073052699</v>
      </c>
      <c r="AK297" s="40">
        <v>304.82033925827301</v>
      </c>
      <c r="AL297" s="41">
        <v>305</v>
      </c>
      <c r="AM297" s="39">
        <v>335.5</v>
      </c>
      <c r="AN297" s="39">
        <v>373.21752000000009</v>
      </c>
      <c r="AO297" s="39">
        <v>1244.0584000000003</v>
      </c>
      <c r="AP297" s="258" t="s">
        <v>1138</v>
      </c>
      <c r="AQ297" s="176" t="s">
        <v>1139</v>
      </c>
      <c r="AR297" s="44"/>
    </row>
    <row r="298" spans="1:44" x14ac:dyDescent="0.3">
      <c r="A298" s="25" t="s">
        <v>1509</v>
      </c>
      <c r="B298" s="25" t="s">
        <v>119</v>
      </c>
      <c r="C298" s="25" t="s">
        <v>120</v>
      </c>
      <c r="D298" s="25" t="s">
        <v>121</v>
      </c>
      <c r="E298" s="266" t="s">
        <v>77</v>
      </c>
      <c r="F298" s="47" t="s">
        <v>122</v>
      </c>
      <c r="G298" s="47" t="s">
        <v>1140</v>
      </c>
      <c r="H298" s="47" t="s">
        <v>79</v>
      </c>
      <c r="I298" s="47" t="s">
        <v>80</v>
      </c>
      <c r="J298" s="47" t="s">
        <v>94</v>
      </c>
      <c r="K298" s="87" t="s">
        <v>82</v>
      </c>
      <c r="L298" s="47"/>
      <c r="M298" s="47" t="s">
        <v>83</v>
      </c>
      <c r="N298" s="84" t="s">
        <v>142</v>
      </c>
      <c r="O298" s="90">
        <v>0.41</v>
      </c>
      <c r="P298" s="47">
        <v>92</v>
      </c>
      <c r="Q298" s="96">
        <v>22</v>
      </c>
      <c r="R298" s="47" t="s">
        <v>87</v>
      </c>
      <c r="S298" s="84" t="s">
        <v>87</v>
      </c>
      <c r="T298" s="92">
        <v>0.8</v>
      </c>
      <c r="U298" s="47">
        <v>210</v>
      </c>
      <c r="V298" s="47">
        <v>560</v>
      </c>
      <c r="W298" s="84">
        <v>350</v>
      </c>
      <c r="X298" s="93">
        <v>140</v>
      </c>
      <c r="Y298" s="47">
        <v>210</v>
      </c>
      <c r="Z298" s="47">
        <v>610</v>
      </c>
      <c r="AA298" s="84">
        <v>400</v>
      </c>
      <c r="AB298" s="93">
        <v>90</v>
      </c>
      <c r="AC298" s="84" t="s">
        <v>87</v>
      </c>
      <c r="AD298" s="84">
        <v>70</v>
      </c>
      <c r="AE298" s="75">
        <v>1.087</v>
      </c>
      <c r="AF298" s="75">
        <v>0.97781521739130439</v>
      </c>
      <c r="AG298" s="75">
        <v>1.0364841304347825</v>
      </c>
      <c r="AH298" s="97">
        <v>874.69313200000011</v>
      </c>
      <c r="AI298" s="39">
        <v>153.78629994467161</v>
      </c>
      <c r="AJ298" s="97">
        <v>168.15345596208667</v>
      </c>
      <c r="AK298" s="40">
        <v>334.2648062519425</v>
      </c>
      <c r="AL298" s="41">
        <v>168</v>
      </c>
      <c r="AM298" s="39">
        <v>154.56</v>
      </c>
      <c r="AN298" s="39">
        <v>160.19898719999998</v>
      </c>
      <c r="AO298" s="39">
        <v>728.17721454545449</v>
      </c>
      <c r="AP298" s="47" t="s">
        <v>1142</v>
      </c>
      <c r="AQ298" s="100"/>
      <c r="AR298" s="88"/>
    </row>
    <row r="299" spans="1:44" x14ac:dyDescent="0.3">
      <c r="A299" s="25" t="s">
        <v>1509</v>
      </c>
      <c r="B299" s="25" t="s">
        <v>119</v>
      </c>
      <c r="C299" s="25" t="s">
        <v>120</v>
      </c>
      <c r="D299" s="25" t="s">
        <v>121</v>
      </c>
      <c r="E299" s="266" t="s">
        <v>77</v>
      </c>
      <c r="F299" s="47" t="s">
        <v>122</v>
      </c>
      <c r="G299" s="47" t="s">
        <v>1141</v>
      </c>
      <c r="H299" s="47" t="s">
        <v>79</v>
      </c>
      <c r="I299" s="47" t="s">
        <v>80</v>
      </c>
      <c r="J299" s="47" t="s">
        <v>94</v>
      </c>
      <c r="K299" s="87" t="s">
        <v>82</v>
      </c>
      <c r="L299" s="47"/>
      <c r="M299" s="47" t="s">
        <v>83</v>
      </c>
      <c r="N299" s="89" t="s">
        <v>103</v>
      </c>
      <c r="O299" s="90">
        <v>0.45</v>
      </c>
      <c r="P299" s="47">
        <v>110</v>
      </c>
      <c r="Q299" s="91">
        <v>30</v>
      </c>
      <c r="R299" s="47" t="s">
        <v>87</v>
      </c>
      <c r="S299" s="84" t="s">
        <v>87</v>
      </c>
      <c r="T299" s="92">
        <v>0.8</v>
      </c>
      <c r="U299" s="47">
        <v>235</v>
      </c>
      <c r="V299" s="47">
        <v>635</v>
      </c>
      <c r="W299" s="84">
        <v>400</v>
      </c>
      <c r="X299" s="93">
        <v>165</v>
      </c>
      <c r="Y299" s="47">
        <v>235</v>
      </c>
      <c r="Z299" s="47">
        <v>635</v>
      </c>
      <c r="AA299" s="84">
        <v>400</v>
      </c>
      <c r="AB299" s="93">
        <v>165</v>
      </c>
      <c r="AC299" s="84" t="s">
        <v>87</v>
      </c>
      <c r="AD299" s="84">
        <v>80</v>
      </c>
      <c r="AE299" s="75">
        <v>1.1600000000000001</v>
      </c>
      <c r="AF299" s="75">
        <v>1.0290909090909093</v>
      </c>
      <c r="AG299" s="75">
        <v>1.0908363636363638</v>
      </c>
      <c r="AH299" s="97">
        <v>877.29733999999996</v>
      </c>
      <c r="AI299" s="39">
        <v>144.1083689998776</v>
      </c>
      <c r="AJ299" s="97">
        <v>157.57138502654149</v>
      </c>
      <c r="AK299" s="40">
        <v>313.22917620332879</v>
      </c>
      <c r="AL299" s="41">
        <v>158</v>
      </c>
      <c r="AM299" s="40">
        <v>173.8</v>
      </c>
      <c r="AN299" s="40">
        <v>189.58736000000005</v>
      </c>
      <c r="AO299" s="40">
        <v>631.95786666666686</v>
      </c>
      <c r="AP299" s="47"/>
      <c r="AQ299" s="100"/>
      <c r="AR299" s="88"/>
    </row>
    <row r="300" spans="1:44" x14ac:dyDescent="0.3">
      <c r="A300" s="25" t="s">
        <v>1509</v>
      </c>
      <c r="B300" s="25" t="s">
        <v>119</v>
      </c>
      <c r="C300" s="25" t="s">
        <v>120</v>
      </c>
      <c r="D300" s="25" t="s">
        <v>121</v>
      </c>
      <c r="E300" s="26" t="s">
        <v>77</v>
      </c>
      <c r="F300" s="27" t="s">
        <v>78</v>
      </c>
      <c r="G300" s="25" t="s">
        <v>1143</v>
      </c>
      <c r="H300" s="25" t="s">
        <v>79</v>
      </c>
      <c r="I300" s="25" t="s">
        <v>80</v>
      </c>
      <c r="J300" s="25" t="s">
        <v>94</v>
      </c>
      <c r="K300" s="30" t="s">
        <v>82</v>
      </c>
      <c r="L300" s="43" t="s">
        <v>1144</v>
      </c>
      <c r="M300" s="25" t="s">
        <v>83</v>
      </c>
      <c r="N300" s="74" t="s">
        <v>103</v>
      </c>
      <c r="O300" s="61">
        <v>0.62</v>
      </c>
      <c r="P300" s="25">
        <v>93</v>
      </c>
      <c r="Q300" s="25">
        <v>30</v>
      </c>
      <c r="R300" s="25" t="s">
        <v>87</v>
      </c>
      <c r="S300" s="34" t="s">
        <v>87</v>
      </c>
      <c r="T300" s="35">
        <v>0.8</v>
      </c>
      <c r="U300" s="25">
        <v>250</v>
      </c>
      <c r="V300" s="25">
        <v>480</v>
      </c>
      <c r="W300" s="34">
        <v>230</v>
      </c>
      <c r="X300" s="36">
        <v>150</v>
      </c>
      <c r="Y300" s="25">
        <v>110</v>
      </c>
      <c r="Z300" s="25">
        <v>510</v>
      </c>
      <c r="AA300" s="34">
        <v>400</v>
      </c>
      <c r="AB300" s="36">
        <v>120</v>
      </c>
      <c r="AC300" s="34" t="s">
        <v>87</v>
      </c>
      <c r="AD300" s="34">
        <v>63</v>
      </c>
      <c r="AE300" s="37">
        <v>1.1906000000000001</v>
      </c>
      <c r="AF300" s="37">
        <v>1.0583</v>
      </c>
      <c r="AG300" s="37">
        <v>1.1217980000000001</v>
      </c>
      <c r="AH300" s="38">
        <v>888.36522400000001</v>
      </c>
      <c r="AI300" s="39">
        <v>140.40459267584245</v>
      </c>
      <c r="AJ300" s="38">
        <v>153.52159132436429</v>
      </c>
      <c r="AK300" s="40">
        <v>305.17877070037076</v>
      </c>
      <c r="AL300" s="41">
        <v>250</v>
      </c>
      <c r="AM300" s="39">
        <v>232.5</v>
      </c>
      <c r="AN300" s="39">
        <v>260.81803500000001</v>
      </c>
      <c r="AO300" s="39">
        <v>869.39345000000003</v>
      </c>
      <c r="AP300" s="267" t="s">
        <v>1147</v>
      </c>
      <c r="AQ300" s="268" t="s">
        <v>1148</v>
      </c>
      <c r="AR300" s="43"/>
    </row>
    <row r="301" spans="1:44" x14ac:dyDescent="0.3">
      <c r="A301" s="25" t="s">
        <v>1509</v>
      </c>
      <c r="B301" s="25" t="s">
        <v>119</v>
      </c>
      <c r="C301" s="25" t="s">
        <v>120</v>
      </c>
      <c r="D301" s="25" t="s">
        <v>121</v>
      </c>
      <c r="E301" s="26" t="s">
        <v>77</v>
      </c>
      <c r="F301" s="27" t="s">
        <v>78</v>
      </c>
      <c r="G301" s="25" t="s">
        <v>108</v>
      </c>
      <c r="H301" s="25" t="s">
        <v>79</v>
      </c>
      <c r="I301" s="25" t="s">
        <v>80</v>
      </c>
      <c r="J301" s="25" t="s">
        <v>94</v>
      </c>
      <c r="K301" s="30" t="s">
        <v>82</v>
      </c>
      <c r="L301" s="25" t="s">
        <v>109</v>
      </c>
      <c r="M301" s="25" t="s">
        <v>83</v>
      </c>
      <c r="N301" s="74" t="s">
        <v>103</v>
      </c>
      <c r="O301" s="61">
        <v>0.64</v>
      </c>
      <c r="P301" s="25">
        <v>96</v>
      </c>
      <c r="Q301" s="25">
        <v>30</v>
      </c>
      <c r="R301" s="25" t="s">
        <v>87</v>
      </c>
      <c r="S301" s="34" t="s">
        <v>87</v>
      </c>
      <c r="T301" s="35">
        <v>0.8</v>
      </c>
      <c r="U301" s="25">
        <v>262</v>
      </c>
      <c r="V301" s="25">
        <v>502</v>
      </c>
      <c r="W301" s="34">
        <v>240</v>
      </c>
      <c r="X301" s="36">
        <v>158</v>
      </c>
      <c r="Y301" s="25">
        <v>120</v>
      </c>
      <c r="Z301" s="25">
        <v>580</v>
      </c>
      <c r="AA301" s="34">
        <v>460</v>
      </c>
      <c r="AB301" s="36">
        <v>80</v>
      </c>
      <c r="AC301" s="34" t="s">
        <v>87</v>
      </c>
      <c r="AD301" s="34">
        <v>66</v>
      </c>
      <c r="AE301" s="37">
        <v>1.2223999999999999</v>
      </c>
      <c r="AF301" s="37">
        <v>1.0772000000000002</v>
      </c>
      <c r="AG301" s="37">
        <v>1.1418320000000002</v>
      </c>
      <c r="AH301" s="38">
        <v>889.66732800000011</v>
      </c>
      <c r="AI301" s="39">
        <v>136.75205173417709</v>
      </c>
      <c r="AJ301" s="38">
        <v>149.52781956052698</v>
      </c>
      <c r="AK301" s="40">
        <v>297.23972872698096</v>
      </c>
      <c r="AL301" s="41">
        <v>150</v>
      </c>
      <c r="AM301" s="39">
        <v>144</v>
      </c>
      <c r="AN301" s="39">
        <v>164.42380800000004</v>
      </c>
      <c r="AO301" s="39">
        <v>548.07936000000018</v>
      </c>
      <c r="AP301" s="25" t="s">
        <v>110</v>
      </c>
      <c r="AQ301" s="81" t="s">
        <v>111</v>
      </c>
      <c r="AR301" s="43" t="s">
        <v>112</v>
      </c>
    </row>
    <row r="302" spans="1:44" ht="82.5" x14ac:dyDescent="0.3">
      <c r="A302" s="25" t="s">
        <v>1509</v>
      </c>
      <c r="B302" s="25" t="s">
        <v>119</v>
      </c>
      <c r="C302" s="25" t="s">
        <v>120</v>
      </c>
      <c r="D302" s="25" t="s">
        <v>121</v>
      </c>
      <c r="E302" s="26" t="s">
        <v>77</v>
      </c>
      <c r="F302" s="27" t="s">
        <v>78</v>
      </c>
      <c r="G302" s="25" t="s">
        <v>1145</v>
      </c>
      <c r="H302" s="25" t="s">
        <v>79</v>
      </c>
      <c r="I302" s="25" t="s">
        <v>80</v>
      </c>
      <c r="J302" s="25" t="s">
        <v>94</v>
      </c>
      <c r="K302" s="30" t="s">
        <v>82</v>
      </c>
      <c r="L302" s="43" t="s">
        <v>1146</v>
      </c>
      <c r="M302" s="25" t="s">
        <v>83</v>
      </c>
      <c r="N302" s="74" t="s">
        <v>103</v>
      </c>
      <c r="O302" s="61">
        <v>0.72</v>
      </c>
      <c r="P302" s="25">
        <v>96</v>
      </c>
      <c r="Q302" s="25">
        <v>30</v>
      </c>
      <c r="R302" s="25" t="s">
        <v>87</v>
      </c>
      <c r="S302" s="34" t="s">
        <v>87</v>
      </c>
      <c r="T302" s="35">
        <v>0.8</v>
      </c>
      <c r="U302" s="25">
        <v>267</v>
      </c>
      <c r="V302" s="25">
        <v>494</v>
      </c>
      <c r="W302" s="34">
        <v>227</v>
      </c>
      <c r="X302" s="36">
        <v>166</v>
      </c>
      <c r="Y302" s="25">
        <v>120</v>
      </c>
      <c r="Z302" s="25">
        <v>580</v>
      </c>
      <c r="AA302" s="34">
        <v>460</v>
      </c>
      <c r="AB302" s="36">
        <v>80</v>
      </c>
      <c r="AC302" s="34" t="s">
        <v>87</v>
      </c>
      <c r="AD302" s="34">
        <v>66</v>
      </c>
      <c r="AE302" s="37">
        <v>1.2752000000000001</v>
      </c>
      <c r="AF302" s="37">
        <v>1.11185</v>
      </c>
      <c r="AG302" s="37">
        <v>1.178561</v>
      </c>
      <c r="AH302" s="38">
        <v>894.87574400000005</v>
      </c>
      <c r="AI302" s="39">
        <v>131.08979614167032</v>
      </c>
      <c r="AJ302" s="38">
        <v>143.33657985475858</v>
      </c>
      <c r="AK302" s="40">
        <v>284.93243757517359</v>
      </c>
      <c r="AL302" s="41">
        <v>143</v>
      </c>
      <c r="AM302" s="39">
        <v>137.28</v>
      </c>
      <c r="AN302" s="39">
        <v>161.79285407999998</v>
      </c>
      <c r="AO302" s="39">
        <v>539.30951359999995</v>
      </c>
      <c r="AP302" s="25" t="s">
        <v>1149</v>
      </c>
      <c r="AQ302" s="269" t="s">
        <v>1150</v>
      </c>
      <c r="AR302" s="43" t="s">
        <v>1151</v>
      </c>
    </row>
    <row r="303" spans="1:44" x14ac:dyDescent="0.3">
      <c r="A303" s="25" t="s">
        <v>1509</v>
      </c>
      <c r="B303" s="25" t="s">
        <v>119</v>
      </c>
      <c r="C303" s="25" t="s">
        <v>120</v>
      </c>
      <c r="D303" s="25" t="s">
        <v>121</v>
      </c>
      <c r="E303" s="109" t="s">
        <v>77</v>
      </c>
      <c r="F303" s="110" t="s">
        <v>139</v>
      </c>
      <c r="G303" s="66" t="s">
        <v>1152</v>
      </c>
      <c r="H303" s="66" t="s">
        <v>79</v>
      </c>
      <c r="I303" s="66" t="s">
        <v>80</v>
      </c>
      <c r="J303" s="66" t="s">
        <v>94</v>
      </c>
      <c r="K303" s="111" t="s">
        <v>82</v>
      </c>
      <c r="L303" s="66"/>
      <c r="M303" s="66" t="s">
        <v>83</v>
      </c>
      <c r="N303" s="89" t="s">
        <v>103</v>
      </c>
      <c r="O303" s="113">
        <v>0.72</v>
      </c>
      <c r="P303" s="66">
        <v>96</v>
      </c>
      <c r="Q303" s="66">
        <v>30</v>
      </c>
      <c r="R303" s="66" t="s">
        <v>87</v>
      </c>
      <c r="S303" s="84" t="s">
        <v>87</v>
      </c>
      <c r="T303" s="114">
        <v>0.8</v>
      </c>
      <c r="U303" s="66">
        <v>267</v>
      </c>
      <c r="V303" s="66">
        <v>494</v>
      </c>
      <c r="W303" s="115">
        <v>227</v>
      </c>
      <c r="X303" s="184">
        <v>166</v>
      </c>
      <c r="Y303" s="66">
        <v>120</v>
      </c>
      <c r="Z303" s="66">
        <v>570</v>
      </c>
      <c r="AA303" s="115">
        <v>450</v>
      </c>
      <c r="AB303" s="184">
        <v>90</v>
      </c>
      <c r="AC303" s="115" t="s">
        <v>87</v>
      </c>
      <c r="AD303" s="115">
        <v>66</v>
      </c>
      <c r="AE303" s="116">
        <v>1.2752000000000001</v>
      </c>
      <c r="AF303" s="116">
        <v>1.11185</v>
      </c>
      <c r="AG303" s="116">
        <v>1.178561</v>
      </c>
      <c r="AH303" s="118">
        <v>894.87574400000005</v>
      </c>
      <c r="AI303" s="39">
        <v>131.08979614167032</v>
      </c>
      <c r="AJ303" s="118">
        <v>143.33657985475858</v>
      </c>
      <c r="AK303" s="40">
        <v>284.93243757517359</v>
      </c>
      <c r="AL303" s="120">
        <v>285</v>
      </c>
      <c r="AM303" s="39">
        <v>273.60000000000002</v>
      </c>
      <c r="AN303" s="39">
        <v>322.45428960000004</v>
      </c>
      <c r="AO303" s="39">
        <v>1074.8476320000002</v>
      </c>
      <c r="AP303" s="66"/>
      <c r="AQ303" s="270"/>
      <c r="AR303" s="123"/>
    </row>
    <row r="304" spans="1:44" x14ac:dyDescent="0.3">
      <c r="A304" s="25" t="s">
        <v>1509</v>
      </c>
      <c r="B304" s="25" t="s">
        <v>119</v>
      </c>
      <c r="C304" s="25" t="s">
        <v>120</v>
      </c>
      <c r="D304" s="25" t="s">
        <v>121</v>
      </c>
      <c r="E304" s="109" t="s">
        <v>77</v>
      </c>
      <c r="F304" s="110" t="s">
        <v>139</v>
      </c>
      <c r="G304" s="66" t="s">
        <v>1153</v>
      </c>
      <c r="H304" s="66" t="s">
        <v>79</v>
      </c>
      <c r="I304" s="66" t="s">
        <v>80</v>
      </c>
      <c r="J304" s="66" t="s">
        <v>94</v>
      </c>
      <c r="K304" s="111" t="s">
        <v>82</v>
      </c>
      <c r="L304" s="66"/>
      <c r="M304" s="66" t="s">
        <v>83</v>
      </c>
      <c r="N304" s="89" t="s">
        <v>103</v>
      </c>
      <c r="O304" s="113">
        <v>0.54</v>
      </c>
      <c r="P304" s="66">
        <v>99</v>
      </c>
      <c r="Q304" s="214">
        <v>27</v>
      </c>
      <c r="R304" s="66" t="s">
        <v>87</v>
      </c>
      <c r="S304" s="115" t="s">
        <v>87</v>
      </c>
      <c r="T304" s="114">
        <v>0.8</v>
      </c>
      <c r="U304" s="66">
        <v>325</v>
      </c>
      <c r="V304" s="66">
        <v>585</v>
      </c>
      <c r="W304" s="115">
        <v>260</v>
      </c>
      <c r="X304" s="184">
        <v>135</v>
      </c>
      <c r="Y304" s="66">
        <v>185</v>
      </c>
      <c r="Z304" s="66">
        <v>585</v>
      </c>
      <c r="AA304" s="115">
        <v>400</v>
      </c>
      <c r="AB304" s="184">
        <v>135</v>
      </c>
      <c r="AC304" s="115" t="s">
        <v>87</v>
      </c>
      <c r="AD304" s="115">
        <v>72</v>
      </c>
      <c r="AE304" s="116">
        <v>1.1888000000000001</v>
      </c>
      <c r="AF304" s="116">
        <v>1.0474181818181818</v>
      </c>
      <c r="AG304" s="116">
        <v>1.1102632727272728</v>
      </c>
      <c r="AH304" s="118">
        <v>883.15680800000007</v>
      </c>
      <c r="AI304" s="117">
        <v>140.61718374819819</v>
      </c>
      <c r="AJ304" s="118">
        <v>153.75404326277604</v>
      </c>
      <c r="AK304" s="119">
        <v>305.64085161159272</v>
      </c>
      <c r="AL304" s="120">
        <v>154</v>
      </c>
      <c r="AM304" s="117">
        <v>152.46</v>
      </c>
      <c r="AN304" s="117">
        <v>169.27073856000001</v>
      </c>
      <c r="AO304" s="117">
        <v>626.92866133333337</v>
      </c>
      <c r="AP304" s="66"/>
      <c r="AQ304" s="270"/>
      <c r="AR304" s="123"/>
    </row>
    <row r="305" spans="1:44" ht="33" x14ac:dyDescent="0.3">
      <c r="A305" s="25" t="s">
        <v>1509</v>
      </c>
      <c r="B305" s="25" t="s">
        <v>119</v>
      </c>
      <c r="C305" s="25" t="s">
        <v>120</v>
      </c>
      <c r="D305" s="25" t="s">
        <v>121</v>
      </c>
      <c r="E305" s="86" t="s">
        <v>77</v>
      </c>
      <c r="F305" s="47" t="s">
        <v>122</v>
      </c>
      <c r="G305" s="47" t="s">
        <v>1154</v>
      </c>
      <c r="H305" s="47" t="s">
        <v>79</v>
      </c>
      <c r="I305" s="47" t="s">
        <v>80</v>
      </c>
      <c r="J305" s="47" t="s">
        <v>94</v>
      </c>
      <c r="K305" s="87" t="s">
        <v>82</v>
      </c>
      <c r="L305" s="47" t="s">
        <v>1155</v>
      </c>
      <c r="M305" s="47" t="s">
        <v>83</v>
      </c>
      <c r="N305" s="271" t="s">
        <v>142</v>
      </c>
      <c r="O305" s="90">
        <v>0.25</v>
      </c>
      <c r="P305" s="47">
        <v>119</v>
      </c>
      <c r="Q305" s="96">
        <v>20</v>
      </c>
      <c r="R305" s="47" t="s">
        <v>87</v>
      </c>
      <c r="S305" s="84" t="s">
        <v>87</v>
      </c>
      <c r="T305" s="92">
        <v>0.8</v>
      </c>
      <c r="U305" s="47">
        <v>238</v>
      </c>
      <c r="V305" s="47">
        <v>854</v>
      </c>
      <c r="W305" s="84">
        <v>616</v>
      </c>
      <c r="X305" s="93">
        <v>136</v>
      </c>
      <c r="Y305" s="47">
        <v>230</v>
      </c>
      <c r="Z305" s="47">
        <v>860</v>
      </c>
      <c r="AA305" s="84">
        <v>630</v>
      </c>
      <c r="AB305" s="93">
        <v>130</v>
      </c>
      <c r="AC305" s="84" t="s">
        <v>87</v>
      </c>
      <c r="AD305" s="84">
        <v>99</v>
      </c>
      <c r="AE305" s="75">
        <v>1.0475000000000001</v>
      </c>
      <c r="AF305" s="75">
        <v>0.94454831932773109</v>
      </c>
      <c r="AG305" s="75">
        <v>1.001221218487395</v>
      </c>
      <c r="AH305" s="97">
        <v>864.27630000000011</v>
      </c>
      <c r="AI305" s="39">
        <v>159.58540147003151</v>
      </c>
      <c r="AJ305" s="97">
        <v>174.49432613917725</v>
      </c>
      <c r="AK305" s="40">
        <v>346.86954118936649</v>
      </c>
      <c r="AL305" s="41">
        <v>347</v>
      </c>
      <c r="AM305" s="39">
        <v>412.93</v>
      </c>
      <c r="AN305" s="39">
        <v>413.43427775000004</v>
      </c>
      <c r="AO305" s="39">
        <v>2067.17138875</v>
      </c>
      <c r="AP305" s="107" t="s">
        <v>1158</v>
      </c>
      <c r="AQ305" s="62"/>
      <c r="AR305" s="43"/>
    </row>
    <row r="306" spans="1:44" ht="33" x14ac:dyDescent="0.3">
      <c r="A306" s="25" t="s">
        <v>1509</v>
      </c>
      <c r="B306" s="25" t="s">
        <v>119</v>
      </c>
      <c r="C306" s="25" t="s">
        <v>120</v>
      </c>
      <c r="D306" s="25" t="s">
        <v>121</v>
      </c>
      <c r="E306" s="86" t="s">
        <v>77</v>
      </c>
      <c r="F306" s="47" t="s">
        <v>122</v>
      </c>
      <c r="G306" s="47" t="s">
        <v>1156</v>
      </c>
      <c r="H306" s="47" t="s">
        <v>79</v>
      </c>
      <c r="I306" s="47" t="s">
        <v>80</v>
      </c>
      <c r="J306" s="47" t="s">
        <v>94</v>
      </c>
      <c r="K306" s="87" t="s">
        <v>82</v>
      </c>
      <c r="L306" s="47" t="s">
        <v>1157</v>
      </c>
      <c r="M306" s="47" t="s">
        <v>83</v>
      </c>
      <c r="N306" s="271" t="s">
        <v>142</v>
      </c>
      <c r="O306" s="90">
        <v>0.54</v>
      </c>
      <c r="P306" s="47">
        <v>104</v>
      </c>
      <c r="Q306" s="47">
        <v>30</v>
      </c>
      <c r="R306" s="47" t="s">
        <v>87</v>
      </c>
      <c r="S306" s="84" t="s">
        <v>87</v>
      </c>
      <c r="T306" s="92">
        <v>0.8</v>
      </c>
      <c r="U306" s="47">
        <v>300</v>
      </c>
      <c r="V306" s="47">
        <v>580</v>
      </c>
      <c r="W306" s="84">
        <v>280</v>
      </c>
      <c r="X306" s="93">
        <v>160</v>
      </c>
      <c r="Y306" s="47">
        <v>250</v>
      </c>
      <c r="Z306" s="47">
        <v>650</v>
      </c>
      <c r="AA306" s="84">
        <v>400</v>
      </c>
      <c r="AB306" s="93">
        <v>90</v>
      </c>
      <c r="AC306" s="84" t="s">
        <v>87</v>
      </c>
      <c r="AD306" s="84">
        <v>74</v>
      </c>
      <c r="AE306" s="75">
        <v>1.1996</v>
      </c>
      <c r="AF306" s="75">
        <v>1.0574346153846155</v>
      </c>
      <c r="AG306" s="75">
        <v>1.1208806923076924</v>
      </c>
      <c r="AH306" s="97">
        <v>883.15680800000007</v>
      </c>
      <c r="AI306" s="39">
        <v>139.35120710224911</v>
      </c>
      <c r="AJ306" s="97">
        <v>152.36979545747599</v>
      </c>
      <c r="AK306" s="40">
        <v>302.88916671879082</v>
      </c>
      <c r="AL306" s="41">
        <v>303</v>
      </c>
      <c r="AM306" s="39">
        <v>315.12</v>
      </c>
      <c r="AN306" s="39">
        <v>353.21192376000005</v>
      </c>
      <c r="AO306" s="39">
        <v>1177.3730792000001</v>
      </c>
      <c r="AP306" s="107" t="s">
        <v>1158</v>
      </c>
      <c r="AQ306" s="62"/>
      <c r="AR306" s="43"/>
    </row>
    <row r="307" spans="1:44" ht="33" x14ac:dyDescent="0.3">
      <c r="A307" s="25" t="s">
        <v>1509</v>
      </c>
      <c r="B307" s="25" t="s">
        <v>119</v>
      </c>
      <c r="C307" s="25" t="s">
        <v>120</v>
      </c>
      <c r="D307" s="25" t="s">
        <v>121</v>
      </c>
      <c r="E307" s="109" t="s">
        <v>77</v>
      </c>
      <c r="F307" s="182" t="s">
        <v>139</v>
      </c>
      <c r="G307" s="66" t="s">
        <v>1159</v>
      </c>
      <c r="H307" s="66" t="s">
        <v>79</v>
      </c>
      <c r="I307" s="66" t="s">
        <v>80</v>
      </c>
      <c r="J307" s="66" t="s">
        <v>94</v>
      </c>
      <c r="K307" s="111" t="s">
        <v>82</v>
      </c>
      <c r="L307" s="66" t="s">
        <v>1160</v>
      </c>
      <c r="M307" s="66" t="s">
        <v>83</v>
      </c>
      <c r="N307" s="252" t="s">
        <v>142</v>
      </c>
      <c r="O307" s="113">
        <v>0.67</v>
      </c>
      <c r="P307" s="66">
        <v>110</v>
      </c>
      <c r="Q307" s="66">
        <v>30</v>
      </c>
      <c r="R307" s="66" t="s">
        <v>87</v>
      </c>
      <c r="S307" s="115" t="s">
        <v>87</v>
      </c>
      <c r="T307" s="114">
        <v>0.8</v>
      </c>
      <c r="U307" s="66">
        <v>280</v>
      </c>
      <c r="V307" s="66">
        <v>600</v>
      </c>
      <c r="W307" s="115">
        <v>320</v>
      </c>
      <c r="X307" s="184">
        <v>200</v>
      </c>
      <c r="Y307" s="66">
        <v>200</v>
      </c>
      <c r="Z307" s="66">
        <v>600</v>
      </c>
      <c r="AA307" s="115">
        <v>400</v>
      </c>
      <c r="AB307" s="184">
        <v>200</v>
      </c>
      <c r="AC307" s="115" t="s">
        <v>87</v>
      </c>
      <c r="AD307" s="115">
        <v>80</v>
      </c>
      <c r="AE307" s="116">
        <v>1.3360000000000001</v>
      </c>
      <c r="AF307" s="116">
        <v>1.1410909090909092</v>
      </c>
      <c r="AG307" s="116">
        <v>1.2095563636363635</v>
      </c>
      <c r="AH307" s="118">
        <v>891.62048400000003</v>
      </c>
      <c r="AI307" s="117">
        <v>125.1240329639656</v>
      </c>
      <c r="AJ307" s="118">
        <v>136.81347801705704</v>
      </c>
      <c r="AK307" s="119">
        <v>271.9654523921119</v>
      </c>
      <c r="AL307" s="120">
        <v>272</v>
      </c>
      <c r="AM307" s="117">
        <v>299.2</v>
      </c>
      <c r="AN307" s="117">
        <v>361.89926399999996</v>
      </c>
      <c r="AO307" s="117">
        <v>1206.33088</v>
      </c>
      <c r="AP307" s="121" t="s">
        <v>1163</v>
      </c>
      <c r="AQ307" s="123" t="s">
        <v>1164</v>
      </c>
      <c r="AR307" s="186"/>
    </row>
    <row r="308" spans="1:44" ht="33" x14ac:dyDescent="0.3">
      <c r="A308" s="25" t="s">
        <v>1509</v>
      </c>
      <c r="B308" s="25" t="s">
        <v>119</v>
      </c>
      <c r="C308" s="25" t="s">
        <v>120</v>
      </c>
      <c r="D308" s="25" t="s">
        <v>121</v>
      </c>
      <c r="E308" s="109" t="s">
        <v>77</v>
      </c>
      <c r="F308" s="182" t="s">
        <v>139</v>
      </c>
      <c r="G308" s="66" t="s">
        <v>1161</v>
      </c>
      <c r="H308" s="66" t="s">
        <v>79</v>
      </c>
      <c r="I308" s="66" t="s">
        <v>80</v>
      </c>
      <c r="J308" s="66" t="s">
        <v>94</v>
      </c>
      <c r="K308" s="111" t="s">
        <v>82</v>
      </c>
      <c r="L308" s="66" t="s">
        <v>1162</v>
      </c>
      <c r="M308" s="66" t="s">
        <v>83</v>
      </c>
      <c r="N308" s="252" t="s">
        <v>142</v>
      </c>
      <c r="O308" s="113">
        <v>0.6</v>
      </c>
      <c r="P308" s="66">
        <v>110</v>
      </c>
      <c r="Q308" s="66">
        <v>30</v>
      </c>
      <c r="R308" s="66" t="s">
        <v>87</v>
      </c>
      <c r="S308" s="115" t="s">
        <v>87</v>
      </c>
      <c r="T308" s="114">
        <v>0.8</v>
      </c>
      <c r="U308" s="66">
        <v>280</v>
      </c>
      <c r="V308" s="66">
        <v>600</v>
      </c>
      <c r="W308" s="115">
        <v>320</v>
      </c>
      <c r="X308" s="184">
        <v>200</v>
      </c>
      <c r="Y308" s="66">
        <v>200</v>
      </c>
      <c r="Z308" s="66">
        <v>600</v>
      </c>
      <c r="AA308" s="115">
        <v>400</v>
      </c>
      <c r="AB308" s="184">
        <v>200</v>
      </c>
      <c r="AC308" s="115" t="s">
        <v>87</v>
      </c>
      <c r="AD308" s="115">
        <v>80</v>
      </c>
      <c r="AE308" s="116">
        <v>1.28</v>
      </c>
      <c r="AF308" s="116">
        <v>1.1054545454545455</v>
      </c>
      <c r="AG308" s="116">
        <v>1.1717818181818183</v>
      </c>
      <c r="AH308" s="118">
        <v>887.06312000000003</v>
      </c>
      <c r="AI308" s="117">
        <v>130.59820940613909</v>
      </c>
      <c r="AJ308" s="118">
        <v>142.79906768030324</v>
      </c>
      <c r="AK308" s="119">
        <v>283.86394093426674</v>
      </c>
      <c r="AL308" s="120">
        <v>284</v>
      </c>
      <c r="AM308" s="117">
        <v>312.39999999999998</v>
      </c>
      <c r="AN308" s="117">
        <v>366.06464</v>
      </c>
      <c r="AO308" s="117">
        <v>1220.2154666666668</v>
      </c>
      <c r="AP308" s="121" t="s">
        <v>1163</v>
      </c>
      <c r="AQ308" s="123" t="s">
        <v>1165</v>
      </c>
      <c r="AR308" s="186"/>
    </row>
    <row r="309" spans="1:44" ht="33" x14ac:dyDescent="0.3">
      <c r="A309" s="25" t="s">
        <v>1509</v>
      </c>
      <c r="B309" s="25" t="s">
        <v>119</v>
      </c>
      <c r="C309" s="25" t="s">
        <v>120</v>
      </c>
      <c r="D309" s="25" t="s">
        <v>121</v>
      </c>
      <c r="E309" s="109" t="s">
        <v>77</v>
      </c>
      <c r="F309" s="182" t="s">
        <v>139</v>
      </c>
      <c r="G309" s="66" t="s">
        <v>1166</v>
      </c>
      <c r="H309" s="66" t="s">
        <v>79</v>
      </c>
      <c r="I309" s="66" t="s">
        <v>80</v>
      </c>
      <c r="J309" s="66" t="s">
        <v>94</v>
      </c>
      <c r="K309" s="111" t="s">
        <v>82</v>
      </c>
      <c r="L309" s="66" t="s">
        <v>1167</v>
      </c>
      <c r="M309" s="66" t="s">
        <v>83</v>
      </c>
      <c r="N309" s="252" t="s">
        <v>142</v>
      </c>
      <c r="O309" s="113">
        <v>0.51</v>
      </c>
      <c r="P309" s="66">
        <v>101</v>
      </c>
      <c r="Q309" s="214">
        <v>25</v>
      </c>
      <c r="R309" s="66" t="s">
        <v>87</v>
      </c>
      <c r="S309" s="84" t="s">
        <v>87</v>
      </c>
      <c r="T309" s="114">
        <v>0.8</v>
      </c>
      <c r="U309" s="66">
        <v>200</v>
      </c>
      <c r="V309" s="66">
        <v>600</v>
      </c>
      <c r="W309" s="115">
        <v>400</v>
      </c>
      <c r="X309" s="184">
        <v>160</v>
      </c>
      <c r="Y309" s="66">
        <v>200</v>
      </c>
      <c r="Z309" s="66">
        <v>600</v>
      </c>
      <c r="AA309" s="115">
        <v>400</v>
      </c>
      <c r="AB309" s="184">
        <v>160</v>
      </c>
      <c r="AC309" s="115" t="s">
        <v>87</v>
      </c>
      <c r="AD309" s="115">
        <v>76</v>
      </c>
      <c r="AE309" s="116">
        <v>1.1876000000000002</v>
      </c>
      <c r="AF309" s="116">
        <v>1.0417702970297031</v>
      </c>
      <c r="AG309" s="116">
        <v>1.1042765148514853</v>
      </c>
      <c r="AH309" s="118">
        <v>881.20365200000003</v>
      </c>
      <c r="AI309" s="117">
        <v>140.75926914774166</v>
      </c>
      <c r="AJ309" s="118">
        <v>153.90940268675322</v>
      </c>
      <c r="AK309" s="119">
        <v>305.94968372841146</v>
      </c>
      <c r="AL309" s="120">
        <v>306</v>
      </c>
      <c r="AM309" s="117">
        <v>309.06</v>
      </c>
      <c r="AN309" s="117">
        <v>341.28769968000006</v>
      </c>
      <c r="AO309" s="117">
        <v>1365.1507987200002</v>
      </c>
      <c r="AP309" s="121" t="s">
        <v>1170</v>
      </c>
      <c r="AQ309" s="186"/>
      <c r="AR309" s="186"/>
    </row>
    <row r="310" spans="1:44" ht="33" x14ac:dyDescent="0.3">
      <c r="A310" s="25" t="s">
        <v>1509</v>
      </c>
      <c r="B310" s="25" t="s">
        <v>119</v>
      </c>
      <c r="C310" s="25" t="s">
        <v>120</v>
      </c>
      <c r="D310" s="25" t="s">
        <v>121</v>
      </c>
      <c r="E310" s="272" t="s">
        <v>77</v>
      </c>
      <c r="F310" s="110" t="s">
        <v>139</v>
      </c>
      <c r="G310" s="189" t="s">
        <v>1168</v>
      </c>
      <c r="H310" s="189" t="s">
        <v>79</v>
      </c>
      <c r="I310" s="189" t="s">
        <v>80</v>
      </c>
      <c r="J310" s="189" t="s">
        <v>94</v>
      </c>
      <c r="K310" s="273" t="s">
        <v>82</v>
      </c>
      <c r="L310" s="47" t="s">
        <v>1169</v>
      </c>
      <c r="M310" s="189" t="s">
        <v>83</v>
      </c>
      <c r="N310" s="274" t="s">
        <v>142</v>
      </c>
      <c r="O310" s="275">
        <v>0.41</v>
      </c>
      <c r="P310" s="189">
        <v>111</v>
      </c>
      <c r="Q310" s="91">
        <v>34</v>
      </c>
      <c r="R310" s="189" t="s">
        <v>87</v>
      </c>
      <c r="S310" s="84" t="s">
        <v>87</v>
      </c>
      <c r="T310" s="276">
        <v>0.8</v>
      </c>
      <c r="U310" s="189">
        <v>280</v>
      </c>
      <c r="V310" s="189">
        <v>600</v>
      </c>
      <c r="W310" s="193">
        <v>320</v>
      </c>
      <c r="X310" s="93">
        <v>170</v>
      </c>
      <c r="Y310" s="47">
        <v>200</v>
      </c>
      <c r="Z310" s="47">
        <v>600</v>
      </c>
      <c r="AA310" s="84">
        <v>400</v>
      </c>
      <c r="AB310" s="93">
        <v>170</v>
      </c>
      <c r="AC310" s="193" t="s">
        <v>87</v>
      </c>
      <c r="AD310" s="193">
        <v>77</v>
      </c>
      <c r="AE310" s="277">
        <v>1.1156999999999999</v>
      </c>
      <c r="AF310" s="277">
        <v>1.0062004504504503</v>
      </c>
      <c r="AG310" s="277">
        <v>1.0665724774774772</v>
      </c>
      <c r="AH310" s="97">
        <v>874.69313200000011</v>
      </c>
      <c r="AI310" s="39">
        <v>149.83033794017931</v>
      </c>
      <c r="AJ310" s="119">
        <v>163.82791667185461</v>
      </c>
      <c r="AK310" s="40">
        <v>325.66625830945731</v>
      </c>
      <c r="AL310" s="120">
        <v>326</v>
      </c>
      <c r="AM310" s="39">
        <v>361.86</v>
      </c>
      <c r="AN310" s="39">
        <v>385.9499166999999</v>
      </c>
      <c r="AO310" s="39">
        <v>1135.1468138235291</v>
      </c>
      <c r="AP310" s="189" t="s">
        <v>1171</v>
      </c>
      <c r="AQ310" s="141" t="s">
        <v>1172</v>
      </c>
      <c r="AR310" s="278" t="s">
        <v>1173</v>
      </c>
    </row>
    <row r="311" spans="1:44" x14ac:dyDescent="0.3">
      <c r="A311" s="25" t="s">
        <v>1509</v>
      </c>
      <c r="B311" s="25" t="s">
        <v>119</v>
      </c>
      <c r="C311" s="25" t="s">
        <v>120</v>
      </c>
      <c r="D311" s="25" t="s">
        <v>121</v>
      </c>
      <c r="E311" s="109" t="s">
        <v>77</v>
      </c>
      <c r="F311" s="182" t="s">
        <v>139</v>
      </c>
      <c r="G311" s="66" t="s">
        <v>1174</v>
      </c>
      <c r="H311" s="66" t="s">
        <v>79</v>
      </c>
      <c r="I311" s="66" t="s">
        <v>80</v>
      </c>
      <c r="J311" s="66" t="s">
        <v>94</v>
      </c>
      <c r="K311" s="111" t="s">
        <v>82</v>
      </c>
      <c r="L311" s="66" t="s">
        <v>1175</v>
      </c>
      <c r="M311" s="66" t="s">
        <v>83</v>
      </c>
      <c r="N311" s="115" t="s">
        <v>142</v>
      </c>
      <c r="O311" s="113">
        <v>0.31</v>
      </c>
      <c r="P311" s="66">
        <v>110</v>
      </c>
      <c r="Q311" s="214">
        <v>16</v>
      </c>
      <c r="R311" s="66" t="s">
        <v>87</v>
      </c>
      <c r="S311" s="115" t="s">
        <v>87</v>
      </c>
      <c r="T311" s="114">
        <v>0.8</v>
      </c>
      <c r="U311" s="66">
        <v>195</v>
      </c>
      <c r="V311" s="66">
        <v>810</v>
      </c>
      <c r="W311" s="115">
        <v>615</v>
      </c>
      <c r="X311" s="184">
        <v>130</v>
      </c>
      <c r="Y311" s="66">
        <v>195</v>
      </c>
      <c r="Z311" s="66">
        <v>810</v>
      </c>
      <c r="AA311" s="115">
        <v>615</v>
      </c>
      <c r="AB311" s="184">
        <v>130</v>
      </c>
      <c r="AC311" s="115" t="s">
        <v>87</v>
      </c>
      <c r="AD311" s="115">
        <v>94</v>
      </c>
      <c r="AE311" s="116">
        <v>1.0914000000000001</v>
      </c>
      <c r="AF311" s="116">
        <v>0.96689272727272735</v>
      </c>
      <c r="AG311" s="116">
        <v>1.0249062909090909</v>
      </c>
      <c r="AH311" s="118">
        <v>868.18261199999995</v>
      </c>
      <c r="AI311" s="117">
        <v>153.16630753148067</v>
      </c>
      <c r="AJ311" s="118">
        <v>167.47554208428454</v>
      </c>
      <c r="AK311" s="119">
        <v>332.91721128446159</v>
      </c>
      <c r="AL311" s="120" t="s">
        <v>1176</v>
      </c>
      <c r="AM311" s="117"/>
      <c r="AN311" s="117"/>
      <c r="AO311" s="117"/>
      <c r="AP311" s="121" t="s">
        <v>1177</v>
      </c>
      <c r="AQ311" s="123" t="s">
        <v>1178</v>
      </c>
      <c r="AR311" s="186"/>
    </row>
    <row r="312" spans="1:44" x14ac:dyDescent="0.3">
      <c r="A312" s="25" t="s">
        <v>1509</v>
      </c>
      <c r="B312" s="25" t="s">
        <v>119</v>
      </c>
      <c r="C312" s="25" t="s">
        <v>120</v>
      </c>
      <c r="D312" s="25" t="s">
        <v>121</v>
      </c>
      <c r="E312" s="26" t="s">
        <v>77</v>
      </c>
      <c r="F312" s="27" t="s">
        <v>78</v>
      </c>
      <c r="G312" s="67" t="s">
        <v>1179</v>
      </c>
      <c r="H312" s="25" t="s">
        <v>79</v>
      </c>
      <c r="I312" s="25" t="s">
        <v>124</v>
      </c>
      <c r="J312" s="29" t="s">
        <v>81</v>
      </c>
      <c r="K312" s="30" t="s">
        <v>82</v>
      </c>
      <c r="L312" s="25" t="s">
        <v>1180</v>
      </c>
      <c r="M312" s="25" t="s">
        <v>83</v>
      </c>
      <c r="N312" s="74" t="s">
        <v>103</v>
      </c>
      <c r="O312" s="31">
        <v>0.39</v>
      </c>
      <c r="P312" s="262">
        <v>99</v>
      </c>
      <c r="Q312" s="25">
        <v>30</v>
      </c>
      <c r="R312" s="33">
        <v>12</v>
      </c>
      <c r="S312" s="34">
        <v>87</v>
      </c>
      <c r="T312" s="35">
        <v>0.8</v>
      </c>
      <c r="U312" s="25">
        <v>236</v>
      </c>
      <c r="V312" s="25">
        <v>543</v>
      </c>
      <c r="W312" s="34">
        <v>307</v>
      </c>
      <c r="X312" s="36">
        <v>147</v>
      </c>
      <c r="Y312" s="25">
        <v>190</v>
      </c>
      <c r="Z312" s="25">
        <v>590</v>
      </c>
      <c r="AA312" s="34">
        <v>400</v>
      </c>
      <c r="AB312" s="36">
        <v>100</v>
      </c>
      <c r="AC312" s="34">
        <v>180</v>
      </c>
      <c r="AD312" s="34">
        <v>69</v>
      </c>
      <c r="AE312" s="37">
        <v>1.0691000000000002</v>
      </c>
      <c r="AF312" s="37">
        <v>0.9753227272727274</v>
      </c>
      <c r="AG312" s="37">
        <v>1.0338420909090911</v>
      </c>
      <c r="AH312" s="38">
        <v>873.39102800000012</v>
      </c>
      <c r="AI312" s="39">
        <v>156.36115240843515</v>
      </c>
      <c r="AJ312" s="38">
        <v>170.96885850789278</v>
      </c>
      <c r="AK312" s="40">
        <v>339.86142025616073</v>
      </c>
      <c r="AL312" s="41">
        <v>150</v>
      </c>
      <c r="AM312" s="39">
        <v>148.5</v>
      </c>
      <c r="AN312" s="39">
        <v>153.52555050000004</v>
      </c>
      <c r="AO312" s="39">
        <v>511.75183500000014</v>
      </c>
      <c r="AP312" s="42" t="s">
        <v>1194</v>
      </c>
      <c r="AQ312" s="43" t="s">
        <v>1195</v>
      </c>
      <c r="AR312" s="43"/>
    </row>
    <row r="313" spans="1:44" x14ac:dyDescent="0.3">
      <c r="A313" s="25" t="s">
        <v>1509</v>
      </c>
      <c r="B313" s="25" t="s">
        <v>119</v>
      </c>
      <c r="C313" s="25" t="s">
        <v>120</v>
      </c>
      <c r="D313" s="25" t="s">
        <v>121</v>
      </c>
      <c r="E313" s="266" t="s">
        <v>77</v>
      </c>
      <c r="F313" s="85" t="s">
        <v>122</v>
      </c>
      <c r="G313" s="228" t="s">
        <v>1181</v>
      </c>
      <c r="H313" s="47" t="s">
        <v>79</v>
      </c>
      <c r="I313" s="47" t="s">
        <v>124</v>
      </c>
      <c r="J313" s="47" t="s">
        <v>94</v>
      </c>
      <c r="K313" s="87" t="s">
        <v>82</v>
      </c>
      <c r="L313" s="47" t="s">
        <v>1182</v>
      </c>
      <c r="M313" s="47" t="s">
        <v>83</v>
      </c>
      <c r="N313" s="89" t="s">
        <v>103</v>
      </c>
      <c r="O313" s="229">
        <v>0.41</v>
      </c>
      <c r="P313" s="218">
        <v>112</v>
      </c>
      <c r="Q313" s="47">
        <v>30</v>
      </c>
      <c r="R313" s="230" t="s">
        <v>87</v>
      </c>
      <c r="S313" s="34" t="s">
        <v>87</v>
      </c>
      <c r="T313" s="92">
        <v>0.8</v>
      </c>
      <c r="U313" s="47">
        <v>190</v>
      </c>
      <c r="V313" s="47">
        <v>670</v>
      </c>
      <c r="W313" s="84">
        <v>480</v>
      </c>
      <c r="X313" s="93">
        <v>150</v>
      </c>
      <c r="Y313" s="47">
        <v>190</v>
      </c>
      <c r="Z313" s="47">
        <v>670</v>
      </c>
      <c r="AA313" s="84">
        <v>480</v>
      </c>
      <c r="AB313" s="93">
        <v>150</v>
      </c>
      <c r="AC313" s="84" t="s">
        <v>87</v>
      </c>
      <c r="AD313" s="84">
        <v>82</v>
      </c>
      <c r="AE313" s="75">
        <v>1.1362000000000001</v>
      </c>
      <c r="AF313" s="75">
        <v>1.0131267857142858</v>
      </c>
      <c r="AG313" s="75">
        <v>1.0739143928571429</v>
      </c>
      <c r="AH313" s="97">
        <v>874.69313200000011</v>
      </c>
      <c r="AI313" s="39">
        <v>147.12700936442351</v>
      </c>
      <c r="AJ313" s="97">
        <v>160.87203540819235</v>
      </c>
      <c r="AK313" s="40">
        <v>319.79039288493351</v>
      </c>
      <c r="AL313" s="98">
        <v>250</v>
      </c>
      <c r="AM313" s="39">
        <v>280</v>
      </c>
      <c r="AN313" s="39">
        <v>300.69603000000001</v>
      </c>
      <c r="AO313" s="39">
        <v>1002.3201</v>
      </c>
      <c r="AP313" s="258" t="s">
        <v>1196</v>
      </c>
      <c r="AQ313" s="88" t="s">
        <v>1197</v>
      </c>
      <c r="AR313" s="88"/>
    </row>
    <row r="314" spans="1:44" ht="82.5" x14ac:dyDescent="0.3">
      <c r="A314" s="25" t="s">
        <v>1509</v>
      </c>
      <c r="B314" s="25" t="s">
        <v>119</v>
      </c>
      <c r="C314" s="25" t="s">
        <v>120</v>
      </c>
      <c r="D314" s="25" t="s">
        <v>121</v>
      </c>
      <c r="E314" s="280" t="s">
        <v>77</v>
      </c>
      <c r="F314" s="281" t="s">
        <v>122</v>
      </c>
      <c r="G314" s="279" t="s">
        <v>1183</v>
      </c>
      <c r="H314" s="161" t="s">
        <v>79</v>
      </c>
      <c r="I314" s="161" t="s">
        <v>124</v>
      </c>
      <c r="J314" s="161" t="s">
        <v>94</v>
      </c>
      <c r="K314" s="282" t="s">
        <v>82</v>
      </c>
      <c r="L314" s="161" t="s">
        <v>1184</v>
      </c>
      <c r="M314" s="161" t="s">
        <v>83</v>
      </c>
      <c r="N314" s="283" t="s">
        <v>103</v>
      </c>
      <c r="O314" s="284">
        <v>0.41</v>
      </c>
      <c r="P314" s="285">
        <v>114</v>
      </c>
      <c r="Q314" s="161">
        <v>30</v>
      </c>
      <c r="R314" s="286" t="s">
        <v>87</v>
      </c>
      <c r="S314" s="225" t="s">
        <v>87</v>
      </c>
      <c r="T314" s="287">
        <v>0.8</v>
      </c>
      <c r="U314" s="161">
        <v>180</v>
      </c>
      <c r="V314" s="161">
        <v>680</v>
      </c>
      <c r="W314" s="225">
        <v>500</v>
      </c>
      <c r="X314" s="288">
        <v>160</v>
      </c>
      <c r="Y314" s="161">
        <v>180</v>
      </c>
      <c r="Z314" s="161">
        <v>680</v>
      </c>
      <c r="AA314" s="225">
        <v>500</v>
      </c>
      <c r="AB314" s="288">
        <v>160</v>
      </c>
      <c r="AC314" s="225" t="s">
        <v>87</v>
      </c>
      <c r="AD314" s="225">
        <v>84</v>
      </c>
      <c r="AE314" s="289">
        <v>1.1444000000000001</v>
      </c>
      <c r="AF314" s="289">
        <v>1.0175157894736844</v>
      </c>
      <c r="AG314" s="289">
        <v>1.0785667368421055</v>
      </c>
      <c r="AH314" s="291">
        <v>874.69313200000011</v>
      </c>
      <c r="AI314" s="39">
        <v>146.07279625992484</v>
      </c>
      <c r="AJ314" s="291">
        <v>159.71933470009449</v>
      </c>
      <c r="AK314" s="40">
        <v>317.49899020959577</v>
      </c>
      <c r="AL314" s="41">
        <v>250</v>
      </c>
      <c r="AM314" s="39">
        <v>285</v>
      </c>
      <c r="AN314" s="39">
        <v>307.39152000000007</v>
      </c>
      <c r="AO314" s="39">
        <v>1024.6384000000003</v>
      </c>
      <c r="AP314" s="292" t="s">
        <v>1198</v>
      </c>
      <c r="AQ314" s="293" t="s">
        <v>1199</v>
      </c>
      <c r="AR314" s="294" t="s">
        <v>1200</v>
      </c>
    </row>
    <row r="315" spans="1:44" x14ac:dyDescent="0.3">
      <c r="A315" s="25" t="s">
        <v>1509</v>
      </c>
      <c r="B315" s="25" t="s">
        <v>119</v>
      </c>
      <c r="C315" s="25" t="s">
        <v>120</v>
      </c>
      <c r="D315" s="25" t="s">
        <v>121</v>
      </c>
      <c r="E315" s="280" t="s">
        <v>77</v>
      </c>
      <c r="F315" s="281" t="s">
        <v>122</v>
      </c>
      <c r="G315" s="279" t="s">
        <v>1185</v>
      </c>
      <c r="H315" s="161" t="s">
        <v>79</v>
      </c>
      <c r="I315" s="161" t="s">
        <v>124</v>
      </c>
      <c r="J315" s="161" t="s">
        <v>94</v>
      </c>
      <c r="K315" s="282" t="s">
        <v>82</v>
      </c>
      <c r="L315" s="161" t="s">
        <v>1186</v>
      </c>
      <c r="M315" s="161" t="s">
        <v>83</v>
      </c>
      <c r="N315" s="283" t="s">
        <v>103</v>
      </c>
      <c r="O315" s="284">
        <v>0.41</v>
      </c>
      <c r="P315" s="285">
        <v>113</v>
      </c>
      <c r="Q315" s="161">
        <v>30</v>
      </c>
      <c r="R315" s="286" t="s">
        <v>87</v>
      </c>
      <c r="S315" s="84" t="s">
        <v>87</v>
      </c>
      <c r="T315" s="287">
        <v>0.8</v>
      </c>
      <c r="U315" s="161">
        <v>180</v>
      </c>
      <c r="V315" s="161">
        <v>680</v>
      </c>
      <c r="W315" s="84">
        <v>500</v>
      </c>
      <c r="X315" s="93">
        <v>150</v>
      </c>
      <c r="Y315" s="161">
        <v>180</v>
      </c>
      <c r="Z315" s="161">
        <v>680</v>
      </c>
      <c r="AA315" s="84">
        <v>500</v>
      </c>
      <c r="AB315" s="93">
        <v>150</v>
      </c>
      <c r="AC315" s="84" t="s">
        <v>87</v>
      </c>
      <c r="AD315" s="225">
        <v>83</v>
      </c>
      <c r="AE315" s="75">
        <v>1.1402999999999999</v>
      </c>
      <c r="AF315" s="75">
        <v>1.0153225663716814</v>
      </c>
      <c r="AG315" s="75">
        <v>1.0762419203539824</v>
      </c>
      <c r="AH315" s="97">
        <v>874.69313200000011</v>
      </c>
      <c r="AI315" s="39">
        <v>146.59800757682896</v>
      </c>
      <c r="AJ315" s="97">
        <v>160.29361276049127</v>
      </c>
      <c r="AK315" s="40">
        <v>318.64057212651187</v>
      </c>
      <c r="AL315" s="41">
        <v>250</v>
      </c>
      <c r="AM315" s="39">
        <v>282.5</v>
      </c>
      <c r="AN315" s="39">
        <v>304.0383425</v>
      </c>
      <c r="AO315" s="39">
        <v>1013.4611416666667</v>
      </c>
      <c r="AP315" s="292" t="s">
        <v>1201</v>
      </c>
      <c r="AQ315" s="294" t="s">
        <v>1202</v>
      </c>
      <c r="AR315" s="294"/>
    </row>
    <row r="316" spans="1:44" x14ac:dyDescent="0.3">
      <c r="A316" s="25" t="s">
        <v>1509</v>
      </c>
      <c r="B316" s="25" t="s">
        <v>119</v>
      </c>
      <c r="C316" s="25" t="s">
        <v>120</v>
      </c>
      <c r="D316" s="25" t="s">
        <v>121</v>
      </c>
      <c r="E316" s="86" t="s">
        <v>77</v>
      </c>
      <c r="F316" s="47" t="s">
        <v>122</v>
      </c>
      <c r="G316" s="228" t="s">
        <v>1187</v>
      </c>
      <c r="H316" s="47" t="s">
        <v>79</v>
      </c>
      <c r="I316" s="47" t="s">
        <v>124</v>
      </c>
      <c r="J316" s="47" t="s">
        <v>94</v>
      </c>
      <c r="K316" s="87" t="s">
        <v>82</v>
      </c>
      <c r="L316" s="47" t="s">
        <v>1188</v>
      </c>
      <c r="M316" s="47" t="s">
        <v>83</v>
      </c>
      <c r="N316" s="89" t="s">
        <v>103</v>
      </c>
      <c r="O316" s="229">
        <v>0.43</v>
      </c>
      <c r="P316" s="218">
        <v>113</v>
      </c>
      <c r="Q316" s="47">
        <v>30</v>
      </c>
      <c r="R316" s="230" t="s">
        <v>87</v>
      </c>
      <c r="S316" s="84" t="s">
        <v>87</v>
      </c>
      <c r="T316" s="92">
        <v>0.8</v>
      </c>
      <c r="U316" s="47">
        <v>190</v>
      </c>
      <c r="V316" s="47">
        <v>670</v>
      </c>
      <c r="W316" s="84">
        <v>480</v>
      </c>
      <c r="X316" s="93">
        <v>160</v>
      </c>
      <c r="Y316" s="47">
        <v>190</v>
      </c>
      <c r="Z316" s="47">
        <v>670</v>
      </c>
      <c r="AA316" s="84">
        <v>480</v>
      </c>
      <c r="AB316" s="93">
        <v>160</v>
      </c>
      <c r="AC316" s="84" t="s">
        <v>87</v>
      </c>
      <c r="AD316" s="84">
        <v>83</v>
      </c>
      <c r="AE316" s="75">
        <v>1.1569</v>
      </c>
      <c r="AF316" s="75">
        <v>1.0258261061946903</v>
      </c>
      <c r="AG316" s="75">
        <v>1.0873756725663717</v>
      </c>
      <c r="AH316" s="97">
        <v>875.99523599999998</v>
      </c>
      <c r="AI316" s="39">
        <v>144.4945181431913</v>
      </c>
      <c r="AJ316" s="97">
        <v>157.99360932733009</v>
      </c>
      <c r="AK316" s="40">
        <v>314.06849718719116</v>
      </c>
      <c r="AL316" s="41">
        <v>150</v>
      </c>
      <c r="AM316" s="39">
        <v>169.5</v>
      </c>
      <c r="AN316" s="39">
        <v>184.31017650000001</v>
      </c>
      <c r="AO316" s="39">
        <v>614.36725500000011</v>
      </c>
      <c r="AP316" s="107" t="s">
        <v>1203</v>
      </c>
      <c r="AQ316" s="88" t="s">
        <v>1204</v>
      </c>
      <c r="AR316" s="88"/>
    </row>
    <row r="317" spans="1:44" x14ac:dyDescent="0.3">
      <c r="A317" s="25" t="s">
        <v>1509</v>
      </c>
      <c r="B317" s="25" t="s">
        <v>119</v>
      </c>
      <c r="C317" s="25" t="s">
        <v>120</v>
      </c>
      <c r="D317" s="25" t="s">
        <v>121</v>
      </c>
      <c r="E317" s="26" t="s">
        <v>77</v>
      </c>
      <c r="F317" s="27" t="s">
        <v>78</v>
      </c>
      <c r="G317" s="67" t="s">
        <v>1189</v>
      </c>
      <c r="H317" s="25" t="s">
        <v>79</v>
      </c>
      <c r="I317" s="25" t="s">
        <v>124</v>
      </c>
      <c r="J317" s="25" t="s">
        <v>94</v>
      </c>
      <c r="K317" s="30" t="s">
        <v>82</v>
      </c>
      <c r="L317" s="25"/>
      <c r="M317" s="25" t="s">
        <v>83</v>
      </c>
      <c r="N317" s="74" t="s">
        <v>103</v>
      </c>
      <c r="O317" s="31">
        <v>0.44</v>
      </c>
      <c r="P317" s="262">
        <v>112</v>
      </c>
      <c r="Q317" s="25">
        <v>30</v>
      </c>
      <c r="R317" s="28" t="s">
        <v>87</v>
      </c>
      <c r="S317" s="34" t="s">
        <v>87</v>
      </c>
      <c r="T317" s="35">
        <v>0.8</v>
      </c>
      <c r="U317" s="25">
        <v>235</v>
      </c>
      <c r="V317" s="25">
        <v>635</v>
      </c>
      <c r="W317" s="34">
        <v>400</v>
      </c>
      <c r="X317" s="36">
        <v>185</v>
      </c>
      <c r="Y317" s="25">
        <v>235</v>
      </c>
      <c r="Z317" s="25">
        <v>635</v>
      </c>
      <c r="AA317" s="34">
        <v>400</v>
      </c>
      <c r="AB317" s="36">
        <v>185</v>
      </c>
      <c r="AC317" s="34" t="s">
        <v>87</v>
      </c>
      <c r="AD317" s="34">
        <v>82</v>
      </c>
      <c r="AE317" s="37">
        <v>1.1608000000000001</v>
      </c>
      <c r="AF317" s="37">
        <v>1.0287214285714286</v>
      </c>
      <c r="AG317" s="37">
        <v>1.0904447142857143</v>
      </c>
      <c r="AH317" s="38">
        <v>876.64628800000003</v>
      </c>
      <c r="AI317" s="39">
        <v>144.00905241200726</v>
      </c>
      <c r="AJ317" s="38">
        <v>157.46278999895603</v>
      </c>
      <c r="AK317" s="40">
        <v>313.01330495852983</v>
      </c>
      <c r="AL317" s="41">
        <v>150</v>
      </c>
      <c r="AM317" s="39">
        <v>168</v>
      </c>
      <c r="AN317" s="39">
        <v>183.19471200000001</v>
      </c>
      <c r="AO317" s="39">
        <v>610.64904000000001</v>
      </c>
      <c r="AP317" s="42" t="s">
        <v>1205</v>
      </c>
      <c r="AQ317" s="25"/>
      <c r="AR317" s="43"/>
    </row>
    <row r="318" spans="1:44" x14ac:dyDescent="0.3">
      <c r="A318" s="25" t="s">
        <v>1509</v>
      </c>
      <c r="B318" s="25" t="s">
        <v>119</v>
      </c>
      <c r="C318" s="25" t="s">
        <v>120</v>
      </c>
      <c r="D318" s="25" t="s">
        <v>121</v>
      </c>
      <c r="E318" s="109" t="s">
        <v>77</v>
      </c>
      <c r="F318" s="182" t="s">
        <v>139</v>
      </c>
      <c r="G318" s="231" t="s">
        <v>1190</v>
      </c>
      <c r="H318" s="66" t="s">
        <v>79</v>
      </c>
      <c r="I318" s="66" t="s">
        <v>124</v>
      </c>
      <c r="J318" s="66" t="s">
        <v>94</v>
      </c>
      <c r="K318" s="111" t="s">
        <v>82</v>
      </c>
      <c r="L318" s="66" t="s">
        <v>1191</v>
      </c>
      <c r="M318" s="66" t="s">
        <v>83</v>
      </c>
      <c r="N318" s="183" t="s">
        <v>103</v>
      </c>
      <c r="O318" s="232">
        <v>0.65</v>
      </c>
      <c r="P318" s="200">
        <v>99</v>
      </c>
      <c r="Q318" s="66">
        <v>30</v>
      </c>
      <c r="R318" s="233" t="s">
        <v>87</v>
      </c>
      <c r="S318" s="115" t="s">
        <v>87</v>
      </c>
      <c r="T318" s="114">
        <v>0.8</v>
      </c>
      <c r="U318" s="66">
        <v>216</v>
      </c>
      <c r="V318" s="66">
        <v>492</v>
      </c>
      <c r="W318" s="115">
        <v>400</v>
      </c>
      <c r="X318" s="184">
        <v>198</v>
      </c>
      <c r="Y318" s="66">
        <v>154</v>
      </c>
      <c r="Z318" s="66">
        <v>554</v>
      </c>
      <c r="AA318" s="115">
        <v>400</v>
      </c>
      <c r="AB318" s="184">
        <v>136</v>
      </c>
      <c r="AC318" s="115" t="s">
        <v>87</v>
      </c>
      <c r="AD318" s="115">
        <v>69</v>
      </c>
      <c r="AE318" s="116">
        <v>1.2485000000000002</v>
      </c>
      <c r="AF318" s="116">
        <v>1.0922045454545455</v>
      </c>
      <c r="AG318" s="116">
        <v>1.1577368181818182</v>
      </c>
      <c r="AH318" s="118">
        <v>890.31838000000005</v>
      </c>
      <c r="AI318" s="117">
        <v>133.89323831786785</v>
      </c>
      <c r="AJ318" s="118">
        <v>146.40192761777186</v>
      </c>
      <c r="AK318" s="119">
        <v>291.0259066046147</v>
      </c>
      <c r="AL318" s="120">
        <v>145</v>
      </c>
      <c r="AM318" s="117">
        <v>143.55000000000001</v>
      </c>
      <c r="AN318" s="117">
        <v>166.19312025000002</v>
      </c>
      <c r="AO318" s="117">
        <v>553.97706750000009</v>
      </c>
      <c r="AP318" s="121" t="s">
        <v>1206</v>
      </c>
      <c r="AQ318" s="123" t="s">
        <v>1207</v>
      </c>
      <c r="AR318" s="78"/>
    </row>
    <row r="319" spans="1:44" x14ac:dyDescent="0.3">
      <c r="A319" s="25" t="s">
        <v>1509</v>
      </c>
      <c r="B319" s="25" t="s">
        <v>119</v>
      </c>
      <c r="C319" s="25" t="s">
        <v>120</v>
      </c>
      <c r="D319" s="25" t="s">
        <v>121</v>
      </c>
      <c r="E319" s="26" t="s">
        <v>77</v>
      </c>
      <c r="F319" s="27" t="s">
        <v>78</v>
      </c>
      <c r="G319" s="290" t="s">
        <v>1192</v>
      </c>
      <c r="H319" s="25" t="s">
        <v>79</v>
      </c>
      <c r="I319" s="25" t="s">
        <v>124</v>
      </c>
      <c r="J319" s="25" t="s">
        <v>94</v>
      </c>
      <c r="K319" s="30" t="s">
        <v>82</v>
      </c>
      <c r="L319" s="25" t="s">
        <v>1193</v>
      </c>
      <c r="M319" s="25" t="s">
        <v>83</v>
      </c>
      <c r="N319" s="74" t="s">
        <v>103</v>
      </c>
      <c r="O319" s="31">
        <v>0.61</v>
      </c>
      <c r="P319" s="262">
        <v>99</v>
      </c>
      <c r="Q319" s="25">
        <v>30</v>
      </c>
      <c r="R319" s="28" t="s">
        <v>87</v>
      </c>
      <c r="S319" s="34" t="s">
        <v>87</v>
      </c>
      <c r="T319" s="35">
        <v>0.8</v>
      </c>
      <c r="U319" s="25">
        <v>216</v>
      </c>
      <c r="V319" s="25">
        <v>492</v>
      </c>
      <c r="W319" s="34">
        <v>276</v>
      </c>
      <c r="X319" s="36">
        <v>198</v>
      </c>
      <c r="Y319" s="25">
        <v>154</v>
      </c>
      <c r="Z319" s="25">
        <v>554</v>
      </c>
      <c r="AA319" s="34">
        <v>400</v>
      </c>
      <c r="AB319" s="36">
        <v>136</v>
      </c>
      <c r="AC319" s="34" t="s">
        <v>87</v>
      </c>
      <c r="AD319" s="34">
        <v>69</v>
      </c>
      <c r="AE319" s="37">
        <v>1.2208999999999999</v>
      </c>
      <c r="AF319" s="37">
        <v>1.0742227272727274</v>
      </c>
      <c r="AG319" s="37">
        <v>1.1386760909090909</v>
      </c>
      <c r="AH319" s="38">
        <v>887.71417200000008</v>
      </c>
      <c r="AI319" s="39">
        <v>136.92006555807851</v>
      </c>
      <c r="AJ319" s="38">
        <v>149.71152971642903</v>
      </c>
      <c r="AK319" s="40">
        <v>297.60491800791345</v>
      </c>
      <c r="AL319" s="41">
        <v>290</v>
      </c>
      <c r="AM319" s="39">
        <v>287.10000000000002</v>
      </c>
      <c r="AN319" s="39">
        <v>326.91390570000004</v>
      </c>
      <c r="AO319" s="39">
        <v>1089.7130190000003</v>
      </c>
      <c r="AP319" s="42" t="s">
        <v>1208</v>
      </c>
      <c r="AQ319" s="43" t="s">
        <v>1209</v>
      </c>
      <c r="AR319" s="43"/>
    </row>
    <row r="320" spans="1:44" x14ac:dyDescent="0.3">
      <c r="A320" s="25" t="s">
        <v>1509</v>
      </c>
      <c r="B320" s="25" t="s">
        <v>119</v>
      </c>
      <c r="C320" s="25" t="s">
        <v>120</v>
      </c>
      <c r="D320" s="25" t="s">
        <v>121</v>
      </c>
      <c r="E320" s="26" t="s">
        <v>77</v>
      </c>
      <c r="F320" s="27" t="s">
        <v>78</v>
      </c>
      <c r="G320" s="25" t="s">
        <v>1210</v>
      </c>
      <c r="H320" s="25" t="s">
        <v>79</v>
      </c>
      <c r="I320" s="25" t="s">
        <v>124</v>
      </c>
      <c r="J320" s="29" t="s">
        <v>81</v>
      </c>
      <c r="K320" s="30" t="s">
        <v>82</v>
      </c>
      <c r="L320" s="25" t="s">
        <v>1211</v>
      </c>
      <c r="M320" s="25" t="s">
        <v>83</v>
      </c>
      <c r="N320" s="74" t="s">
        <v>103</v>
      </c>
      <c r="O320" s="61">
        <v>0.54</v>
      </c>
      <c r="P320" s="49">
        <v>98</v>
      </c>
      <c r="Q320" s="25">
        <v>30</v>
      </c>
      <c r="R320" s="29">
        <v>12</v>
      </c>
      <c r="S320" s="34">
        <v>86</v>
      </c>
      <c r="T320" s="35">
        <v>0.8</v>
      </c>
      <c r="U320" s="25">
        <v>140</v>
      </c>
      <c r="V320" s="25">
        <v>540</v>
      </c>
      <c r="W320" s="34">
        <v>400</v>
      </c>
      <c r="X320" s="36">
        <v>140</v>
      </c>
      <c r="Y320" s="25">
        <v>140</v>
      </c>
      <c r="Z320" s="25">
        <v>540</v>
      </c>
      <c r="AA320" s="34">
        <v>400</v>
      </c>
      <c r="AB320" s="36">
        <v>140</v>
      </c>
      <c r="AC320" s="34">
        <v>180</v>
      </c>
      <c r="AD320" s="34">
        <v>68</v>
      </c>
      <c r="AE320" s="37">
        <v>1.1672</v>
      </c>
      <c r="AF320" s="37">
        <v>1.039804081632653</v>
      </c>
      <c r="AG320" s="37">
        <v>1.1021923265306122</v>
      </c>
      <c r="AH320" s="38">
        <v>883.15680800000007</v>
      </c>
      <c r="AI320" s="39">
        <v>143.21942087033759</v>
      </c>
      <c r="AJ320" s="38">
        <v>156.59938882007211</v>
      </c>
      <c r="AK320" s="40">
        <v>311.29698800193751</v>
      </c>
      <c r="AL320" s="41">
        <v>150</v>
      </c>
      <c r="AM320" s="39">
        <v>147</v>
      </c>
      <c r="AN320" s="39">
        <v>162.02227199999999</v>
      </c>
      <c r="AO320" s="39">
        <v>540.07424000000003</v>
      </c>
      <c r="AP320" s="25" t="s">
        <v>1227</v>
      </c>
      <c r="AQ320" s="62" t="s">
        <v>1228</v>
      </c>
      <c r="AR320" s="43" t="s">
        <v>1229</v>
      </c>
    </row>
    <row r="321" spans="1:44" x14ac:dyDescent="0.3">
      <c r="A321" s="25" t="s">
        <v>1509</v>
      </c>
      <c r="B321" s="25" t="s">
        <v>119</v>
      </c>
      <c r="C321" s="25" t="s">
        <v>120</v>
      </c>
      <c r="D321" s="25" t="s">
        <v>121</v>
      </c>
      <c r="E321" s="26" t="s">
        <v>77</v>
      </c>
      <c r="F321" s="27" t="s">
        <v>78</v>
      </c>
      <c r="G321" s="25" t="s">
        <v>1212</v>
      </c>
      <c r="H321" s="25" t="s">
        <v>79</v>
      </c>
      <c r="I321" s="25" t="s">
        <v>124</v>
      </c>
      <c r="J321" s="29" t="s">
        <v>81</v>
      </c>
      <c r="K321" s="30" t="s">
        <v>82</v>
      </c>
      <c r="L321" s="25" t="s">
        <v>1213</v>
      </c>
      <c r="M321" s="25" t="s">
        <v>83</v>
      </c>
      <c r="N321" s="74" t="s">
        <v>103</v>
      </c>
      <c r="O321" s="61">
        <v>0.54</v>
      </c>
      <c r="P321" s="49">
        <v>99</v>
      </c>
      <c r="Q321" s="25">
        <v>30</v>
      </c>
      <c r="R321" s="29">
        <v>12</v>
      </c>
      <c r="S321" s="34">
        <v>87</v>
      </c>
      <c r="T321" s="35">
        <v>0.8</v>
      </c>
      <c r="U321" s="25">
        <v>140</v>
      </c>
      <c r="V321" s="25">
        <v>540</v>
      </c>
      <c r="W321" s="34">
        <v>400</v>
      </c>
      <c r="X321" s="36">
        <v>150</v>
      </c>
      <c r="Y321" s="25">
        <v>140</v>
      </c>
      <c r="Z321" s="25">
        <v>540</v>
      </c>
      <c r="AA321" s="34">
        <v>400</v>
      </c>
      <c r="AB321" s="36">
        <v>150</v>
      </c>
      <c r="AC321" s="34">
        <v>180</v>
      </c>
      <c r="AD321" s="34">
        <v>69</v>
      </c>
      <c r="AE321" s="37">
        <v>1.1726000000000001</v>
      </c>
      <c r="AF321" s="37">
        <v>1.0427545454545457</v>
      </c>
      <c r="AG321" s="37">
        <v>1.1053198181818185</v>
      </c>
      <c r="AH321" s="38">
        <v>883.15680800000007</v>
      </c>
      <c r="AI321" s="39">
        <v>142.55987381874297</v>
      </c>
      <c r="AJ321" s="38">
        <v>155.87822499640811</v>
      </c>
      <c r="AK321" s="40">
        <v>309.86341838296221</v>
      </c>
      <c r="AL321" s="41" t="s">
        <v>1224</v>
      </c>
      <c r="AM321" s="39"/>
      <c r="AN321" s="39">
        <v>0</v>
      </c>
      <c r="AO321" s="39">
        <v>0</v>
      </c>
      <c r="AP321" s="25" t="s">
        <v>1230</v>
      </c>
      <c r="AQ321" s="62" t="s">
        <v>1231</v>
      </c>
      <c r="AR321" s="43" t="s">
        <v>1232</v>
      </c>
    </row>
    <row r="322" spans="1:44" x14ac:dyDescent="0.3">
      <c r="A322" s="25" t="s">
        <v>1509</v>
      </c>
      <c r="B322" s="25" t="s">
        <v>119</v>
      </c>
      <c r="C322" s="25" t="s">
        <v>120</v>
      </c>
      <c r="D322" s="25" t="s">
        <v>121</v>
      </c>
      <c r="E322" s="26" t="s">
        <v>77</v>
      </c>
      <c r="F322" s="27" t="s">
        <v>78</v>
      </c>
      <c r="G322" s="67" t="s">
        <v>1214</v>
      </c>
      <c r="H322" s="25" t="s">
        <v>79</v>
      </c>
      <c r="I322" s="25" t="s">
        <v>124</v>
      </c>
      <c r="J322" s="25" t="s">
        <v>94</v>
      </c>
      <c r="K322" s="30" t="s">
        <v>82</v>
      </c>
      <c r="L322" s="25" t="s">
        <v>1215</v>
      </c>
      <c r="M322" s="25" t="s">
        <v>83</v>
      </c>
      <c r="N322" s="74" t="s">
        <v>103</v>
      </c>
      <c r="O322" s="31">
        <v>0.54</v>
      </c>
      <c r="P322" s="262">
        <v>99</v>
      </c>
      <c r="Q322" s="25">
        <v>30</v>
      </c>
      <c r="R322" s="28" t="s">
        <v>87</v>
      </c>
      <c r="S322" s="34" t="s">
        <v>87</v>
      </c>
      <c r="T322" s="35">
        <v>0.8</v>
      </c>
      <c r="U322" s="25">
        <v>140</v>
      </c>
      <c r="V322" s="25">
        <v>540</v>
      </c>
      <c r="W322" s="34">
        <v>400</v>
      </c>
      <c r="X322" s="36">
        <v>150</v>
      </c>
      <c r="Y322" s="25">
        <v>140</v>
      </c>
      <c r="Z322" s="25">
        <v>540</v>
      </c>
      <c r="AA322" s="34">
        <v>400</v>
      </c>
      <c r="AB322" s="36">
        <v>150</v>
      </c>
      <c r="AC322" s="34" t="s">
        <v>87</v>
      </c>
      <c r="AD322" s="34">
        <v>69</v>
      </c>
      <c r="AE322" s="37">
        <v>1.1726000000000001</v>
      </c>
      <c r="AF322" s="37">
        <v>1.0427545454545457</v>
      </c>
      <c r="AG322" s="37">
        <v>1.1053198181818185</v>
      </c>
      <c r="AH322" s="38">
        <v>883.15680800000007</v>
      </c>
      <c r="AI322" s="39">
        <v>142.55987381874297</v>
      </c>
      <c r="AJ322" s="38">
        <v>155.87822499640811</v>
      </c>
      <c r="AK322" s="40">
        <v>309.86341838296221</v>
      </c>
      <c r="AL322" s="41">
        <v>150</v>
      </c>
      <c r="AM322" s="39">
        <v>148.5</v>
      </c>
      <c r="AN322" s="39">
        <v>164.13999300000003</v>
      </c>
      <c r="AO322" s="39">
        <v>547.13331000000017</v>
      </c>
      <c r="AP322" s="42" t="s">
        <v>1233</v>
      </c>
      <c r="AQ322" s="43" t="s">
        <v>1234</v>
      </c>
      <c r="AR322" s="43"/>
    </row>
    <row r="323" spans="1:44" x14ac:dyDescent="0.3">
      <c r="A323" s="25" t="s">
        <v>1509</v>
      </c>
      <c r="B323" s="25" t="s">
        <v>119</v>
      </c>
      <c r="C323" s="25" t="s">
        <v>120</v>
      </c>
      <c r="D323" s="25" t="s">
        <v>121</v>
      </c>
      <c r="E323" s="26" t="s">
        <v>77</v>
      </c>
      <c r="F323" s="27" t="s">
        <v>78</v>
      </c>
      <c r="G323" s="67" t="s">
        <v>1216</v>
      </c>
      <c r="H323" s="25" t="s">
        <v>79</v>
      </c>
      <c r="I323" s="25" t="s">
        <v>124</v>
      </c>
      <c r="J323" s="29" t="s">
        <v>81</v>
      </c>
      <c r="K323" s="30" t="s">
        <v>82</v>
      </c>
      <c r="L323" s="295" t="s">
        <v>1217</v>
      </c>
      <c r="M323" s="25" t="s">
        <v>83</v>
      </c>
      <c r="N323" s="74" t="s">
        <v>103</v>
      </c>
      <c r="O323" s="31">
        <v>0.56999999999999995</v>
      </c>
      <c r="P323" s="262">
        <v>99</v>
      </c>
      <c r="Q323" s="25">
        <v>30</v>
      </c>
      <c r="R323" s="33">
        <v>12</v>
      </c>
      <c r="S323" s="34">
        <v>87</v>
      </c>
      <c r="T323" s="35">
        <v>0.8</v>
      </c>
      <c r="U323" s="25">
        <v>140</v>
      </c>
      <c r="V323" s="25">
        <v>540</v>
      </c>
      <c r="W323" s="34">
        <v>400</v>
      </c>
      <c r="X323" s="36">
        <v>150</v>
      </c>
      <c r="Y323" s="25">
        <v>140</v>
      </c>
      <c r="Z323" s="25">
        <v>540</v>
      </c>
      <c r="AA323" s="34">
        <v>400</v>
      </c>
      <c r="AB323" s="36">
        <v>150</v>
      </c>
      <c r="AC323" s="34">
        <v>180</v>
      </c>
      <c r="AD323" s="34">
        <v>69</v>
      </c>
      <c r="AE323" s="37">
        <v>1.1933</v>
      </c>
      <c r="AF323" s="37">
        <v>1.0562409090909091</v>
      </c>
      <c r="AG323" s="37">
        <v>1.1196153636363637</v>
      </c>
      <c r="AH323" s="38">
        <v>885.10996399999999</v>
      </c>
      <c r="AI323" s="39">
        <v>140.08690860626669</v>
      </c>
      <c r="AJ323" s="38">
        <v>153.17422830033368</v>
      </c>
      <c r="AK323" s="40">
        <v>304.48826313237362</v>
      </c>
      <c r="AL323" s="41" t="s">
        <v>1225</v>
      </c>
      <c r="AM323" s="39"/>
      <c r="AN323" s="39">
        <v>0</v>
      </c>
      <c r="AO323" s="39">
        <v>0</v>
      </c>
      <c r="AP323" s="42" t="s">
        <v>1235</v>
      </c>
      <c r="AQ323" s="43" t="s">
        <v>1236</v>
      </c>
      <c r="AR323" s="43"/>
    </row>
    <row r="324" spans="1:44" x14ac:dyDescent="0.3">
      <c r="A324" s="25" t="s">
        <v>1509</v>
      </c>
      <c r="B324" s="25" t="s">
        <v>119</v>
      </c>
      <c r="C324" s="25" t="s">
        <v>120</v>
      </c>
      <c r="D324" s="25" t="s">
        <v>121</v>
      </c>
      <c r="E324" s="26" t="s">
        <v>77</v>
      </c>
      <c r="F324" s="27" t="s">
        <v>78</v>
      </c>
      <c r="G324" s="67" t="s">
        <v>1218</v>
      </c>
      <c r="H324" s="25" t="s">
        <v>79</v>
      </c>
      <c r="I324" s="25" t="s">
        <v>124</v>
      </c>
      <c r="J324" s="25" t="s">
        <v>94</v>
      </c>
      <c r="K324" s="30" t="s">
        <v>82</v>
      </c>
      <c r="L324" s="295" t="s">
        <v>1219</v>
      </c>
      <c r="M324" s="25" t="s">
        <v>83</v>
      </c>
      <c r="N324" s="74" t="s">
        <v>103</v>
      </c>
      <c r="O324" s="31">
        <v>0.56999999999999995</v>
      </c>
      <c r="P324" s="262">
        <v>99</v>
      </c>
      <c r="Q324" s="25">
        <v>30</v>
      </c>
      <c r="R324" s="28" t="s">
        <v>87</v>
      </c>
      <c r="S324" s="34" t="s">
        <v>87</v>
      </c>
      <c r="T324" s="35">
        <v>0.8</v>
      </c>
      <c r="U324" s="25">
        <v>140</v>
      </c>
      <c r="V324" s="25">
        <v>540</v>
      </c>
      <c r="W324" s="34">
        <v>400</v>
      </c>
      <c r="X324" s="36">
        <v>150</v>
      </c>
      <c r="Y324" s="25">
        <v>140</v>
      </c>
      <c r="Z324" s="25">
        <v>540</v>
      </c>
      <c r="AA324" s="34">
        <v>400</v>
      </c>
      <c r="AB324" s="36">
        <v>150</v>
      </c>
      <c r="AC324" s="34" t="s">
        <v>87</v>
      </c>
      <c r="AD324" s="34">
        <v>69</v>
      </c>
      <c r="AE324" s="37">
        <v>1.1933</v>
      </c>
      <c r="AF324" s="37">
        <v>1.0562409090909091</v>
      </c>
      <c r="AG324" s="37">
        <v>1.1196153636363637</v>
      </c>
      <c r="AH324" s="38">
        <v>885.10996399999999</v>
      </c>
      <c r="AI324" s="39">
        <v>140.08690860626669</v>
      </c>
      <c r="AJ324" s="38">
        <v>153.17422830033368</v>
      </c>
      <c r="AK324" s="40">
        <v>304.48826313237362</v>
      </c>
      <c r="AL324" s="41" t="s">
        <v>1226</v>
      </c>
      <c r="AM324" s="39"/>
      <c r="AN324" s="39">
        <v>0</v>
      </c>
      <c r="AO324" s="39">
        <v>0</v>
      </c>
      <c r="AP324" s="42" t="s">
        <v>1235</v>
      </c>
      <c r="AQ324" s="43" t="s">
        <v>1237</v>
      </c>
      <c r="AR324" s="43" t="s">
        <v>1238</v>
      </c>
    </row>
    <row r="325" spans="1:44" x14ac:dyDescent="0.3">
      <c r="A325" s="25" t="s">
        <v>1509</v>
      </c>
      <c r="B325" s="25" t="s">
        <v>119</v>
      </c>
      <c r="C325" s="25" t="s">
        <v>120</v>
      </c>
      <c r="D325" s="25" t="s">
        <v>121</v>
      </c>
      <c r="E325" s="26" t="s">
        <v>77</v>
      </c>
      <c r="F325" s="27" t="s">
        <v>78</v>
      </c>
      <c r="G325" s="67" t="s">
        <v>1220</v>
      </c>
      <c r="H325" s="25" t="s">
        <v>79</v>
      </c>
      <c r="I325" s="25" t="s">
        <v>124</v>
      </c>
      <c r="J325" s="29" t="s">
        <v>81</v>
      </c>
      <c r="K325" s="30" t="s">
        <v>82</v>
      </c>
      <c r="L325" s="295" t="s">
        <v>1221</v>
      </c>
      <c r="M325" s="25" t="s">
        <v>83</v>
      </c>
      <c r="N325" s="74" t="s">
        <v>103</v>
      </c>
      <c r="O325" s="31">
        <v>0.57999999999999996</v>
      </c>
      <c r="P325" s="262">
        <v>99</v>
      </c>
      <c r="Q325" s="25">
        <v>30</v>
      </c>
      <c r="R325" s="33">
        <v>12</v>
      </c>
      <c r="S325" s="34">
        <v>87</v>
      </c>
      <c r="T325" s="35">
        <v>0.8</v>
      </c>
      <c r="U325" s="25">
        <v>140</v>
      </c>
      <c r="V325" s="25">
        <v>540</v>
      </c>
      <c r="W325" s="34">
        <v>400</v>
      </c>
      <c r="X325" s="36">
        <v>150</v>
      </c>
      <c r="Y325" s="25">
        <v>140</v>
      </c>
      <c r="Z325" s="25">
        <v>540</v>
      </c>
      <c r="AA325" s="34">
        <v>400</v>
      </c>
      <c r="AB325" s="36">
        <v>150</v>
      </c>
      <c r="AC325" s="34">
        <v>180</v>
      </c>
      <c r="AD325" s="34">
        <v>69</v>
      </c>
      <c r="AE325" s="37">
        <v>1.2002000000000002</v>
      </c>
      <c r="AF325" s="37">
        <v>1.060736363636364</v>
      </c>
      <c r="AG325" s="37">
        <v>1.1243805454545459</v>
      </c>
      <c r="AH325" s="38">
        <v>885.76101600000004</v>
      </c>
      <c r="AI325" s="39">
        <v>139.28154310936344</v>
      </c>
      <c r="AJ325" s="38">
        <v>152.29362325511428</v>
      </c>
      <c r="AK325" s="40">
        <v>302.73774737198914</v>
      </c>
      <c r="AL325" s="41">
        <v>300</v>
      </c>
      <c r="AM325" s="39">
        <v>297</v>
      </c>
      <c r="AN325" s="39">
        <v>333.94102200000015</v>
      </c>
      <c r="AO325" s="39">
        <v>1113.1367400000006</v>
      </c>
      <c r="AP325" s="42" t="s">
        <v>1239</v>
      </c>
      <c r="AQ325" s="43" t="s">
        <v>1240</v>
      </c>
      <c r="AR325" s="43"/>
    </row>
    <row r="326" spans="1:44" x14ac:dyDescent="0.3">
      <c r="A326" s="25" t="s">
        <v>1509</v>
      </c>
      <c r="B326" s="25" t="s">
        <v>119</v>
      </c>
      <c r="C326" s="25" t="s">
        <v>120</v>
      </c>
      <c r="D326" s="25" t="s">
        <v>121</v>
      </c>
      <c r="E326" s="26" t="s">
        <v>77</v>
      </c>
      <c r="F326" s="27" t="s">
        <v>78</v>
      </c>
      <c r="G326" s="67" t="s">
        <v>1222</v>
      </c>
      <c r="H326" s="25" t="s">
        <v>79</v>
      </c>
      <c r="I326" s="25" t="s">
        <v>124</v>
      </c>
      <c r="J326" s="25" t="s">
        <v>94</v>
      </c>
      <c r="K326" s="30" t="s">
        <v>82</v>
      </c>
      <c r="L326" s="295" t="s">
        <v>1223</v>
      </c>
      <c r="M326" s="25" t="s">
        <v>83</v>
      </c>
      <c r="N326" s="74" t="s">
        <v>103</v>
      </c>
      <c r="O326" s="31">
        <v>0.57999999999999996</v>
      </c>
      <c r="P326" s="262">
        <v>99</v>
      </c>
      <c r="Q326" s="25">
        <v>30</v>
      </c>
      <c r="R326" s="28" t="s">
        <v>87</v>
      </c>
      <c r="S326" s="34" t="s">
        <v>87</v>
      </c>
      <c r="T326" s="35">
        <v>0.8</v>
      </c>
      <c r="U326" s="25">
        <v>140</v>
      </c>
      <c r="V326" s="25">
        <v>540</v>
      </c>
      <c r="W326" s="34">
        <v>400</v>
      </c>
      <c r="X326" s="36">
        <v>150</v>
      </c>
      <c r="Y326" s="25">
        <v>140</v>
      </c>
      <c r="Z326" s="25">
        <v>540</v>
      </c>
      <c r="AA326" s="34">
        <v>400</v>
      </c>
      <c r="AB326" s="36">
        <v>150</v>
      </c>
      <c r="AC326" s="34" t="s">
        <v>87</v>
      </c>
      <c r="AD326" s="34">
        <v>69</v>
      </c>
      <c r="AE326" s="37">
        <v>1.2002000000000002</v>
      </c>
      <c r="AF326" s="37">
        <v>1.060736363636364</v>
      </c>
      <c r="AG326" s="37">
        <v>1.1243805454545459</v>
      </c>
      <c r="AH326" s="38">
        <v>885.76101600000004</v>
      </c>
      <c r="AI326" s="39">
        <v>139.28154310936344</v>
      </c>
      <c r="AJ326" s="38">
        <v>152.29362325511428</v>
      </c>
      <c r="AK326" s="40">
        <v>302.73774737198914</v>
      </c>
      <c r="AL326" s="41">
        <v>300</v>
      </c>
      <c r="AM326" s="39">
        <v>297</v>
      </c>
      <c r="AN326" s="39">
        <v>333.94102200000015</v>
      </c>
      <c r="AO326" s="39">
        <v>1113.1367400000006</v>
      </c>
      <c r="AP326" s="42" t="s">
        <v>1239</v>
      </c>
      <c r="AQ326" s="43" t="s">
        <v>1241</v>
      </c>
      <c r="AR326" s="43"/>
    </row>
    <row r="327" spans="1:44" x14ac:dyDescent="0.3">
      <c r="A327" s="25" t="s">
        <v>1509</v>
      </c>
      <c r="B327" s="25" t="s">
        <v>119</v>
      </c>
      <c r="C327" s="25" t="s">
        <v>120</v>
      </c>
      <c r="D327" s="25" t="s">
        <v>121</v>
      </c>
      <c r="E327" s="26" t="s">
        <v>77</v>
      </c>
      <c r="F327" s="27" t="s">
        <v>78</v>
      </c>
      <c r="G327" s="67" t="s">
        <v>1242</v>
      </c>
      <c r="H327" s="25" t="s">
        <v>79</v>
      </c>
      <c r="I327" s="25" t="s">
        <v>124</v>
      </c>
      <c r="J327" s="25" t="s">
        <v>94</v>
      </c>
      <c r="K327" s="30" t="s">
        <v>82</v>
      </c>
      <c r="L327" s="25" t="s">
        <v>1243</v>
      </c>
      <c r="M327" s="25" t="s">
        <v>83</v>
      </c>
      <c r="N327" s="74" t="s">
        <v>103</v>
      </c>
      <c r="O327" s="31">
        <v>0.55000000000000004</v>
      </c>
      <c r="P327" s="262">
        <v>104</v>
      </c>
      <c r="Q327" s="25">
        <v>30</v>
      </c>
      <c r="R327" s="28" t="s">
        <v>87</v>
      </c>
      <c r="S327" s="34" t="s">
        <v>87</v>
      </c>
      <c r="T327" s="35">
        <v>0.8</v>
      </c>
      <c r="U327" s="25">
        <v>194</v>
      </c>
      <c r="V327" s="25">
        <v>564</v>
      </c>
      <c r="W327" s="34">
        <v>370</v>
      </c>
      <c r="X327" s="36">
        <v>176</v>
      </c>
      <c r="Y327" s="25">
        <v>175</v>
      </c>
      <c r="Z327" s="25">
        <v>585</v>
      </c>
      <c r="AA327" s="34">
        <v>410</v>
      </c>
      <c r="AB327" s="36">
        <v>155</v>
      </c>
      <c r="AC327" s="34" t="s">
        <v>87</v>
      </c>
      <c r="AD327" s="34">
        <v>74</v>
      </c>
      <c r="AE327" s="37">
        <v>1.2070000000000001</v>
      </c>
      <c r="AF327" s="37">
        <v>1.0622019230769231</v>
      </c>
      <c r="AG327" s="37">
        <v>1.1259340384615384</v>
      </c>
      <c r="AH327" s="38">
        <v>883.80786000000012</v>
      </c>
      <c r="AI327" s="39">
        <v>138.49685835945155</v>
      </c>
      <c r="AJ327" s="38">
        <v>151.43563101142351</v>
      </c>
      <c r="AK327" s="40">
        <v>301.03218259806255</v>
      </c>
      <c r="AL327" s="41">
        <v>150</v>
      </c>
      <c r="AM327" s="39">
        <v>156</v>
      </c>
      <c r="AN327" s="39">
        <v>175.64570999999998</v>
      </c>
      <c r="AO327" s="39">
        <v>585.48569999999995</v>
      </c>
      <c r="AP327" s="42" t="s">
        <v>1256</v>
      </c>
      <c r="AQ327" s="43" t="s">
        <v>1257</v>
      </c>
      <c r="AR327" s="43"/>
    </row>
    <row r="328" spans="1:44" x14ac:dyDescent="0.3">
      <c r="A328" s="25" t="s">
        <v>1509</v>
      </c>
      <c r="B328" s="25" t="s">
        <v>119</v>
      </c>
      <c r="C328" s="25" t="s">
        <v>120</v>
      </c>
      <c r="D328" s="25" t="s">
        <v>121</v>
      </c>
      <c r="E328" s="26" t="s">
        <v>77</v>
      </c>
      <c r="F328" s="27" t="s">
        <v>78</v>
      </c>
      <c r="G328" s="67" t="s">
        <v>1244</v>
      </c>
      <c r="H328" s="25" t="s">
        <v>79</v>
      </c>
      <c r="I328" s="25" t="s">
        <v>124</v>
      </c>
      <c r="J328" s="25" t="s">
        <v>94</v>
      </c>
      <c r="K328" s="30" t="s">
        <v>82</v>
      </c>
      <c r="L328" s="25" t="s">
        <v>1245</v>
      </c>
      <c r="M328" s="25" t="s">
        <v>83</v>
      </c>
      <c r="N328" s="198" t="s">
        <v>142</v>
      </c>
      <c r="O328" s="31">
        <v>0.12</v>
      </c>
      <c r="P328" s="197">
        <v>122</v>
      </c>
      <c r="Q328" s="25">
        <v>30</v>
      </c>
      <c r="R328" s="28" t="s">
        <v>87</v>
      </c>
      <c r="S328" s="34" t="s">
        <v>87</v>
      </c>
      <c r="T328" s="35">
        <v>0.8</v>
      </c>
      <c r="U328" s="25">
        <v>200</v>
      </c>
      <c r="V328" s="25">
        <v>600</v>
      </c>
      <c r="W328" s="34">
        <v>400</v>
      </c>
      <c r="X328" s="36">
        <v>320</v>
      </c>
      <c r="Y328" s="25">
        <v>200</v>
      </c>
      <c r="Z328" s="25">
        <v>600</v>
      </c>
      <c r="AA328" s="34">
        <v>400</v>
      </c>
      <c r="AB328" s="36">
        <v>320</v>
      </c>
      <c r="AC328" s="34" t="s">
        <v>87</v>
      </c>
      <c r="AD328" s="34">
        <v>92</v>
      </c>
      <c r="AE328" s="37">
        <v>0.91039999999999999</v>
      </c>
      <c r="AF328" s="37">
        <v>0.86877377049180327</v>
      </c>
      <c r="AG328" s="37">
        <v>0.92090019672131151</v>
      </c>
      <c r="AH328" s="38">
        <v>855.81262400000003</v>
      </c>
      <c r="AI328" s="39">
        <v>183.61786911232213</v>
      </c>
      <c r="AJ328" s="38">
        <v>200.77197564893254</v>
      </c>
      <c r="AK328" s="40">
        <v>399.10571660353855</v>
      </c>
      <c r="AL328" s="41">
        <v>399</v>
      </c>
      <c r="AM328" s="39">
        <v>486.78</v>
      </c>
      <c r="AN328" s="39">
        <v>448.27579775999999</v>
      </c>
      <c r="AO328" s="39">
        <v>1494.2526591999999</v>
      </c>
      <c r="AP328" s="42" t="s">
        <v>1258</v>
      </c>
      <c r="AQ328" s="25" t="s">
        <v>1259</v>
      </c>
      <c r="AR328" s="43" t="s">
        <v>1260</v>
      </c>
    </row>
    <row r="329" spans="1:44" x14ac:dyDescent="0.3">
      <c r="A329" s="25" t="s">
        <v>1509</v>
      </c>
      <c r="B329" s="25" t="s">
        <v>119</v>
      </c>
      <c r="C329" s="25" t="s">
        <v>120</v>
      </c>
      <c r="D329" s="25" t="s">
        <v>121</v>
      </c>
      <c r="E329" s="26" t="s">
        <v>77</v>
      </c>
      <c r="F329" s="27" t="s">
        <v>78</v>
      </c>
      <c r="G329" s="67" t="s">
        <v>1246</v>
      </c>
      <c r="H329" s="25" t="s">
        <v>79</v>
      </c>
      <c r="I329" s="25" t="s">
        <v>124</v>
      </c>
      <c r="J329" s="25" t="s">
        <v>94</v>
      </c>
      <c r="K329" s="30" t="s">
        <v>82</v>
      </c>
      <c r="L329" s="25" t="s">
        <v>1247</v>
      </c>
      <c r="M329" s="25" t="s">
        <v>83</v>
      </c>
      <c r="N329" s="74" t="s">
        <v>103</v>
      </c>
      <c r="O329" s="31">
        <v>0.49</v>
      </c>
      <c r="P329" s="262">
        <v>112</v>
      </c>
      <c r="Q329" s="25">
        <v>30</v>
      </c>
      <c r="R329" s="28" t="s">
        <v>87</v>
      </c>
      <c r="S329" s="34" t="s">
        <v>87</v>
      </c>
      <c r="T329" s="35">
        <v>0.8</v>
      </c>
      <c r="U329" s="25">
        <v>190</v>
      </c>
      <c r="V329" s="25">
        <v>680</v>
      </c>
      <c r="W329" s="34">
        <v>490</v>
      </c>
      <c r="X329" s="36">
        <v>140</v>
      </c>
      <c r="Y329" s="25">
        <v>190</v>
      </c>
      <c r="Z329" s="25">
        <v>680</v>
      </c>
      <c r="AA329" s="34">
        <v>490</v>
      </c>
      <c r="AB329" s="36">
        <v>140</v>
      </c>
      <c r="AC329" s="34" t="s">
        <v>87</v>
      </c>
      <c r="AD329" s="34">
        <v>82</v>
      </c>
      <c r="AE329" s="37">
        <v>1.2018</v>
      </c>
      <c r="AF329" s="37">
        <v>1.0547125000000002</v>
      </c>
      <c r="AG329" s="37">
        <v>1.1179952500000001</v>
      </c>
      <c r="AH329" s="38">
        <v>879.90154800000005</v>
      </c>
      <c r="AI329" s="39">
        <v>139.09611253108508</v>
      </c>
      <c r="AJ329" s="38">
        <v>152.09086922182408</v>
      </c>
      <c r="AK329" s="40">
        <v>302.33470161080169</v>
      </c>
      <c r="AL329" s="41">
        <v>150</v>
      </c>
      <c r="AM329" s="39">
        <v>168</v>
      </c>
      <c r="AN329" s="39">
        <v>187.82320200000001</v>
      </c>
      <c r="AO329" s="39">
        <v>626.07734000000005</v>
      </c>
      <c r="AP329" s="42" t="s">
        <v>1261</v>
      </c>
      <c r="AQ329" s="25"/>
      <c r="AR329" s="43"/>
    </row>
    <row r="330" spans="1:44" x14ac:dyDescent="0.3">
      <c r="A330" s="25" t="s">
        <v>1509</v>
      </c>
      <c r="B330" s="25" t="s">
        <v>119</v>
      </c>
      <c r="C330" s="25" t="s">
        <v>120</v>
      </c>
      <c r="D330" s="25" t="s">
        <v>121</v>
      </c>
      <c r="E330" s="26" t="s">
        <v>77</v>
      </c>
      <c r="F330" s="27" t="s">
        <v>78</v>
      </c>
      <c r="G330" s="67" t="s">
        <v>1248</v>
      </c>
      <c r="H330" s="25" t="s">
        <v>79</v>
      </c>
      <c r="I330" s="25" t="s">
        <v>124</v>
      </c>
      <c r="J330" s="25" t="s">
        <v>94</v>
      </c>
      <c r="K330" s="30" t="s">
        <v>82</v>
      </c>
      <c r="L330" s="25" t="s">
        <v>1249</v>
      </c>
      <c r="M330" s="25" t="s">
        <v>83</v>
      </c>
      <c r="N330" s="74" t="s">
        <v>103</v>
      </c>
      <c r="O330" s="31">
        <v>0.53</v>
      </c>
      <c r="P330" s="262">
        <v>102</v>
      </c>
      <c r="Q330" s="25">
        <v>30</v>
      </c>
      <c r="R330" s="28" t="s">
        <v>87</v>
      </c>
      <c r="S330" s="34" t="s">
        <v>87</v>
      </c>
      <c r="T330" s="35">
        <v>0.8</v>
      </c>
      <c r="U330" s="25">
        <v>190</v>
      </c>
      <c r="V330" s="25">
        <v>590</v>
      </c>
      <c r="W330" s="34">
        <v>400</v>
      </c>
      <c r="X330" s="36">
        <v>130</v>
      </c>
      <c r="Y330" s="25">
        <v>190</v>
      </c>
      <c r="Z330" s="25">
        <v>590</v>
      </c>
      <c r="AA330" s="34">
        <v>400</v>
      </c>
      <c r="AB330" s="36">
        <v>130</v>
      </c>
      <c r="AC330" s="34" t="s">
        <v>87</v>
      </c>
      <c r="AD330" s="34">
        <v>72</v>
      </c>
      <c r="AE330" s="37">
        <v>1.1816</v>
      </c>
      <c r="AF330" s="37">
        <v>1.0469176470588235</v>
      </c>
      <c r="AG330" s="37">
        <v>1.109732705882353</v>
      </c>
      <c r="AH330" s="38">
        <v>882.50575600000013</v>
      </c>
      <c r="AI330" s="39">
        <v>141.47402508451086</v>
      </c>
      <c r="AJ330" s="38">
        <v>154.69093316755936</v>
      </c>
      <c r="AK330" s="40">
        <v>307.50325355099989</v>
      </c>
      <c r="AL330" s="41">
        <v>155</v>
      </c>
      <c r="AM330" s="39">
        <v>158.1</v>
      </c>
      <c r="AN330" s="39">
        <v>175.4487408</v>
      </c>
      <c r="AO330" s="39">
        <v>584.82913600000006</v>
      </c>
      <c r="AP330" s="42" t="s">
        <v>1262</v>
      </c>
      <c r="AQ330" s="43" t="s">
        <v>1263</v>
      </c>
      <c r="AR330" s="43"/>
    </row>
    <row r="331" spans="1:44" x14ac:dyDescent="0.3">
      <c r="A331" s="25" t="s">
        <v>1509</v>
      </c>
      <c r="B331" s="25" t="s">
        <v>119</v>
      </c>
      <c r="C331" s="25" t="s">
        <v>120</v>
      </c>
      <c r="D331" s="25" t="s">
        <v>121</v>
      </c>
      <c r="E331" s="26" t="s">
        <v>77</v>
      </c>
      <c r="F331" s="27" t="s">
        <v>78</v>
      </c>
      <c r="G331" s="67" t="s">
        <v>1250</v>
      </c>
      <c r="H331" s="25" t="s">
        <v>79</v>
      </c>
      <c r="I331" s="25" t="s">
        <v>124</v>
      </c>
      <c r="J331" s="29" t="s">
        <v>81</v>
      </c>
      <c r="K331" s="30" t="s">
        <v>82</v>
      </c>
      <c r="L331" s="25" t="s">
        <v>1251</v>
      </c>
      <c r="M331" s="25" t="s">
        <v>83</v>
      </c>
      <c r="N331" s="74" t="s">
        <v>103</v>
      </c>
      <c r="O331" s="31">
        <v>0.43</v>
      </c>
      <c r="P331" s="262">
        <v>100</v>
      </c>
      <c r="Q331" s="25">
        <v>30</v>
      </c>
      <c r="R331" s="33">
        <v>16</v>
      </c>
      <c r="S331" s="34">
        <v>84</v>
      </c>
      <c r="T331" s="35">
        <v>0.8</v>
      </c>
      <c r="U331" s="25">
        <v>160</v>
      </c>
      <c r="V331" s="25">
        <v>580</v>
      </c>
      <c r="W331" s="34">
        <v>420</v>
      </c>
      <c r="X331" s="36">
        <v>120</v>
      </c>
      <c r="Y331" s="25">
        <v>160</v>
      </c>
      <c r="Z331" s="25">
        <v>580</v>
      </c>
      <c r="AA331" s="34">
        <v>420</v>
      </c>
      <c r="AB331" s="36">
        <v>120</v>
      </c>
      <c r="AC331" s="34">
        <v>140</v>
      </c>
      <c r="AD331" s="34">
        <v>70</v>
      </c>
      <c r="AE331" s="37">
        <v>1.101</v>
      </c>
      <c r="AF331" s="37">
        <v>0.99564999999999992</v>
      </c>
      <c r="AG331" s="37">
        <v>1.0553889999999999</v>
      </c>
      <c r="AH331" s="38">
        <v>875.99523599999998</v>
      </c>
      <c r="AI331" s="39">
        <v>151.83079749305907</v>
      </c>
      <c r="AJ331" s="38">
        <v>166.01526487810006</v>
      </c>
      <c r="AK331" s="40">
        <v>330.01439091358895</v>
      </c>
      <c r="AL331" s="41">
        <v>150</v>
      </c>
      <c r="AM331" s="39">
        <v>150</v>
      </c>
      <c r="AN331" s="39">
        <v>158.30834999999999</v>
      </c>
      <c r="AO331" s="39">
        <v>527.69449999999995</v>
      </c>
      <c r="AP331" s="42" t="s">
        <v>1233</v>
      </c>
      <c r="AQ331" s="25"/>
      <c r="AR331" s="43"/>
    </row>
    <row r="332" spans="1:44" x14ac:dyDescent="0.3">
      <c r="A332" s="25" t="s">
        <v>1509</v>
      </c>
      <c r="B332" s="25" t="s">
        <v>119</v>
      </c>
      <c r="C332" s="25" t="s">
        <v>120</v>
      </c>
      <c r="D332" s="25" t="s">
        <v>121</v>
      </c>
      <c r="E332" s="26" t="s">
        <v>77</v>
      </c>
      <c r="F332" s="27" t="s">
        <v>78</v>
      </c>
      <c r="G332" s="67" t="s">
        <v>1252</v>
      </c>
      <c r="H332" s="25" t="s">
        <v>79</v>
      </c>
      <c r="I332" s="25" t="s">
        <v>124</v>
      </c>
      <c r="J332" s="29" t="s">
        <v>81</v>
      </c>
      <c r="K332" s="30" t="s">
        <v>82</v>
      </c>
      <c r="L332" s="25" t="s">
        <v>1253</v>
      </c>
      <c r="M332" s="25" t="s">
        <v>83</v>
      </c>
      <c r="N332" s="74" t="s">
        <v>103</v>
      </c>
      <c r="O332" s="31">
        <v>0.49</v>
      </c>
      <c r="P332" s="262">
        <v>101</v>
      </c>
      <c r="Q332" s="25">
        <v>30</v>
      </c>
      <c r="R332" s="33">
        <v>16</v>
      </c>
      <c r="S332" s="34">
        <v>85</v>
      </c>
      <c r="T332" s="35">
        <v>0.8</v>
      </c>
      <c r="U332" s="25">
        <v>160</v>
      </c>
      <c r="V332" s="25">
        <v>580</v>
      </c>
      <c r="W332" s="34">
        <v>420</v>
      </c>
      <c r="X332" s="36">
        <v>130</v>
      </c>
      <c r="Y332" s="25">
        <v>160</v>
      </c>
      <c r="Z332" s="25">
        <v>580</v>
      </c>
      <c r="AA332" s="34">
        <v>420</v>
      </c>
      <c r="AB332" s="36">
        <v>130</v>
      </c>
      <c r="AC332" s="34">
        <v>140</v>
      </c>
      <c r="AD332" s="34">
        <v>71</v>
      </c>
      <c r="AE332" s="37">
        <v>1.1478999999999999</v>
      </c>
      <c r="AF332" s="37">
        <v>1.025618316831683</v>
      </c>
      <c r="AG332" s="37">
        <v>1.0871554158415841</v>
      </c>
      <c r="AH332" s="38">
        <v>879.90154800000005</v>
      </c>
      <c r="AI332" s="39">
        <v>145.62741357248717</v>
      </c>
      <c r="AJ332" s="38">
        <v>159.2323430880636</v>
      </c>
      <c r="AK332" s="40">
        <v>316.53092115677453</v>
      </c>
      <c r="AL332" s="41">
        <v>150</v>
      </c>
      <c r="AM332" s="39">
        <v>151.5</v>
      </c>
      <c r="AN332" s="39">
        <v>164.70404550000001</v>
      </c>
      <c r="AO332" s="39">
        <v>549.01348500000006</v>
      </c>
      <c r="AP332" s="42" t="s">
        <v>1264</v>
      </c>
      <c r="AQ332" s="43" t="s">
        <v>1265</v>
      </c>
      <c r="AR332" s="43"/>
    </row>
    <row r="333" spans="1:44" x14ac:dyDescent="0.3">
      <c r="A333" s="25" t="s">
        <v>1509</v>
      </c>
      <c r="B333" s="25" t="s">
        <v>119</v>
      </c>
      <c r="C333" s="25" t="s">
        <v>120</v>
      </c>
      <c r="D333" s="25" t="s">
        <v>121</v>
      </c>
      <c r="E333" s="26" t="s">
        <v>77</v>
      </c>
      <c r="F333" s="27" t="s">
        <v>78</v>
      </c>
      <c r="G333" s="67" t="s">
        <v>1254</v>
      </c>
      <c r="H333" s="25" t="s">
        <v>79</v>
      </c>
      <c r="I333" s="25" t="s">
        <v>124</v>
      </c>
      <c r="J333" s="25" t="s">
        <v>94</v>
      </c>
      <c r="K333" s="30" t="s">
        <v>82</v>
      </c>
      <c r="L333" s="25" t="s">
        <v>1255</v>
      </c>
      <c r="M333" s="25" t="s">
        <v>83</v>
      </c>
      <c r="N333" s="74" t="s">
        <v>103</v>
      </c>
      <c r="O333" s="31">
        <v>0.41</v>
      </c>
      <c r="P333" s="262">
        <v>104</v>
      </c>
      <c r="Q333" s="25">
        <v>30</v>
      </c>
      <c r="R333" s="28" t="s">
        <v>87</v>
      </c>
      <c r="S333" s="34" t="s">
        <v>87</v>
      </c>
      <c r="T333" s="35">
        <v>0.8</v>
      </c>
      <c r="U333" s="25">
        <v>180</v>
      </c>
      <c r="V333" s="25">
        <v>590</v>
      </c>
      <c r="W333" s="34">
        <v>410</v>
      </c>
      <c r="X333" s="36">
        <v>150</v>
      </c>
      <c r="Y333" s="25">
        <v>180</v>
      </c>
      <c r="Z333" s="25">
        <v>590</v>
      </c>
      <c r="AA333" s="34">
        <v>410</v>
      </c>
      <c r="AB333" s="36">
        <v>150</v>
      </c>
      <c r="AC333" s="34" t="s">
        <v>87</v>
      </c>
      <c r="AD333" s="34">
        <v>74</v>
      </c>
      <c r="AE333" s="37">
        <v>1.1033999999999999</v>
      </c>
      <c r="AF333" s="37">
        <v>0.99545961538461525</v>
      </c>
      <c r="AG333" s="37">
        <v>1.0551871923076921</v>
      </c>
      <c r="AH333" s="38">
        <v>874.69313200000011</v>
      </c>
      <c r="AI333" s="39">
        <v>151.50055106023024</v>
      </c>
      <c r="AJ333" s="38">
        <v>165.654165878909</v>
      </c>
      <c r="AK333" s="40">
        <v>329.29657820904612</v>
      </c>
      <c r="AL333" s="41">
        <v>150</v>
      </c>
      <c r="AM333" s="39">
        <v>156</v>
      </c>
      <c r="AN333" s="39">
        <v>164.60920199999995</v>
      </c>
      <c r="AO333" s="39">
        <v>548.69733999999983</v>
      </c>
      <c r="AP333" s="42" t="s">
        <v>1233</v>
      </c>
      <c r="AQ333" s="25"/>
      <c r="AR333" s="43"/>
    </row>
    <row r="334" spans="1:44" x14ac:dyDescent="0.3">
      <c r="A334" s="25" t="s">
        <v>1509</v>
      </c>
      <c r="B334" s="25" t="s">
        <v>119</v>
      </c>
      <c r="C334" s="25" t="s">
        <v>120</v>
      </c>
      <c r="D334" s="25" t="s">
        <v>121</v>
      </c>
      <c r="E334" s="86" t="s">
        <v>77</v>
      </c>
      <c r="F334" s="47" t="s">
        <v>122</v>
      </c>
      <c r="G334" s="47" t="s">
        <v>1266</v>
      </c>
      <c r="H334" s="47" t="s">
        <v>79</v>
      </c>
      <c r="I334" s="47" t="s">
        <v>80</v>
      </c>
      <c r="J334" s="47" t="s">
        <v>94</v>
      </c>
      <c r="K334" s="87" t="s">
        <v>82</v>
      </c>
      <c r="L334" s="47" t="s">
        <v>1267</v>
      </c>
      <c r="M334" s="47" t="s">
        <v>83</v>
      </c>
      <c r="N334" s="89" t="s">
        <v>103</v>
      </c>
      <c r="O334" s="90">
        <v>0.16</v>
      </c>
      <c r="P334" s="47">
        <v>107</v>
      </c>
      <c r="Q334" s="96">
        <v>25</v>
      </c>
      <c r="R334" s="47" t="s">
        <v>87</v>
      </c>
      <c r="S334" s="84" t="s">
        <v>87</v>
      </c>
      <c r="T334" s="92">
        <v>0.8</v>
      </c>
      <c r="U334" s="47">
        <v>170</v>
      </c>
      <c r="V334" s="47">
        <v>570</v>
      </c>
      <c r="W334" s="84">
        <v>400</v>
      </c>
      <c r="X334" s="93">
        <v>250</v>
      </c>
      <c r="Y334" s="47">
        <v>170</v>
      </c>
      <c r="Z334" s="47">
        <v>570</v>
      </c>
      <c r="AA334" s="84">
        <v>400</v>
      </c>
      <c r="AB334" s="93">
        <v>250</v>
      </c>
      <c r="AC334" s="84" t="s">
        <v>87</v>
      </c>
      <c r="AD334" s="84">
        <v>82</v>
      </c>
      <c r="AE334" s="75">
        <v>0.93120000000000003</v>
      </c>
      <c r="AF334" s="75">
        <v>0.88092710280373843</v>
      </c>
      <c r="AG334" s="75">
        <v>0.93378272897196268</v>
      </c>
      <c r="AH334" s="97">
        <v>858.41683200000011</v>
      </c>
      <c r="AI334" s="39">
        <v>179.51643904623927</v>
      </c>
      <c r="AJ334" s="97">
        <v>196.28737825471239</v>
      </c>
      <c r="AK334" s="40">
        <v>390.19098410208483</v>
      </c>
      <c r="AL334" s="41">
        <v>196</v>
      </c>
      <c r="AM334" s="39">
        <v>209.72</v>
      </c>
      <c r="AN334" s="39">
        <v>195.83291392000001</v>
      </c>
      <c r="AO334" s="39">
        <v>783.33165568000004</v>
      </c>
      <c r="AP334" s="47" t="s">
        <v>1286</v>
      </c>
      <c r="AQ334" s="88" t="s">
        <v>1287</v>
      </c>
      <c r="AR334" s="57"/>
    </row>
    <row r="335" spans="1:44" x14ac:dyDescent="0.3">
      <c r="A335" s="25" t="s">
        <v>1509</v>
      </c>
      <c r="B335" s="25" t="s">
        <v>119</v>
      </c>
      <c r="C335" s="25" t="s">
        <v>120</v>
      </c>
      <c r="D335" s="25" t="s">
        <v>121</v>
      </c>
      <c r="E335" s="47" t="s">
        <v>130</v>
      </c>
      <c r="F335" s="47" t="s">
        <v>122</v>
      </c>
      <c r="G335" s="47" t="s">
        <v>1268</v>
      </c>
      <c r="H335" s="47" t="s">
        <v>79</v>
      </c>
      <c r="I335" s="47" t="s">
        <v>80</v>
      </c>
      <c r="J335" s="47" t="s">
        <v>94</v>
      </c>
      <c r="K335" s="87" t="s">
        <v>82</v>
      </c>
      <c r="L335" s="47" t="s">
        <v>1269</v>
      </c>
      <c r="M335" s="47" t="s">
        <v>83</v>
      </c>
      <c r="N335" s="89" t="s">
        <v>103</v>
      </c>
      <c r="O335" s="90">
        <v>0.26</v>
      </c>
      <c r="P335" s="47">
        <v>100</v>
      </c>
      <c r="Q335" s="96">
        <v>25</v>
      </c>
      <c r="R335" s="47" t="s">
        <v>87</v>
      </c>
      <c r="S335" s="84" t="s">
        <v>87</v>
      </c>
      <c r="T335" s="92">
        <v>0.8</v>
      </c>
      <c r="U335" s="47">
        <v>200</v>
      </c>
      <c r="V335" s="47">
        <v>600</v>
      </c>
      <c r="W335" s="84">
        <v>400</v>
      </c>
      <c r="X335" s="93">
        <v>150</v>
      </c>
      <c r="Y335" s="47">
        <v>200</v>
      </c>
      <c r="Z335" s="47">
        <v>600</v>
      </c>
      <c r="AA335" s="84">
        <v>400</v>
      </c>
      <c r="AB335" s="93">
        <v>150</v>
      </c>
      <c r="AC335" s="84" t="s">
        <v>87</v>
      </c>
      <c r="AD335" s="84">
        <v>75</v>
      </c>
      <c r="AE335" s="75">
        <v>0.995</v>
      </c>
      <c r="AF335" s="75">
        <v>0.921875</v>
      </c>
      <c r="AG335" s="75">
        <v>0.97718749999999999</v>
      </c>
      <c r="AH335" s="97">
        <v>864.92735200000004</v>
      </c>
      <c r="AI335" s="39">
        <v>168.00573672347539</v>
      </c>
      <c r="AJ335" s="97">
        <v>183.70131319677202</v>
      </c>
      <c r="AK335" s="40">
        <v>365.1717029104135</v>
      </c>
      <c r="AL335" s="98">
        <v>120</v>
      </c>
      <c r="AM335" s="39">
        <v>120</v>
      </c>
      <c r="AN335" s="39">
        <v>117.2625</v>
      </c>
      <c r="AO335" s="39">
        <v>469.05</v>
      </c>
      <c r="AP335" s="47" t="s">
        <v>1288</v>
      </c>
      <c r="AQ335" s="108" t="s">
        <v>1289</v>
      </c>
      <c r="AR335" s="88" t="s">
        <v>1290</v>
      </c>
    </row>
    <row r="336" spans="1:44" x14ac:dyDescent="0.3">
      <c r="A336" s="25" t="s">
        <v>1509</v>
      </c>
      <c r="B336" s="25" t="s">
        <v>119</v>
      </c>
      <c r="C336" s="25" t="s">
        <v>120</v>
      </c>
      <c r="D336" s="25" t="s">
        <v>121</v>
      </c>
      <c r="E336" s="86" t="s">
        <v>77</v>
      </c>
      <c r="F336" s="47" t="s">
        <v>122</v>
      </c>
      <c r="G336" s="47" t="s">
        <v>1270</v>
      </c>
      <c r="H336" s="47" t="s">
        <v>79</v>
      </c>
      <c r="I336" s="47" t="s">
        <v>80</v>
      </c>
      <c r="J336" s="47" t="s">
        <v>94</v>
      </c>
      <c r="K336" s="87" t="s">
        <v>82</v>
      </c>
      <c r="L336" s="47" t="s">
        <v>1271</v>
      </c>
      <c r="M336" s="47" t="s">
        <v>83</v>
      </c>
      <c r="N336" s="89" t="s">
        <v>103</v>
      </c>
      <c r="O336" s="90">
        <v>0.35</v>
      </c>
      <c r="P336" s="203">
        <v>119</v>
      </c>
      <c r="Q336" s="47">
        <v>30</v>
      </c>
      <c r="R336" s="47" t="s">
        <v>87</v>
      </c>
      <c r="S336" s="84" t="s">
        <v>87</v>
      </c>
      <c r="T336" s="92">
        <v>0.8</v>
      </c>
      <c r="U336" s="47">
        <v>150</v>
      </c>
      <c r="V336" s="47">
        <v>550</v>
      </c>
      <c r="W336" s="84">
        <v>400</v>
      </c>
      <c r="X336" s="93">
        <v>340</v>
      </c>
      <c r="Y336" s="47">
        <v>150</v>
      </c>
      <c r="Z336" s="47">
        <v>550</v>
      </c>
      <c r="AA336" s="84">
        <v>400</v>
      </c>
      <c r="AB336" s="93">
        <v>340</v>
      </c>
      <c r="AC336" s="84" t="s">
        <v>87</v>
      </c>
      <c r="AD336" s="84">
        <v>89</v>
      </c>
      <c r="AE336" s="75">
        <v>1.1114999999999999</v>
      </c>
      <c r="AF336" s="75">
        <v>0.99501470588235297</v>
      </c>
      <c r="AG336" s="75">
        <v>1.0547155882352941</v>
      </c>
      <c r="AH336" s="97">
        <v>870.78682000000003</v>
      </c>
      <c r="AI336" s="39">
        <v>150.39649846141074</v>
      </c>
      <c r="AJ336" s="97">
        <v>164.44696952837444</v>
      </c>
      <c r="AK336" s="40">
        <v>326.8968460601543</v>
      </c>
      <c r="AL336" s="41">
        <v>162</v>
      </c>
      <c r="AM336" s="39">
        <v>192.78</v>
      </c>
      <c r="AN336" s="39">
        <v>203.32807109999999</v>
      </c>
      <c r="AO336" s="39">
        <v>677.76023699999996</v>
      </c>
      <c r="AP336" s="47" t="s">
        <v>1286</v>
      </c>
      <c r="AQ336" s="88" t="s">
        <v>1291</v>
      </c>
      <c r="AR336" s="88" t="s">
        <v>1292</v>
      </c>
    </row>
    <row r="337" spans="1:44" x14ac:dyDescent="0.3">
      <c r="A337" s="25" t="s">
        <v>1509</v>
      </c>
      <c r="B337" s="25" t="s">
        <v>119</v>
      </c>
      <c r="C337" s="25" t="s">
        <v>120</v>
      </c>
      <c r="D337" s="25" t="s">
        <v>121</v>
      </c>
      <c r="E337" s="86" t="s">
        <v>77</v>
      </c>
      <c r="F337" s="47" t="s">
        <v>122</v>
      </c>
      <c r="G337" s="47" t="s">
        <v>1272</v>
      </c>
      <c r="H337" s="47" t="s">
        <v>79</v>
      </c>
      <c r="I337" s="47" t="s">
        <v>80</v>
      </c>
      <c r="J337" s="47" t="s">
        <v>94</v>
      </c>
      <c r="K337" s="87" t="s">
        <v>82</v>
      </c>
      <c r="L337" s="47" t="s">
        <v>1273</v>
      </c>
      <c r="M337" s="47" t="s">
        <v>83</v>
      </c>
      <c r="N337" s="89" t="s">
        <v>103</v>
      </c>
      <c r="O337" s="90">
        <v>0.16</v>
      </c>
      <c r="P337" s="203">
        <v>138</v>
      </c>
      <c r="Q337" s="47">
        <v>30</v>
      </c>
      <c r="R337" s="47" t="s">
        <v>87</v>
      </c>
      <c r="S337" s="84" t="s">
        <v>87</v>
      </c>
      <c r="T337" s="92">
        <v>0.8</v>
      </c>
      <c r="U337" s="47">
        <v>160</v>
      </c>
      <c r="V337" s="47">
        <v>760</v>
      </c>
      <c r="W337" s="84">
        <v>600</v>
      </c>
      <c r="X337" s="93">
        <v>320</v>
      </c>
      <c r="Y337" s="47">
        <v>160</v>
      </c>
      <c r="Z337" s="47">
        <v>760</v>
      </c>
      <c r="AA337" s="84">
        <v>600</v>
      </c>
      <c r="AB337" s="93">
        <v>320</v>
      </c>
      <c r="AC337" s="84" t="s">
        <v>87</v>
      </c>
      <c r="AD337" s="84">
        <v>108</v>
      </c>
      <c r="AE337" s="75">
        <v>0.97280000000000011</v>
      </c>
      <c r="AF337" s="75">
        <v>0.90518260869565215</v>
      </c>
      <c r="AG337" s="75">
        <v>0.95949356521739126</v>
      </c>
      <c r="AH337" s="97">
        <v>858.41683200000011</v>
      </c>
      <c r="AI337" s="39">
        <v>171.83974921860406</v>
      </c>
      <c r="AJ337" s="97">
        <v>187.89351010566216</v>
      </c>
      <c r="AK337" s="40">
        <v>373.50518543982469</v>
      </c>
      <c r="AL337" s="41">
        <v>186</v>
      </c>
      <c r="AM337" s="39">
        <v>256.68</v>
      </c>
      <c r="AN337" s="39">
        <v>246.28280831999999</v>
      </c>
      <c r="AO337" s="39">
        <v>820.94269439999994</v>
      </c>
      <c r="AP337" s="47" t="s">
        <v>1286</v>
      </c>
      <c r="AQ337" s="88" t="s">
        <v>1293</v>
      </c>
      <c r="AR337" s="88" t="s">
        <v>381</v>
      </c>
    </row>
    <row r="338" spans="1:44" x14ac:dyDescent="0.3">
      <c r="A338" s="25" t="s">
        <v>1509</v>
      </c>
      <c r="B338" s="25" t="s">
        <v>119</v>
      </c>
      <c r="C338" s="25" t="s">
        <v>120</v>
      </c>
      <c r="D338" s="25" t="s">
        <v>121</v>
      </c>
      <c r="E338" s="86" t="s">
        <v>77</v>
      </c>
      <c r="F338" s="47" t="s">
        <v>122</v>
      </c>
      <c r="G338" s="47" t="s">
        <v>1274</v>
      </c>
      <c r="H338" s="47" t="s">
        <v>79</v>
      </c>
      <c r="I338" s="47" t="s">
        <v>80</v>
      </c>
      <c r="J338" s="47" t="s">
        <v>94</v>
      </c>
      <c r="K338" s="87" t="s">
        <v>82</v>
      </c>
      <c r="L338" s="47"/>
      <c r="M338" s="47" t="s">
        <v>83</v>
      </c>
      <c r="N338" s="89" t="s">
        <v>103</v>
      </c>
      <c r="O338" s="90">
        <v>0.27</v>
      </c>
      <c r="P338" s="47">
        <v>105</v>
      </c>
      <c r="Q338" s="214">
        <v>15</v>
      </c>
      <c r="R338" s="47" t="s">
        <v>87</v>
      </c>
      <c r="S338" s="84" t="s">
        <v>87</v>
      </c>
      <c r="T338" s="92">
        <v>0.8</v>
      </c>
      <c r="U338" s="47">
        <v>200</v>
      </c>
      <c r="V338" s="47">
        <v>700</v>
      </c>
      <c r="W338" s="84">
        <v>500</v>
      </c>
      <c r="X338" s="93">
        <v>200</v>
      </c>
      <c r="Y338" s="47">
        <v>200</v>
      </c>
      <c r="Z338" s="47">
        <v>800</v>
      </c>
      <c r="AA338" s="84">
        <v>600</v>
      </c>
      <c r="AB338" s="93">
        <v>100</v>
      </c>
      <c r="AC338" s="84" t="s">
        <v>87</v>
      </c>
      <c r="AD338" s="84">
        <v>90</v>
      </c>
      <c r="AE338" s="75">
        <v>1.0430000000000001</v>
      </c>
      <c r="AF338" s="75">
        <v>0.93885714285714295</v>
      </c>
      <c r="AG338" s="75">
        <v>0.99518857142857153</v>
      </c>
      <c r="AH338" s="97">
        <v>865.57840400000009</v>
      </c>
      <c r="AI338" s="39">
        <v>160.27392908902974</v>
      </c>
      <c r="AJ338" s="97">
        <v>175.24717797774508</v>
      </c>
      <c r="AK338" s="40">
        <v>348.36610200945483</v>
      </c>
      <c r="AL338" s="41">
        <v>175</v>
      </c>
      <c r="AM338" s="39">
        <v>183.75</v>
      </c>
      <c r="AN338" s="39">
        <v>182.86590000000001</v>
      </c>
      <c r="AO338" s="39">
        <v>1219.1060000000002</v>
      </c>
      <c r="AP338" s="47" t="s">
        <v>1294</v>
      </c>
      <c r="AQ338" s="88"/>
      <c r="AR338" s="57"/>
    </row>
    <row r="339" spans="1:44" x14ac:dyDescent="0.3">
      <c r="A339" s="25" t="s">
        <v>1509</v>
      </c>
      <c r="B339" s="25" t="s">
        <v>119</v>
      </c>
      <c r="C339" s="25" t="s">
        <v>120</v>
      </c>
      <c r="D339" s="25" t="s">
        <v>121</v>
      </c>
      <c r="E339" s="26" t="s">
        <v>77</v>
      </c>
      <c r="F339" s="27" t="s">
        <v>78</v>
      </c>
      <c r="G339" s="25" t="s">
        <v>1275</v>
      </c>
      <c r="H339" s="25" t="s">
        <v>79</v>
      </c>
      <c r="I339" s="25" t="s">
        <v>80</v>
      </c>
      <c r="J339" s="25" t="s">
        <v>94</v>
      </c>
      <c r="K339" s="30" t="s">
        <v>82</v>
      </c>
      <c r="L339" s="25" t="s">
        <v>1276</v>
      </c>
      <c r="M339" s="25" t="s">
        <v>83</v>
      </c>
      <c r="N339" s="74" t="s">
        <v>103</v>
      </c>
      <c r="O339" s="61">
        <v>0.27</v>
      </c>
      <c r="P339" s="25">
        <v>111</v>
      </c>
      <c r="Q339" s="96">
        <v>20</v>
      </c>
      <c r="R339" s="25" t="s">
        <v>87</v>
      </c>
      <c r="S339" s="34" t="s">
        <v>87</v>
      </c>
      <c r="T339" s="35">
        <v>0.8</v>
      </c>
      <c r="U339" s="25">
        <v>200</v>
      </c>
      <c r="V339" s="25">
        <v>700</v>
      </c>
      <c r="W339" s="34">
        <v>500</v>
      </c>
      <c r="X339" s="36">
        <v>210</v>
      </c>
      <c r="Y339" s="25">
        <v>200</v>
      </c>
      <c r="Z339" s="25">
        <v>820</v>
      </c>
      <c r="AA339" s="34">
        <v>620</v>
      </c>
      <c r="AB339" s="36">
        <v>90</v>
      </c>
      <c r="AC339" s="34" t="s">
        <v>87</v>
      </c>
      <c r="AD339" s="34">
        <v>91</v>
      </c>
      <c r="AE339" s="37">
        <v>1.0457000000000001</v>
      </c>
      <c r="AF339" s="37">
        <v>0.94498513513513527</v>
      </c>
      <c r="AG339" s="37">
        <v>1.0016842432432433</v>
      </c>
      <c r="AH339" s="38">
        <v>865.57840400000009</v>
      </c>
      <c r="AI339" s="39">
        <v>159.86010140562112</v>
      </c>
      <c r="AJ339" s="38">
        <v>174.79468932847678</v>
      </c>
      <c r="AK339" s="40">
        <v>347.46661986789849</v>
      </c>
      <c r="AL339" s="41">
        <v>177</v>
      </c>
      <c r="AM339" s="39">
        <v>196.47</v>
      </c>
      <c r="AN339" s="39">
        <v>196.80090327000002</v>
      </c>
      <c r="AO339" s="39">
        <v>984.00451635000002</v>
      </c>
      <c r="AP339" s="25" t="s">
        <v>1286</v>
      </c>
      <c r="AQ339" s="43" t="s">
        <v>1295</v>
      </c>
      <c r="AR339" s="25"/>
    </row>
    <row r="340" spans="1:44" x14ac:dyDescent="0.3">
      <c r="A340" s="25" t="s">
        <v>1509</v>
      </c>
      <c r="B340" s="25" t="s">
        <v>119</v>
      </c>
      <c r="C340" s="25" t="s">
        <v>120</v>
      </c>
      <c r="D340" s="25" t="s">
        <v>121</v>
      </c>
      <c r="E340" s="26" t="s">
        <v>77</v>
      </c>
      <c r="F340" s="27" t="s">
        <v>78</v>
      </c>
      <c r="G340" s="25" t="s">
        <v>1277</v>
      </c>
      <c r="H340" s="25" t="s">
        <v>79</v>
      </c>
      <c r="I340" s="25" t="s">
        <v>80</v>
      </c>
      <c r="J340" s="25" t="s">
        <v>94</v>
      </c>
      <c r="K340" s="30" t="s">
        <v>82</v>
      </c>
      <c r="L340" s="25" t="s">
        <v>1278</v>
      </c>
      <c r="M340" s="25" t="s">
        <v>83</v>
      </c>
      <c r="N340" s="74" t="s">
        <v>103</v>
      </c>
      <c r="O340" s="61">
        <v>0.27</v>
      </c>
      <c r="P340" s="25">
        <v>109</v>
      </c>
      <c r="Q340" s="296">
        <v>15</v>
      </c>
      <c r="R340" s="25" t="s">
        <v>87</v>
      </c>
      <c r="S340" s="34" t="s">
        <v>87</v>
      </c>
      <c r="T340" s="35">
        <v>0.8</v>
      </c>
      <c r="U340" s="25">
        <v>200</v>
      </c>
      <c r="V340" s="25">
        <v>700</v>
      </c>
      <c r="W340" s="34">
        <v>500</v>
      </c>
      <c r="X340" s="36">
        <v>240</v>
      </c>
      <c r="Y340" s="25">
        <v>200</v>
      </c>
      <c r="Z340" s="25">
        <v>820</v>
      </c>
      <c r="AA340" s="34">
        <v>620</v>
      </c>
      <c r="AB340" s="36">
        <v>120</v>
      </c>
      <c r="AC340" s="34" t="s">
        <v>87</v>
      </c>
      <c r="AD340" s="34">
        <v>94</v>
      </c>
      <c r="AE340" s="37">
        <v>1.0538000000000001</v>
      </c>
      <c r="AF340" s="37">
        <v>0.94436330275229363</v>
      </c>
      <c r="AG340" s="37">
        <v>1.0010251009174314</v>
      </c>
      <c r="AH340" s="38">
        <v>865.57840400000009</v>
      </c>
      <c r="AI340" s="39">
        <v>158.6313418484134</v>
      </c>
      <c r="AJ340" s="38">
        <v>173.45113553880071</v>
      </c>
      <c r="AK340" s="40">
        <v>344.79582880609365</v>
      </c>
      <c r="AL340" s="41">
        <v>173</v>
      </c>
      <c r="AM340" s="39">
        <v>188.57</v>
      </c>
      <c r="AN340" s="39">
        <v>188.76330328000003</v>
      </c>
      <c r="AO340" s="39">
        <v>1258.4220218666669</v>
      </c>
      <c r="AP340" s="25" t="s">
        <v>1296</v>
      </c>
      <c r="AQ340" s="43" t="s">
        <v>1297</v>
      </c>
      <c r="AR340" s="25"/>
    </row>
    <row r="341" spans="1:44" x14ac:dyDescent="0.3">
      <c r="A341" s="25" t="s">
        <v>1509</v>
      </c>
      <c r="B341" s="25" t="s">
        <v>119</v>
      </c>
      <c r="C341" s="25" t="s">
        <v>120</v>
      </c>
      <c r="D341" s="25" t="s">
        <v>121</v>
      </c>
      <c r="E341" s="86" t="s">
        <v>77</v>
      </c>
      <c r="F341" s="47" t="s">
        <v>122</v>
      </c>
      <c r="G341" s="47" t="s">
        <v>1279</v>
      </c>
      <c r="H341" s="47" t="s">
        <v>79</v>
      </c>
      <c r="I341" s="47" t="s">
        <v>80</v>
      </c>
      <c r="J341" s="47" t="s">
        <v>94</v>
      </c>
      <c r="K341" s="87" t="s">
        <v>82</v>
      </c>
      <c r="L341" s="47"/>
      <c r="M341" s="47" t="s">
        <v>83</v>
      </c>
      <c r="N341" s="89" t="s">
        <v>103</v>
      </c>
      <c r="O341" s="90">
        <v>0.16</v>
      </c>
      <c r="P341" s="47">
        <v>105</v>
      </c>
      <c r="Q341" s="96">
        <v>20</v>
      </c>
      <c r="R341" s="47" t="s">
        <v>87</v>
      </c>
      <c r="S341" s="84" t="s">
        <v>87</v>
      </c>
      <c r="T341" s="92">
        <v>0.8</v>
      </c>
      <c r="U341" s="47">
        <v>250</v>
      </c>
      <c r="V341" s="47">
        <v>650</v>
      </c>
      <c r="W341" s="84">
        <v>400</v>
      </c>
      <c r="X341" s="93">
        <v>200</v>
      </c>
      <c r="Y341" s="47">
        <v>250</v>
      </c>
      <c r="Z341" s="47">
        <v>650</v>
      </c>
      <c r="AA341" s="84">
        <v>400</v>
      </c>
      <c r="AB341" s="93">
        <v>200</v>
      </c>
      <c r="AC341" s="84" t="s">
        <v>87</v>
      </c>
      <c r="AD341" s="84">
        <v>85</v>
      </c>
      <c r="AE341" s="75">
        <v>0.93600000000000005</v>
      </c>
      <c r="AF341" s="75">
        <v>0.88095238095238104</v>
      </c>
      <c r="AG341" s="75">
        <v>0.93380952380952387</v>
      </c>
      <c r="AH341" s="97">
        <v>858.41683200000011</v>
      </c>
      <c r="AI341" s="39">
        <v>178.59584192292525</v>
      </c>
      <c r="AJ341" s="97">
        <v>195.28077631494463</v>
      </c>
      <c r="AK341" s="40">
        <v>388.19000469643316</v>
      </c>
      <c r="AL341" s="41">
        <v>195</v>
      </c>
      <c r="AM341" s="39">
        <v>204.75</v>
      </c>
      <c r="AN341" s="39">
        <v>191.19750000000002</v>
      </c>
      <c r="AO341" s="39">
        <v>955.98750000000007</v>
      </c>
      <c r="AP341" s="47" t="s">
        <v>1294</v>
      </c>
      <c r="AQ341" s="88"/>
      <c r="AR341" s="57"/>
    </row>
    <row r="342" spans="1:44" x14ac:dyDescent="0.3">
      <c r="A342" s="25" t="s">
        <v>1509</v>
      </c>
      <c r="B342" s="25" t="s">
        <v>119</v>
      </c>
      <c r="C342" s="25" t="s">
        <v>120</v>
      </c>
      <c r="D342" s="25" t="s">
        <v>121</v>
      </c>
      <c r="E342" s="26" t="s">
        <v>77</v>
      </c>
      <c r="F342" s="27" t="s">
        <v>78</v>
      </c>
      <c r="G342" s="25" t="s">
        <v>1280</v>
      </c>
      <c r="H342" s="25" t="s">
        <v>79</v>
      </c>
      <c r="I342" s="47" t="s">
        <v>80</v>
      </c>
      <c r="J342" s="25" t="s">
        <v>94</v>
      </c>
      <c r="K342" s="30" t="s">
        <v>82</v>
      </c>
      <c r="L342" s="25" t="s">
        <v>1281</v>
      </c>
      <c r="M342" s="25" t="s">
        <v>83</v>
      </c>
      <c r="N342" s="74" t="s">
        <v>103</v>
      </c>
      <c r="O342" s="61">
        <v>0.16</v>
      </c>
      <c r="P342" s="25">
        <v>111</v>
      </c>
      <c r="Q342" s="96">
        <v>20</v>
      </c>
      <c r="R342" s="25" t="s">
        <v>87</v>
      </c>
      <c r="S342" s="34" t="s">
        <v>87</v>
      </c>
      <c r="T342" s="35">
        <v>0.8</v>
      </c>
      <c r="U342" s="25">
        <v>250</v>
      </c>
      <c r="V342" s="25">
        <v>650</v>
      </c>
      <c r="W342" s="34">
        <v>400</v>
      </c>
      <c r="X342" s="36">
        <v>260</v>
      </c>
      <c r="Y342" s="25">
        <v>250</v>
      </c>
      <c r="Z342" s="25">
        <v>650</v>
      </c>
      <c r="AA342" s="34">
        <v>400</v>
      </c>
      <c r="AB342" s="36">
        <v>260</v>
      </c>
      <c r="AC342" s="34" t="s">
        <v>87</v>
      </c>
      <c r="AD342" s="34">
        <v>91</v>
      </c>
      <c r="AE342" s="37">
        <v>0.9456</v>
      </c>
      <c r="AF342" s="37">
        <v>0.88591711711711718</v>
      </c>
      <c r="AG342" s="37">
        <v>0.93907214414414419</v>
      </c>
      <c r="AH342" s="38">
        <v>858.41683200000011</v>
      </c>
      <c r="AI342" s="39">
        <v>176.78268616736256</v>
      </c>
      <c r="AJ342" s="38">
        <v>193.29823036250863</v>
      </c>
      <c r="AK342" s="40">
        <v>384.24898942032729</v>
      </c>
      <c r="AL342" s="41">
        <v>195</v>
      </c>
      <c r="AM342" s="39">
        <v>216.45</v>
      </c>
      <c r="AN342" s="39">
        <v>203.2621656</v>
      </c>
      <c r="AO342" s="39">
        <v>1016.310828</v>
      </c>
      <c r="AP342" s="25" t="s">
        <v>1286</v>
      </c>
      <c r="AQ342" s="43" t="s">
        <v>1298</v>
      </c>
      <c r="AR342" s="25"/>
    </row>
    <row r="343" spans="1:44" x14ac:dyDescent="0.3">
      <c r="A343" s="25" t="s">
        <v>1509</v>
      </c>
      <c r="B343" s="25" t="s">
        <v>119</v>
      </c>
      <c r="C343" s="25" t="s">
        <v>120</v>
      </c>
      <c r="D343" s="25" t="s">
        <v>121</v>
      </c>
      <c r="E343" s="26" t="s">
        <v>77</v>
      </c>
      <c r="F343" s="27" t="s">
        <v>78</v>
      </c>
      <c r="G343" s="25" t="s">
        <v>1282</v>
      </c>
      <c r="H343" s="25" t="s">
        <v>79</v>
      </c>
      <c r="I343" s="25" t="s">
        <v>80</v>
      </c>
      <c r="J343" s="25" t="s">
        <v>94</v>
      </c>
      <c r="K343" s="30" t="s">
        <v>82</v>
      </c>
      <c r="L343" s="25" t="s">
        <v>1283</v>
      </c>
      <c r="M343" s="25" t="s">
        <v>83</v>
      </c>
      <c r="N343" s="74" t="s">
        <v>103</v>
      </c>
      <c r="O343" s="61">
        <v>0.16</v>
      </c>
      <c r="P343" s="25">
        <v>109</v>
      </c>
      <c r="Q343" s="32">
        <v>20</v>
      </c>
      <c r="R343" s="25" t="s">
        <v>87</v>
      </c>
      <c r="S343" s="34" t="s">
        <v>87</v>
      </c>
      <c r="T343" s="35">
        <v>0.8</v>
      </c>
      <c r="U343" s="25">
        <v>250</v>
      </c>
      <c r="V343" s="25">
        <v>650</v>
      </c>
      <c r="W343" s="34">
        <v>400</v>
      </c>
      <c r="X343" s="36">
        <v>240</v>
      </c>
      <c r="Y343" s="25">
        <v>250</v>
      </c>
      <c r="Z343" s="25">
        <v>650</v>
      </c>
      <c r="AA343" s="34">
        <v>400</v>
      </c>
      <c r="AB343" s="36">
        <v>240</v>
      </c>
      <c r="AC343" s="34" t="s">
        <v>87</v>
      </c>
      <c r="AD343" s="34">
        <v>89</v>
      </c>
      <c r="AE343" s="37">
        <v>0.94240000000000002</v>
      </c>
      <c r="AF343" s="37">
        <v>0.88426422018348627</v>
      </c>
      <c r="AG343" s="37">
        <v>0.93732007339449552</v>
      </c>
      <c r="AH343" s="38">
        <v>858.41683200000011</v>
      </c>
      <c r="AI343" s="39">
        <v>177.3829669353332</v>
      </c>
      <c r="AJ343" s="38">
        <v>193.95459107681256</v>
      </c>
      <c r="AK343" s="40">
        <v>385.55373980885133</v>
      </c>
      <c r="AL343" s="41">
        <v>194</v>
      </c>
      <c r="AM343" s="39">
        <v>211.46</v>
      </c>
      <c r="AN343" s="39">
        <v>198.20570272000003</v>
      </c>
      <c r="AO343" s="39">
        <v>991.02851360000011</v>
      </c>
      <c r="AP343" s="25" t="s">
        <v>1296</v>
      </c>
      <c r="AQ343" s="43" t="s">
        <v>1299</v>
      </c>
      <c r="AR343" s="25"/>
    </row>
    <row r="344" spans="1:44" x14ac:dyDescent="0.3">
      <c r="A344" s="25" t="s">
        <v>1509</v>
      </c>
      <c r="B344" s="25" t="s">
        <v>119</v>
      </c>
      <c r="C344" s="25" t="s">
        <v>120</v>
      </c>
      <c r="D344" s="25" t="s">
        <v>121</v>
      </c>
      <c r="E344" s="109" t="s">
        <v>77</v>
      </c>
      <c r="F344" s="110" t="s">
        <v>139</v>
      </c>
      <c r="G344" s="66" t="s">
        <v>1284</v>
      </c>
      <c r="H344" s="66" t="s">
        <v>79</v>
      </c>
      <c r="I344" s="66" t="s">
        <v>80</v>
      </c>
      <c r="J344" s="66" t="s">
        <v>94</v>
      </c>
      <c r="K344" s="111" t="s">
        <v>82</v>
      </c>
      <c r="L344" s="66" t="s">
        <v>1285</v>
      </c>
      <c r="M344" s="66" t="s">
        <v>83</v>
      </c>
      <c r="N344" s="183" t="s">
        <v>103</v>
      </c>
      <c r="O344" s="113">
        <v>0.41</v>
      </c>
      <c r="P344" s="66">
        <v>108</v>
      </c>
      <c r="Q344" s="214">
        <v>25</v>
      </c>
      <c r="R344" s="66" t="s">
        <v>87</v>
      </c>
      <c r="S344" s="115" t="s">
        <v>87</v>
      </c>
      <c r="T344" s="114">
        <v>0.8</v>
      </c>
      <c r="U344" s="66">
        <v>200</v>
      </c>
      <c r="V344" s="66">
        <v>600</v>
      </c>
      <c r="W344" s="115">
        <v>400</v>
      </c>
      <c r="X344" s="184">
        <v>230</v>
      </c>
      <c r="Y344" s="66">
        <v>200</v>
      </c>
      <c r="Z344" s="66">
        <v>600</v>
      </c>
      <c r="AA344" s="115">
        <v>400</v>
      </c>
      <c r="AB344" s="184">
        <v>230</v>
      </c>
      <c r="AC344" s="115" t="s">
        <v>87</v>
      </c>
      <c r="AD344" s="115">
        <v>83</v>
      </c>
      <c r="AE344" s="116">
        <v>1.1402999999999999</v>
      </c>
      <c r="AF344" s="116">
        <v>1.009536574074074</v>
      </c>
      <c r="AG344" s="116">
        <v>1.0701087685185184</v>
      </c>
      <c r="AH344" s="118">
        <v>874.69313200000011</v>
      </c>
      <c r="AI344" s="117">
        <v>146.59800757682896</v>
      </c>
      <c r="AJ344" s="118">
        <v>160.29361276049127</v>
      </c>
      <c r="AK344" s="119">
        <v>318.64057212651187</v>
      </c>
      <c r="AL344" s="120">
        <v>160</v>
      </c>
      <c r="AM344" s="117">
        <v>172.8</v>
      </c>
      <c r="AN344" s="117">
        <v>184.91479519999999</v>
      </c>
      <c r="AO344" s="117">
        <v>739.65918079999994</v>
      </c>
      <c r="AP344" s="66" t="s">
        <v>1300</v>
      </c>
      <c r="AQ344" s="123" t="s">
        <v>1301</v>
      </c>
      <c r="AR344" s="208"/>
    </row>
    <row r="345" spans="1:44" x14ac:dyDescent="0.3">
      <c r="A345" s="25" t="s">
        <v>1509</v>
      </c>
      <c r="B345" s="25" t="s">
        <v>119</v>
      </c>
      <c r="C345" s="25" t="s">
        <v>120</v>
      </c>
      <c r="D345" s="25" t="s">
        <v>121</v>
      </c>
      <c r="E345" s="266" t="s">
        <v>77</v>
      </c>
      <c r="F345" s="91" t="s">
        <v>122</v>
      </c>
      <c r="G345" s="240" t="s">
        <v>1302</v>
      </c>
      <c r="H345" s="47" t="s">
        <v>79</v>
      </c>
      <c r="I345" s="47" t="s">
        <v>80</v>
      </c>
      <c r="J345" s="47" t="s">
        <v>94</v>
      </c>
      <c r="K345" s="87" t="s">
        <v>82</v>
      </c>
      <c r="L345" s="47" t="s">
        <v>1303</v>
      </c>
      <c r="M345" s="47" t="s">
        <v>83</v>
      </c>
      <c r="N345" s="261" t="s">
        <v>142</v>
      </c>
      <c r="O345" s="90">
        <v>0.28000000000000003</v>
      </c>
      <c r="P345" s="47">
        <v>105</v>
      </c>
      <c r="Q345" s="96">
        <v>20</v>
      </c>
      <c r="R345" s="66" t="s">
        <v>87</v>
      </c>
      <c r="S345" s="115" t="s">
        <v>87</v>
      </c>
      <c r="T345" s="92">
        <v>0.8</v>
      </c>
      <c r="U345" s="47">
        <v>200</v>
      </c>
      <c r="V345" s="47">
        <v>720</v>
      </c>
      <c r="W345" s="84">
        <v>520</v>
      </c>
      <c r="X345" s="93">
        <v>130</v>
      </c>
      <c r="Y345" s="47">
        <v>200</v>
      </c>
      <c r="Z345" s="47">
        <v>720</v>
      </c>
      <c r="AA345" s="84">
        <v>520</v>
      </c>
      <c r="AB345" s="93">
        <v>130</v>
      </c>
      <c r="AC345" s="115" t="s">
        <v>87</v>
      </c>
      <c r="AD345" s="84">
        <v>85</v>
      </c>
      <c r="AE345" s="75">
        <v>1.038</v>
      </c>
      <c r="AF345" s="75">
        <v>0.94166666666666676</v>
      </c>
      <c r="AG345" s="75">
        <v>0.99816666666666676</v>
      </c>
      <c r="AH345" s="97">
        <v>866.22945600000003</v>
      </c>
      <c r="AI345" s="39">
        <v>161.04596150275339</v>
      </c>
      <c r="AJ345" s="97">
        <v>176.09133586781132</v>
      </c>
      <c r="AK345" s="40">
        <v>350.04416608464498</v>
      </c>
      <c r="AL345" s="41">
        <v>176</v>
      </c>
      <c r="AM345" s="39">
        <v>184.8</v>
      </c>
      <c r="AN345" s="39">
        <v>184.46120000000002</v>
      </c>
      <c r="AO345" s="39">
        <v>922.30600000000004</v>
      </c>
      <c r="AP345" s="240" t="s">
        <v>1317</v>
      </c>
      <c r="AQ345" s="88" t="s">
        <v>1318</v>
      </c>
      <c r="AR345" s="88"/>
    </row>
    <row r="346" spans="1:44" ht="82.5" x14ac:dyDescent="0.3">
      <c r="A346" s="25" t="s">
        <v>1509</v>
      </c>
      <c r="B346" s="25" t="s">
        <v>119</v>
      </c>
      <c r="C346" s="25" t="s">
        <v>120</v>
      </c>
      <c r="D346" s="25" t="s">
        <v>121</v>
      </c>
      <c r="E346" s="266" t="s">
        <v>77</v>
      </c>
      <c r="F346" s="91" t="s">
        <v>122</v>
      </c>
      <c r="G346" s="47" t="s">
        <v>1304</v>
      </c>
      <c r="H346" s="47" t="s">
        <v>79</v>
      </c>
      <c r="I346" s="47" t="s">
        <v>80</v>
      </c>
      <c r="J346" s="47" t="s">
        <v>94</v>
      </c>
      <c r="K346" s="87" t="s">
        <v>82</v>
      </c>
      <c r="L346" s="47" t="s">
        <v>186</v>
      </c>
      <c r="M346" s="47" t="s">
        <v>83</v>
      </c>
      <c r="N346" s="89" t="s">
        <v>103</v>
      </c>
      <c r="O346" s="90">
        <v>0.24</v>
      </c>
      <c r="P346" s="203">
        <v>130</v>
      </c>
      <c r="Q346" s="161">
        <v>30</v>
      </c>
      <c r="R346" s="161" t="s">
        <v>87</v>
      </c>
      <c r="S346" s="225" t="s">
        <v>87</v>
      </c>
      <c r="T346" s="92">
        <v>0.8</v>
      </c>
      <c r="U346" s="47">
        <v>150</v>
      </c>
      <c r="V346" s="47">
        <v>700</v>
      </c>
      <c r="W346" s="84">
        <v>550</v>
      </c>
      <c r="X346" s="93">
        <v>300</v>
      </c>
      <c r="Y346" s="47">
        <v>150</v>
      </c>
      <c r="Z346" s="47">
        <v>700</v>
      </c>
      <c r="AA346" s="84">
        <v>550</v>
      </c>
      <c r="AB346" s="93">
        <v>300</v>
      </c>
      <c r="AC346" s="225" t="s">
        <v>87</v>
      </c>
      <c r="AD346" s="84">
        <v>100</v>
      </c>
      <c r="AE346" s="75">
        <v>1.04</v>
      </c>
      <c r="AF346" s="75">
        <v>0.94769230769230772</v>
      </c>
      <c r="AG346" s="75">
        <v>1.0045538461538461</v>
      </c>
      <c r="AH346" s="97">
        <v>863.62524800000006</v>
      </c>
      <c r="AI346" s="39">
        <v>160.7362577306327</v>
      </c>
      <c r="AJ346" s="97">
        <v>175.75269868345015</v>
      </c>
      <c r="AK346" s="40">
        <v>349.37100422678981</v>
      </c>
      <c r="AL346" s="41">
        <v>176</v>
      </c>
      <c r="AM346" s="39">
        <v>228.8</v>
      </c>
      <c r="AN346" s="39">
        <v>229.84192000000002</v>
      </c>
      <c r="AO346" s="39">
        <v>766.13973333333342</v>
      </c>
      <c r="AP346" s="47" t="s">
        <v>1319</v>
      </c>
      <c r="AQ346" s="241" t="s">
        <v>1320</v>
      </c>
      <c r="AR346" s="88"/>
    </row>
    <row r="347" spans="1:44" x14ac:dyDescent="0.3">
      <c r="A347" s="25" t="s">
        <v>1509</v>
      </c>
      <c r="B347" s="25" t="s">
        <v>119</v>
      </c>
      <c r="C347" s="25" t="s">
        <v>120</v>
      </c>
      <c r="D347" s="25" t="s">
        <v>121</v>
      </c>
      <c r="E347" s="86" t="s">
        <v>77</v>
      </c>
      <c r="F347" s="91" t="s">
        <v>122</v>
      </c>
      <c r="G347" s="47" t="s">
        <v>1305</v>
      </c>
      <c r="H347" s="47" t="s">
        <v>79</v>
      </c>
      <c r="I347" s="47" t="s">
        <v>80</v>
      </c>
      <c r="J347" s="47" t="s">
        <v>94</v>
      </c>
      <c r="K347" s="87" t="s">
        <v>82</v>
      </c>
      <c r="L347" s="47" t="s">
        <v>1306</v>
      </c>
      <c r="M347" s="47" t="s">
        <v>83</v>
      </c>
      <c r="N347" s="89" t="s">
        <v>103</v>
      </c>
      <c r="O347" s="90">
        <v>0.23</v>
      </c>
      <c r="P347" s="203">
        <v>140</v>
      </c>
      <c r="Q347" s="47">
        <v>30</v>
      </c>
      <c r="R347" s="47" t="s">
        <v>87</v>
      </c>
      <c r="S347" s="84" t="s">
        <v>87</v>
      </c>
      <c r="T347" s="92">
        <v>0.8</v>
      </c>
      <c r="U347" s="47">
        <v>200</v>
      </c>
      <c r="V347" s="47">
        <v>700</v>
      </c>
      <c r="W347" s="84">
        <v>500</v>
      </c>
      <c r="X347" s="93">
        <v>400</v>
      </c>
      <c r="Y347" s="47">
        <v>200</v>
      </c>
      <c r="Z347" s="47">
        <v>700</v>
      </c>
      <c r="AA347" s="84">
        <v>500</v>
      </c>
      <c r="AB347" s="93">
        <v>400</v>
      </c>
      <c r="AC347" s="84" t="s">
        <v>87</v>
      </c>
      <c r="AD347" s="84">
        <v>110</v>
      </c>
      <c r="AE347" s="75">
        <v>1.0529999999999999</v>
      </c>
      <c r="AF347" s="75">
        <v>0.95360714285714288</v>
      </c>
      <c r="AG347" s="75">
        <v>1.0108235714285714</v>
      </c>
      <c r="AH347" s="97">
        <v>862.97419600000001</v>
      </c>
      <c r="AI347" s="39">
        <v>158.75185948704467</v>
      </c>
      <c r="AJ347" s="97">
        <v>173.58291227995079</v>
      </c>
      <c r="AK347" s="40">
        <v>345.05778195238514</v>
      </c>
      <c r="AL347" s="41">
        <v>174</v>
      </c>
      <c r="AM347" s="39">
        <v>243.6</v>
      </c>
      <c r="AN347" s="39">
        <v>246.23662199999998</v>
      </c>
      <c r="AO347" s="39">
        <v>820.78873999999996</v>
      </c>
      <c r="AP347" s="47" t="s">
        <v>1321</v>
      </c>
      <c r="AQ347" s="88"/>
      <c r="AR347" s="57"/>
    </row>
    <row r="348" spans="1:44" x14ac:dyDescent="0.3">
      <c r="A348" s="25" t="s">
        <v>1509</v>
      </c>
      <c r="B348" s="25" t="s">
        <v>119</v>
      </c>
      <c r="C348" s="25" t="s">
        <v>120</v>
      </c>
      <c r="D348" s="25" t="s">
        <v>121</v>
      </c>
      <c r="E348" s="86" t="s">
        <v>77</v>
      </c>
      <c r="F348" s="187" t="s">
        <v>122</v>
      </c>
      <c r="G348" s="47" t="s">
        <v>1307</v>
      </c>
      <c r="H348" s="47" t="s">
        <v>79</v>
      </c>
      <c r="I348" s="47" t="s">
        <v>80</v>
      </c>
      <c r="J348" s="47" t="s">
        <v>94</v>
      </c>
      <c r="K348" s="87" t="s">
        <v>82</v>
      </c>
      <c r="L348" s="47" t="s">
        <v>1308</v>
      </c>
      <c r="M348" s="47" t="s">
        <v>83</v>
      </c>
      <c r="N348" s="89" t="s">
        <v>103</v>
      </c>
      <c r="O348" s="90">
        <v>0.28999999999999998</v>
      </c>
      <c r="P348" s="203">
        <v>138</v>
      </c>
      <c r="Q348" s="47">
        <v>30</v>
      </c>
      <c r="R348" s="161" t="s">
        <v>87</v>
      </c>
      <c r="S348" s="225" t="s">
        <v>87</v>
      </c>
      <c r="T348" s="92">
        <v>0.8</v>
      </c>
      <c r="U348" s="47">
        <v>200</v>
      </c>
      <c r="V348" s="47">
        <v>700</v>
      </c>
      <c r="W348" s="84">
        <v>500</v>
      </c>
      <c r="X348" s="93">
        <v>380</v>
      </c>
      <c r="Y348" s="47">
        <v>200</v>
      </c>
      <c r="Z348" s="47">
        <v>700</v>
      </c>
      <c r="AA348" s="84">
        <v>500</v>
      </c>
      <c r="AB348" s="93">
        <v>380</v>
      </c>
      <c r="AC348" s="84" t="s">
        <v>87</v>
      </c>
      <c r="AD348" s="84">
        <v>108</v>
      </c>
      <c r="AE348" s="75">
        <v>1.1132</v>
      </c>
      <c r="AF348" s="75">
        <v>0.99064347826086951</v>
      </c>
      <c r="AG348" s="75">
        <v>1.0500820869565217</v>
      </c>
      <c r="AH348" s="97">
        <v>866.88050800000008</v>
      </c>
      <c r="AI348" s="39">
        <v>150.16682360749016</v>
      </c>
      <c r="AJ348" s="97">
        <v>164.19583779265915</v>
      </c>
      <c r="AK348" s="40">
        <v>326.39763240734948</v>
      </c>
      <c r="AL348" s="41">
        <v>164</v>
      </c>
      <c r="AM348" s="117">
        <v>226.32</v>
      </c>
      <c r="AN348" s="117">
        <v>237.65457791999998</v>
      </c>
      <c r="AO348" s="117">
        <v>792.18192639999995</v>
      </c>
      <c r="AP348" s="47" t="s">
        <v>1321</v>
      </c>
      <c r="AQ348" s="88"/>
      <c r="AR348" s="57"/>
    </row>
    <row r="349" spans="1:44" x14ac:dyDescent="0.3">
      <c r="A349" s="25" t="s">
        <v>1509</v>
      </c>
      <c r="B349" s="25" t="s">
        <v>119</v>
      </c>
      <c r="C349" s="25" t="s">
        <v>120</v>
      </c>
      <c r="D349" s="25" t="s">
        <v>121</v>
      </c>
      <c r="E349" s="86" t="s">
        <v>77</v>
      </c>
      <c r="F349" s="187" t="s">
        <v>122</v>
      </c>
      <c r="G349" s="47" t="s">
        <v>1309</v>
      </c>
      <c r="H349" s="47" t="s">
        <v>79</v>
      </c>
      <c r="I349" s="47" t="s">
        <v>80</v>
      </c>
      <c r="J349" s="47" t="s">
        <v>94</v>
      </c>
      <c r="K349" s="87" t="s">
        <v>82</v>
      </c>
      <c r="L349" s="47" t="s">
        <v>186</v>
      </c>
      <c r="M349" s="47" t="s">
        <v>83</v>
      </c>
      <c r="N349" s="89" t="s">
        <v>103</v>
      </c>
      <c r="O349" s="90">
        <v>0.28999999999999998</v>
      </c>
      <c r="P349" s="203">
        <v>139</v>
      </c>
      <c r="Q349" s="47">
        <v>30</v>
      </c>
      <c r="R349" s="47" t="s">
        <v>87</v>
      </c>
      <c r="S349" s="84" t="s">
        <v>87</v>
      </c>
      <c r="T349" s="92">
        <v>0.8</v>
      </c>
      <c r="U349" s="47">
        <v>200</v>
      </c>
      <c r="V349" s="47">
        <v>700</v>
      </c>
      <c r="W349" s="84">
        <v>500</v>
      </c>
      <c r="X349" s="93">
        <v>390</v>
      </c>
      <c r="Y349" s="47">
        <v>200</v>
      </c>
      <c r="Z349" s="47">
        <v>700</v>
      </c>
      <c r="AA349" s="84">
        <v>500</v>
      </c>
      <c r="AB349" s="93">
        <v>390</v>
      </c>
      <c r="AC349" s="84" t="s">
        <v>87</v>
      </c>
      <c r="AD349" s="84">
        <v>109</v>
      </c>
      <c r="AE349" s="75">
        <v>1.1161000000000001</v>
      </c>
      <c r="AF349" s="75">
        <v>0.99216151079136705</v>
      </c>
      <c r="AG349" s="75">
        <v>1.0516912014388491</v>
      </c>
      <c r="AH349" s="97">
        <v>866.88050800000008</v>
      </c>
      <c r="AI349" s="39">
        <v>149.77664012172568</v>
      </c>
      <c r="AJ349" s="97">
        <v>163.76920224960858</v>
      </c>
      <c r="AK349" s="40">
        <v>325.54954251040357</v>
      </c>
      <c r="AL349" s="41">
        <v>164</v>
      </c>
      <c r="AM349" s="39">
        <v>227.96</v>
      </c>
      <c r="AN349" s="39">
        <v>239.74352628000005</v>
      </c>
      <c r="AO349" s="39">
        <v>799.14508760000024</v>
      </c>
      <c r="AP349" s="47" t="s">
        <v>1322</v>
      </c>
      <c r="AQ349" s="88"/>
      <c r="AR349" s="57"/>
    </row>
    <row r="350" spans="1:44" x14ac:dyDescent="0.3">
      <c r="A350" s="25" t="s">
        <v>1509</v>
      </c>
      <c r="B350" s="25" t="s">
        <v>119</v>
      </c>
      <c r="C350" s="25" t="s">
        <v>120</v>
      </c>
      <c r="D350" s="25" t="s">
        <v>121</v>
      </c>
      <c r="E350" s="86" t="s">
        <v>77</v>
      </c>
      <c r="F350" s="187" t="s">
        <v>122</v>
      </c>
      <c r="G350" s="47" t="s">
        <v>1310</v>
      </c>
      <c r="H350" s="47" t="s">
        <v>79</v>
      </c>
      <c r="I350" s="47" t="s">
        <v>80</v>
      </c>
      <c r="J350" s="47" t="s">
        <v>94</v>
      </c>
      <c r="K350" s="87" t="s">
        <v>82</v>
      </c>
      <c r="L350" s="47"/>
      <c r="M350" s="47"/>
      <c r="N350" s="89" t="s">
        <v>103</v>
      </c>
      <c r="O350" s="90">
        <v>0.32</v>
      </c>
      <c r="P350" s="218">
        <v>139</v>
      </c>
      <c r="Q350" s="47">
        <v>30</v>
      </c>
      <c r="R350" s="47" t="s">
        <v>87</v>
      </c>
      <c r="S350" s="225" t="s">
        <v>87</v>
      </c>
      <c r="T350" s="92">
        <v>0.8</v>
      </c>
      <c r="U350" s="47">
        <v>100</v>
      </c>
      <c r="V350" s="47">
        <v>720</v>
      </c>
      <c r="W350" s="84">
        <v>620</v>
      </c>
      <c r="X350" s="93">
        <v>370</v>
      </c>
      <c r="Y350" s="47">
        <v>100</v>
      </c>
      <c r="Z350" s="47">
        <v>720</v>
      </c>
      <c r="AA350" s="84">
        <v>620</v>
      </c>
      <c r="AB350" s="93">
        <v>370</v>
      </c>
      <c r="AC350" s="84" t="s">
        <v>87</v>
      </c>
      <c r="AD350" s="84">
        <v>109</v>
      </c>
      <c r="AE350" s="75">
        <v>1.1488</v>
      </c>
      <c r="AF350" s="75">
        <v>1.0120402877697843</v>
      </c>
      <c r="AG350" s="75">
        <v>1.0727627050359712</v>
      </c>
      <c r="AH350" s="97">
        <v>868.833664</v>
      </c>
      <c r="AI350" s="39">
        <v>145.51332524360899</v>
      </c>
      <c r="AJ350" s="97">
        <v>159.10759630117354</v>
      </c>
      <c r="AK350" s="40">
        <v>316.28294254514401</v>
      </c>
      <c r="AL350" s="41">
        <v>159</v>
      </c>
      <c r="AM350" s="117">
        <v>221.01</v>
      </c>
      <c r="AN350" s="117">
        <v>237.09128543999998</v>
      </c>
      <c r="AO350" s="117">
        <v>790.3042848</v>
      </c>
      <c r="AP350" s="47"/>
      <c r="AQ350" s="88"/>
      <c r="AR350" s="57"/>
    </row>
    <row r="351" spans="1:44" x14ac:dyDescent="0.3">
      <c r="A351" s="25" t="s">
        <v>1509</v>
      </c>
      <c r="B351" s="25" t="s">
        <v>119</v>
      </c>
      <c r="C351" s="25" t="s">
        <v>120</v>
      </c>
      <c r="D351" s="25" t="s">
        <v>121</v>
      </c>
      <c r="E351" s="109" t="s">
        <v>77</v>
      </c>
      <c r="F351" s="182" t="s">
        <v>139</v>
      </c>
      <c r="G351" s="66" t="s">
        <v>1311</v>
      </c>
      <c r="H351" s="66" t="s">
        <v>79</v>
      </c>
      <c r="I351" s="66" t="s">
        <v>80</v>
      </c>
      <c r="J351" s="66" t="s">
        <v>94</v>
      </c>
      <c r="K351" s="111" t="s">
        <v>82</v>
      </c>
      <c r="L351" s="66" t="s">
        <v>1312</v>
      </c>
      <c r="M351" s="66" t="s">
        <v>83</v>
      </c>
      <c r="N351" s="183" t="s">
        <v>103</v>
      </c>
      <c r="O351" s="113">
        <v>0.25</v>
      </c>
      <c r="P351" s="66">
        <v>110</v>
      </c>
      <c r="Q351" s="66">
        <v>30</v>
      </c>
      <c r="R351" s="66" t="s">
        <v>87</v>
      </c>
      <c r="S351" s="115" t="s">
        <v>87</v>
      </c>
      <c r="T351" s="114">
        <v>0.8</v>
      </c>
      <c r="U351" s="66">
        <v>200</v>
      </c>
      <c r="V351" s="66">
        <v>600</v>
      </c>
      <c r="W351" s="115">
        <v>400</v>
      </c>
      <c r="X351" s="184">
        <v>200</v>
      </c>
      <c r="Y351" s="66">
        <v>200</v>
      </c>
      <c r="Z351" s="66">
        <v>600</v>
      </c>
      <c r="AA351" s="115">
        <v>400</v>
      </c>
      <c r="AB351" s="184">
        <v>200</v>
      </c>
      <c r="AC351" s="115" t="s">
        <v>87</v>
      </c>
      <c r="AD351" s="115">
        <v>80</v>
      </c>
      <c r="AE351" s="116">
        <v>1</v>
      </c>
      <c r="AF351" s="116">
        <v>0.92727272727272725</v>
      </c>
      <c r="AG351" s="116">
        <v>0.98290909090909084</v>
      </c>
      <c r="AH351" s="118">
        <v>864.27630000000011</v>
      </c>
      <c r="AI351" s="117">
        <v>167.16570803985803</v>
      </c>
      <c r="AJ351" s="118">
        <v>182.78280663078814</v>
      </c>
      <c r="AK351" s="119">
        <v>363.34584439586143</v>
      </c>
      <c r="AL351" s="120">
        <v>183</v>
      </c>
      <c r="AM351" s="117">
        <v>201.3</v>
      </c>
      <c r="AN351" s="117">
        <v>197.8596</v>
      </c>
      <c r="AO351" s="117">
        <v>659.53200000000004</v>
      </c>
      <c r="AP351" s="66" t="s">
        <v>1323</v>
      </c>
      <c r="AQ351" s="123" t="s">
        <v>1324</v>
      </c>
      <c r="AR351" s="123"/>
    </row>
    <row r="352" spans="1:44" x14ac:dyDescent="0.3">
      <c r="A352" s="25" t="s">
        <v>1509</v>
      </c>
      <c r="B352" s="25" t="s">
        <v>119</v>
      </c>
      <c r="C352" s="25" t="s">
        <v>120</v>
      </c>
      <c r="D352" s="25" t="s">
        <v>121</v>
      </c>
      <c r="E352" s="86" t="s">
        <v>77</v>
      </c>
      <c r="F352" s="47" t="s">
        <v>122</v>
      </c>
      <c r="G352" s="47" t="s">
        <v>1313</v>
      </c>
      <c r="H352" s="47" t="s">
        <v>79</v>
      </c>
      <c r="I352" s="47" t="s">
        <v>80</v>
      </c>
      <c r="J352" s="47" t="s">
        <v>94</v>
      </c>
      <c r="K352" s="87" t="s">
        <v>82</v>
      </c>
      <c r="L352" s="47" t="s">
        <v>1314</v>
      </c>
      <c r="M352" s="47" t="s">
        <v>83</v>
      </c>
      <c r="N352" s="89" t="s">
        <v>103</v>
      </c>
      <c r="O352" s="90">
        <v>0.27</v>
      </c>
      <c r="P352" s="47">
        <v>110</v>
      </c>
      <c r="Q352" s="47">
        <v>30</v>
      </c>
      <c r="R352" s="47" t="s">
        <v>87</v>
      </c>
      <c r="S352" s="84" t="s">
        <v>87</v>
      </c>
      <c r="T352" s="92">
        <v>0.8</v>
      </c>
      <c r="U352" s="47">
        <v>150</v>
      </c>
      <c r="V352" s="47">
        <v>600</v>
      </c>
      <c r="W352" s="84">
        <v>450</v>
      </c>
      <c r="X352" s="93">
        <v>200</v>
      </c>
      <c r="Y352" s="47">
        <v>150</v>
      </c>
      <c r="Z352" s="47">
        <v>600</v>
      </c>
      <c r="AA352" s="84">
        <v>450</v>
      </c>
      <c r="AB352" s="93">
        <v>200</v>
      </c>
      <c r="AC352" s="84" t="s">
        <v>87</v>
      </c>
      <c r="AD352" s="84">
        <v>80</v>
      </c>
      <c r="AE352" s="75">
        <v>1.016</v>
      </c>
      <c r="AF352" s="75">
        <v>0.93745454545454554</v>
      </c>
      <c r="AG352" s="75">
        <v>0.99370181818181835</v>
      </c>
      <c r="AH352" s="97">
        <v>865.57840400000009</v>
      </c>
      <c r="AI352" s="39">
        <v>164.53317720458469</v>
      </c>
      <c r="AJ352" s="97">
        <v>179.90433723502775</v>
      </c>
      <c r="AK352" s="40">
        <v>357.62386259435186</v>
      </c>
      <c r="AL352" s="41">
        <v>180</v>
      </c>
      <c r="AM352" s="39">
        <v>198</v>
      </c>
      <c r="AN352" s="39">
        <v>196.75296000000003</v>
      </c>
      <c r="AO352" s="39">
        <v>655.84320000000014</v>
      </c>
      <c r="AP352" s="47" t="s">
        <v>1325</v>
      </c>
      <c r="AQ352" s="88" t="s">
        <v>1326</v>
      </c>
      <c r="AR352" s="88"/>
    </row>
    <row r="353" spans="1:44" x14ac:dyDescent="0.3">
      <c r="A353" s="25" t="s">
        <v>1509</v>
      </c>
      <c r="B353" s="25" t="s">
        <v>119</v>
      </c>
      <c r="C353" s="25" t="s">
        <v>120</v>
      </c>
      <c r="D353" s="25" t="s">
        <v>121</v>
      </c>
      <c r="E353" s="86" t="s">
        <v>77</v>
      </c>
      <c r="F353" s="47" t="s">
        <v>122</v>
      </c>
      <c r="G353" s="47" t="s">
        <v>1315</v>
      </c>
      <c r="H353" s="47" t="s">
        <v>79</v>
      </c>
      <c r="I353" s="47" t="s">
        <v>80</v>
      </c>
      <c r="J353" s="47" t="s">
        <v>94</v>
      </c>
      <c r="K353" s="87" t="s">
        <v>82</v>
      </c>
      <c r="L353" s="47" t="s">
        <v>1316</v>
      </c>
      <c r="M353" s="47" t="s">
        <v>83</v>
      </c>
      <c r="N353" s="89" t="s">
        <v>103</v>
      </c>
      <c r="O353" s="90">
        <v>0.33</v>
      </c>
      <c r="P353" s="47">
        <v>106</v>
      </c>
      <c r="Q353" s="47">
        <v>30</v>
      </c>
      <c r="R353" s="47" t="s">
        <v>87</v>
      </c>
      <c r="S353" s="84" t="s">
        <v>87</v>
      </c>
      <c r="T353" s="92">
        <v>0.8</v>
      </c>
      <c r="U353" s="47">
        <v>200</v>
      </c>
      <c r="V353" s="47">
        <v>600</v>
      </c>
      <c r="W353" s="84">
        <v>400</v>
      </c>
      <c r="X353" s="93">
        <v>160</v>
      </c>
      <c r="Y353" s="47">
        <v>200</v>
      </c>
      <c r="Z353" s="47">
        <v>600</v>
      </c>
      <c r="AA353" s="84">
        <v>400</v>
      </c>
      <c r="AB353" s="93">
        <v>160</v>
      </c>
      <c r="AC353" s="84" t="s">
        <v>87</v>
      </c>
      <c r="AD353" s="84">
        <v>76</v>
      </c>
      <c r="AE353" s="75">
        <v>1.0508000000000002</v>
      </c>
      <c r="AF353" s="75">
        <v>0.96089056603773593</v>
      </c>
      <c r="AG353" s="75">
        <v>1.0185440000000001</v>
      </c>
      <c r="AH353" s="97">
        <v>869.48471600000005</v>
      </c>
      <c r="AI353" s="39">
        <v>159.08422919666728</v>
      </c>
      <c r="AJ353" s="97">
        <v>173.94633291852696</v>
      </c>
      <c r="AK353" s="40">
        <v>345.7802097410177</v>
      </c>
      <c r="AL353" s="41">
        <v>174</v>
      </c>
      <c r="AM353" s="39">
        <v>184.44</v>
      </c>
      <c r="AN353" s="39">
        <v>187.86025536000002</v>
      </c>
      <c r="AO353" s="39">
        <v>626.2008512000001</v>
      </c>
      <c r="AP353" s="47" t="s">
        <v>1325</v>
      </c>
      <c r="AQ353" s="88" t="s">
        <v>1327</v>
      </c>
      <c r="AR353" s="88"/>
    </row>
    <row r="354" spans="1:44" ht="33" x14ac:dyDescent="0.3">
      <c r="A354" s="25" t="s">
        <v>1509</v>
      </c>
      <c r="B354" s="25" t="s">
        <v>119</v>
      </c>
      <c r="C354" s="25" t="s">
        <v>120</v>
      </c>
      <c r="D354" s="25" t="s">
        <v>121</v>
      </c>
      <c r="E354" s="86" t="s">
        <v>77</v>
      </c>
      <c r="F354" s="47" t="s">
        <v>122</v>
      </c>
      <c r="G354" s="47" t="s">
        <v>1328</v>
      </c>
      <c r="H354" s="47" t="s">
        <v>79</v>
      </c>
      <c r="I354" s="47" t="s">
        <v>80</v>
      </c>
      <c r="J354" s="47" t="s">
        <v>94</v>
      </c>
      <c r="K354" s="87" t="s">
        <v>82</v>
      </c>
      <c r="L354" s="47" t="s">
        <v>1329</v>
      </c>
      <c r="M354" s="47" t="s">
        <v>83</v>
      </c>
      <c r="N354" s="271" t="s">
        <v>142</v>
      </c>
      <c r="O354" s="90">
        <v>0.5</v>
      </c>
      <c r="P354" s="47">
        <v>94</v>
      </c>
      <c r="Q354" s="96">
        <v>28</v>
      </c>
      <c r="R354" s="47" t="s">
        <v>87</v>
      </c>
      <c r="S354" s="84" t="s">
        <v>87</v>
      </c>
      <c r="T354" s="92">
        <v>0.8</v>
      </c>
      <c r="U354" s="47">
        <v>235</v>
      </c>
      <c r="V354" s="47">
        <v>530</v>
      </c>
      <c r="W354" s="84">
        <v>295</v>
      </c>
      <c r="X354" s="93">
        <v>130</v>
      </c>
      <c r="Y354" s="47">
        <v>170</v>
      </c>
      <c r="Z354" s="47">
        <v>570</v>
      </c>
      <c r="AA354" s="84">
        <v>400</v>
      </c>
      <c r="AB354" s="93">
        <v>90</v>
      </c>
      <c r="AC354" s="84" t="s">
        <v>87</v>
      </c>
      <c r="AD354" s="84">
        <v>66</v>
      </c>
      <c r="AE354" s="75">
        <v>1.1300000000000001</v>
      </c>
      <c r="AF354" s="75">
        <v>1.014148936170213</v>
      </c>
      <c r="AG354" s="75">
        <v>1.0749978723404259</v>
      </c>
      <c r="AH354" s="97">
        <v>880.5526000000001</v>
      </c>
      <c r="AI354" s="39">
        <v>147.9342549025292</v>
      </c>
      <c r="AJ354" s="97">
        <v>161.75469613344083</v>
      </c>
      <c r="AK354" s="40">
        <v>321.54499504058532</v>
      </c>
      <c r="AL354" s="41">
        <v>322</v>
      </c>
      <c r="AM354" s="39">
        <v>302.68</v>
      </c>
      <c r="AN354" s="39">
        <v>325.38035600000012</v>
      </c>
      <c r="AO354" s="39">
        <v>1162.0727000000004</v>
      </c>
      <c r="AP354" s="107" t="s">
        <v>1350</v>
      </c>
      <c r="AQ354" s="88"/>
      <c r="AR354" s="43"/>
    </row>
    <row r="355" spans="1:44" ht="33" x14ac:dyDescent="0.3">
      <c r="A355" s="25" t="s">
        <v>1509</v>
      </c>
      <c r="B355" s="25" t="s">
        <v>119</v>
      </c>
      <c r="C355" s="25" t="s">
        <v>120</v>
      </c>
      <c r="D355" s="25" t="s">
        <v>121</v>
      </c>
      <c r="E355" s="86" t="s">
        <v>77</v>
      </c>
      <c r="F355" s="47" t="s">
        <v>122</v>
      </c>
      <c r="G355" s="47" t="s">
        <v>1330</v>
      </c>
      <c r="H355" s="47" t="s">
        <v>79</v>
      </c>
      <c r="I355" s="47" t="s">
        <v>80</v>
      </c>
      <c r="J355" s="47" t="s">
        <v>94</v>
      </c>
      <c r="K355" s="87" t="s">
        <v>82</v>
      </c>
      <c r="L355" s="47" t="s">
        <v>1331</v>
      </c>
      <c r="M355" s="47" t="s">
        <v>83</v>
      </c>
      <c r="N355" s="271" t="s">
        <v>142</v>
      </c>
      <c r="O355" s="90">
        <v>0.43</v>
      </c>
      <c r="P355" s="47">
        <v>100</v>
      </c>
      <c r="Q355" s="47">
        <v>30</v>
      </c>
      <c r="R355" s="47" t="s">
        <v>87</v>
      </c>
      <c r="S355" s="84" t="s">
        <v>87</v>
      </c>
      <c r="T355" s="92">
        <v>0.8</v>
      </c>
      <c r="U355" s="47">
        <v>210</v>
      </c>
      <c r="V355" s="47">
        <v>570</v>
      </c>
      <c r="W355" s="84">
        <v>360</v>
      </c>
      <c r="X355" s="93">
        <v>130</v>
      </c>
      <c r="Y355" s="47">
        <v>200</v>
      </c>
      <c r="Z355" s="47">
        <v>600</v>
      </c>
      <c r="AA355" s="84">
        <v>400</v>
      </c>
      <c r="AB355" s="93">
        <v>100</v>
      </c>
      <c r="AC355" s="84" t="s">
        <v>87</v>
      </c>
      <c r="AD355" s="84">
        <v>70</v>
      </c>
      <c r="AE355" s="75">
        <v>1.101</v>
      </c>
      <c r="AF355" s="75">
        <v>0.99564999999999992</v>
      </c>
      <c r="AG355" s="75">
        <v>1.0553889999999999</v>
      </c>
      <c r="AH355" s="97">
        <v>875.99523599999998</v>
      </c>
      <c r="AI355" s="39">
        <v>151.83079749305907</v>
      </c>
      <c r="AJ355" s="97">
        <v>166.01526487810006</v>
      </c>
      <c r="AK355" s="40">
        <v>330.01439091358895</v>
      </c>
      <c r="AL355" s="41">
        <v>330</v>
      </c>
      <c r="AM355" s="39">
        <v>330</v>
      </c>
      <c r="AN355" s="39">
        <v>348.27837</v>
      </c>
      <c r="AO355" s="39">
        <v>1160.9279000000001</v>
      </c>
      <c r="AP355" s="107" t="s">
        <v>1350</v>
      </c>
      <c r="AQ355" s="88"/>
      <c r="AR355" s="43"/>
    </row>
    <row r="356" spans="1:44" ht="33" x14ac:dyDescent="0.25">
      <c r="A356" s="25" t="s">
        <v>1509</v>
      </c>
      <c r="B356" s="25" t="s">
        <v>119</v>
      </c>
      <c r="C356" s="25" t="s">
        <v>120</v>
      </c>
      <c r="D356" s="25" t="s">
        <v>121</v>
      </c>
      <c r="E356" s="86" t="s">
        <v>77</v>
      </c>
      <c r="F356" s="47" t="s">
        <v>122</v>
      </c>
      <c r="G356" s="47" t="s">
        <v>1332</v>
      </c>
      <c r="H356" s="47" t="s">
        <v>79</v>
      </c>
      <c r="I356" s="47" t="s">
        <v>80</v>
      </c>
      <c r="J356" s="47" t="s">
        <v>94</v>
      </c>
      <c r="K356" s="87" t="s">
        <v>82</v>
      </c>
      <c r="L356" s="47"/>
      <c r="M356" s="47"/>
      <c r="N356" s="271" t="s">
        <v>142</v>
      </c>
      <c r="O356" s="90">
        <v>0.46</v>
      </c>
      <c r="P356" s="47">
        <v>105</v>
      </c>
      <c r="Q356" s="47">
        <v>30</v>
      </c>
      <c r="R356" s="47" t="s">
        <v>87</v>
      </c>
      <c r="S356" s="84" t="s">
        <v>87</v>
      </c>
      <c r="T356" s="92">
        <v>0.8</v>
      </c>
      <c r="U356" s="47">
        <v>220</v>
      </c>
      <c r="V356" s="47">
        <v>600</v>
      </c>
      <c r="W356" s="84">
        <v>380</v>
      </c>
      <c r="X356" s="93">
        <v>150</v>
      </c>
      <c r="Y356" s="47">
        <v>210</v>
      </c>
      <c r="Z356" s="47">
        <v>610</v>
      </c>
      <c r="AA356" s="84">
        <v>400</v>
      </c>
      <c r="AB356" s="93">
        <v>140</v>
      </c>
      <c r="AC356" s="84" t="s">
        <v>87</v>
      </c>
      <c r="AD356" s="84">
        <v>75</v>
      </c>
      <c r="AE356" s="75">
        <v>1.145</v>
      </c>
      <c r="AF356" s="75">
        <v>1.0217857142857143</v>
      </c>
      <c r="AG356" s="75">
        <v>1.0830928571428571</v>
      </c>
      <c r="AH356" s="97">
        <v>877.94839200000001</v>
      </c>
      <c r="AI356" s="39">
        <v>145.99625156319479</v>
      </c>
      <c r="AJ356" s="97">
        <v>159.6356389788543</v>
      </c>
      <c r="AK356" s="40">
        <v>317.33261519289209</v>
      </c>
      <c r="AL356" s="41">
        <v>317</v>
      </c>
      <c r="AM356" s="39">
        <v>332.85</v>
      </c>
      <c r="AN356" s="39">
        <v>360.50745749999999</v>
      </c>
      <c r="AO356" s="39">
        <v>1201.691525</v>
      </c>
      <c r="AP356" s="107"/>
      <c r="AQ356" s="226" t="s">
        <v>1351</v>
      </c>
      <c r="AR356" s="43"/>
    </row>
    <row r="357" spans="1:44" x14ac:dyDescent="0.3">
      <c r="A357" s="25" t="s">
        <v>1509</v>
      </c>
      <c r="B357" s="25" t="s">
        <v>119</v>
      </c>
      <c r="C357" s="25" t="s">
        <v>120</v>
      </c>
      <c r="D357" s="25" t="s">
        <v>121</v>
      </c>
      <c r="E357" s="26" t="s">
        <v>77</v>
      </c>
      <c r="F357" s="27" t="s">
        <v>78</v>
      </c>
      <c r="G357" s="25" t="s">
        <v>1333</v>
      </c>
      <c r="H357" s="25" t="s">
        <v>79</v>
      </c>
      <c r="I357" s="47" t="s">
        <v>80</v>
      </c>
      <c r="J357" s="25" t="s">
        <v>94</v>
      </c>
      <c r="K357" s="30" t="s">
        <v>82</v>
      </c>
      <c r="L357" s="25" t="s">
        <v>1334</v>
      </c>
      <c r="M357" s="25" t="s">
        <v>83</v>
      </c>
      <c r="N357" s="74" t="s">
        <v>103</v>
      </c>
      <c r="O357" s="61">
        <v>0.21</v>
      </c>
      <c r="P357" s="25">
        <v>107</v>
      </c>
      <c r="Q357" s="25">
        <v>30</v>
      </c>
      <c r="R357" s="25" t="s">
        <v>87</v>
      </c>
      <c r="S357" s="34" t="s">
        <v>87</v>
      </c>
      <c r="T357" s="35">
        <v>0.8</v>
      </c>
      <c r="U357" s="25">
        <v>200</v>
      </c>
      <c r="V357" s="25">
        <v>600</v>
      </c>
      <c r="W357" s="34">
        <v>400</v>
      </c>
      <c r="X357" s="36">
        <v>170</v>
      </c>
      <c r="Y357" s="25">
        <v>200</v>
      </c>
      <c r="Z357" s="25">
        <v>600</v>
      </c>
      <c r="AA357" s="34">
        <v>400</v>
      </c>
      <c r="AB357" s="36">
        <v>170</v>
      </c>
      <c r="AC357" s="34" t="s">
        <v>87</v>
      </c>
      <c r="AD357" s="34">
        <v>77</v>
      </c>
      <c r="AE357" s="37">
        <v>0.9617</v>
      </c>
      <c r="AF357" s="37">
        <v>0.90351822429906548</v>
      </c>
      <c r="AG357" s="37">
        <v>0.95772931775700942</v>
      </c>
      <c r="AH357" s="38">
        <v>861.67209200000002</v>
      </c>
      <c r="AI357" s="117">
        <v>173.82313407492776</v>
      </c>
      <c r="AJ357" s="38">
        <v>190.06218844836036</v>
      </c>
      <c r="AK357" s="40">
        <v>377.81620504924763</v>
      </c>
      <c r="AL357" s="41">
        <v>190</v>
      </c>
      <c r="AM357" s="39">
        <v>203.3</v>
      </c>
      <c r="AN357" s="39">
        <v>194.70637030000003</v>
      </c>
      <c r="AO357" s="39">
        <v>649.0212343333335</v>
      </c>
      <c r="AP357" s="25" t="s">
        <v>1352</v>
      </c>
      <c r="AQ357" s="43" t="s">
        <v>1353</v>
      </c>
      <c r="AR357" s="43"/>
    </row>
    <row r="358" spans="1:44" x14ac:dyDescent="0.3">
      <c r="A358" s="25" t="s">
        <v>1509</v>
      </c>
      <c r="B358" s="25" t="s">
        <v>119</v>
      </c>
      <c r="C358" s="25" t="s">
        <v>120</v>
      </c>
      <c r="D358" s="25" t="s">
        <v>121</v>
      </c>
      <c r="E358" s="86" t="s">
        <v>77</v>
      </c>
      <c r="F358" s="47" t="s">
        <v>122</v>
      </c>
      <c r="G358" s="47" t="s">
        <v>1335</v>
      </c>
      <c r="H358" s="47" t="s">
        <v>79</v>
      </c>
      <c r="I358" s="47" t="s">
        <v>80</v>
      </c>
      <c r="J358" s="47" t="s">
        <v>94</v>
      </c>
      <c r="K358" s="87" t="s">
        <v>82</v>
      </c>
      <c r="L358" s="47" t="s">
        <v>1336</v>
      </c>
      <c r="M358" s="47" t="s">
        <v>83</v>
      </c>
      <c r="N358" s="89" t="s">
        <v>103</v>
      </c>
      <c r="O358" s="90">
        <v>0.2</v>
      </c>
      <c r="P358" s="47">
        <v>105</v>
      </c>
      <c r="Q358" s="47">
        <v>30</v>
      </c>
      <c r="R358" s="47" t="s">
        <v>87</v>
      </c>
      <c r="S358" s="84" t="s">
        <v>87</v>
      </c>
      <c r="T358" s="92">
        <v>0.8</v>
      </c>
      <c r="U358" s="47">
        <v>200</v>
      </c>
      <c r="V358" s="47">
        <v>600</v>
      </c>
      <c r="W358" s="84">
        <v>400</v>
      </c>
      <c r="X358" s="93">
        <v>150</v>
      </c>
      <c r="Y358" s="47">
        <v>200</v>
      </c>
      <c r="Z358" s="47">
        <v>600</v>
      </c>
      <c r="AA358" s="84">
        <v>400</v>
      </c>
      <c r="AB358" s="93">
        <v>150</v>
      </c>
      <c r="AC358" s="84" t="s">
        <v>87</v>
      </c>
      <c r="AD358" s="84">
        <v>75</v>
      </c>
      <c r="AE358" s="75">
        <v>0.95000000000000007</v>
      </c>
      <c r="AF358" s="75">
        <v>0.89642857142857146</v>
      </c>
      <c r="AG358" s="75">
        <v>0.95021428571428579</v>
      </c>
      <c r="AH358" s="97">
        <v>861.02103999999997</v>
      </c>
      <c r="AI358" s="39">
        <v>175.96390319985056</v>
      </c>
      <c r="AJ358" s="97">
        <v>192.40295434819808</v>
      </c>
      <c r="AK358" s="40">
        <v>382.46930989038049</v>
      </c>
      <c r="AL358" s="41">
        <v>192</v>
      </c>
      <c r="AM358" s="39">
        <v>201.6</v>
      </c>
      <c r="AN358" s="39">
        <v>191.56320000000002</v>
      </c>
      <c r="AO358" s="39">
        <v>638.5440000000001</v>
      </c>
      <c r="AP358" s="47" t="s">
        <v>1354</v>
      </c>
      <c r="AQ358" s="88" t="s">
        <v>1355</v>
      </c>
      <c r="AR358" s="57"/>
    </row>
    <row r="359" spans="1:44" x14ac:dyDescent="0.3">
      <c r="A359" s="25" t="s">
        <v>1509</v>
      </c>
      <c r="B359" s="25" t="s">
        <v>119</v>
      </c>
      <c r="C359" s="25" t="s">
        <v>120</v>
      </c>
      <c r="D359" s="25" t="s">
        <v>121</v>
      </c>
      <c r="E359" s="86" t="s">
        <v>77</v>
      </c>
      <c r="F359" s="47" t="s">
        <v>122</v>
      </c>
      <c r="G359" s="47" t="s">
        <v>1337</v>
      </c>
      <c r="H359" s="47" t="s">
        <v>79</v>
      </c>
      <c r="I359" s="47" t="s">
        <v>80</v>
      </c>
      <c r="J359" s="47" t="s">
        <v>94</v>
      </c>
      <c r="K359" s="87" t="s">
        <v>82</v>
      </c>
      <c r="L359" s="47" t="s">
        <v>1338</v>
      </c>
      <c r="M359" s="47" t="s">
        <v>83</v>
      </c>
      <c r="N359" s="89" t="s">
        <v>103</v>
      </c>
      <c r="O359" s="90">
        <v>0.25</v>
      </c>
      <c r="P359" s="47">
        <v>105</v>
      </c>
      <c r="Q359" s="47">
        <v>20</v>
      </c>
      <c r="R359" s="47" t="s">
        <v>87</v>
      </c>
      <c r="S359" s="84" t="s">
        <v>87</v>
      </c>
      <c r="T359" s="92">
        <v>0.8</v>
      </c>
      <c r="U359" s="47">
        <v>100</v>
      </c>
      <c r="V359" s="47">
        <v>720</v>
      </c>
      <c r="W359" s="84">
        <v>620</v>
      </c>
      <c r="X359" s="93">
        <v>130</v>
      </c>
      <c r="Y359" s="47">
        <v>100</v>
      </c>
      <c r="Z359" s="47">
        <v>720</v>
      </c>
      <c r="AA359" s="84">
        <v>620</v>
      </c>
      <c r="AB359" s="93">
        <v>130</v>
      </c>
      <c r="AC359" s="84" t="s">
        <v>87</v>
      </c>
      <c r="AD359" s="84">
        <v>85</v>
      </c>
      <c r="AE359" s="75">
        <v>1.0125</v>
      </c>
      <c r="AF359" s="75">
        <v>0.92648809523809528</v>
      </c>
      <c r="AG359" s="75">
        <v>0.98207738095238095</v>
      </c>
      <c r="AH359" s="97">
        <v>864.27630000000011</v>
      </c>
      <c r="AI359" s="39">
        <v>165.10193386652645</v>
      </c>
      <c r="AJ359" s="97">
        <v>180.52622877114882</v>
      </c>
      <c r="AK359" s="40">
        <v>358.86009323048052</v>
      </c>
      <c r="AL359" s="41">
        <v>181</v>
      </c>
      <c r="AM359" s="39">
        <v>190.05</v>
      </c>
      <c r="AN359" s="39">
        <v>186.64380625000001</v>
      </c>
      <c r="AO359" s="39">
        <v>933.21903125000006</v>
      </c>
      <c r="AP359" s="47" t="s">
        <v>1356</v>
      </c>
      <c r="AQ359" s="88"/>
      <c r="AR359" s="57"/>
    </row>
    <row r="360" spans="1:44" x14ac:dyDescent="0.3">
      <c r="A360" s="25" t="s">
        <v>1509</v>
      </c>
      <c r="B360" s="25" t="s">
        <v>119</v>
      </c>
      <c r="C360" s="25" t="s">
        <v>120</v>
      </c>
      <c r="D360" s="25" t="s">
        <v>121</v>
      </c>
      <c r="E360" s="86" t="s">
        <v>77</v>
      </c>
      <c r="F360" s="47" t="s">
        <v>122</v>
      </c>
      <c r="G360" s="47" t="s">
        <v>1339</v>
      </c>
      <c r="H360" s="47" t="s">
        <v>79</v>
      </c>
      <c r="I360" s="47" t="s">
        <v>80</v>
      </c>
      <c r="J360" s="47" t="s">
        <v>94</v>
      </c>
      <c r="K360" s="87" t="s">
        <v>82</v>
      </c>
      <c r="L360" s="47"/>
      <c r="M360" s="47"/>
      <c r="N360" s="89" t="s">
        <v>103</v>
      </c>
      <c r="O360" s="90">
        <v>0.25</v>
      </c>
      <c r="P360" s="47">
        <v>110</v>
      </c>
      <c r="Q360" s="47">
        <v>25</v>
      </c>
      <c r="R360" s="47" t="s">
        <v>87</v>
      </c>
      <c r="S360" s="84" t="s">
        <v>87</v>
      </c>
      <c r="T360" s="92">
        <v>0.8</v>
      </c>
      <c r="U360" s="47">
        <v>100</v>
      </c>
      <c r="V360" s="47">
        <v>720</v>
      </c>
      <c r="W360" s="84">
        <v>620</v>
      </c>
      <c r="X360" s="93">
        <v>130</v>
      </c>
      <c r="Y360" s="47">
        <v>100</v>
      </c>
      <c r="Z360" s="47">
        <v>720</v>
      </c>
      <c r="AA360" s="84">
        <v>620</v>
      </c>
      <c r="AB360" s="93">
        <v>130</v>
      </c>
      <c r="AC360" s="84" t="s">
        <v>87</v>
      </c>
      <c r="AD360" s="84">
        <v>85</v>
      </c>
      <c r="AE360" s="75">
        <v>1.0125</v>
      </c>
      <c r="AF360" s="75">
        <v>0.93039772727272729</v>
      </c>
      <c r="AG360" s="75">
        <v>0.98622159090909089</v>
      </c>
      <c r="AH360" s="97">
        <v>864.27630000000011</v>
      </c>
      <c r="AI360" s="39">
        <v>165.10193386652645</v>
      </c>
      <c r="AJ360" s="97">
        <v>180.52622877114882</v>
      </c>
      <c r="AK360" s="40">
        <v>358.86009323048052</v>
      </c>
      <c r="AL360" s="41">
        <v>181</v>
      </c>
      <c r="AM360" s="39">
        <v>199.1</v>
      </c>
      <c r="AN360" s="39">
        <v>196.35671875</v>
      </c>
      <c r="AO360" s="39">
        <v>785.426875</v>
      </c>
      <c r="AP360" s="47"/>
      <c r="AQ360" s="88"/>
      <c r="AR360" s="57"/>
    </row>
    <row r="361" spans="1:44" x14ac:dyDescent="0.3">
      <c r="A361" s="25" t="s">
        <v>1509</v>
      </c>
      <c r="B361" s="25" t="s">
        <v>119</v>
      </c>
      <c r="C361" s="25" t="s">
        <v>120</v>
      </c>
      <c r="D361" s="25" t="s">
        <v>121</v>
      </c>
      <c r="E361" s="86" t="s">
        <v>77</v>
      </c>
      <c r="F361" s="47" t="s">
        <v>122</v>
      </c>
      <c r="G361" s="47" t="s">
        <v>1340</v>
      </c>
      <c r="H361" s="47" t="s">
        <v>79</v>
      </c>
      <c r="I361" s="47" t="s">
        <v>80</v>
      </c>
      <c r="J361" s="47" t="s">
        <v>94</v>
      </c>
      <c r="K361" s="87" t="s">
        <v>82</v>
      </c>
      <c r="L361" s="47"/>
      <c r="M361" s="47"/>
      <c r="N361" s="89" t="s">
        <v>103</v>
      </c>
      <c r="O361" s="90">
        <v>0.28000000000000003</v>
      </c>
      <c r="P361" s="47">
        <v>110</v>
      </c>
      <c r="Q361" s="47">
        <v>25</v>
      </c>
      <c r="R361" s="47" t="s">
        <v>87</v>
      </c>
      <c r="S361" s="84" t="s">
        <v>87</v>
      </c>
      <c r="T361" s="92">
        <v>0.8</v>
      </c>
      <c r="U361" s="47">
        <v>100</v>
      </c>
      <c r="V361" s="47">
        <v>720</v>
      </c>
      <c r="W361" s="84">
        <v>620</v>
      </c>
      <c r="X361" s="93">
        <v>130</v>
      </c>
      <c r="Y361" s="47">
        <v>100</v>
      </c>
      <c r="Z361" s="47">
        <v>720</v>
      </c>
      <c r="AA361" s="84">
        <v>620</v>
      </c>
      <c r="AB361" s="93">
        <v>130</v>
      </c>
      <c r="AC361" s="84" t="s">
        <v>87</v>
      </c>
      <c r="AD361" s="84">
        <v>85</v>
      </c>
      <c r="AE361" s="75">
        <v>1.038</v>
      </c>
      <c r="AF361" s="75">
        <v>0.94604545454545463</v>
      </c>
      <c r="AG361" s="75">
        <v>1.002808181818182</v>
      </c>
      <c r="AH361" s="97">
        <v>866.22945600000003</v>
      </c>
      <c r="AI361" s="39">
        <v>161.04596150275339</v>
      </c>
      <c r="AJ361" s="97">
        <v>176.09133586781132</v>
      </c>
      <c r="AK361" s="40">
        <v>350.04416608464498</v>
      </c>
      <c r="AL361" s="41">
        <v>176</v>
      </c>
      <c r="AM361" s="39">
        <v>193.6</v>
      </c>
      <c r="AN361" s="39">
        <v>194.14366400000003</v>
      </c>
      <c r="AO361" s="39">
        <v>776.57465600000012</v>
      </c>
      <c r="AP361" s="47"/>
      <c r="AQ361" s="88"/>
      <c r="AR361" s="57"/>
    </row>
    <row r="362" spans="1:44" x14ac:dyDescent="0.3">
      <c r="A362" s="25" t="s">
        <v>1509</v>
      </c>
      <c r="B362" s="25" t="s">
        <v>119</v>
      </c>
      <c r="C362" s="25" t="s">
        <v>120</v>
      </c>
      <c r="D362" s="25" t="s">
        <v>121</v>
      </c>
      <c r="E362" s="86" t="s">
        <v>77</v>
      </c>
      <c r="F362" s="47" t="s">
        <v>122</v>
      </c>
      <c r="G362" s="47" t="s">
        <v>1341</v>
      </c>
      <c r="H362" s="47" t="s">
        <v>79</v>
      </c>
      <c r="I362" s="47" t="s">
        <v>80</v>
      </c>
      <c r="J362" s="47" t="s">
        <v>94</v>
      </c>
      <c r="K362" s="87" t="s">
        <v>82</v>
      </c>
      <c r="L362" s="47" t="s">
        <v>1342</v>
      </c>
      <c r="M362" s="47" t="s">
        <v>83</v>
      </c>
      <c r="N362" s="89" t="s">
        <v>103</v>
      </c>
      <c r="O362" s="90">
        <v>0.21</v>
      </c>
      <c r="P362" s="47">
        <v>113</v>
      </c>
      <c r="Q362" s="47">
        <v>30</v>
      </c>
      <c r="R362" s="47" t="s">
        <v>87</v>
      </c>
      <c r="S362" s="84" t="s">
        <v>87</v>
      </c>
      <c r="T362" s="92">
        <v>0.8</v>
      </c>
      <c r="U362" s="47">
        <v>150</v>
      </c>
      <c r="V362" s="47">
        <v>700</v>
      </c>
      <c r="W362" s="84">
        <v>550</v>
      </c>
      <c r="X362" s="93">
        <v>130</v>
      </c>
      <c r="Y362" s="47">
        <v>150</v>
      </c>
      <c r="Z362" s="47">
        <v>700</v>
      </c>
      <c r="AA362" s="84">
        <v>550</v>
      </c>
      <c r="AB362" s="93">
        <v>130</v>
      </c>
      <c r="AC362" s="84" t="s">
        <v>87</v>
      </c>
      <c r="AD362" s="84">
        <v>83</v>
      </c>
      <c r="AE362" s="75">
        <v>0.97430000000000005</v>
      </c>
      <c r="AF362" s="75">
        <v>0.91028716814159305</v>
      </c>
      <c r="AG362" s="75">
        <v>0.96490439823008867</v>
      </c>
      <c r="AH362" s="97">
        <v>861.67209200000002</v>
      </c>
      <c r="AI362" s="39">
        <v>171.57519043401214</v>
      </c>
      <c r="AJ362" s="97">
        <v>187.60423548269341</v>
      </c>
      <c r="AK362" s="40">
        <v>372.93014923110076</v>
      </c>
      <c r="AL362" s="41">
        <v>188</v>
      </c>
      <c r="AM362" s="39">
        <v>212.44</v>
      </c>
      <c r="AN362" s="39">
        <v>204.98429036000005</v>
      </c>
      <c r="AO362" s="39">
        <v>683.28096786666686</v>
      </c>
      <c r="AP362" s="47" t="s">
        <v>1357</v>
      </c>
      <c r="AQ362" s="88"/>
      <c r="AR362" s="88" t="s">
        <v>1358</v>
      </c>
    </row>
    <row r="363" spans="1:44" x14ac:dyDescent="0.3">
      <c r="A363" s="25" t="s">
        <v>1509</v>
      </c>
      <c r="B363" s="25" t="s">
        <v>119</v>
      </c>
      <c r="C363" s="25" t="s">
        <v>120</v>
      </c>
      <c r="D363" s="25" t="s">
        <v>121</v>
      </c>
      <c r="E363" s="266" t="s">
        <v>77</v>
      </c>
      <c r="F363" s="91" t="s">
        <v>122</v>
      </c>
      <c r="G363" s="47" t="s">
        <v>1343</v>
      </c>
      <c r="H363" s="47" t="s">
        <v>79</v>
      </c>
      <c r="I363" s="47" t="s">
        <v>80</v>
      </c>
      <c r="J363" s="47" t="s">
        <v>94</v>
      </c>
      <c r="K363" s="87" t="s">
        <v>82</v>
      </c>
      <c r="L363" s="47"/>
      <c r="M363" s="47" t="s">
        <v>83</v>
      </c>
      <c r="N363" s="89" t="s">
        <v>103</v>
      </c>
      <c r="O363" s="90">
        <v>0.21</v>
      </c>
      <c r="P363" s="47">
        <v>108</v>
      </c>
      <c r="Q363" s="96">
        <v>25</v>
      </c>
      <c r="R363" s="47" t="s">
        <v>87</v>
      </c>
      <c r="S363" s="84" t="s">
        <v>87</v>
      </c>
      <c r="T363" s="92">
        <v>0.8</v>
      </c>
      <c r="U363" s="47">
        <v>150</v>
      </c>
      <c r="V363" s="47">
        <v>700</v>
      </c>
      <c r="W363" s="84">
        <v>550</v>
      </c>
      <c r="X363" s="93">
        <v>130</v>
      </c>
      <c r="Y363" s="47">
        <v>150</v>
      </c>
      <c r="Z363" s="47">
        <v>700</v>
      </c>
      <c r="AA363" s="84">
        <v>550</v>
      </c>
      <c r="AB363" s="93">
        <v>130</v>
      </c>
      <c r="AC363" s="84" t="s">
        <v>87</v>
      </c>
      <c r="AD363" s="84">
        <v>83</v>
      </c>
      <c r="AE363" s="75">
        <v>0.97430000000000005</v>
      </c>
      <c r="AF363" s="75">
        <v>0.90732361111111126</v>
      </c>
      <c r="AG363" s="75">
        <v>0.961763027777778</v>
      </c>
      <c r="AH363" s="97">
        <v>861.67209200000002</v>
      </c>
      <c r="AI363" s="39">
        <v>171.57519043401214</v>
      </c>
      <c r="AJ363" s="97">
        <v>187.60423548269341</v>
      </c>
      <c r="AK363" s="40">
        <v>372.93014923110076</v>
      </c>
      <c r="AL363" s="41">
        <v>188</v>
      </c>
      <c r="AM363" s="39">
        <v>203.04</v>
      </c>
      <c r="AN363" s="39">
        <v>195.27636516000004</v>
      </c>
      <c r="AO363" s="39">
        <v>781.10546064000016</v>
      </c>
      <c r="AP363" s="47" t="s">
        <v>1359</v>
      </c>
      <c r="AQ363" s="88"/>
      <c r="AR363" s="88"/>
    </row>
    <row r="364" spans="1:44" x14ac:dyDescent="0.3">
      <c r="A364" s="25" t="s">
        <v>1509</v>
      </c>
      <c r="B364" s="25" t="s">
        <v>119</v>
      </c>
      <c r="C364" s="25" t="s">
        <v>120</v>
      </c>
      <c r="D364" s="25" t="s">
        <v>121</v>
      </c>
      <c r="E364" s="86" t="s">
        <v>77</v>
      </c>
      <c r="F364" s="47" t="s">
        <v>122</v>
      </c>
      <c r="G364" s="47" t="s">
        <v>1344</v>
      </c>
      <c r="H364" s="47" t="s">
        <v>79</v>
      </c>
      <c r="I364" s="47" t="s">
        <v>80</v>
      </c>
      <c r="J364" s="47" t="s">
        <v>94</v>
      </c>
      <c r="K364" s="87" t="s">
        <v>82</v>
      </c>
      <c r="L364" s="47" t="s">
        <v>1345</v>
      </c>
      <c r="M364" s="47" t="s">
        <v>83</v>
      </c>
      <c r="N364" s="89" t="s">
        <v>103</v>
      </c>
      <c r="O364" s="90">
        <v>0.28999999999999998</v>
      </c>
      <c r="P364" s="203">
        <v>118</v>
      </c>
      <c r="Q364" s="47">
        <v>30</v>
      </c>
      <c r="R364" s="47" t="s">
        <v>87</v>
      </c>
      <c r="S364" s="84" t="s">
        <v>87</v>
      </c>
      <c r="T364" s="92">
        <v>0.8</v>
      </c>
      <c r="U364" s="47">
        <v>200</v>
      </c>
      <c r="V364" s="47">
        <v>650</v>
      </c>
      <c r="W364" s="84">
        <v>450</v>
      </c>
      <c r="X364" s="93">
        <v>230</v>
      </c>
      <c r="Y364" s="47">
        <v>200</v>
      </c>
      <c r="Z364" s="47">
        <v>650</v>
      </c>
      <c r="AA364" s="84">
        <v>450</v>
      </c>
      <c r="AB364" s="93">
        <v>230</v>
      </c>
      <c r="AC364" s="84" t="s">
        <v>87</v>
      </c>
      <c r="AD364" s="84">
        <v>88</v>
      </c>
      <c r="AE364" s="75">
        <v>1.0552000000000001</v>
      </c>
      <c r="AF364" s="75">
        <v>0.96004067796610182</v>
      </c>
      <c r="AG364" s="75">
        <v>1.017643118644068</v>
      </c>
      <c r="AH364" s="97">
        <v>866.88050800000008</v>
      </c>
      <c r="AI364" s="39">
        <v>158.4208757011543</v>
      </c>
      <c r="AJ364" s="97">
        <v>173.22100704206608</v>
      </c>
      <c r="AK364" s="40">
        <v>344.33836656165789</v>
      </c>
      <c r="AL364" s="41">
        <v>173</v>
      </c>
      <c r="AM364" s="39">
        <v>204.14</v>
      </c>
      <c r="AN364" s="39">
        <v>207.74166624000003</v>
      </c>
      <c r="AO364" s="39">
        <v>692.47222080000017</v>
      </c>
      <c r="AP364" s="47" t="s">
        <v>1360</v>
      </c>
      <c r="AQ364" s="88"/>
      <c r="AR364" s="57"/>
    </row>
    <row r="365" spans="1:44" x14ac:dyDescent="0.3">
      <c r="A365" s="25" t="s">
        <v>1509</v>
      </c>
      <c r="B365" s="25" t="s">
        <v>119</v>
      </c>
      <c r="C365" s="25" t="s">
        <v>120</v>
      </c>
      <c r="D365" s="25" t="s">
        <v>121</v>
      </c>
      <c r="E365" s="86" t="s">
        <v>77</v>
      </c>
      <c r="F365" s="47" t="s">
        <v>122</v>
      </c>
      <c r="G365" s="47" t="s">
        <v>1346</v>
      </c>
      <c r="H365" s="47" t="s">
        <v>79</v>
      </c>
      <c r="I365" s="47" t="s">
        <v>80</v>
      </c>
      <c r="J365" s="47" t="s">
        <v>94</v>
      </c>
      <c r="K365" s="87" t="s">
        <v>82</v>
      </c>
      <c r="L365" s="47" t="s">
        <v>1347</v>
      </c>
      <c r="M365" s="47" t="s">
        <v>83</v>
      </c>
      <c r="N365" s="89" t="s">
        <v>103</v>
      </c>
      <c r="O365" s="90">
        <v>0.28999999999999998</v>
      </c>
      <c r="P365" s="47">
        <v>114</v>
      </c>
      <c r="Q365" s="47">
        <v>30</v>
      </c>
      <c r="R365" s="47" t="s">
        <v>87</v>
      </c>
      <c r="S365" s="84" t="s">
        <v>87</v>
      </c>
      <c r="T365" s="92">
        <v>0.8</v>
      </c>
      <c r="U365" s="47">
        <v>200</v>
      </c>
      <c r="V365" s="47">
        <v>650</v>
      </c>
      <c r="W365" s="84">
        <v>450</v>
      </c>
      <c r="X365" s="93">
        <v>190</v>
      </c>
      <c r="Y365" s="47">
        <v>200</v>
      </c>
      <c r="Z365" s="47">
        <v>650</v>
      </c>
      <c r="AA365" s="84">
        <v>450</v>
      </c>
      <c r="AB365" s="93">
        <v>190</v>
      </c>
      <c r="AC365" s="84" t="s">
        <v>87</v>
      </c>
      <c r="AD365" s="84">
        <v>84</v>
      </c>
      <c r="AE365" s="75">
        <v>1.0436000000000001</v>
      </c>
      <c r="AF365" s="75">
        <v>0.95385263157894751</v>
      </c>
      <c r="AG365" s="75">
        <v>1.0110837894736844</v>
      </c>
      <c r="AH365" s="97">
        <v>866.88050800000008</v>
      </c>
      <c r="AI365" s="39">
        <v>160.18178233025873</v>
      </c>
      <c r="AJ365" s="97">
        <v>175.14642260520137</v>
      </c>
      <c r="AK365" s="40">
        <v>348.16581486763266</v>
      </c>
      <c r="AL365" s="41">
        <v>175</v>
      </c>
      <c r="AM365" s="39">
        <v>199.5</v>
      </c>
      <c r="AN365" s="39">
        <v>201.71121600000004</v>
      </c>
      <c r="AO365" s="39">
        <v>672.37072000000012</v>
      </c>
      <c r="AP365" s="47" t="s">
        <v>1361</v>
      </c>
      <c r="AQ365" s="88"/>
      <c r="AR365" s="202" t="s">
        <v>1362</v>
      </c>
    </row>
    <row r="366" spans="1:44" x14ac:dyDescent="0.3">
      <c r="A366" s="25" t="s">
        <v>1509</v>
      </c>
      <c r="B366" s="25" t="s">
        <v>119</v>
      </c>
      <c r="C366" s="25" t="s">
        <v>120</v>
      </c>
      <c r="D366" s="25" t="s">
        <v>121</v>
      </c>
      <c r="E366" s="86" t="s">
        <v>77</v>
      </c>
      <c r="F366" s="47" t="s">
        <v>122</v>
      </c>
      <c r="G366" s="47" t="s">
        <v>1348</v>
      </c>
      <c r="H366" s="47" t="s">
        <v>79</v>
      </c>
      <c r="I366" s="47" t="s">
        <v>80</v>
      </c>
      <c r="J366" s="47" t="s">
        <v>94</v>
      </c>
      <c r="K366" s="87" t="s">
        <v>82</v>
      </c>
      <c r="L366" s="47" t="s">
        <v>1349</v>
      </c>
      <c r="M366" s="47" t="s">
        <v>83</v>
      </c>
      <c r="N366" s="89" t="s">
        <v>103</v>
      </c>
      <c r="O366" s="90">
        <v>0.28999999999999998</v>
      </c>
      <c r="P366" s="47">
        <v>111</v>
      </c>
      <c r="Q366" s="47">
        <v>30</v>
      </c>
      <c r="R366" s="47" t="s">
        <v>87</v>
      </c>
      <c r="S366" s="84" t="s">
        <v>87</v>
      </c>
      <c r="T366" s="92">
        <v>0.8</v>
      </c>
      <c r="U366" s="47">
        <v>200</v>
      </c>
      <c r="V366" s="47">
        <v>650</v>
      </c>
      <c r="W366" s="84">
        <v>450</v>
      </c>
      <c r="X366" s="93">
        <v>160</v>
      </c>
      <c r="Y366" s="47">
        <v>200</v>
      </c>
      <c r="Z366" s="47">
        <v>650</v>
      </c>
      <c r="AA366" s="84">
        <v>450</v>
      </c>
      <c r="AB366" s="93">
        <v>160</v>
      </c>
      <c r="AC366" s="84" t="s">
        <v>87</v>
      </c>
      <c r="AD366" s="84">
        <v>81</v>
      </c>
      <c r="AE366" s="75">
        <v>1.0348999999999999</v>
      </c>
      <c r="AF366" s="75">
        <v>0.94919324324324328</v>
      </c>
      <c r="AG366" s="75">
        <v>1.0061448378378379</v>
      </c>
      <c r="AH366" s="97">
        <v>866.88050800000008</v>
      </c>
      <c r="AI366" s="39">
        <v>161.52836799677073</v>
      </c>
      <c r="AJ366" s="97">
        <v>176.61881015633219</v>
      </c>
      <c r="AK366" s="40">
        <v>351.09270885676051</v>
      </c>
      <c r="AL366" s="41">
        <v>177</v>
      </c>
      <c r="AM366" s="39">
        <v>196.47</v>
      </c>
      <c r="AN366" s="39">
        <v>197.67727629000001</v>
      </c>
      <c r="AO366" s="39">
        <v>658.92425430000003</v>
      </c>
      <c r="AP366" s="47" t="s">
        <v>1363</v>
      </c>
      <c r="AQ366" s="88" t="s">
        <v>1364</v>
      </c>
      <c r="AR366" s="57"/>
    </row>
    <row r="367" spans="1:44" x14ac:dyDescent="0.3">
      <c r="A367" s="25" t="s">
        <v>1509</v>
      </c>
      <c r="B367" s="25" t="s">
        <v>119</v>
      </c>
      <c r="C367" s="25" t="s">
        <v>120</v>
      </c>
      <c r="D367" s="25" t="s">
        <v>121</v>
      </c>
      <c r="E367" s="86" t="s">
        <v>77</v>
      </c>
      <c r="F367" s="47" t="s">
        <v>122</v>
      </c>
      <c r="G367" s="47" t="s">
        <v>1365</v>
      </c>
      <c r="H367" s="47" t="s">
        <v>79</v>
      </c>
      <c r="I367" s="47" t="s">
        <v>80</v>
      </c>
      <c r="J367" s="47" t="s">
        <v>94</v>
      </c>
      <c r="K367" s="87" t="s">
        <v>82</v>
      </c>
      <c r="L367" s="47" t="s">
        <v>1366</v>
      </c>
      <c r="M367" s="47" t="s">
        <v>83</v>
      </c>
      <c r="N367" s="89" t="s">
        <v>103</v>
      </c>
      <c r="O367" s="90">
        <v>0.66</v>
      </c>
      <c r="P367" s="47">
        <v>108</v>
      </c>
      <c r="Q367" s="47">
        <v>30</v>
      </c>
      <c r="R367" s="47" t="s">
        <v>87</v>
      </c>
      <c r="S367" s="84" t="s">
        <v>87</v>
      </c>
      <c r="T367" s="92">
        <v>0.8</v>
      </c>
      <c r="U367" s="47">
        <v>200</v>
      </c>
      <c r="V367" s="47">
        <v>600</v>
      </c>
      <c r="W367" s="84">
        <v>400</v>
      </c>
      <c r="X367" s="93">
        <v>180</v>
      </c>
      <c r="Y367" s="47">
        <v>200</v>
      </c>
      <c r="Z367" s="47">
        <v>600</v>
      </c>
      <c r="AA367" s="84">
        <v>400</v>
      </c>
      <c r="AB367" s="93">
        <v>180</v>
      </c>
      <c r="AC367" s="84" t="s">
        <v>87</v>
      </c>
      <c r="AD367" s="84">
        <v>78</v>
      </c>
      <c r="AE367" s="75">
        <v>1.3148</v>
      </c>
      <c r="AF367" s="75">
        <v>1.1289</v>
      </c>
      <c r="AG367" s="75">
        <v>1.196634</v>
      </c>
      <c r="AH367" s="97">
        <v>890.9694320000001</v>
      </c>
      <c r="AI367" s="39">
        <v>127.14154855480534</v>
      </c>
      <c r="AJ367" s="97">
        <v>139.01947568511423</v>
      </c>
      <c r="AK367" s="40">
        <v>276.35065743524609</v>
      </c>
      <c r="AL367" s="41">
        <v>139</v>
      </c>
      <c r="AM367" s="39">
        <v>150.12</v>
      </c>
      <c r="AN367" s="39">
        <v>179.63869607999999</v>
      </c>
      <c r="AO367" s="39">
        <v>598.79565360000004</v>
      </c>
      <c r="AP367" s="47" t="s">
        <v>861</v>
      </c>
      <c r="AQ367" s="88" t="s">
        <v>1373</v>
      </c>
      <c r="AR367" s="57"/>
    </row>
    <row r="368" spans="1:44" x14ac:dyDescent="0.3">
      <c r="A368" s="25" t="s">
        <v>1509</v>
      </c>
      <c r="B368" s="25" t="s">
        <v>119</v>
      </c>
      <c r="C368" s="25" t="s">
        <v>120</v>
      </c>
      <c r="D368" s="25" t="s">
        <v>121</v>
      </c>
      <c r="E368" s="86" t="s">
        <v>77</v>
      </c>
      <c r="F368" s="47" t="s">
        <v>122</v>
      </c>
      <c r="G368" s="47" t="s">
        <v>1367</v>
      </c>
      <c r="H368" s="47" t="s">
        <v>79</v>
      </c>
      <c r="I368" s="47" t="s">
        <v>80</v>
      </c>
      <c r="J368" s="47" t="s">
        <v>94</v>
      </c>
      <c r="K368" s="87" t="s">
        <v>82</v>
      </c>
      <c r="L368" s="47"/>
      <c r="M368" s="47" t="s">
        <v>83</v>
      </c>
      <c r="N368" s="89" t="s">
        <v>103</v>
      </c>
      <c r="O368" s="90">
        <v>0.31</v>
      </c>
      <c r="P368" s="142">
        <v>145</v>
      </c>
      <c r="Q368" s="47">
        <v>30</v>
      </c>
      <c r="R368" s="47" t="s">
        <v>87</v>
      </c>
      <c r="S368" s="84" t="s">
        <v>87</v>
      </c>
      <c r="T368" s="92">
        <v>0.8</v>
      </c>
      <c r="U368" s="47">
        <v>200</v>
      </c>
      <c r="V368" s="47">
        <v>700</v>
      </c>
      <c r="W368" s="84">
        <v>500</v>
      </c>
      <c r="X368" s="93">
        <v>450</v>
      </c>
      <c r="Y368" s="47">
        <v>200</v>
      </c>
      <c r="Z368" s="47">
        <v>700</v>
      </c>
      <c r="AA368" s="84">
        <v>500</v>
      </c>
      <c r="AB368" s="93">
        <v>450</v>
      </c>
      <c r="AC368" s="84" t="s">
        <v>87</v>
      </c>
      <c r="AD368" s="84">
        <v>115</v>
      </c>
      <c r="AE368" s="75">
        <v>1.1565000000000001</v>
      </c>
      <c r="AF368" s="75">
        <v>1.0151293103448276</v>
      </c>
      <c r="AG368" s="75">
        <v>1.0760370689655172</v>
      </c>
      <c r="AH368" s="97">
        <v>868.18261199999995</v>
      </c>
      <c r="AI368" s="39">
        <v>144.54449463022743</v>
      </c>
      <c r="AJ368" s="97">
        <v>158.04825476073339</v>
      </c>
      <c r="AK368" s="40">
        <v>314.17712442357237</v>
      </c>
      <c r="AL368" s="41">
        <v>158</v>
      </c>
      <c r="AM368" s="39">
        <v>229.1</v>
      </c>
      <c r="AN368" s="39">
        <v>246.52009249999998</v>
      </c>
      <c r="AO368" s="39">
        <v>821.73364166666659</v>
      </c>
      <c r="AP368" s="47" t="s">
        <v>1374</v>
      </c>
      <c r="AQ368" s="202" t="s">
        <v>1375</v>
      </c>
      <c r="AR368" s="57"/>
    </row>
    <row r="369" spans="1:44" x14ac:dyDescent="0.3">
      <c r="A369" s="25" t="s">
        <v>1509</v>
      </c>
      <c r="B369" s="25" t="s">
        <v>119</v>
      </c>
      <c r="C369" s="25" t="s">
        <v>120</v>
      </c>
      <c r="D369" s="25" t="s">
        <v>121</v>
      </c>
      <c r="E369" s="26" t="s">
        <v>77</v>
      </c>
      <c r="F369" s="27" t="s">
        <v>78</v>
      </c>
      <c r="G369" s="25" t="s">
        <v>1368</v>
      </c>
      <c r="H369" s="25" t="s">
        <v>79</v>
      </c>
      <c r="I369" s="25" t="s">
        <v>80</v>
      </c>
      <c r="J369" s="25" t="s">
        <v>94</v>
      </c>
      <c r="K369" s="30" t="s">
        <v>82</v>
      </c>
      <c r="L369" s="25" t="s">
        <v>87</v>
      </c>
      <c r="M369" s="25" t="s">
        <v>83</v>
      </c>
      <c r="N369" s="74" t="s">
        <v>103</v>
      </c>
      <c r="O369" s="61">
        <v>0.35</v>
      </c>
      <c r="P369" s="220">
        <v>145</v>
      </c>
      <c r="Q369" s="25">
        <v>30</v>
      </c>
      <c r="R369" s="25" t="s">
        <v>87</v>
      </c>
      <c r="S369" s="34" t="s">
        <v>87</v>
      </c>
      <c r="T369" s="35">
        <v>0.8</v>
      </c>
      <c r="U369" s="25">
        <v>200</v>
      </c>
      <c r="V369" s="25">
        <v>700</v>
      </c>
      <c r="W369" s="34">
        <v>500</v>
      </c>
      <c r="X369" s="36">
        <v>450</v>
      </c>
      <c r="Y369" s="25">
        <v>20</v>
      </c>
      <c r="Z369" s="25">
        <v>700</v>
      </c>
      <c r="AA369" s="34">
        <v>680</v>
      </c>
      <c r="AB369" s="36">
        <v>450</v>
      </c>
      <c r="AC369" s="34" t="s">
        <v>87</v>
      </c>
      <c r="AD369" s="34">
        <v>115</v>
      </c>
      <c r="AE369" s="37">
        <v>1.2025000000000001</v>
      </c>
      <c r="AF369" s="37">
        <v>1.042887931034483</v>
      </c>
      <c r="AG369" s="37">
        <v>1.1054612068965519</v>
      </c>
      <c r="AH369" s="38">
        <v>870.78682000000003</v>
      </c>
      <c r="AI369" s="39">
        <v>139.01514182108775</v>
      </c>
      <c r="AJ369" s="38">
        <v>152.00233399649744</v>
      </c>
      <c r="AK369" s="40">
        <v>302.15870635830476</v>
      </c>
      <c r="AL369" s="41"/>
      <c r="AM369" s="39">
        <v>0</v>
      </c>
      <c r="AN369" s="39">
        <v>0</v>
      </c>
      <c r="AO369" s="39">
        <v>0</v>
      </c>
      <c r="AP369" s="25" t="s">
        <v>1376</v>
      </c>
      <c r="AQ369" s="43"/>
      <c r="AR369" s="25" t="s">
        <v>1377</v>
      </c>
    </row>
    <row r="370" spans="1:44" x14ac:dyDescent="0.3">
      <c r="A370" s="25" t="s">
        <v>1509</v>
      </c>
      <c r="B370" s="25" t="s">
        <v>119</v>
      </c>
      <c r="C370" s="25" t="s">
        <v>120</v>
      </c>
      <c r="D370" s="25" t="s">
        <v>121</v>
      </c>
      <c r="E370" s="86" t="s">
        <v>77</v>
      </c>
      <c r="F370" s="47" t="s">
        <v>122</v>
      </c>
      <c r="G370" s="47" t="s">
        <v>1369</v>
      </c>
      <c r="H370" s="47" t="s">
        <v>79</v>
      </c>
      <c r="I370" s="47" t="s">
        <v>80</v>
      </c>
      <c r="J370" s="47" t="s">
        <v>94</v>
      </c>
      <c r="K370" s="87" t="s">
        <v>82</v>
      </c>
      <c r="L370" s="47" t="s">
        <v>1370</v>
      </c>
      <c r="M370" s="47" t="s">
        <v>83</v>
      </c>
      <c r="N370" s="89" t="s">
        <v>103</v>
      </c>
      <c r="O370" s="90">
        <v>0.3</v>
      </c>
      <c r="P370" s="47">
        <v>110</v>
      </c>
      <c r="Q370" s="47">
        <v>30</v>
      </c>
      <c r="R370" s="47" t="s">
        <v>87</v>
      </c>
      <c r="S370" s="84" t="s">
        <v>87</v>
      </c>
      <c r="T370" s="92">
        <v>0.8</v>
      </c>
      <c r="U370" s="47">
        <v>366</v>
      </c>
      <c r="V370" s="47">
        <v>613</v>
      </c>
      <c r="W370" s="84">
        <v>247</v>
      </c>
      <c r="X370" s="93">
        <v>187</v>
      </c>
      <c r="Y370" s="47">
        <v>280</v>
      </c>
      <c r="Z370" s="47">
        <v>700</v>
      </c>
      <c r="AA370" s="84">
        <v>420</v>
      </c>
      <c r="AB370" s="93">
        <v>100</v>
      </c>
      <c r="AC370" s="84" t="s">
        <v>87</v>
      </c>
      <c r="AD370" s="84">
        <v>80</v>
      </c>
      <c r="AE370" s="75">
        <v>1.04</v>
      </c>
      <c r="AF370" s="75">
        <v>0.95272727272727287</v>
      </c>
      <c r="AG370" s="75">
        <v>1.0098909090909092</v>
      </c>
      <c r="AH370" s="97">
        <v>867.53156000000013</v>
      </c>
      <c r="AI370" s="39">
        <v>160.7362577306327</v>
      </c>
      <c r="AJ370" s="97">
        <v>175.75269868345015</v>
      </c>
      <c r="AK370" s="40">
        <v>349.37100422678981</v>
      </c>
      <c r="AL370" s="98">
        <v>120</v>
      </c>
      <c r="AM370" s="39">
        <v>132</v>
      </c>
      <c r="AN370" s="39">
        <v>133.3056</v>
      </c>
      <c r="AO370" s="39">
        <v>444.35200000000003</v>
      </c>
      <c r="AP370" s="47" t="s">
        <v>1378</v>
      </c>
      <c r="AQ370" s="88" t="s">
        <v>1379</v>
      </c>
      <c r="AR370" s="202" t="s">
        <v>1380</v>
      </c>
    </row>
    <row r="371" spans="1:44" x14ac:dyDescent="0.3">
      <c r="A371" s="25" t="s">
        <v>1509</v>
      </c>
      <c r="B371" s="25" t="s">
        <v>119</v>
      </c>
      <c r="C371" s="25" t="s">
        <v>120</v>
      </c>
      <c r="D371" s="25" t="s">
        <v>121</v>
      </c>
      <c r="E371" s="86" t="s">
        <v>77</v>
      </c>
      <c r="F371" s="47" t="s">
        <v>122</v>
      </c>
      <c r="G371" s="47" t="s">
        <v>1371</v>
      </c>
      <c r="H371" s="47" t="s">
        <v>79</v>
      </c>
      <c r="I371" s="47" t="s">
        <v>80</v>
      </c>
      <c r="J371" s="47" t="s">
        <v>94</v>
      </c>
      <c r="K371" s="87" t="s">
        <v>82</v>
      </c>
      <c r="L371" s="47" t="s">
        <v>1372</v>
      </c>
      <c r="M371" s="47" t="s">
        <v>83</v>
      </c>
      <c r="N371" s="89" t="s">
        <v>103</v>
      </c>
      <c r="O371" s="90">
        <v>0.33</v>
      </c>
      <c r="P371" s="47">
        <v>110</v>
      </c>
      <c r="Q371" s="47">
        <v>30</v>
      </c>
      <c r="R371" s="47" t="s">
        <v>87</v>
      </c>
      <c r="S371" s="84" t="s">
        <v>87</v>
      </c>
      <c r="T371" s="92">
        <v>0.8</v>
      </c>
      <c r="U371" s="47">
        <v>366</v>
      </c>
      <c r="V371" s="47">
        <v>613</v>
      </c>
      <c r="W371" s="84">
        <v>247</v>
      </c>
      <c r="X371" s="93">
        <v>187</v>
      </c>
      <c r="Y371" s="47">
        <v>280</v>
      </c>
      <c r="Z371" s="47">
        <v>700</v>
      </c>
      <c r="AA371" s="84">
        <v>420</v>
      </c>
      <c r="AB371" s="93">
        <v>100</v>
      </c>
      <c r="AC371" s="84" t="s">
        <v>87</v>
      </c>
      <c r="AD371" s="84">
        <v>80</v>
      </c>
      <c r="AE371" s="75">
        <v>1.0640000000000001</v>
      </c>
      <c r="AF371" s="75">
        <v>0.96800000000000008</v>
      </c>
      <c r="AG371" s="75">
        <v>1.0260800000000001</v>
      </c>
      <c r="AH371" s="97">
        <v>869.48471600000005</v>
      </c>
      <c r="AI371" s="39">
        <v>157.11062785700943</v>
      </c>
      <c r="AJ371" s="97">
        <v>171.78835209660542</v>
      </c>
      <c r="AK371" s="40">
        <v>341.49045525926829</v>
      </c>
      <c r="AL371" s="98">
        <v>120</v>
      </c>
      <c r="AM371" s="39">
        <v>132</v>
      </c>
      <c r="AN371" s="39">
        <v>135.44256000000001</v>
      </c>
      <c r="AO371" s="39">
        <v>451.47520000000009</v>
      </c>
      <c r="AP371" s="47" t="s">
        <v>1378</v>
      </c>
      <c r="AQ371" s="88" t="s">
        <v>1381</v>
      </c>
      <c r="AR371" s="202" t="s">
        <v>1380</v>
      </c>
    </row>
    <row r="372" spans="1:44" ht="82.5" x14ac:dyDescent="0.3">
      <c r="A372" s="25" t="s">
        <v>1509</v>
      </c>
      <c r="B372" s="25" t="s">
        <v>119</v>
      </c>
      <c r="C372" s="25" t="s">
        <v>120</v>
      </c>
      <c r="D372" s="25" t="s">
        <v>121</v>
      </c>
      <c r="E372" s="86" t="s">
        <v>77</v>
      </c>
      <c r="F372" s="47" t="s">
        <v>122</v>
      </c>
      <c r="G372" s="47" t="s">
        <v>1382</v>
      </c>
      <c r="H372" s="47" t="s">
        <v>101</v>
      </c>
      <c r="I372" s="47" t="s">
        <v>80</v>
      </c>
      <c r="J372" s="47" t="s">
        <v>94</v>
      </c>
      <c r="K372" s="87" t="s">
        <v>82</v>
      </c>
      <c r="L372" s="47" t="s">
        <v>186</v>
      </c>
      <c r="M372" s="47" t="s">
        <v>83</v>
      </c>
      <c r="N372" s="89" t="s">
        <v>103</v>
      </c>
      <c r="O372" s="90">
        <v>0.23</v>
      </c>
      <c r="P372" s="203">
        <v>138</v>
      </c>
      <c r="Q372" s="47">
        <v>30</v>
      </c>
      <c r="R372" s="47" t="s">
        <v>87</v>
      </c>
      <c r="S372" s="84" t="s">
        <v>87</v>
      </c>
      <c r="T372" s="90">
        <v>0.8</v>
      </c>
      <c r="U372" s="297">
        <v>250</v>
      </c>
      <c r="V372" s="47">
        <v>850</v>
      </c>
      <c r="W372" s="84">
        <v>600</v>
      </c>
      <c r="X372" s="84">
        <v>230</v>
      </c>
      <c r="Y372" s="297">
        <v>250</v>
      </c>
      <c r="Z372" s="47">
        <v>850</v>
      </c>
      <c r="AA372" s="84">
        <v>600</v>
      </c>
      <c r="AB372" s="84">
        <v>230</v>
      </c>
      <c r="AC372" s="298" t="s">
        <v>87</v>
      </c>
      <c r="AD372" s="84">
        <v>108</v>
      </c>
      <c r="AE372" s="75">
        <v>1.0484</v>
      </c>
      <c r="AF372" s="75">
        <v>0.95120000000000005</v>
      </c>
      <c r="AG372" s="75">
        <v>1.0082720000000001</v>
      </c>
      <c r="AH372" s="97">
        <v>862.97419600000001</v>
      </c>
      <c r="AI372" s="39">
        <v>159.44840522687716</v>
      </c>
      <c r="AJ372" s="97">
        <v>174.34453131513561</v>
      </c>
      <c r="AK372" s="40">
        <v>346.57177069425933</v>
      </c>
      <c r="AL372" s="41">
        <v>174</v>
      </c>
      <c r="AM372" s="39">
        <v>240.12</v>
      </c>
      <c r="AN372" s="39">
        <v>242.10627264000001</v>
      </c>
      <c r="AO372" s="39">
        <v>807.02090880000003</v>
      </c>
      <c r="AP372" s="47" t="s">
        <v>1386</v>
      </c>
      <c r="AQ372" s="299" t="s">
        <v>1387</v>
      </c>
      <c r="AR372" s="88" t="s">
        <v>1388</v>
      </c>
    </row>
    <row r="373" spans="1:44" x14ac:dyDescent="0.25">
      <c r="A373" s="25" t="s">
        <v>1509</v>
      </c>
      <c r="B373" s="25" t="s">
        <v>119</v>
      </c>
      <c r="C373" s="25" t="s">
        <v>120</v>
      </c>
      <c r="D373" s="25" t="s">
        <v>121</v>
      </c>
      <c r="E373" s="86" t="s">
        <v>77</v>
      </c>
      <c r="F373" s="47" t="s">
        <v>122</v>
      </c>
      <c r="G373" s="47" t="s">
        <v>1383</v>
      </c>
      <c r="H373" s="47" t="s">
        <v>101</v>
      </c>
      <c r="I373" s="47" t="s">
        <v>80</v>
      </c>
      <c r="J373" s="47" t="s">
        <v>94</v>
      </c>
      <c r="K373" s="87" t="s">
        <v>82</v>
      </c>
      <c r="L373" s="47"/>
      <c r="M373" s="47" t="s">
        <v>83</v>
      </c>
      <c r="N373" s="89" t="s">
        <v>103</v>
      </c>
      <c r="O373" s="90">
        <v>0.22</v>
      </c>
      <c r="P373" s="203">
        <v>138</v>
      </c>
      <c r="Q373" s="47">
        <v>30</v>
      </c>
      <c r="R373" s="47" t="s">
        <v>87</v>
      </c>
      <c r="S373" s="84" t="s">
        <v>87</v>
      </c>
      <c r="T373" s="90">
        <v>0.8</v>
      </c>
      <c r="U373" s="297">
        <v>250</v>
      </c>
      <c r="V373" s="47">
        <v>850</v>
      </c>
      <c r="W373" s="84">
        <v>600</v>
      </c>
      <c r="X373" s="84">
        <v>230</v>
      </c>
      <c r="Y373" s="297">
        <v>250</v>
      </c>
      <c r="Z373" s="47">
        <v>850</v>
      </c>
      <c r="AA373" s="84">
        <v>600</v>
      </c>
      <c r="AB373" s="84">
        <v>230</v>
      </c>
      <c r="AC373" s="298" t="s">
        <v>87</v>
      </c>
      <c r="AD373" s="94">
        <v>108</v>
      </c>
      <c r="AE373" s="95">
        <v>1.0376000000000001</v>
      </c>
      <c r="AF373" s="95">
        <v>0.94462608695652184</v>
      </c>
      <c r="AG373" s="75">
        <v>1.0013036521739132</v>
      </c>
      <c r="AH373" s="97">
        <v>862.32314400000007</v>
      </c>
      <c r="AI373" s="39">
        <v>161.10804552800505</v>
      </c>
      <c r="AJ373" s="97">
        <v>176.15921996028158</v>
      </c>
      <c r="AK373" s="40">
        <v>350.17910986493973</v>
      </c>
      <c r="AL373" s="41">
        <v>176</v>
      </c>
      <c r="AM373" s="39">
        <v>242.88</v>
      </c>
      <c r="AN373" s="39">
        <v>243.19663104000003</v>
      </c>
      <c r="AO373" s="39">
        <v>810.65543680000007</v>
      </c>
      <c r="AP373" s="47"/>
      <c r="AQ373" s="300" t="s">
        <v>1389</v>
      </c>
      <c r="AR373" s="88"/>
    </row>
    <row r="374" spans="1:44" x14ac:dyDescent="0.3">
      <c r="A374" s="25" t="s">
        <v>1509</v>
      </c>
      <c r="B374" s="25" t="s">
        <v>119</v>
      </c>
      <c r="C374" s="25" t="s">
        <v>120</v>
      </c>
      <c r="D374" s="25" t="s">
        <v>121</v>
      </c>
      <c r="E374" s="86" t="s">
        <v>77</v>
      </c>
      <c r="F374" s="47" t="s">
        <v>122</v>
      </c>
      <c r="G374" s="47" t="s">
        <v>1384</v>
      </c>
      <c r="H374" s="47" t="s">
        <v>101</v>
      </c>
      <c r="I374" s="47" t="s">
        <v>80</v>
      </c>
      <c r="J374" s="47" t="s">
        <v>94</v>
      </c>
      <c r="K374" s="87" t="s">
        <v>82</v>
      </c>
      <c r="L374" s="47" t="s">
        <v>1385</v>
      </c>
      <c r="M374" s="47" t="s">
        <v>83</v>
      </c>
      <c r="N374" s="89" t="s">
        <v>103</v>
      </c>
      <c r="O374" s="90">
        <v>0.62</v>
      </c>
      <c r="P374" s="47">
        <v>100</v>
      </c>
      <c r="Q374" s="96">
        <v>22</v>
      </c>
      <c r="R374" s="47" t="s">
        <v>87</v>
      </c>
      <c r="S374" s="84" t="s">
        <v>87</v>
      </c>
      <c r="T374" s="92">
        <v>0.8</v>
      </c>
      <c r="U374" s="47">
        <v>160</v>
      </c>
      <c r="V374" s="47">
        <v>660</v>
      </c>
      <c r="W374" s="84">
        <v>500</v>
      </c>
      <c r="X374" s="93">
        <v>120</v>
      </c>
      <c r="Y374" s="47">
        <v>160</v>
      </c>
      <c r="Z374" s="47">
        <v>660</v>
      </c>
      <c r="AA374" s="84">
        <v>500</v>
      </c>
      <c r="AB374" s="93">
        <v>120</v>
      </c>
      <c r="AC374" s="84" t="s">
        <v>87</v>
      </c>
      <c r="AD374" s="94">
        <v>78</v>
      </c>
      <c r="AE374" s="95">
        <v>1.2836000000000001</v>
      </c>
      <c r="AF374" s="95">
        <v>1.0949960000000001</v>
      </c>
      <c r="AG374" s="75">
        <v>1.1606957600000001</v>
      </c>
      <c r="AH374" s="97">
        <v>888.36522400000001</v>
      </c>
      <c r="AI374" s="39">
        <v>130.23193209711596</v>
      </c>
      <c r="AJ374" s="97">
        <v>142.39857169740432</v>
      </c>
      <c r="AK374" s="40">
        <v>283.06781271101704</v>
      </c>
      <c r="AL374" s="41">
        <v>50</v>
      </c>
      <c r="AM374" s="39">
        <v>50</v>
      </c>
      <c r="AN374" s="39">
        <v>58.034788000000006</v>
      </c>
      <c r="AO374" s="39">
        <v>263.79449090909094</v>
      </c>
      <c r="AP374" s="47" t="s">
        <v>1390</v>
      </c>
      <c r="AQ374" s="108" t="s">
        <v>1391</v>
      </c>
      <c r="AR374" s="88"/>
    </row>
    <row r="375" spans="1:44" x14ac:dyDescent="0.2">
      <c r="A375" s="25" t="s">
        <v>1509</v>
      </c>
      <c r="B375" s="25" t="s">
        <v>119</v>
      </c>
      <c r="C375" s="25" t="s">
        <v>120</v>
      </c>
      <c r="D375" s="25" t="s">
        <v>121</v>
      </c>
      <c r="E375" s="47"/>
      <c r="F375" s="47" t="s">
        <v>122</v>
      </c>
      <c r="G375" s="47" t="s">
        <v>1392</v>
      </c>
      <c r="H375" s="47" t="s">
        <v>79</v>
      </c>
      <c r="I375" s="47" t="s">
        <v>80</v>
      </c>
      <c r="J375" s="47" t="s">
        <v>94</v>
      </c>
      <c r="K375" s="87" t="s">
        <v>82</v>
      </c>
      <c r="L375" s="47"/>
      <c r="M375" s="47" t="s">
        <v>83</v>
      </c>
      <c r="N375" s="89" t="s">
        <v>103</v>
      </c>
      <c r="O375" s="90">
        <v>0.52</v>
      </c>
      <c r="P375" s="47">
        <v>115</v>
      </c>
      <c r="Q375" s="47">
        <v>30</v>
      </c>
      <c r="R375" s="47" t="s">
        <v>87</v>
      </c>
      <c r="S375" s="84" t="s">
        <v>87</v>
      </c>
      <c r="T375" s="92">
        <v>0.8</v>
      </c>
      <c r="U375" s="47">
        <v>200</v>
      </c>
      <c r="V375" s="47">
        <v>600</v>
      </c>
      <c r="W375" s="84">
        <v>400</v>
      </c>
      <c r="X375" s="93">
        <v>250</v>
      </c>
      <c r="Y375" s="47">
        <v>200</v>
      </c>
      <c r="Z375" s="47">
        <v>600</v>
      </c>
      <c r="AA375" s="84">
        <v>400</v>
      </c>
      <c r="AB375" s="93">
        <v>250</v>
      </c>
      <c r="AC375" s="84" t="s">
        <v>87</v>
      </c>
      <c r="AD375" s="84">
        <v>85</v>
      </c>
      <c r="AE375" s="75">
        <v>1.242</v>
      </c>
      <c r="AF375" s="75">
        <v>1.0786521739130435</v>
      </c>
      <c r="AG375" s="75">
        <v>1.1433713043478262</v>
      </c>
      <c r="AH375" s="97">
        <v>881.85470400000008</v>
      </c>
      <c r="AI375" s="39">
        <v>134.59396782597264</v>
      </c>
      <c r="AJ375" s="97">
        <v>147.16812128082785</v>
      </c>
      <c r="AK375" s="40">
        <v>292.54898904658734</v>
      </c>
      <c r="AL375" s="41">
        <v>147</v>
      </c>
      <c r="AM375" s="39">
        <v>169.05</v>
      </c>
      <c r="AN375" s="39">
        <v>193.28691900000004</v>
      </c>
      <c r="AO375" s="39">
        <v>644.28973000000019</v>
      </c>
      <c r="AP375" s="301"/>
      <c r="AQ375" s="108"/>
      <c r="AR375" s="88"/>
    </row>
    <row r="376" spans="1:44" x14ac:dyDescent="0.2">
      <c r="A376" s="25" t="s">
        <v>1509</v>
      </c>
      <c r="B376" s="25" t="s">
        <v>119</v>
      </c>
      <c r="C376" s="25" t="s">
        <v>120</v>
      </c>
      <c r="D376" s="25" t="s">
        <v>121</v>
      </c>
      <c r="E376" s="47"/>
      <c r="F376" s="47" t="s">
        <v>122</v>
      </c>
      <c r="G376" s="47" t="s">
        <v>1393</v>
      </c>
      <c r="H376" s="47" t="s">
        <v>79</v>
      </c>
      <c r="I376" s="47" t="s">
        <v>80</v>
      </c>
      <c r="J376" s="47" t="s">
        <v>94</v>
      </c>
      <c r="K376" s="87" t="s">
        <v>82</v>
      </c>
      <c r="L376" s="47"/>
      <c r="M376" s="47" t="s">
        <v>83</v>
      </c>
      <c r="N376" s="89" t="s">
        <v>103</v>
      </c>
      <c r="O376" s="90">
        <v>0.56999999999999995</v>
      </c>
      <c r="P376" s="47">
        <v>115</v>
      </c>
      <c r="Q376" s="47">
        <v>30</v>
      </c>
      <c r="R376" s="47" t="s">
        <v>87</v>
      </c>
      <c r="S376" s="84" t="s">
        <v>87</v>
      </c>
      <c r="T376" s="92">
        <v>0.8</v>
      </c>
      <c r="U376" s="47">
        <v>200</v>
      </c>
      <c r="V376" s="47">
        <v>600</v>
      </c>
      <c r="W376" s="84">
        <v>400</v>
      </c>
      <c r="X376" s="93">
        <v>250</v>
      </c>
      <c r="Y376" s="47">
        <v>200</v>
      </c>
      <c r="Z376" s="47">
        <v>600</v>
      </c>
      <c r="AA376" s="84">
        <v>400</v>
      </c>
      <c r="AB376" s="93">
        <v>250</v>
      </c>
      <c r="AC376" s="84" t="s">
        <v>87</v>
      </c>
      <c r="AD376" s="84">
        <v>85</v>
      </c>
      <c r="AE376" s="75">
        <v>1.2845</v>
      </c>
      <c r="AF376" s="75">
        <v>1.1054456521739131</v>
      </c>
      <c r="AG376" s="75">
        <v>1.1717723913043478</v>
      </c>
      <c r="AH376" s="97">
        <v>885.10996399999999</v>
      </c>
      <c r="AI376" s="39">
        <v>130.14068356547921</v>
      </c>
      <c r="AJ376" s="97">
        <v>142.29879846694291</v>
      </c>
      <c r="AK376" s="40">
        <v>282.86947792593338</v>
      </c>
      <c r="AL376" s="41">
        <v>142</v>
      </c>
      <c r="AM376" s="39">
        <v>163.30000000000001</v>
      </c>
      <c r="AN376" s="39">
        <v>191.35043150000001</v>
      </c>
      <c r="AO376" s="39">
        <v>637.83477166666671</v>
      </c>
      <c r="AP376" s="301"/>
      <c r="AQ376" s="108"/>
      <c r="AR376" s="88"/>
    </row>
    <row r="377" spans="1:44" x14ac:dyDescent="0.2">
      <c r="A377" s="25" t="s">
        <v>1509</v>
      </c>
      <c r="B377" s="25" t="s">
        <v>119</v>
      </c>
      <c r="C377" s="25" t="s">
        <v>120</v>
      </c>
      <c r="D377" s="25" t="s">
        <v>121</v>
      </c>
      <c r="E377" s="47"/>
      <c r="F377" s="47" t="s">
        <v>122</v>
      </c>
      <c r="G377" s="47" t="s">
        <v>1394</v>
      </c>
      <c r="H377" s="47" t="s">
        <v>79</v>
      </c>
      <c r="I377" s="47" t="s">
        <v>80</v>
      </c>
      <c r="J377" s="47" t="s">
        <v>94</v>
      </c>
      <c r="K377" s="87" t="s">
        <v>82</v>
      </c>
      <c r="L377" s="47"/>
      <c r="M377" s="47" t="s">
        <v>83</v>
      </c>
      <c r="N377" s="89" t="s">
        <v>103</v>
      </c>
      <c r="O377" s="90">
        <v>0.72</v>
      </c>
      <c r="P377" s="47">
        <v>115</v>
      </c>
      <c r="Q377" s="47">
        <v>30</v>
      </c>
      <c r="R377" s="47" t="s">
        <v>87</v>
      </c>
      <c r="S377" s="84" t="s">
        <v>87</v>
      </c>
      <c r="T377" s="92">
        <v>0.8</v>
      </c>
      <c r="U377" s="47">
        <v>200</v>
      </c>
      <c r="V377" s="47">
        <v>600</v>
      </c>
      <c r="W377" s="84">
        <v>400</v>
      </c>
      <c r="X377" s="93">
        <v>250</v>
      </c>
      <c r="Y377" s="47">
        <v>200</v>
      </c>
      <c r="Z377" s="47">
        <v>600</v>
      </c>
      <c r="AA377" s="84">
        <v>400</v>
      </c>
      <c r="AB377" s="93">
        <v>250</v>
      </c>
      <c r="AC377" s="84" t="s">
        <v>87</v>
      </c>
      <c r="AD377" s="84">
        <v>85</v>
      </c>
      <c r="AE377" s="75">
        <v>1.4119999999999999</v>
      </c>
      <c r="AF377" s="75">
        <v>1.1858260869565218</v>
      </c>
      <c r="AG377" s="75">
        <v>1.2569756521739133</v>
      </c>
      <c r="AH377" s="97">
        <v>894.87574400000005</v>
      </c>
      <c r="AI377" s="39">
        <v>118.38931164295894</v>
      </c>
      <c r="AJ377" s="97">
        <v>129.44957976684714</v>
      </c>
      <c r="AK377" s="40">
        <v>257.32708526619086</v>
      </c>
      <c r="AL377" s="41">
        <v>129</v>
      </c>
      <c r="AM377" s="39">
        <v>148.35</v>
      </c>
      <c r="AN377" s="39">
        <v>186.47233800000004</v>
      </c>
      <c r="AO377" s="39">
        <v>621.57446000000016</v>
      </c>
      <c r="AP377" s="301"/>
      <c r="AQ377" s="108"/>
      <c r="AR377" s="88"/>
    </row>
    <row r="378" spans="1:44" x14ac:dyDescent="0.3">
      <c r="A378" s="25" t="s">
        <v>1509</v>
      </c>
      <c r="B378" s="25" t="s">
        <v>119</v>
      </c>
      <c r="C378" s="25" t="s">
        <v>120</v>
      </c>
      <c r="D378" s="25" t="s">
        <v>121</v>
      </c>
      <c r="E378" s="178" t="s">
        <v>130</v>
      </c>
      <c r="F378" s="27" t="s">
        <v>78</v>
      </c>
      <c r="G378" s="25" t="s">
        <v>1395</v>
      </c>
      <c r="H378" s="25" t="s">
        <v>79</v>
      </c>
      <c r="I378" s="25" t="s">
        <v>80</v>
      </c>
      <c r="J378" s="29" t="s">
        <v>81</v>
      </c>
      <c r="K378" s="30" t="s">
        <v>82</v>
      </c>
      <c r="L378" s="257" t="s">
        <v>1396</v>
      </c>
      <c r="M378" s="25" t="s">
        <v>83</v>
      </c>
      <c r="N378" s="74" t="s">
        <v>103</v>
      </c>
      <c r="O378" s="61">
        <v>0.53</v>
      </c>
      <c r="P378" s="25">
        <v>94</v>
      </c>
      <c r="Q378" s="96">
        <v>26</v>
      </c>
      <c r="R378" s="33">
        <v>18</v>
      </c>
      <c r="S378" s="34">
        <v>76</v>
      </c>
      <c r="T378" s="35">
        <v>0.8</v>
      </c>
      <c r="U378" s="25">
        <v>170</v>
      </c>
      <c r="V378" s="25">
        <v>560</v>
      </c>
      <c r="W378" s="34">
        <v>390</v>
      </c>
      <c r="X378" s="93">
        <v>120</v>
      </c>
      <c r="Y378" s="25">
        <v>160</v>
      </c>
      <c r="Z378" s="25">
        <v>560</v>
      </c>
      <c r="AA378" s="34">
        <v>400</v>
      </c>
      <c r="AB378" s="36">
        <v>120</v>
      </c>
      <c r="AC378" s="34">
        <v>80</v>
      </c>
      <c r="AD378" s="34">
        <v>68</v>
      </c>
      <c r="AE378" s="37">
        <v>1.1604000000000001</v>
      </c>
      <c r="AF378" s="37">
        <v>1.0300425531914894</v>
      </c>
      <c r="AG378" s="37">
        <v>1.0918451063829788</v>
      </c>
      <c r="AH378" s="38">
        <v>882.50575600000013</v>
      </c>
      <c r="AI378" s="39">
        <v>144.05869358829545</v>
      </c>
      <c r="AJ378" s="38">
        <v>157.51706879592223</v>
      </c>
      <c r="AK378" s="40">
        <v>313.12120337457895</v>
      </c>
      <c r="AL378" s="41">
        <v>158</v>
      </c>
      <c r="AM378" s="39">
        <v>148.52000000000001</v>
      </c>
      <c r="AN378" s="39">
        <v>162.16083520000004</v>
      </c>
      <c r="AO378" s="39">
        <v>623.6955200000001</v>
      </c>
      <c r="AP378" s="42" t="s">
        <v>1399</v>
      </c>
      <c r="AQ378" s="43" t="s">
        <v>1400</v>
      </c>
      <c r="AR378" s="43"/>
    </row>
    <row r="379" spans="1:44" x14ac:dyDescent="0.3">
      <c r="A379" s="25" t="s">
        <v>1509</v>
      </c>
      <c r="B379" s="25" t="s">
        <v>119</v>
      </c>
      <c r="C379" s="25" t="s">
        <v>120</v>
      </c>
      <c r="D379" s="25" t="s">
        <v>121</v>
      </c>
      <c r="E379" s="178" t="s">
        <v>130</v>
      </c>
      <c r="F379" s="27" t="s">
        <v>78</v>
      </c>
      <c r="G379" s="25" t="s">
        <v>1397</v>
      </c>
      <c r="H379" s="25" t="s">
        <v>79</v>
      </c>
      <c r="I379" s="25" t="s">
        <v>80</v>
      </c>
      <c r="J379" s="25" t="s">
        <v>94</v>
      </c>
      <c r="K379" s="30" t="s">
        <v>82</v>
      </c>
      <c r="L379" s="257" t="s">
        <v>1398</v>
      </c>
      <c r="M379" s="25" t="s">
        <v>83</v>
      </c>
      <c r="N379" s="74" t="s">
        <v>103</v>
      </c>
      <c r="O379" s="61">
        <v>0.56999999999999995</v>
      </c>
      <c r="P379" s="25">
        <v>110</v>
      </c>
      <c r="Q379" s="25">
        <v>30</v>
      </c>
      <c r="R379" s="25" t="s">
        <v>87</v>
      </c>
      <c r="S379" s="34" t="s">
        <v>87</v>
      </c>
      <c r="T379" s="35">
        <v>0.8</v>
      </c>
      <c r="U379" s="25">
        <v>170</v>
      </c>
      <c r="V379" s="25">
        <v>560</v>
      </c>
      <c r="W379" s="34">
        <v>390</v>
      </c>
      <c r="X379" s="36">
        <v>240</v>
      </c>
      <c r="Y379" s="25">
        <v>170</v>
      </c>
      <c r="Z379" s="25">
        <v>570</v>
      </c>
      <c r="AA379" s="34">
        <v>400</v>
      </c>
      <c r="AB379" s="36">
        <v>230</v>
      </c>
      <c r="AC379" s="34" t="s">
        <v>87</v>
      </c>
      <c r="AD379" s="34">
        <v>80</v>
      </c>
      <c r="AE379" s="37">
        <v>1.256</v>
      </c>
      <c r="AF379" s="37">
        <v>1.0901818181818184</v>
      </c>
      <c r="AG379" s="37">
        <v>1.1555927272727273</v>
      </c>
      <c r="AH379" s="38">
        <v>885.10996399999999</v>
      </c>
      <c r="AI379" s="39">
        <v>133.09371659224368</v>
      </c>
      <c r="AJ379" s="38">
        <v>145.52771228565939</v>
      </c>
      <c r="AK379" s="40">
        <v>289.28809267186426</v>
      </c>
      <c r="AL379" s="41">
        <v>146</v>
      </c>
      <c r="AM379" s="39">
        <v>160.6</v>
      </c>
      <c r="AN379" s="39">
        <v>185.58819199999999</v>
      </c>
      <c r="AO379" s="39">
        <v>618.62730666666664</v>
      </c>
      <c r="AP379" s="42" t="s">
        <v>1399</v>
      </c>
      <c r="AQ379" s="62" t="s">
        <v>1401</v>
      </c>
      <c r="AR379" s="43"/>
    </row>
    <row r="380" spans="1:44" x14ac:dyDescent="0.3">
      <c r="A380" s="25" t="s">
        <v>1509</v>
      </c>
      <c r="B380" s="25" t="s">
        <v>119</v>
      </c>
      <c r="C380" s="25" t="s">
        <v>120</v>
      </c>
      <c r="D380" s="25" t="s">
        <v>121</v>
      </c>
      <c r="E380" s="86" t="s">
        <v>77</v>
      </c>
      <c r="F380" s="27" t="s">
        <v>78</v>
      </c>
      <c r="G380" s="47" t="s">
        <v>1402</v>
      </c>
      <c r="H380" s="47" t="s">
        <v>79</v>
      </c>
      <c r="I380" s="47" t="s">
        <v>80</v>
      </c>
      <c r="J380" s="47" t="s">
        <v>94</v>
      </c>
      <c r="K380" s="87" t="s">
        <v>82</v>
      </c>
      <c r="L380" s="302"/>
      <c r="M380" s="47" t="s">
        <v>83</v>
      </c>
      <c r="N380" s="84" t="s">
        <v>142</v>
      </c>
      <c r="O380" s="90">
        <v>0.36</v>
      </c>
      <c r="P380" s="47">
        <v>106</v>
      </c>
      <c r="Q380" s="96">
        <v>29</v>
      </c>
      <c r="R380" s="47" t="s">
        <v>87</v>
      </c>
      <c r="S380" s="84" t="s">
        <v>87</v>
      </c>
      <c r="T380" s="92">
        <v>0.8</v>
      </c>
      <c r="U380" s="47">
        <v>220</v>
      </c>
      <c r="V380" s="47">
        <v>640</v>
      </c>
      <c r="W380" s="84">
        <v>420</v>
      </c>
      <c r="X380" s="93">
        <v>130</v>
      </c>
      <c r="Y380" s="47">
        <v>220</v>
      </c>
      <c r="Z380" s="47">
        <v>640</v>
      </c>
      <c r="AA380" s="84">
        <v>420</v>
      </c>
      <c r="AB380" s="93">
        <v>130</v>
      </c>
      <c r="AC380" s="84" t="s">
        <v>87</v>
      </c>
      <c r="AD380" s="84">
        <v>77</v>
      </c>
      <c r="AE380" s="75">
        <v>1.0771999999999999</v>
      </c>
      <c r="AF380" s="75">
        <v>0.97651886792452824</v>
      </c>
      <c r="AG380" s="75">
        <v>1.03511</v>
      </c>
      <c r="AH380" s="97">
        <v>871.43787200000008</v>
      </c>
      <c r="AI380" s="39">
        <v>155.18539550673788</v>
      </c>
      <c r="AJ380" s="97">
        <v>169.683259033409</v>
      </c>
      <c r="AK380" s="40">
        <v>337.30583401026871</v>
      </c>
      <c r="AL380" s="41">
        <v>337</v>
      </c>
      <c r="AM380" s="39">
        <v>357.22</v>
      </c>
      <c r="AN380" s="39">
        <v>369.7619942</v>
      </c>
      <c r="AO380" s="39">
        <v>1275.0413593103449</v>
      </c>
      <c r="AP380" s="107" t="s">
        <v>1403</v>
      </c>
      <c r="AQ380" s="108"/>
      <c r="AR380" s="88"/>
    </row>
    <row r="381" spans="1:44" x14ac:dyDescent="0.3">
      <c r="A381" s="25" t="s">
        <v>1509</v>
      </c>
      <c r="B381" s="25" t="s">
        <v>119</v>
      </c>
      <c r="C381" s="25" t="s">
        <v>120</v>
      </c>
      <c r="D381" s="25" t="s">
        <v>121</v>
      </c>
      <c r="E381" s="25" t="s">
        <v>130</v>
      </c>
      <c r="F381" s="27" t="s">
        <v>78</v>
      </c>
      <c r="G381" s="25" t="s">
        <v>1404</v>
      </c>
      <c r="H381" s="25" t="s">
        <v>79</v>
      </c>
      <c r="I381" s="25" t="s">
        <v>80</v>
      </c>
      <c r="J381" s="25" t="s">
        <v>94</v>
      </c>
      <c r="K381" s="30" t="s">
        <v>82</v>
      </c>
      <c r="L381" s="25" t="s">
        <v>1405</v>
      </c>
      <c r="M381" s="25" t="s">
        <v>83</v>
      </c>
      <c r="N381" s="74" t="s">
        <v>103</v>
      </c>
      <c r="O381" s="61">
        <v>0.5</v>
      </c>
      <c r="P381" s="25">
        <v>100</v>
      </c>
      <c r="Q381" s="32">
        <v>28</v>
      </c>
      <c r="R381" s="25" t="s">
        <v>87</v>
      </c>
      <c r="S381" s="84" t="s">
        <v>87</v>
      </c>
      <c r="T381" s="35">
        <v>0.8</v>
      </c>
      <c r="U381" s="303">
        <v>80</v>
      </c>
      <c r="V381" s="25">
        <v>600</v>
      </c>
      <c r="W381" s="34">
        <v>520</v>
      </c>
      <c r="X381" s="93">
        <v>120</v>
      </c>
      <c r="Y381" s="25">
        <v>80</v>
      </c>
      <c r="Z381" s="25">
        <v>600</v>
      </c>
      <c r="AA381" s="34">
        <v>520</v>
      </c>
      <c r="AB381" s="36">
        <v>120</v>
      </c>
      <c r="AC381" s="34" t="s">
        <v>87</v>
      </c>
      <c r="AD381" s="34">
        <v>72</v>
      </c>
      <c r="AE381" s="37">
        <v>1.1600000000000001</v>
      </c>
      <c r="AF381" s="37">
        <v>1.0304</v>
      </c>
      <c r="AG381" s="37">
        <v>1.0922239999999999</v>
      </c>
      <c r="AH381" s="38">
        <v>880.5526000000001</v>
      </c>
      <c r="AI381" s="39">
        <v>144.1083689998776</v>
      </c>
      <c r="AJ381" s="38">
        <v>157.57138502654149</v>
      </c>
      <c r="AK381" s="40">
        <v>313.22917620332879</v>
      </c>
      <c r="AL381" s="41">
        <v>158</v>
      </c>
      <c r="AM381" s="39">
        <v>158</v>
      </c>
      <c r="AN381" s="39">
        <v>172.57139199999997</v>
      </c>
      <c r="AO381" s="39">
        <v>616.32639999999981</v>
      </c>
      <c r="AP381" s="42" t="s">
        <v>1406</v>
      </c>
      <c r="AQ381" s="62" t="s">
        <v>1407</v>
      </c>
      <c r="AR381" s="43" t="s">
        <v>1408</v>
      </c>
    </row>
    <row r="382" spans="1:44" x14ac:dyDescent="0.3">
      <c r="A382" s="25" t="s">
        <v>1509</v>
      </c>
      <c r="B382" s="25" t="s">
        <v>119</v>
      </c>
      <c r="C382" s="25" t="s">
        <v>120</v>
      </c>
      <c r="D382" s="25" t="s">
        <v>121</v>
      </c>
      <c r="E382" s="47" t="s">
        <v>130</v>
      </c>
      <c r="F382" s="47" t="s">
        <v>122</v>
      </c>
      <c r="G382" s="47" t="s">
        <v>1409</v>
      </c>
      <c r="H382" s="47" t="s">
        <v>79</v>
      </c>
      <c r="I382" s="47" t="s">
        <v>80</v>
      </c>
      <c r="J382" s="265" t="s">
        <v>81</v>
      </c>
      <c r="K382" s="87" t="s">
        <v>82</v>
      </c>
      <c r="L382" s="47" t="s">
        <v>1410</v>
      </c>
      <c r="M382" s="47" t="s">
        <v>83</v>
      </c>
      <c r="N382" s="89" t="s">
        <v>103</v>
      </c>
      <c r="O382" s="90">
        <v>0.5</v>
      </c>
      <c r="P382" s="47">
        <v>115</v>
      </c>
      <c r="Q382" s="47">
        <v>30</v>
      </c>
      <c r="R382" s="264">
        <v>18</v>
      </c>
      <c r="S382" s="84">
        <v>97</v>
      </c>
      <c r="T382" s="92">
        <v>0.8</v>
      </c>
      <c r="U382" s="47">
        <v>200</v>
      </c>
      <c r="V382" s="47">
        <v>600</v>
      </c>
      <c r="W382" s="84">
        <v>400</v>
      </c>
      <c r="X382" s="93">
        <v>250</v>
      </c>
      <c r="Y382" s="47">
        <v>200</v>
      </c>
      <c r="Z382" s="47">
        <v>600</v>
      </c>
      <c r="AA382" s="84">
        <v>400</v>
      </c>
      <c r="AB382" s="93">
        <v>250</v>
      </c>
      <c r="AC382" s="84">
        <v>120</v>
      </c>
      <c r="AD382" s="84">
        <v>85</v>
      </c>
      <c r="AE382" s="75">
        <v>1.2250000000000001</v>
      </c>
      <c r="AF382" s="75">
        <v>1.0679347826086958</v>
      </c>
      <c r="AG382" s="75">
        <v>1.1320108695652173</v>
      </c>
      <c r="AH382" s="97">
        <v>880.5526000000001</v>
      </c>
      <c r="AI382" s="39">
        <v>136.46180248151674</v>
      </c>
      <c r="AJ382" s="97">
        <v>149.21045439248013</v>
      </c>
      <c r="AK382" s="40">
        <v>296.60885256805011</v>
      </c>
      <c r="AL382" s="41">
        <v>149</v>
      </c>
      <c r="AM382" s="39">
        <v>171.35</v>
      </c>
      <c r="AN382" s="39">
        <v>193.97006249999998</v>
      </c>
      <c r="AO382" s="39">
        <v>646.56687499999998</v>
      </c>
      <c r="AP382" s="107" t="s">
        <v>1415</v>
      </c>
      <c r="AQ382" s="108" t="s">
        <v>1416</v>
      </c>
      <c r="AR382" s="88"/>
    </row>
    <row r="383" spans="1:44" x14ac:dyDescent="0.3">
      <c r="A383" s="25" t="s">
        <v>1509</v>
      </c>
      <c r="B383" s="25" t="s">
        <v>119</v>
      </c>
      <c r="C383" s="25" t="s">
        <v>120</v>
      </c>
      <c r="D383" s="25" t="s">
        <v>121</v>
      </c>
      <c r="E383" s="25" t="s">
        <v>130</v>
      </c>
      <c r="F383" s="27" t="s">
        <v>78</v>
      </c>
      <c r="G383" s="25" t="s">
        <v>1411</v>
      </c>
      <c r="H383" s="25" t="s">
        <v>79</v>
      </c>
      <c r="I383" s="25" t="s">
        <v>80</v>
      </c>
      <c r="J383" s="25" t="s">
        <v>94</v>
      </c>
      <c r="K383" s="30" t="s">
        <v>82</v>
      </c>
      <c r="L383" s="25" t="s">
        <v>1412</v>
      </c>
      <c r="M383" s="25" t="s">
        <v>83</v>
      </c>
      <c r="N383" s="74" t="s">
        <v>103</v>
      </c>
      <c r="O383" s="61">
        <v>0.5</v>
      </c>
      <c r="P383" s="25">
        <v>100</v>
      </c>
      <c r="Q383" s="25">
        <v>30</v>
      </c>
      <c r="R383" s="25" t="s">
        <v>87</v>
      </c>
      <c r="S383" s="84" t="s">
        <v>87</v>
      </c>
      <c r="T383" s="35">
        <v>0.8</v>
      </c>
      <c r="U383" s="25">
        <v>150</v>
      </c>
      <c r="V383" s="25">
        <v>500</v>
      </c>
      <c r="W383" s="34">
        <v>350</v>
      </c>
      <c r="X383" s="36">
        <v>200</v>
      </c>
      <c r="Y383" s="25">
        <v>200</v>
      </c>
      <c r="Z383" s="25">
        <v>600</v>
      </c>
      <c r="AA383" s="34">
        <v>400</v>
      </c>
      <c r="AB383" s="36">
        <v>100</v>
      </c>
      <c r="AC383" s="34" t="s">
        <v>87</v>
      </c>
      <c r="AD383" s="34">
        <v>70</v>
      </c>
      <c r="AE383" s="37">
        <v>1.1500000000000001</v>
      </c>
      <c r="AF383" s="37">
        <v>1.0275000000000001</v>
      </c>
      <c r="AG383" s="37">
        <v>1.0891500000000001</v>
      </c>
      <c r="AH383" s="38">
        <v>880.5526000000001</v>
      </c>
      <c r="AI383" s="39">
        <v>145.36148525205044</v>
      </c>
      <c r="AJ383" s="38">
        <v>158.94157098329404</v>
      </c>
      <c r="AK383" s="40">
        <v>315.95290817031423</v>
      </c>
      <c r="AL383" s="41">
        <v>159</v>
      </c>
      <c r="AM383" s="39">
        <v>159</v>
      </c>
      <c r="AN383" s="39">
        <v>173.17485000000002</v>
      </c>
      <c r="AO383" s="39">
        <v>577.24950000000013</v>
      </c>
      <c r="AP383" s="42" t="s">
        <v>1415</v>
      </c>
      <c r="AQ383" s="62" t="s">
        <v>1417</v>
      </c>
      <c r="AR383" s="43" t="s">
        <v>1418</v>
      </c>
    </row>
    <row r="384" spans="1:44" x14ac:dyDescent="0.3">
      <c r="A384" s="25" t="s">
        <v>1509</v>
      </c>
      <c r="B384" s="25" t="s">
        <v>119</v>
      </c>
      <c r="C384" s="25" t="s">
        <v>120</v>
      </c>
      <c r="D384" s="25" t="s">
        <v>121</v>
      </c>
      <c r="E384" s="25" t="s">
        <v>130</v>
      </c>
      <c r="F384" s="27" t="s">
        <v>78</v>
      </c>
      <c r="G384" s="25" t="s">
        <v>1413</v>
      </c>
      <c r="H384" s="25" t="s">
        <v>79</v>
      </c>
      <c r="I384" s="25" t="s">
        <v>80</v>
      </c>
      <c r="J384" s="25" t="s">
        <v>94</v>
      </c>
      <c r="K384" s="30" t="s">
        <v>82</v>
      </c>
      <c r="L384" s="25" t="s">
        <v>1414</v>
      </c>
      <c r="M384" s="25" t="s">
        <v>83</v>
      </c>
      <c r="N384" s="74" t="s">
        <v>103</v>
      </c>
      <c r="O384" s="61">
        <v>0.5</v>
      </c>
      <c r="P384" s="25">
        <v>91</v>
      </c>
      <c r="Q384" s="32">
        <v>25</v>
      </c>
      <c r="R384" s="25" t="s">
        <v>87</v>
      </c>
      <c r="S384" s="84" t="s">
        <v>87</v>
      </c>
      <c r="T384" s="35">
        <v>0.8</v>
      </c>
      <c r="U384" s="25">
        <v>150</v>
      </c>
      <c r="V384" s="25">
        <v>500</v>
      </c>
      <c r="W384" s="34">
        <v>350</v>
      </c>
      <c r="X384" s="36">
        <v>160</v>
      </c>
      <c r="Y384" s="25">
        <v>150</v>
      </c>
      <c r="Z384" s="25">
        <v>550</v>
      </c>
      <c r="AA384" s="34">
        <v>400</v>
      </c>
      <c r="AB384" s="36">
        <v>110</v>
      </c>
      <c r="AC384" s="34" t="s">
        <v>87</v>
      </c>
      <c r="AD384" s="34">
        <v>66</v>
      </c>
      <c r="AE384" s="37">
        <v>1.1300000000000001</v>
      </c>
      <c r="AF384" s="37">
        <v>1.0103296703296705</v>
      </c>
      <c r="AG384" s="37">
        <v>1.0709494505494506</v>
      </c>
      <c r="AH384" s="38">
        <v>880.5526000000001</v>
      </c>
      <c r="AI384" s="39">
        <v>147.9342549025292</v>
      </c>
      <c r="AJ384" s="38">
        <v>161.75469613344083</v>
      </c>
      <c r="AK384" s="40">
        <v>321.54499504058532</v>
      </c>
      <c r="AL384" s="41">
        <v>162</v>
      </c>
      <c r="AM384" s="39">
        <v>147.41999999999999</v>
      </c>
      <c r="AN384" s="39">
        <v>157.879368</v>
      </c>
      <c r="AO384" s="39">
        <v>631.517472</v>
      </c>
      <c r="AP384" s="42" t="s">
        <v>1415</v>
      </c>
      <c r="AQ384" s="62" t="s">
        <v>1419</v>
      </c>
      <c r="AR384" s="43" t="s">
        <v>1420</v>
      </c>
    </row>
    <row r="385" spans="1:44" x14ac:dyDescent="0.3">
      <c r="A385" s="25" t="s">
        <v>1509</v>
      </c>
      <c r="B385" s="25" t="s">
        <v>119</v>
      </c>
      <c r="C385" s="25" t="s">
        <v>120</v>
      </c>
      <c r="D385" s="25" t="s">
        <v>121</v>
      </c>
      <c r="E385" s="47" t="s">
        <v>130</v>
      </c>
      <c r="F385" s="47" t="s">
        <v>122</v>
      </c>
      <c r="G385" s="47" t="s">
        <v>1421</v>
      </c>
      <c r="H385" s="47" t="s">
        <v>79</v>
      </c>
      <c r="I385" s="47" t="s">
        <v>80</v>
      </c>
      <c r="J385" s="265" t="s">
        <v>81</v>
      </c>
      <c r="K385" s="87" t="s">
        <v>82</v>
      </c>
      <c r="L385" s="47" t="s">
        <v>1422</v>
      </c>
      <c r="M385" s="47" t="s">
        <v>83</v>
      </c>
      <c r="N385" s="89" t="s">
        <v>103</v>
      </c>
      <c r="O385" s="90">
        <v>0.5</v>
      </c>
      <c r="P385" s="47">
        <v>98</v>
      </c>
      <c r="Q385" s="47">
        <v>30</v>
      </c>
      <c r="R385" s="304">
        <v>16</v>
      </c>
      <c r="S385" s="84">
        <v>82</v>
      </c>
      <c r="T385" s="92">
        <v>0.8</v>
      </c>
      <c r="U385" s="47">
        <v>150</v>
      </c>
      <c r="V385" s="47">
        <v>550</v>
      </c>
      <c r="W385" s="84">
        <v>400</v>
      </c>
      <c r="X385" s="93">
        <v>130</v>
      </c>
      <c r="Y385" s="47">
        <v>150</v>
      </c>
      <c r="Z385" s="47">
        <v>600</v>
      </c>
      <c r="AA385" s="84">
        <v>450</v>
      </c>
      <c r="AB385" s="93">
        <v>80</v>
      </c>
      <c r="AC385" s="84">
        <v>140</v>
      </c>
      <c r="AD385" s="84">
        <v>68</v>
      </c>
      <c r="AE385" s="75">
        <v>1.1400000000000001</v>
      </c>
      <c r="AF385" s="75">
        <v>1.0220408163265307</v>
      </c>
      <c r="AG385" s="75">
        <v>1.0833632653061225</v>
      </c>
      <c r="AH385" s="97">
        <v>880.5526000000001</v>
      </c>
      <c r="AI385" s="39">
        <v>146.63658599987545</v>
      </c>
      <c r="AJ385" s="97">
        <v>160.33579529016504</v>
      </c>
      <c r="AK385" s="40">
        <v>318.72442490865035</v>
      </c>
      <c r="AL385" s="41">
        <v>160</v>
      </c>
      <c r="AM385" s="39">
        <v>156.80000000000001</v>
      </c>
      <c r="AN385" s="39">
        <v>169.87136000000001</v>
      </c>
      <c r="AO385" s="39">
        <v>566.23786666666672</v>
      </c>
      <c r="AP385" s="107" t="s">
        <v>1470</v>
      </c>
      <c r="AQ385" s="108" t="s">
        <v>1471</v>
      </c>
      <c r="AR385" s="88"/>
    </row>
    <row r="386" spans="1:44" x14ac:dyDescent="0.3">
      <c r="A386" s="25" t="s">
        <v>1509</v>
      </c>
      <c r="B386" s="25" t="s">
        <v>119</v>
      </c>
      <c r="C386" s="25" t="s">
        <v>120</v>
      </c>
      <c r="D386" s="25" t="s">
        <v>121</v>
      </c>
      <c r="E386" s="66" t="s">
        <v>130</v>
      </c>
      <c r="F386" s="213" t="s">
        <v>139</v>
      </c>
      <c r="G386" s="66" t="s">
        <v>1423</v>
      </c>
      <c r="H386" s="66" t="s">
        <v>79</v>
      </c>
      <c r="I386" s="66" t="s">
        <v>80</v>
      </c>
      <c r="J386" s="66" t="s">
        <v>94</v>
      </c>
      <c r="K386" s="111" t="s">
        <v>82</v>
      </c>
      <c r="L386" s="66" t="s">
        <v>1424</v>
      </c>
      <c r="M386" s="66" t="s">
        <v>83</v>
      </c>
      <c r="N386" s="183" t="s">
        <v>103</v>
      </c>
      <c r="O386" s="113">
        <v>0.5</v>
      </c>
      <c r="P386" s="66">
        <v>101</v>
      </c>
      <c r="Q386" s="66">
        <v>30</v>
      </c>
      <c r="R386" s="66" t="s">
        <v>87</v>
      </c>
      <c r="S386" s="84" t="s">
        <v>87</v>
      </c>
      <c r="T386" s="114">
        <v>0.8</v>
      </c>
      <c r="U386" s="66">
        <v>150</v>
      </c>
      <c r="V386" s="66">
        <v>550</v>
      </c>
      <c r="W386" s="115">
        <v>400</v>
      </c>
      <c r="X386" s="184">
        <v>160</v>
      </c>
      <c r="Y386" s="66">
        <v>150</v>
      </c>
      <c r="Z386" s="66">
        <v>600</v>
      </c>
      <c r="AA386" s="115">
        <v>450</v>
      </c>
      <c r="AB386" s="184">
        <v>110</v>
      </c>
      <c r="AC386" s="115" t="s">
        <v>87</v>
      </c>
      <c r="AD386" s="115">
        <v>71</v>
      </c>
      <c r="AE386" s="116">
        <v>1.155</v>
      </c>
      <c r="AF386" s="116">
        <v>1.0302227722772279</v>
      </c>
      <c r="AG386" s="116">
        <v>1.0920361386138617</v>
      </c>
      <c r="AH386" s="118">
        <v>880.5526000000001</v>
      </c>
      <c r="AI386" s="117">
        <v>144.73221475312383</v>
      </c>
      <c r="AJ386" s="118">
        <v>158.25351223444864</v>
      </c>
      <c r="AK386" s="119">
        <v>314.58514666308349</v>
      </c>
      <c r="AL386" s="120">
        <v>158</v>
      </c>
      <c r="AM386" s="117">
        <v>159.58000000000001</v>
      </c>
      <c r="AN386" s="117">
        <v>174.26712700000007</v>
      </c>
      <c r="AO386" s="117">
        <v>580.89042333333362</v>
      </c>
      <c r="AP386" s="121" t="s">
        <v>1470</v>
      </c>
      <c r="AQ386" s="185" t="s">
        <v>1472</v>
      </c>
      <c r="AR386" s="123"/>
    </row>
    <row r="387" spans="1:44" x14ac:dyDescent="0.3">
      <c r="A387" s="25" t="s">
        <v>1509</v>
      </c>
      <c r="B387" s="25" t="s">
        <v>119</v>
      </c>
      <c r="C387" s="25" t="s">
        <v>120</v>
      </c>
      <c r="D387" s="25" t="s">
        <v>121</v>
      </c>
      <c r="E387" s="47" t="s">
        <v>130</v>
      </c>
      <c r="F387" s="210" t="s">
        <v>139</v>
      </c>
      <c r="G387" s="47" t="s">
        <v>1425</v>
      </c>
      <c r="H387" s="47" t="s">
        <v>79</v>
      </c>
      <c r="I387" s="47" t="s">
        <v>80</v>
      </c>
      <c r="J387" s="47" t="s">
        <v>94</v>
      </c>
      <c r="K387" s="87" t="s">
        <v>82</v>
      </c>
      <c r="L387" s="47" t="s">
        <v>1426</v>
      </c>
      <c r="M387" s="47" t="s">
        <v>83</v>
      </c>
      <c r="N387" s="89" t="s">
        <v>103</v>
      </c>
      <c r="O387" s="90">
        <v>0.5</v>
      </c>
      <c r="P387" s="47">
        <v>105</v>
      </c>
      <c r="Q387" s="47">
        <v>30</v>
      </c>
      <c r="R387" s="47" t="s">
        <v>87</v>
      </c>
      <c r="S387" s="84" t="s">
        <v>87</v>
      </c>
      <c r="T387" s="92">
        <v>0.8</v>
      </c>
      <c r="U387" s="47">
        <v>200</v>
      </c>
      <c r="V387" s="47">
        <v>600</v>
      </c>
      <c r="W387" s="84">
        <v>400</v>
      </c>
      <c r="X387" s="93">
        <v>150</v>
      </c>
      <c r="Y387" s="47">
        <v>150</v>
      </c>
      <c r="Z387" s="47">
        <v>600</v>
      </c>
      <c r="AA387" s="84">
        <v>450</v>
      </c>
      <c r="AB387" s="93">
        <v>150</v>
      </c>
      <c r="AC387" s="84" t="s">
        <v>87</v>
      </c>
      <c r="AD387" s="84">
        <v>75</v>
      </c>
      <c r="AE387" s="75">
        <v>1.175</v>
      </c>
      <c r="AF387" s="75">
        <v>1.0410714285714286</v>
      </c>
      <c r="AG387" s="75">
        <v>1.1035357142857145</v>
      </c>
      <c r="AH387" s="97">
        <v>880.5526000000001</v>
      </c>
      <c r="AI387" s="39">
        <v>142.26868769349619</v>
      </c>
      <c r="AJ387" s="97">
        <v>155.55983543045801</v>
      </c>
      <c r="AK387" s="40">
        <v>309.23050586881823</v>
      </c>
      <c r="AL387" s="41">
        <v>156</v>
      </c>
      <c r="AM387" s="39">
        <v>163.80000000000001</v>
      </c>
      <c r="AN387" s="39">
        <v>180.75915000000006</v>
      </c>
      <c r="AO387" s="39">
        <v>602.53050000000019</v>
      </c>
      <c r="AP387" s="107" t="s">
        <v>1470</v>
      </c>
      <c r="AQ387" s="108" t="s">
        <v>1473</v>
      </c>
      <c r="AR387" s="88"/>
    </row>
    <row r="388" spans="1:44" x14ac:dyDescent="0.3">
      <c r="A388" s="25" t="s">
        <v>1509</v>
      </c>
      <c r="B388" s="25" t="s">
        <v>119</v>
      </c>
      <c r="C388" s="25" t="s">
        <v>120</v>
      </c>
      <c r="D388" s="25" t="s">
        <v>121</v>
      </c>
      <c r="E388" s="47" t="s">
        <v>130</v>
      </c>
      <c r="F388" s="210" t="s">
        <v>139</v>
      </c>
      <c r="G388" s="47" t="s">
        <v>1427</v>
      </c>
      <c r="H388" s="47" t="s">
        <v>79</v>
      </c>
      <c r="I388" s="47" t="s">
        <v>80</v>
      </c>
      <c r="J388" s="47" t="s">
        <v>94</v>
      </c>
      <c r="K388" s="87" t="s">
        <v>82</v>
      </c>
      <c r="L388" s="47" t="s">
        <v>1428</v>
      </c>
      <c r="M388" s="47" t="s">
        <v>83</v>
      </c>
      <c r="N388" s="89" t="s">
        <v>103</v>
      </c>
      <c r="O388" s="90">
        <v>0.5</v>
      </c>
      <c r="P388" s="47">
        <v>110</v>
      </c>
      <c r="Q388" s="47">
        <v>30</v>
      </c>
      <c r="R388" s="47" t="s">
        <v>87</v>
      </c>
      <c r="S388" s="84" t="s">
        <v>87</v>
      </c>
      <c r="T388" s="92">
        <v>0.8</v>
      </c>
      <c r="U388" s="47">
        <v>200</v>
      </c>
      <c r="V388" s="47">
        <v>600</v>
      </c>
      <c r="W388" s="84">
        <v>400</v>
      </c>
      <c r="X388" s="93">
        <v>200</v>
      </c>
      <c r="Y388" s="47">
        <v>150</v>
      </c>
      <c r="Z388" s="47">
        <v>600</v>
      </c>
      <c r="AA388" s="84">
        <v>450</v>
      </c>
      <c r="AB388" s="93">
        <v>200</v>
      </c>
      <c r="AC388" s="84" t="s">
        <v>87</v>
      </c>
      <c r="AD388" s="84">
        <v>80</v>
      </c>
      <c r="AE388" s="75">
        <v>1.2000000000000002</v>
      </c>
      <c r="AF388" s="75">
        <v>1.0545454545454545</v>
      </c>
      <c r="AG388" s="75">
        <v>1.1178181818181818</v>
      </c>
      <c r="AH388" s="97">
        <v>880.5526000000001</v>
      </c>
      <c r="AI388" s="39">
        <v>139.30475669988166</v>
      </c>
      <c r="AJ388" s="97">
        <v>152.31900552565676</v>
      </c>
      <c r="AK388" s="40">
        <v>302.78820366321781</v>
      </c>
      <c r="AL388" s="41">
        <v>152</v>
      </c>
      <c r="AM388" s="39">
        <v>167.2</v>
      </c>
      <c r="AN388" s="39">
        <v>186.89919999999998</v>
      </c>
      <c r="AO388" s="39">
        <v>622.99733333333324</v>
      </c>
      <c r="AP388" s="107" t="s">
        <v>1470</v>
      </c>
      <c r="AQ388" s="108" t="s">
        <v>1474</v>
      </c>
      <c r="AR388" s="88"/>
    </row>
    <row r="389" spans="1:44" x14ac:dyDescent="0.3">
      <c r="A389" s="25" t="s">
        <v>1509</v>
      </c>
      <c r="B389" s="25" t="s">
        <v>119</v>
      </c>
      <c r="C389" s="25" t="s">
        <v>120</v>
      </c>
      <c r="D389" s="25" t="s">
        <v>121</v>
      </c>
      <c r="E389" s="47" t="s">
        <v>130</v>
      </c>
      <c r="F389" s="210" t="s">
        <v>139</v>
      </c>
      <c r="G389" s="47" t="s">
        <v>1429</v>
      </c>
      <c r="H389" s="47" t="s">
        <v>79</v>
      </c>
      <c r="I389" s="47" t="s">
        <v>80</v>
      </c>
      <c r="J389" s="47" t="s">
        <v>94</v>
      </c>
      <c r="K389" s="87" t="s">
        <v>82</v>
      </c>
      <c r="L389" s="47" t="s">
        <v>1430</v>
      </c>
      <c r="M389" s="47" t="s">
        <v>83</v>
      </c>
      <c r="N389" s="89" t="s">
        <v>103</v>
      </c>
      <c r="O389" s="90">
        <v>0.5</v>
      </c>
      <c r="P389" s="47">
        <v>96</v>
      </c>
      <c r="Q389" s="47">
        <v>30</v>
      </c>
      <c r="R389" s="47" t="s">
        <v>87</v>
      </c>
      <c r="S389" s="84" t="s">
        <v>87</v>
      </c>
      <c r="T389" s="92">
        <v>0.8</v>
      </c>
      <c r="U389" s="47">
        <v>150</v>
      </c>
      <c r="V389" s="47">
        <v>500</v>
      </c>
      <c r="W389" s="84">
        <v>350</v>
      </c>
      <c r="X389" s="93">
        <v>160</v>
      </c>
      <c r="Y389" s="47">
        <v>150</v>
      </c>
      <c r="Z389" s="47">
        <v>550</v>
      </c>
      <c r="AA389" s="84">
        <v>400</v>
      </c>
      <c r="AB389" s="93">
        <v>110</v>
      </c>
      <c r="AC389" s="84" t="s">
        <v>87</v>
      </c>
      <c r="AD389" s="84">
        <v>66</v>
      </c>
      <c r="AE389" s="75">
        <v>1.1300000000000001</v>
      </c>
      <c r="AF389" s="75">
        <v>1.0165625</v>
      </c>
      <c r="AG389" s="75">
        <v>1.0775562500000002</v>
      </c>
      <c r="AH389" s="97">
        <v>880.5526000000001</v>
      </c>
      <c r="AI389" s="39">
        <v>147.9342549025292</v>
      </c>
      <c r="AJ389" s="97">
        <v>161.75469613344083</v>
      </c>
      <c r="AK389" s="40">
        <v>321.54499504058532</v>
      </c>
      <c r="AL389" s="41">
        <v>162</v>
      </c>
      <c r="AM389" s="39">
        <v>155.52000000000001</v>
      </c>
      <c r="AN389" s="39">
        <v>167.58154800000005</v>
      </c>
      <c r="AO389" s="39">
        <v>558.60516000000018</v>
      </c>
      <c r="AP389" s="107" t="s">
        <v>1415</v>
      </c>
      <c r="AQ389" s="108" t="s">
        <v>1475</v>
      </c>
      <c r="AR389" s="88" t="s">
        <v>1476</v>
      </c>
    </row>
    <row r="390" spans="1:44" x14ac:dyDescent="0.3">
      <c r="A390" s="25" t="s">
        <v>1509</v>
      </c>
      <c r="B390" s="25" t="s">
        <v>119</v>
      </c>
      <c r="C390" s="25" t="s">
        <v>120</v>
      </c>
      <c r="D390" s="25" t="s">
        <v>121</v>
      </c>
      <c r="E390" s="47" t="s">
        <v>130</v>
      </c>
      <c r="F390" s="47" t="s">
        <v>122</v>
      </c>
      <c r="G390" s="47" t="s">
        <v>1431</v>
      </c>
      <c r="H390" s="47" t="s">
        <v>79</v>
      </c>
      <c r="I390" s="47" t="s">
        <v>80</v>
      </c>
      <c r="J390" s="265" t="s">
        <v>81</v>
      </c>
      <c r="K390" s="87" t="s">
        <v>82</v>
      </c>
      <c r="L390" s="47" t="s">
        <v>1432</v>
      </c>
      <c r="M390" s="47" t="s">
        <v>83</v>
      </c>
      <c r="N390" s="89" t="s">
        <v>103</v>
      </c>
      <c r="O390" s="90">
        <v>0.5</v>
      </c>
      <c r="P390" s="47">
        <v>88</v>
      </c>
      <c r="Q390" s="96">
        <v>25</v>
      </c>
      <c r="R390" s="304">
        <v>15</v>
      </c>
      <c r="S390" s="84">
        <v>73</v>
      </c>
      <c r="T390" s="92">
        <v>0.8</v>
      </c>
      <c r="U390" s="47">
        <v>150</v>
      </c>
      <c r="V390" s="47">
        <v>500</v>
      </c>
      <c r="W390" s="84">
        <v>350</v>
      </c>
      <c r="X390" s="93">
        <v>130</v>
      </c>
      <c r="Y390" s="47">
        <v>100</v>
      </c>
      <c r="Z390" s="47">
        <v>500</v>
      </c>
      <c r="AA390" s="84">
        <v>400</v>
      </c>
      <c r="AB390" s="93">
        <v>130</v>
      </c>
      <c r="AC390" s="84">
        <v>100</v>
      </c>
      <c r="AD390" s="84">
        <v>63</v>
      </c>
      <c r="AE390" s="75">
        <v>1.115</v>
      </c>
      <c r="AF390" s="75">
        <v>1.0022443181818181</v>
      </c>
      <c r="AG390" s="75">
        <v>1.0623789772727272</v>
      </c>
      <c r="AH390" s="97">
        <v>880.5526000000001</v>
      </c>
      <c r="AI390" s="39">
        <v>149.92440182946908</v>
      </c>
      <c r="AJ390" s="97">
        <v>163.93076827873378</v>
      </c>
      <c r="AK390" s="40">
        <v>325.870712462656</v>
      </c>
      <c r="AL390" s="41">
        <v>164</v>
      </c>
      <c r="AM390" s="39">
        <v>144.32</v>
      </c>
      <c r="AN390" s="39">
        <v>153.32253399999999</v>
      </c>
      <c r="AO390" s="39">
        <v>613.29013599999996</v>
      </c>
      <c r="AP390" s="107" t="s">
        <v>1415</v>
      </c>
      <c r="AQ390" s="108" t="s">
        <v>1477</v>
      </c>
      <c r="AR390" s="88"/>
    </row>
    <row r="391" spans="1:44" x14ac:dyDescent="0.3">
      <c r="A391" s="25" t="s">
        <v>1509</v>
      </c>
      <c r="B391" s="25" t="s">
        <v>119</v>
      </c>
      <c r="C391" s="25" t="s">
        <v>120</v>
      </c>
      <c r="D391" s="25" t="s">
        <v>121</v>
      </c>
      <c r="E391" s="25" t="s">
        <v>130</v>
      </c>
      <c r="F391" s="27" t="s">
        <v>78</v>
      </c>
      <c r="G391" s="25" t="s">
        <v>1433</v>
      </c>
      <c r="H391" s="25" t="s">
        <v>79</v>
      </c>
      <c r="I391" s="25" t="s">
        <v>80</v>
      </c>
      <c r="J391" s="25" t="s">
        <v>94</v>
      </c>
      <c r="K391" s="30" t="s">
        <v>82</v>
      </c>
      <c r="L391" s="25" t="s">
        <v>1434</v>
      </c>
      <c r="M391" s="25" t="s">
        <v>83</v>
      </c>
      <c r="N391" s="74" t="s">
        <v>103</v>
      </c>
      <c r="O391" s="61">
        <v>0.5</v>
      </c>
      <c r="P391" s="25">
        <v>91</v>
      </c>
      <c r="Q391" s="32">
        <v>24</v>
      </c>
      <c r="R391" s="25" t="s">
        <v>87</v>
      </c>
      <c r="S391" s="84" t="s">
        <v>87</v>
      </c>
      <c r="T391" s="35">
        <v>0.8</v>
      </c>
      <c r="U391" s="303">
        <v>80</v>
      </c>
      <c r="V391" s="25">
        <v>546</v>
      </c>
      <c r="W391" s="34">
        <v>466</v>
      </c>
      <c r="X391" s="36">
        <v>124</v>
      </c>
      <c r="Y391" s="25">
        <v>80</v>
      </c>
      <c r="Z391" s="25">
        <v>546</v>
      </c>
      <c r="AA391" s="34">
        <v>466</v>
      </c>
      <c r="AB391" s="36">
        <v>124</v>
      </c>
      <c r="AC391" s="34" t="s">
        <v>87</v>
      </c>
      <c r="AD391" s="34">
        <v>67</v>
      </c>
      <c r="AE391" s="37">
        <v>1.135</v>
      </c>
      <c r="AF391" s="37">
        <v>1.0116758241758241</v>
      </c>
      <c r="AG391" s="37">
        <v>1.0723763736263736</v>
      </c>
      <c r="AH391" s="38">
        <v>880.5526000000001</v>
      </c>
      <c r="AI391" s="39">
        <v>147.28256214965464</v>
      </c>
      <c r="AJ391" s="38">
        <v>161.04212037954906</v>
      </c>
      <c r="AK391" s="40">
        <v>320.12849726507619</v>
      </c>
      <c r="AL391" s="41">
        <v>161</v>
      </c>
      <c r="AM391" s="39">
        <v>146.51</v>
      </c>
      <c r="AN391" s="39">
        <v>157.11386249999998</v>
      </c>
      <c r="AO391" s="39">
        <v>654.64109374999998</v>
      </c>
      <c r="AP391" s="42" t="s">
        <v>1478</v>
      </c>
      <c r="AQ391" s="62" t="s">
        <v>1479</v>
      </c>
      <c r="AR391" s="43" t="s">
        <v>1480</v>
      </c>
    </row>
    <row r="392" spans="1:44" x14ac:dyDescent="0.3">
      <c r="A392" s="25" t="s">
        <v>1509</v>
      </c>
      <c r="B392" s="25" t="s">
        <v>119</v>
      </c>
      <c r="C392" s="25" t="s">
        <v>120</v>
      </c>
      <c r="D392" s="25" t="s">
        <v>121</v>
      </c>
      <c r="E392" s="25" t="s">
        <v>130</v>
      </c>
      <c r="F392" s="27" t="s">
        <v>78</v>
      </c>
      <c r="G392" s="25" t="s">
        <v>1435</v>
      </c>
      <c r="H392" s="25" t="s">
        <v>79</v>
      </c>
      <c r="I392" s="25" t="s">
        <v>80</v>
      </c>
      <c r="J392" s="25" t="s">
        <v>94</v>
      </c>
      <c r="K392" s="30" t="s">
        <v>82</v>
      </c>
      <c r="L392" s="25" t="s">
        <v>1436</v>
      </c>
      <c r="M392" s="25" t="s">
        <v>83</v>
      </c>
      <c r="N392" s="74" t="s">
        <v>103</v>
      </c>
      <c r="O392" s="61">
        <v>0.5</v>
      </c>
      <c r="P392" s="25">
        <v>96</v>
      </c>
      <c r="Q392" s="32">
        <v>26</v>
      </c>
      <c r="R392" s="25" t="s">
        <v>87</v>
      </c>
      <c r="S392" s="84" t="s">
        <v>87</v>
      </c>
      <c r="T392" s="35">
        <v>0.8</v>
      </c>
      <c r="U392" s="303">
        <v>80</v>
      </c>
      <c r="V392" s="25">
        <v>576</v>
      </c>
      <c r="W392" s="34">
        <v>496</v>
      </c>
      <c r="X392" s="36">
        <v>124</v>
      </c>
      <c r="Y392" s="25">
        <v>80</v>
      </c>
      <c r="Z392" s="25">
        <v>576</v>
      </c>
      <c r="AA392" s="34">
        <v>496</v>
      </c>
      <c r="AB392" s="36">
        <v>124</v>
      </c>
      <c r="AC392" s="34" t="s">
        <v>87</v>
      </c>
      <c r="AD392" s="34">
        <v>70</v>
      </c>
      <c r="AE392" s="37">
        <v>1.1500000000000001</v>
      </c>
      <c r="AF392" s="37">
        <v>1.0223958333333334</v>
      </c>
      <c r="AG392" s="37">
        <v>1.0837395833333334</v>
      </c>
      <c r="AH392" s="38">
        <v>880.5526000000001</v>
      </c>
      <c r="AI392" s="39">
        <v>145.36148525205044</v>
      </c>
      <c r="AJ392" s="38">
        <v>158.94157098329404</v>
      </c>
      <c r="AK392" s="40">
        <v>315.95290817031423</v>
      </c>
      <c r="AL392" s="41">
        <v>159</v>
      </c>
      <c r="AM392" s="39">
        <v>152.63999999999999</v>
      </c>
      <c r="AN392" s="39">
        <v>165.42201</v>
      </c>
      <c r="AO392" s="39">
        <v>636.23849999999993</v>
      </c>
      <c r="AP392" s="42" t="s">
        <v>1406</v>
      </c>
      <c r="AQ392" s="62" t="s">
        <v>1481</v>
      </c>
      <c r="AR392" s="43" t="s">
        <v>1482</v>
      </c>
    </row>
    <row r="393" spans="1:44" x14ac:dyDescent="0.3">
      <c r="A393" s="25" t="s">
        <v>1509</v>
      </c>
      <c r="B393" s="25" t="s">
        <v>119</v>
      </c>
      <c r="C393" s="25" t="s">
        <v>120</v>
      </c>
      <c r="D393" s="25" t="s">
        <v>121</v>
      </c>
      <c r="E393" s="25" t="s">
        <v>130</v>
      </c>
      <c r="F393" s="27" t="s">
        <v>78</v>
      </c>
      <c r="G393" s="25" t="s">
        <v>1437</v>
      </c>
      <c r="H393" s="25" t="s">
        <v>79</v>
      </c>
      <c r="I393" s="25" t="s">
        <v>80</v>
      </c>
      <c r="J393" s="25" t="s">
        <v>94</v>
      </c>
      <c r="K393" s="30" t="s">
        <v>82</v>
      </c>
      <c r="L393" s="25" t="s">
        <v>1438</v>
      </c>
      <c r="M393" s="25" t="s">
        <v>83</v>
      </c>
      <c r="N393" s="74" t="s">
        <v>103</v>
      </c>
      <c r="O393" s="61">
        <v>0.5</v>
      </c>
      <c r="P393" s="25">
        <v>96</v>
      </c>
      <c r="Q393" s="25">
        <v>30</v>
      </c>
      <c r="R393" s="25" t="s">
        <v>87</v>
      </c>
      <c r="S393" s="84" t="s">
        <v>87</v>
      </c>
      <c r="T393" s="35">
        <v>0.8</v>
      </c>
      <c r="U393" s="25">
        <v>140</v>
      </c>
      <c r="V393" s="25">
        <v>540</v>
      </c>
      <c r="W393" s="34">
        <v>400</v>
      </c>
      <c r="X393" s="36">
        <v>120</v>
      </c>
      <c r="Y393" s="25">
        <v>140</v>
      </c>
      <c r="Z393" s="25">
        <v>580</v>
      </c>
      <c r="AA393" s="34">
        <v>440</v>
      </c>
      <c r="AB393" s="36">
        <v>80</v>
      </c>
      <c r="AC393" s="34" t="s">
        <v>87</v>
      </c>
      <c r="AD393" s="34">
        <v>66</v>
      </c>
      <c r="AE393" s="37">
        <v>1.1300000000000001</v>
      </c>
      <c r="AF393" s="37">
        <v>1.0165625</v>
      </c>
      <c r="AG393" s="37">
        <v>1.0775562500000002</v>
      </c>
      <c r="AH393" s="38">
        <v>880.5526000000001</v>
      </c>
      <c r="AI393" s="39">
        <v>147.9342549025292</v>
      </c>
      <c r="AJ393" s="38">
        <v>161.75469613344083</v>
      </c>
      <c r="AK393" s="40">
        <v>321.54499504058532</v>
      </c>
      <c r="AL393" s="41">
        <v>162</v>
      </c>
      <c r="AM393" s="39">
        <v>155.52000000000001</v>
      </c>
      <c r="AN393" s="39">
        <v>167.58154800000005</v>
      </c>
      <c r="AO393" s="39">
        <v>558.60516000000018</v>
      </c>
      <c r="AP393" s="42" t="s">
        <v>1470</v>
      </c>
      <c r="AQ393" s="62" t="s">
        <v>1483</v>
      </c>
      <c r="AR393" s="43" t="s">
        <v>1484</v>
      </c>
    </row>
    <row r="394" spans="1:44" x14ac:dyDescent="0.3">
      <c r="A394" s="25" t="s">
        <v>1509</v>
      </c>
      <c r="B394" s="25" t="s">
        <v>119</v>
      </c>
      <c r="C394" s="25" t="s">
        <v>120</v>
      </c>
      <c r="D394" s="25" t="s">
        <v>121</v>
      </c>
      <c r="E394" s="47" t="s">
        <v>130</v>
      </c>
      <c r="F394" s="47" t="s">
        <v>122</v>
      </c>
      <c r="G394" s="47" t="s">
        <v>1439</v>
      </c>
      <c r="H394" s="47" t="s">
        <v>79</v>
      </c>
      <c r="I394" s="47" t="s">
        <v>80</v>
      </c>
      <c r="J394" s="47" t="s">
        <v>94</v>
      </c>
      <c r="K394" s="87" t="s">
        <v>82</v>
      </c>
      <c r="L394" s="47" t="s">
        <v>1440</v>
      </c>
      <c r="M394" s="47" t="s">
        <v>83</v>
      </c>
      <c r="N394" s="89" t="s">
        <v>103</v>
      </c>
      <c r="O394" s="90">
        <v>0.28000000000000003</v>
      </c>
      <c r="P394" s="47">
        <v>105</v>
      </c>
      <c r="Q394" s="47">
        <v>30</v>
      </c>
      <c r="R394" s="47" t="s">
        <v>87</v>
      </c>
      <c r="S394" s="84" t="s">
        <v>87</v>
      </c>
      <c r="T394" s="92">
        <v>0.8</v>
      </c>
      <c r="U394" s="47">
        <v>200</v>
      </c>
      <c r="V394" s="47">
        <v>600</v>
      </c>
      <c r="W394" s="84">
        <v>400</v>
      </c>
      <c r="X394" s="93">
        <v>150</v>
      </c>
      <c r="Y394" s="47">
        <v>200</v>
      </c>
      <c r="Z394" s="47">
        <v>600</v>
      </c>
      <c r="AA394" s="84">
        <v>400</v>
      </c>
      <c r="AB394" s="93">
        <v>150</v>
      </c>
      <c r="AC394" s="84" t="s">
        <v>87</v>
      </c>
      <c r="AD394" s="84">
        <v>75</v>
      </c>
      <c r="AE394" s="75">
        <v>1.01</v>
      </c>
      <c r="AF394" s="75">
        <v>0.93499999999999994</v>
      </c>
      <c r="AG394" s="75">
        <v>0.99109999999999998</v>
      </c>
      <c r="AH394" s="97">
        <v>866.22945600000003</v>
      </c>
      <c r="AI394" s="39">
        <v>165.51060201966141</v>
      </c>
      <c r="AJ394" s="97">
        <v>180.97307587206748</v>
      </c>
      <c r="AK394" s="40">
        <v>359.74836078798165</v>
      </c>
      <c r="AL394" s="41">
        <v>181</v>
      </c>
      <c r="AM394" s="39">
        <v>190.05</v>
      </c>
      <c r="AN394" s="39">
        <v>188.358555</v>
      </c>
      <c r="AO394" s="39">
        <v>627.86185</v>
      </c>
      <c r="AP394" s="107" t="s">
        <v>1485</v>
      </c>
      <c r="AQ394" s="108" t="s">
        <v>1486</v>
      </c>
      <c r="AR394" s="88"/>
    </row>
    <row r="395" spans="1:44" x14ac:dyDescent="0.3">
      <c r="A395" s="25" t="s">
        <v>1509</v>
      </c>
      <c r="B395" s="25" t="s">
        <v>119</v>
      </c>
      <c r="C395" s="25" t="s">
        <v>120</v>
      </c>
      <c r="D395" s="25" t="s">
        <v>121</v>
      </c>
      <c r="E395" s="47" t="s">
        <v>130</v>
      </c>
      <c r="F395" s="47" t="s">
        <v>122</v>
      </c>
      <c r="G395" s="47" t="s">
        <v>1441</v>
      </c>
      <c r="H395" s="47" t="s">
        <v>79</v>
      </c>
      <c r="I395" s="47" t="s">
        <v>80</v>
      </c>
      <c r="J395" s="47" t="s">
        <v>94</v>
      </c>
      <c r="K395" s="87" t="s">
        <v>82</v>
      </c>
      <c r="L395" s="47" t="s">
        <v>1442</v>
      </c>
      <c r="M395" s="47" t="s">
        <v>83</v>
      </c>
      <c r="N395" s="89" t="s">
        <v>103</v>
      </c>
      <c r="O395" s="90">
        <v>0.68</v>
      </c>
      <c r="P395" s="47">
        <v>100</v>
      </c>
      <c r="Q395" s="96">
        <v>25</v>
      </c>
      <c r="R395" s="47" t="s">
        <v>87</v>
      </c>
      <c r="S395" s="84" t="s">
        <v>87</v>
      </c>
      <c r="T395" s="92">
        <v>0.8</v>
      </c>
      <c r="U395" s="47">
        <v>200</v>
      </c>
      <c r="V395" s="47">
        <v>600</v>
      </c>
      <c r="W395" s="84">
        <v>400</v>
      </c>
      <c r="X395" s="93">
        <v>150</v>
      </c>
      <c r="Y395" s="47">
        <v>200</v>
      </c>
      <c r="Z395" s="47">
        <v>600</v>
      </c>
      <c r="AA395" s="84">
        <v>400</v>
      </c>
      <c r="AB395" s="93">
        <v>150</v>
      </c>
      <c r="AC395" s="84" t="s">
        <v>87</v>
      </c>
      <c r="AD395" s="84">
        <v>75</v>
      </c>
      <c r="AE395" s="75">
        <v>1.31</v>
      </c>
      <c r="AF395" s="75">
        <v>1.1187500000000001</v>
      </c>
      <c r="AG395" s="75">
        <v>1.1858750000000002</v>
      </c>
      <c r="AH395" s="97">
        <v>892.27153599999997</v>
      </c>
      <c r="AI395" s="39">
        <v>127.60741071744887</v>
      </c>
      <c r="AJ395" s="97">
        <v>139.52886002350243</v>
      </c>
      <c r="AK395" s="40">
        <v>277.36323999684083</v>
      </c>
      <c r="AL395" s="98">
        <v>120</v>
      </c>
      <c r="AM395" s="39">
        <v>120</v>
      </c>
      <c r="AN395" s="39">
        <v>142.30500000000004</v>
      </c>
      <c r="AO395" s="39">
        <v>569.22000000000014</v>
      </c>
      <c r="AP395" s="47" t="s">
        <v>1288</v>
      </c>
      <c r="AQ395" s="108" t="s">
        <v>1487</v>
      </c>
      <c r="AR395" s="88" t="s">
        <v>1488</v>
      </c>
    </row>
    <row r="396" spans="1:44" x14ac:dyDescent="0.3">
      <c r="A396" s="25" t="s">
        <v>1509</v>
      </c>
      <c r="B396" s="25" t="s">
        <v>119</v>
      </c>
      <c r="C396" s="25" t="s">
        <v>120</v>
      </c>
      <c r="D396" s="25" t="s">
        <v>121</v>
      </c>
      <c r="E396" s="47" t="s">
        <v>130</v>
      </c>
      <c r="F396" s="47" t="s">
        <v>122</v>
      </c>
      <c r="G396" s="47" t="s">
        <v>1443</v>
      </c>
      <c r="H396" s="47" t="s">
        <v>79</v>
      </c>
      <c r="I396" s="47" t="s">
        <v>80</v>
      </c>
      <c r="J396" s="47" t="s">
        <v>94</v>
      </c>
      <c r="K396" s="87" t="s">
        <v>82</v>
      </c>
      <c r="L396" s="47" t="s">
        <v>1444</v>
      </c>
      <c r="M396" s="47" t="s">
        <v>83</v>
      </c>
      <c r="N396" s="89" t="s">
        <v>103</v>
      </c>
      <c r="O396" s="90">
        <v>0.24</v>
      </c>
      <c r="P396" s="47">
        <v>105</v>
      </c>
      <c r="Q396" s="47">
        <v>30</v>
      </c>
      <c r="R396" s="47" t="s">
        <v>87</v>
      </c>
      <c r="S396" s="84" t="s">
        <v>87</v>
      </c>
      <c r="T396" s="92">
        <v>0.8</v>
      </c>
      <c r="U396" s="47">
        <v>200</v>
      </c>
      <c r="V396" s="47">
        <v>600</v>
      </c>
      <c r="W396" s="84">
        <v>400</v>
      </c>
      <c r="X396" s="93">
        <v>150</v>
      </c>
      <c r="Y396" s="47">
        <v>200</v>
      </c>
      <c r="Z396" s="47">
        <v>600</v>
      </c>
      <c r="AA396" s="84">
        <v>400</v>
      </c>
      <c r="AB396" s="93">
        <v>150</v>
      </c>
      <c r="AC396" s="84" t="s">
        <v>87</v>
      </c>
      <c r="AD396" s="84">
        <v>75</v>
      </c>
      <c r="AE396" s="75">
        <v>0.98</v>
      </c>
      <c r="AF396" s="75">
        <v>0.91571428571428581</v>
      </c>
      <c r="AG396" s="75">
        <v>0.97065714285714289</v>
      </c>
      <c r="AH396" s="97">
        <v>863.62524800000006</v>
      </c>
      <c r="AI396" s="39">
        <v>170.57725310189596</v>
      </c>
      <c r="AJ396" s="97">
        <v>186.51306799060018</v>
      </c>
      <c r="AK396" s="40">
        <v>370.76106571006267</v>
      </c>
      <c r="AL396" s="98">
        <v>120</v>
      </c>
      <c r="AM396" s="39">
        <v>126</v>
      </c>
      <c r="AN396" s="39">
        <v>122.3028</v>
      </c>
      <c r="AO396" s="39">
        <v>407.67600000000004</v>
      </c>
      <c r="AP396" s="47" t="s">
        <v>1288</v>
      </c>
      <c r="AQ396" s="108" t="s">
        <v>1489</v>
      </c>
      <c r="AR396" s="207"/>
    </row>
    <row r="397" spans="1:44" x14ac:dyDescent="0.3">
      <c r="A397" s="25" t="s">
        <v>1509</v>
      </c>
      <c r="B397" s="25" t="s">
        <v>119</v>
      </c>
      <c r="C397" s="25" t="s">
        <v>120</v>
      </c>
      <c r="D397" s="25" t="s">
        <v>121</v>
      </c>
      <c r="E397" s="47" t="s">
        <v>130</v>
      </c>
      <c r="F397" s="47" t="s">
        <v>122</v>
      </c>
      <c r="G397" s="47" t="s">
        <v>1445</v>
      </c>
      <c r="H397" s="47" t="s">
        <v>1446</v>
      </c>
      <c r="I397" s="47" t="s">
        <v>80</v>
      </c>
      <c r="J397" s="47" t="s">
        <v>94</v>
      </c>
      <c r="K397" s="87" t="s">
        <v>82</v>
      </c>
      <c r="L397" s="47" t="s">
        <v>1447</v>
      </c>
      <c r="M397" s="47" t="s">
        <v>83</v>
      </c>
      <c r="N397" s="89" t="s">
        <v>103</v>
      </c>
      <c r="O397" s="90">
        <v>0.64</v>
      </c>
      <c r="P397" s="47">
        <v>100</v>
      </c>
      <c r="Q397" s="96">
        <v>25</v>
      </c>
      <c r="R397" s="47" t="s">
        <v>87</v>
      </c>
      <c r="S397" s="84" t="s">
        <v>87</v>
      </c>
      <c r="T397" s="92">
        <v>0.8</v>
      </c>
      <c r="U397" s="47">
        <v>200</v>
      </c>
      <c r="V397" s="47">
        <v>600</v>
      </c>
      <c r="W397" s="84">
        <v>400</v>
      </c>
      <c r="X397" s="93">
        <v>150</v>
      </c>
      <c r="Y397" s="47">
        <v>200</v>
      </c>
      <c r="Z397" s="47">
        <v>600</v>
      </c>
      <c r="AA397" s="84">
        <v>400</v>
      </c>
      <c r="AB397" s="93">
        <v>150</v>
      </c>
      <c r="AC397" s="84" t="s">
        <v>87</v>
      </c>
      <c r="AD397" s="84">
        <v>75</v>
      </c>
      <c r="AE397" s="75">
        <v>1.28</v>
      </c>
      <c r="AF397" s="75">
        <v>1.1000000000000001</v>
      </c>
      <c r="AG397" s="75">
        <v>1.1660000000000001</v>
      </c>
      <c r="AH397" s="97">
        <v>889.66732800000011</v>
      </c>
      <c r="AI397" s="39">
        <v>130.59820940613909</v>
      </c>
      <c r="AJ397" s="97">
        <v>142.79906768030324</v>
      </c>
      <c r="AK397" s="40">
        <v>283.86394093426674</v>
      </c>
      <c r="AL397" s="98">
        <v>120</v>
      </c>
      <c r="AM397" s="39">
        <v>120</v>
      </c>
      <c r="AN397" s="39">
        <v>139.92000000000002</v>
      </c>
      <c r="AO397" s="39">
        <v>559.68000000000006</v>
      </c>
      <c r="AP397" s="47" t="s">
        <v>1490</v>
      </c>
      <c r="AQ397" s="108" t="s">
        <v>1491</v>
      </c>
      <c r="AR397" s="207"/>
    </row>
    <row r="398" spans="1:44" x14ac:dyDescent="0.3">
      <c r="A398" s="25" t="s">
        <v>1509</v>
      </c>
      <c r="B398" s="25" t="s">
        <v>119</v>
      </c>
      <c r="C398" s="25" t="s">
        <v>120</v>
      </c>
      <c r="D398" s="25" t="s">
        <v>121</v>
      </c>
      <c r="E398" s="47" t="s">
        <v>130</v>
      </c>
      <c r="F398" s="47" t="s">
        <v>122</v>
      </c>
      <c r="G398" s="47" t="s">
        <v>1448</v>
      </c>
      <c r="H398" s="240" t="s">
        <v>101</v>
      </c>
      <c r="I398" s="47" t="s">
        <v>80</v>
      </c>
      <c r="J398" s="47" t="s">
        <v>94</v>
      </c>
      <c r="K398" s="87" t="s">
        <v>82</v>
      </c>
      <c r="L398" s="47" t="s">
        <v>1449</v>
      </c>
      <c r="M398" s="47" t="s">
        <v>83</v>
      </c>
      <c r="N398" s="89" t="s">
        <v>103</v>
      </c>
      <c r="O398" s="90">
        <v>0.26</v>
      </c>
      <c r="P398" s="47">
        <v>105</v>
      </c>
      <c r="Q398" s="96">
        <v>25</v>
      </c>
      <c r="R398" s="47" t="s">
        <v>87</v>
      </c>
      <c r="S398" s="84" t="s">
        <v>87</v>
      </c>
      <c r="T398" s="92">
        <v>0.8</v>
      </c>
      <c r="U398" s="47">
        <v>200</v>
      </c>
      <c r="V398" s="47">
        <v>600</v>
      </c>
      <c r="W398" s="84">
        <v>400</v>
      </c>
      <c r="X398" s="93">
        <v>200</v>
      </c>
      <c r="Y398" s="47">
        <v>200</v>
      </c>
      <c r="Z398" s="47">
        <v>600</v>
      </c>
      <c r="AA398" s="84">
        <v>400</v>
      </c>
      <c r="AB398" s="93">
        <v>200</v>
      </c>
      <c r="AC398" s="84" t="s">
        <v>87</v>
      </c>
      <c r="AD398" s="84">
        <v>80</v>
      </c>
      <c r="AE398" s="75">
        <v>1.008</v>
      </c>
      <c r="AF398" s="75">
        <v>0.9287619047619049</v>
      </c>
      <c r="AG398" s="75">
        <v>0.98448761904761917</v>
      </c>
      <c r="AH398" s="97">
        <v>864.92735200000004</v>
      </c>
      <c r="AI398" s="39">
        <v>165.83899607128774</v>
      </c>
      <c r="AJ398" s="97">
        <v>181.33214943530572</v>
      </c>
      <c r="AK398" s="40">
        <v>360.46214721811651</v>
      </c>
      <c r="AL398" s="41">
        <v>181</v>
      </c>
      <c r="AM398" s="39">
        <v>190.05</v>
      </c>
      <c r="AN398" s="39">
        <v>187.10187200000004</v>
      </c>
      <c r="AO398" s="39">
        <v>748.40748800000017</v>
      </c>
      <c r="AP398" s="47" t="s">
        <v>1492</v>
      </c>
      <c r="AQ398" s="108" t="s">
        <v>1493</v>
      </c>
      <c r="AR398" s="88"/>
    </row>
    <row r="399" spans="1:44" x14ac:dyDescent="0.3">
      <c r="A399" s="25" t="s">
        <v>1509</v>
      </c>
      <c r="B399" s="25" t="s">
        <v>119</v>
      </c>
      <c r="C399" s="25" t="s">
        <v>120</v>
      </c>
      <c r="D399" s="25" t="s">
        <v>121</v>
      </c>
      <c r="E399" s="47" t="s">
        <v>130</v>
      </c>
      <c r="F399" s="47" t="s">
        <v>122</v>
      </c>
      <c r="G399" s="47" t="s">
        <v>1450</v>
      </c>
      <c r="H399" s="47" t="s">
        <v>1446</v>
      </c>
      <c r="I399" s="47" t="s">
        <v>80</v>
      </c>
      <c r="J399" s="47" t="s">
        <v>94</v>
      </c>
      <c r="K399" s="87" t="s">
        <v>82</v>
      </c>
      <c r="L399" s="47" t="s">
        <v>1451</v>
      </c>
      <c r="M399" s="47" t="s">
        <v>83</v>
      </c>
      <c r="N399" s="89" t="s">
        <v>103</v>
      </c>
      <c r="O399" s="90">
        <v>0.7</v>
      </c>
      <c r="P399" s="47">
        <v>103</v>
      </c>
      <c r="Q399" s="47">
        <v>30</v>
      </c>
      <c r="R399" s="47" t="s">
        <v>87</v>
      </c>
      <c r="S399" s="84" t="s">
        <v>87</v>
      </c>
      <c r="T399" s="92">
        <v>0.8</v>
      </c>
      <c r="U399" s="47">
        <v>200</v>
      </c>
      <c r="V399" s="47">
        <v>600</v>
      </c>
      <c r="W399" s="84">
        <v>400</v>
      </c>
      <c r="X399" s="93">
        <v>130</v>
      </c>
      <c r="Y399" s="47">
        <v>200</v>
      </c>
      <c r="Z399" s="47">
        <v>600</v>
      </c>
      <c r="AA399" s="84">
        <v>400</v>
      </c>
      <c r="AB399" s="93">
        <v>130</v>
      </c>
      <c r="AC399" s="84" t="s">
        <v>87</v>
      </c>
      <c r="AD399" s="84">
        <v>73</v>
      </c>
      <c r="AE399" s="75">
        <v>1.3109999999999999</v>
      </c>
      <c r="AF399" s="75">
        <v>1.1299174757281552</v>
      </c>
      <c r="AG399" s="75">
        <v>1.1977125242718445</v>
      </c>
      <c r="AH399" s="97">
        <v>893.57364000000007</v>
      </c>
      <c r="AI399" s="39">
        <v>127.51007478250041</v>
      </c>
      <c r="AJ399" s="97">
        <v>139.42243068710005</v>
      </c>
      <c r="AK399" s="40">
        <v>277.15167383360904</v>
      </c>
      <c r="AL399" s="41">
        <v>139</v>
      </c>
      <c r="AM399" s="39">
        <v>143.16999999999999</v>
      </c>
      <c r="AN399" s="39">
        <v>171.47650209999995</v>
      </c>
      <c r="AO399" s="39">
        <v>571.58834033333324</v>
      </c>
      <c r="AP399" s="47" t="s">
        <v>1494</v>
      </c>
      <c r="AQ399" s="108" t="s">
        <v>1495</v>
      </c>
      <c r="AR399" s="88"/>
    </row>
    <row r="400" spans="1:44" x14ac:dyDescent="0.3">
      <c r="A400" s="25" t="s">
        <v>1509</v>
      </c>
      <c r="B400" s="25" t="s">
        <v>119</v>
      </c>
      <c r="C400" s="25" t="s">
        <v>120</v>
      </c>
      <c r="D400" s="25" t="s">
        <v>121</v>
      </c>
      <c r="E400" s="91" t="s">
        <v>130</v>
      </c>
      <c r="F400" s="91" t="s">
        <v>122</v>
      </c>
      <c r="G400" s="91" t="s">
        <v>1452</v>
      </c>
      <c r="H400" s="91" t="s">
        <v>1446</v>
      </c>
      <c r="I400" s="91" t="s">
        <v>80</v>
      </c>
      <c r="J400" s="91" t="s">
        <v>94</v>
      </c>
      <c r="K400" s="140" t="s">
        <v>82</v>
      </c>
      <c r="L400" s="91" t="s">
        <v>1453</v>
      </c>
      <c r="M400" s="91" t="s">
        <v>83</v>
      </c>
      <c r="N400" s="162" t="s">
        <v>103</v>
      </c>
      <c r="O400" s="103">
        <v>0.27</v>
      </c>
      <c r="P400" s="91">
        <v>100</v>
      </c>
      <c r="Q400" s="96">
        <v>25</v>
      </c>
      <c r="R400" s="91" t="s">
        <v>87</v>
      </c>
      <c r="S400" s="94" t="s">
        <v>87</v>
      </c>
      <c r="T400" s="104">
        <v>0.8</v>
      </c>
      <c r="U400" s="91">
        <v>200</v>
      </c>
      <c r="V400" s="91">
        <v>600</v>
      </c>
      <c r="W400" s="94">
        <v>400</v>
      </c>
      <c r="X400" s="188">
        <v>150</v>
      </c>
      <c r="Y400" s="91">
        <v>200</v>
      </c>
      <c r="Z400" s="91">
        <v>600</v>
      </c>
      <c r="AA400" s="94">
        <v>400</v>
      </c>
      <c r="AB400" s="188">
        <v>150</v>
      </c>
      <c r="AC400" s="94" t="s">
        <v>87</v>
      </c>
      <c r="AD400" s="94">
        <v>75</v>
      </c>
      <c r="AE400" s="95">
        <v>1.0024999999999999</v>
      </c>
      <c r="AF400" s="95">
        <v>0.92656249999999996</v>
      </c>
      <c r="AG400" s="95">
        <v>0.98215624999999995</v>
      </c>
      <c r="AH400" s="40">
        <v>865.57840400000009</v>
      </c>
      <c r="AI400" s="39">
        <v>166.74883594998309</v>
      </c>
      <c r="AJ400" s="40">
        <v>182.32698915789345</v>
      </c>
      <c r="AK400" s="40">
        <v>362.43974503327831</v>
      </c>
      <c r="AL400" s="41">
        <v>182</v>
      </c>
      <c r="AM400" s="39">
        <v>182</v>
      </c>
      <c r="AN400" s="39">
        <v>178.75243749999998</v>
      </c>
      <c r="AO400" s="39">
        <v>715.00974999999994</v>
      </c>
      <c r="AP400" s="91" t="s">
        <v>1496</v>
      </c>
      <c r="AQ400" t="s">
        <v>1497</v>
      </c>
      <c r="AR400" s="141"/>
    </row>
    <row r="401" spans="1:44" x14ac:dyDescent="0.3">
      <c r="A401" s="25" t="s">
        <v>1509</v>
      </c>
      <c r="B401" s="25" t="s">
        <v>119</v>
      </c>
      <c r="C401" s="25" t="s">
        <v>120</v>
      </c>
      <c r="D401" s="25" t="s">
        <v>121</v>
      </c>
      <c r="E401" s="25" t="s">
        <v>130</v>
      </c>
      <c r="F401" s="27" t="s">
        <v>78</v>
      </c>
      <c r="G401" s="25" t="s">
        <v>1454</v>
      </c>
      <c r="H401" s="25" t="s">
        <v>79</v>
      </c>
      <c r="I401" s="25" t="s">
        <v>80</v>
      </c>
      <c r="J401" s="25" t="s">
        <v>94</v>
      </c>
      <c r="K401" s="30" t="s">
        <v>82</v>
      </c>
      <c r="L401" s="25" t="s">
        <v>1455</v>
      </c>
      <c r="M401" s="25" t="s">
        <v>83</v>
      </c>
      <c r="N401" s="74" t="s">
        <v>103</v>
      </c>
      <c r="O401" s="61">
        <v>0.27</v>
      </c>
      <c r="P401" s="25">
        <v>105</v>
      </c>
      <c r="Q401" s="25">
        <v>30</v>
      </c>
      <c r="R401" s="25" t="s">
        <v>87</v>
      </c>
      <c r="S401" s="84" t="s">
        <v>87</v>
      </c>
      <c r="T401" s="35">
        <v>0.8</v>
      </c>
      <c r="U401" s="25">
        <v>200</v>
      </c>
      <c r="V401" s="25">
        <v>600</v>
      </c>
      <c r="W401" s="34">
        <v>400</v>
      </c>
      <c r="X401" s="36">
        <v>150</v>
      </c>
      <c r="Y401" s="25">
        <v>200</v>
      </c>
      <c r="Z401" s="25">
        <v>600</v>
      </c>
      <c r="AA401" s="34">
        <v>400</v>
      </c>
      <c r="AB401" s="36">
        <v>150</v>
      </c>
      <c r="AC401" s="34" t="s">
        <v>87</v>
      </c>
      <c r="AD401" s="34">
        <v>75</v>
      </c>
      <c r="AE401" s="37">
        <v>1.0024999999999999</v>
      </c>
      <c r="AF401" s="37">
        <v>0.93017857142857141</v>
      </c>
      <c r="AG401" s="37">
        <v>0.98598928571428568</v>
      </c>
      <c r="AH401" s="38">
        <v>865.57840400000009</v>
      </c>
      <c r="AI401" s="39">
        <v>166.74883594998309</v>
      </c>
      <c r="AJ401" s="38">
        <v>182.32698915789345</v>
      </c>
      <c r="AK401" s="40">
        <v>362.43974503327831</v>
      </c>
      <c r="AL401" s="41">
        <v>182</v>
      </c>
      <c r="AM401" s="39">
        <v>191.1</v>
      </c>
      <c r="AN401" s="39">
        <v>188.42255249999999</v>
      </c>
      <c r="AO401" s="39">
        <v>628.07517500000006</v>
      </c>
      <c r="AP401" s="25" t="s">
        <v>1498</v>
      </c>
      <c r="AQ401" s="62" t="s">
        <v>1499</v>
      </c>
      <c r="AR401" s="43"/>
    </row>
    <row r="402" spans="1:44" x14ac:dyDescent="0.3">
      <c r="A402" s="25" t="s">
        <v>1509</v>
      </c>
      <c r="B402" s="25" t="s">
        <v>119</v>
      </c>
      <c r="C402" s="25" t="s">
        <v>120</v>
      </c>
      <c r="D402" s="25" t="s">
        <v>121</v>
      </c>
      <c r="E402" s="25" t="s">
        <v>130</v>
      </c>
      <c r="F402" s="27" t="s">
        <v>78</v>
      </c>
      <c r="G402" s="25" t="s">
        <v>1456</v>
      </c>
      <c r="H402" s="25" t="s">
        <v>79</v>
      </c>
      <c r="I402" s="25" t="s">
        <v>80</v>
      </c>
      <c r="J402" s="25" t="s">
        <v>94</v>
      </c>
      <c r="K402" s="30" t="s">
        <v>82</v>
      </c>
      <c r="L402" s="25" t="s">
        <v>1457</v>
      </c>
      <c r="M402" s="25" t="s">
        <v>83</v>
      </c>
      <c r="N402" s="74" t="s">
        <v>103</v>
      </c>
      <c r="O402" s="61">
        <v>0.46</v>
      </c>
      <c r="P402" s="25">
        <v>108</v>
      </c>
      <c r="Q402" s="25">
        <v>30</v>
      </c>
      <c r="R402" s="25" t="s">
        <v>87</v>
      </c>
      <c r="S402" s="84" t="s">
        <v>87</v>
      </c>
      <c r="T402" s="35">
        <v>0.8</v>
      </c>
      <c r="U402" s="25">
        <v>200</v>
      </c>
      <c r="V402" s="25">
        <v>600</v>
      </c>
      <c r="W402" s="34">
        <v>400</v>
      </c>
      <c r="X402" s="36">
        <v>180</v>
      </c>
      <c r="Y402" s="25">
        <v>200</v>
      </c>
      <c r="Z402" s="25">
        <v>600</v>
      </c>
      <c r="AA402" s="34">
        <v>400</v>
      </c>
      <c r="AB402" s="36">
        <v>180</v>
      </c>
      <c r="AC402" s="34" t="s">
        <v>87</v>
      </c>
      <c r="AD402" s="34">
        <v>78</v>
      </c>
      <c r="AE402" s="37">
        <v>1.1588000000000001</v>
      </c>
      <c r="AF402" s="37">
        <v>1.0292333333333334</v>
      </c>
      <c r="AG402" s="37">
        <v>1.0909873333333335</v>
      </c>
      <c r="AH402" s="38">
        <v>877.94839200000001</v>
      </c>
      <c r="AI402" s="39">
        <v>144.25760100091301</v>
      </c>
      <c r="AJ402" s="38">
        <v>157.73455870796354</v>
      </c>
      <c r="AK402" s="40">
        <v>313.55354193636646</v>
      </c>
      <c r="AL402" s="41">
        <v>158</v>
      </c>
      <c r="AM402" s="39">
        <v>170.64</v>
      </c>
      <c r="AN402" s="39">
        <v>186.16607856000002</v>
      </c>
      <c r="AO402" s="39">
        <v>620.55359520000013</v>
      </c>
      <c r="AP402" s="25" t="s">
        <v>1498</v>
      </c>
      <c r="AQ402" s="62" t="s">
        <v>1500</v>
      </c>
      <c r="AR402" s="43"/>
    </row>
    <row r="403" spans="1:44" x14ac:dyDescent="0.3">
      <c r="A403" s="25" t="s">
        <v>1509</v>
      </c>
      <c r="B403" s="25" t="s">
        <v>119</v>
      </c>
      <c r="C403" s="25" t="s">
        <v>120</v>
      </c>
      <c r="D403" s="25" t="s">
        <v>121</v>
      </c>
      <c r="E403" s="25" t="s">
        <v>130</v>
      </c>
      <c r="F403" s="27" t="s">
        <v>78</v>
      </c>
      <c r="G403" s="25" t="s">
        <v>1458</v>
      </c>
      <c r="H403" s="25" t="s">
        <v>79</v>
      </c>
      <c r="I403" s="25" t="s">
        <v>80</v>
      </c>
      <c r="J403" s="25" t="s">
        <v>94</v>
      </c>
      <c r="K403" s="30" t="s">
        <v>82</v>
      </c>
      <c r="L403" s="25" t="s">
        <v>1459</v>
      </c>
      <c r="M403" s="25" t="s">
        <v>83</v>
      </c>
      <c r="N403" s="74" t="s">
        <v>103</v>
      </c>
      <c r="O403" s="61">
        <v>0.47</v>
      </c>
      <c r="P403" s="25">
        <v>105</v>
      </c>
      <c r="Q403" s="25">
        <v>30</v>
      </c>
      <c r="R403" s="25" t="s">
        <v>87</v>
      </c>
      <c r="S403" s="84" t="s">
        <v>87</v>
      </c>
      <c r="T403" s="35">
        <v>0.8</v>
      </c>
      <c r="U403" s="25">
        <v>200</v>
      </c>
      <c r="V403" s="25">
        <v>600</v>
      </c>
      <c r="W403" s="34">
        <v>400</v>
      </c>
      <c r="X403" s="36">
        <v>150</v>
      </c>
      <c r="Y403" s="25">
        <v>200</v>
      </c>
      <c r="Z403" s="25">
        <v>600</v>
      </c>
      <c r="AA403" s="34">
        <v>400</v>
      </c>
      <c r="AB403" s="36">
        <v>150</v>
      </c>
      <c r="AC403" s="34" t="s">
        <v>87</v>
      </c>
      <c r="AD403" s="34">
        <v>75</v>
      </c>
      <c r="AE403" s="37">
        <v>1.1524999999999999</v>
      </c>
      <c r="AF403" s="37">
        <v>1.0266071428571428</v>
      </c>
      <c r="AG403" s="37">
        <v>1.0882035714285714</v>
      </c>
      <c r="AH403" s="38">
        <v>878.59944400000006</v>
      </c>
      <c r="AI403" s="39">
        <v>145.04616749662304</v>
      </c>
      <c r="AJ403" s="38">
        <v>158.59679534124788</v>
      </c>
      <c r="AK403" s="40">
        <v>315.26754394434835</v>
      </c>
      <c r="AL403" s="41">
        <v>159</v>
      </c>
      <c r="AM403" s="39">
        <v>166.95</v>
      </c>
      <c r="AN403" s="39">
        <v>181.67558624999998</v>
      </c>
      <c r="AO403" s="39">
        <v>605.58528749999994</v>
      </c>
      <c r="AP403" s="25" t="s">
        <v>1498</v>
      </c>
      <c r="AQ403" s="62" t="s">
        <v>1501</v>
      </c>
      <c r="AR403" s="43"/>
    </row>
    <row r="404" spans="1:44" x14ac:dyDescent="0.3">
      <c r="A404" s="25" t="s">
        <v>1509</v>
      </c>
      <c r="B404" s="25" t="s">
        <v>119</v>
      </c>
      <c r="C404" s="25" t="s">
        <v>120</v>
      </c>
      <c r="D404" s="25" t="s">
        <v>121</v>
      </c>
      <c r="E404" s="25" t="s">
        <v>130</v>
      </c>
      <c r="F404" s="27" t="s">
        <v>78</v>
      </c>
      <c r="G404" s="25" t="s">
        <v>1460</v>
      </c>
      <c r="H404" s="25" t="s">
        <v>79</v>
      </c>
      <c r="I404" s="25" t="s">
        <v>80</v>
      </c>
      <c r="J404" s="25" t="s">
        <v>94</v>
      </c>
      <c r="K404" s="30" t="s">
        <v>82</v>
      </c>
      <c r="L404" s="25" t="s">
        <v>1461</v>
      </c>
      <c r="M404" s="25" t="s">
        <v>83</v>
      </c>
      <c r="N404" s="74" t="s">
        <v>103</v>
      </c>
      <c r="O404" s="61">
        <v>0.62</v>
      </c>
      <c r="P404" s="25">
        <v>100</v>
      </c>
      <c r="Q404" s="96">
        <v>25</v>
      </c>
      <c r="R404" s="25" t="s">
        <v>87</v>
      </c>
      <c r="S404" s="84" t="s">
        <v>87</v>
      </c>
      <c r="T404" s="35">
        <v>0.8</v>
      </c>
      <c r="U404" s="25">
        <v>200</v>
      </c>
      <c r="V404" s="25">
        <v>600</v>
      </c>
      <c r="W404" s="34">
        <v>400</v>
      </c>
      <c r="X404" s="36">
        <v>150</v>
      </c>
      <c r="Y404" s="25">
        <v>200</v>
      </c>
      <c r="Z404" s="25">
        <v>600</v>
      </c>
      <c r="AA404" s="34">
        <v>400</v>
      </c>
      <c r="AB404" s="36">
        <v>150</v>
      </c>
      <c r="AC404" s="34" t="s">
        <v>87</v>
      </c>
      <c r="AD404" s="34">
        <v>75</v>
      </c>
      <c r="AE404" s="37">
        <v>1.2650000000000001</v>
      </c>
      <c r="AF404" s="37">
        <v>1.0906250000000002</v>
      </c>
      <c r="AG404" s="37">
        <v>1.1560625000000002</v>
      </c>
      <c r="AH404" s="38">
        <v>888.36522400000001</v>
      </c>
      <c r="AI404" s="39">
        <v>132.14680477459132</v>
      </c>
      <c r="AJ404" s="38">
        <v>144.49233725754004</v>
      </c>
      <c r="AK404" s="40">
        <v>287.22991651846752</v>
      </c>
      <c r="AL404" s="41">
        <v>144</v>
      </c>
      <c r="AM404" s="39">
        <v>144</v>
      </c>
      <c r="AN404" s="39">
        <v>166.47300000000004</v>
      </c>
      <c r="AO404" s="39">
        <v>665.89200000000017</v>
      </c>
      <c r="AP404" s="25" t="s">
        <v>1498</v>
      </c>
      <c r="AQ404" s="62" t="s">
        <v>1502</v>
      </c>
      <c r="AR404" s="43"/>
    </row>
    <row r="405" spans="1:44" x14ac:dyDescent="0.3">
      <c r="A405" s="25" t="s">
        <v>1509</v>
      </c>
      <c r="B405" s="25" t="s">
        <v>119</v>
      </c>
      <c r="C405" s="25" t="s">
        <v>120</v>
      </c>
      <c r="D405" s="25" t="s">
        <v>121</v>
      </c>
      <c r="E405" s="47" t="s">
        <v>130</v>
      </c>
      <c r="F405" s="47" t="s">
        <v>122</v>
      </c>
      <c r="G405" s="47" t="s">
        <v>1462</v>
      </c>
      <c r="H405" s="47" t="s">
        <v>79</v>
      </c>
      <c r="I405" s="47" t="s">
        <v>80</v>
      </c>
      <c r="J405" s="265" t="s">
        <v>81</v>
      </c>
      <c r="K405" s="87" t="s">
        <v>82</v>
      </c>
      <c r="L405" s="47" t="s">
        <v>1463</v>
      </c>
      <c r="M405" s="47" t="s">
        <v>83</v>
      </c>
      <c r="N405" s="89" t="s">
        <v>103</v>
      </c>
      <c r="O405" s="90">
        <v>0.4</v>
      </c>
      <c r="P405" s="47">
        <v>101</v>
      </c>
      <c r="Q405" s="47">
        <v>30</v>
      </c>
      <c r="R405" s="264">
        <v>18</v>
      </c>
      <c r="S405" s="84">
        <v>83</v>
      </c>
      <c r="T405" s="92">
        <v>0.8</v>
      </c>
      <c r="U405" s="47">
        <v>150</v>
      </c>
      <c r="V405" s="47">
        <v>590</v>
      </c>
      <c r="W405" s="84">
        <v>440</v>
      </c>
      <c r="X405" s="93">
        <v>120</v>
      </c>
      <c r="Y405" s="47">
        <v>80</v>
      </c>
      <c r="Z405" s="47">
        <v>630</v>
      </c>
      <c r="AA405" s="84">
        <v>550</v>
      </c>
      <c r="AB405" s="93">
        <v>80</v>
      </c>
      <c r="AC405" s="84">
        <v>120</v>
      </c>
      <c r="AD405" s="84">
        <v>71</v>
      </c>
      <c r="AE405" s="75">
        <v>1.0840000000000001</v>
      </c>
      <c r="AF405" s="75">
        <v>0.98417821782178228</v>
      </c>
      <c r="AG405" s="75">
        <v>1.0432289108910893</v>
      </c>
      <c r="AH405" s="97">
        <v>874.04208000000006</v>
      </c>
      <c r="AI405" s="39">
        <v>154.21190778584688</v>
      </c>
      <c r="AJ405" s="97">
        <v>168.61882530515513</v>
      </c>
      <c r="AK405" s="40">
        <v>335.18989335411572</v>
      </c>
      <c r="AL405" s="98">
        <v>50</v>
      </c>
      <c r="AM405" s="39">
        <v>50.5</v>
      </c>
      <c r="AN405" s="39">
        <v>52.683060000000005</v>
      </c>
      <c r="AO405" s="39">
        <v>175.61020000000002</v>
      </c>
      <c r="AP405" s="107" t="s">
        <v>1503</v>
      </c>
      <c r="AQ405" s="108" t="s">
        <v>1504</v>
      </c>
      <c r="AR405" s="88"/>
    </row>
    <row r="406" spans="1:44" x14ac:dyDescent="0.3">
      <c r="A406" s="25" t="s">
        <v>1509</v>
      </c>
      <c r="B406" s="25" t="s">
        <v>119</v>
      </c>
      <c r="C406" s="25" t="s">
        <v>120</v>
      </c>
      <c r="D406" s="25" t="s">
        <v>121</v>
      </c>
      <c r="E406" s="47" t="s">
        <v>130</v>
      </c>
      <c r="F406" s="47" t="s">
        <v>122</v>
      </c>
      <c r="G406" s="47" t="s">
        <v>1464</v>
      </c>
      <c r="H406" s="47" t="s">
        <v>79</v>
      </c>
      <c r="I406" s="47" t="s">
        <v>80</v>
      </c>
      <c r="J406" s="265" t="s">
        <v>81</v>
      </c>
      <c r="K406" s="87" t="s">
        <v>82</v>
      </c>
      <c r="L406" s="47" t="s">
        <v>1465</v>
      </c>
      <c r="M406" s="47" t="s">
        <v>83</v>
      </c>
      <c r="N406" s="89" t="s">
        <v>103</v>
      </c>
      <c r="O406" s="90">
        <v>0.42</v>
      </c>
      <c r="P406" s="47">
        <v>101</v>
      </c>
      <c r="Q406" s="47">
        <v>30</v>
      </c>
      <c r="R406" s="264">
        <v>18</v>
      </c>
      <c r="S406" s="84">
        <v>83</v>
      </c>
      <c r="T406" s="92">
        <v>0.8</v>
      </c>
      <c r="U406" s="47">
        <v>150</v>
      </c>
      <c r="V406" s="47">
        <v>590</v>
      </c>
      <c r="W406" s="84">
        <v>440</v>
      </c>
      <c r="X406" s="93">
        <v>120</v>
      </c>
      <c r="Y406" s="47">
        <v>80</v>
      </c>
      <c r="Z406" s="47">
        <v>630</v>
      </c>
      <c r="AA406" s="84">
        <v>550</v>
      </c>
      <c r="AB406" s="93">
        <v>80</v>
      </c>
      <c r="AC406" s="84">
        <v>120</v>
      </c>
      <c r="AD406" s="84">
        <v>71</v>
      </c>
      <c r="AE406" s="75">
        <v>1.0982000000000001</v>
      </c>
      <c r="AF406" s="75">
        <v>0.99338712871287127</v>
      </c>
      <c r="AG406" s="75">
        <v>1.0529903564356435</v>
      </c>
      <c r="AH406" s="97">
        <v>875.34418400000015</v>
      </c>
      <c r="AI406" s="39">
        <v>152.21790934243128</v>
      </c>
      <c r="AJ406" s="97">
        <v>166.43854182370077</v>
      </c>
      <c r="AK406" s="40">
        <v>330.8558044034433</v>
      </c>
      <c r="AL406" s="98">
        <v>50</v>
      </c>
      <c r="AM406" s="39">
        <v>50.5</v>
      </c>
      <c r="AN406" s="39">
        <v>53.176012999999998</v>
      </c>
      <c r="AO406" s="39">
        <v>177.25337666666667</v>
      </c>
      <c r="AP406" s="107" t="s">
        <v>1503</v>
      </c>
      <c r="AQ406" s="108" t="s">
        <v>1505</v>
      </c>
      <c r="AR406" s="88"/>
    </row>
    <row r="407" spans="1:44" x14ac:dyDescent="0.3">
      <c r="A407" s="25" t="s">
        <v>1509</v>
      </c>
      <c r="B407" s="25" t="s">
        <v>119</v>
      </c>
      <c r="C407" s="25" t="s">
        <v>120</v>
      </c>
      <c r="D407" s="25" t="s">
        <v>121</v>
      </c>
      <c r="E407" s="47" t="s">
        <v>130</v>
      </c>
      <c r="F407" s="47" t="s">
        <v>122</v>
      </c>
      <c r="G407" s="47" t="s">
        <v>1466</v>
      </c>
      <c r="H407" s="47" t="s">
        <v>79</v>
      </c>
      <c r="I407" s="47" t="s">
        <v>80</v>
      </c>
      <c r="J407" s="265" t="s">
        <v>81</v>
      </c>
      <c r="K407" s="87" t="s">
        <v>82</v>
      </c>
      <c r="L407" s="47" t="s">
        <v>1467</v>
      </c>
      <c r="M407" s="47" t="s">
        <v>83</v>
      </c>
      <c r="N407" s="89" t="s">
        <v>103</v>
      </c>
      <c r="O407" s="90">
        <v>0.5</v>
      </c>
      <c r="P407" s="47">
        <v>101</v>
      </c>
      <c r="Q407" s="96">
        <v>28</v>
      </c>
      <c r="R407" s="27">
        <v>20</v>
      </c>
      <c r="S407" s="84">
        <v>81</v>
      </c>
      <c r="T407" s="92">
        <v>0.8</v>
      </c>
      <c r="U407" s="305">
        <v>80</v>
      </c>
      <c r="V407" s="47">
        <v>606</v>
      </c>
      <c r="W407" s="84">
        <v>526</v>
      </c>
      <c r="X407" s="93">
        <v>124</v>
      </c>
      <c r="Y407" s="47">
        <v>80</v>
      </c>
      <c r="Z407" s="47">
        <v>606</v>
      </c>
      <c r="AA407" s="84">
        <v>526</v>
      </c>
      <c r="AB407" s="93">
        <v>124</v>
      </c>
      <c r="AC407" s="84">
        <v>80</v>
      </c>
      <c r="AD407" s="84">
        <v>73</v>
      </c>
      <c r="AE407" s="75">
        <v>1.165</v>
      </c>
      <c r="AF407" s="75">
        <v>1.0330940594059406</v>
      </c>
      <c r="AG407" s="75">
        <v>1.095079702970297</v>
      </c>
      <c r="AH407" s="97">
        <v>880.5526000000001</v>
      </c>
      <c r="AI407" s="39">
        <v>143.48987814580087</v>
      </c>
      <c r="AJ407" s="97">
        <v>156.89511298780101</v>
      </c>
      <c r="AK407" s="40">
        <v>311.88484497498837</v>
      </c>
      <c r="AL407" s="41">
        <v>50</v>
      </c>
      <c r="AM407" s="39">
        <v>50.5</v>
      </c>
      <c r="AN407" s="39">
        <v>55.301524999999998</v>
      </c>
      <c r="AO407" s="39">
        <v>197.50544642857139</v>
      </c>
      <c r="AP407" s="107" t="s">
        <v>1506</v>
      </c>
      <c r="AQ407" s="108"/>
      <c r="AR407" s="88"/>
    </row>
    <row r="408" spans="1:44" x14ac:dyDescent="0.3">
      <c r="A408" s="25" t="s">
        <v>1509</v>
      </c>
      <c r="B408" s="25" t="s">
        <v>119</v>
      </c>
      <c r="C408" s="25" t="s">
        <v>120</v>
      </c>
      <c r="D408" s="25" t="s">
        <v>121</v>
      </c>
      <c r="E408" s="47" t="s">
        <v>130</v>
      </c>
      <c r="F408" s="47" t="s">
        <v>122</v>
      </c>
      <c r="G408" s="47" t="s">
        <v>1468</v>
      </c>
      <c r="H408" s="47" t="s">
        <v>79</v>
      </c>
      <c r="I408" s="47" t="s">
        <v>80</v>
      </c>
      <c r="J408" s="265" t="s">
        <v>81</v>
      </c>
      <c r="K408" s="87" t="s">
        <v>82</v>
      </c>
      <c r="L408" s="47" t="s">
        <v>1469</v>
      </c>
      <c r="M408" s="47" t="s">
        <v>83</v>
      </c>
      <c r="N408" s="89" t="s">
        <v>103</v>
      </c>
      <c r="O408" s="90">
        <v>0.5</v>
      </c>
      <c r="P408" s="47">
        <v>101</v>
      </c>
      <c r="Q408" s="47">
        <v>30</v>
      </c>
      <c r="R408" s="27">
        <v>20</v>
      </c>
      <c r="S408" s="84">
        <v>81</v>
      </c>
      <c r="T408" s="92">
        <v>0.8</v>
      </c>
      <c r="U408" s="47">
        <v>150</v>
      </c>
      <c r="V408" s="47">
        <v>550</v>
      </c>
      <c r="W408" s="84">
        <v>400</v>
      </c>
      <c r="X408" s="93">
        <v>160</v>
      </c>
      <c r="Y408" s="47">
        <v>150</v>
      </c>
      <c r="Z408" s="47">
        <v>600</v>
      </c>
      <c r="AA408" s="84">
        <v>450</v>
      </c>
      <c r="AB408" s="93">
        <v>110</v>
      </c>
      <c r="AC408" s="84">
        <v>100</v>
      </c>
      <c r="AD408" s="84">
        <v>71</v>
      </c>
      <c r="AE408" s="75">
        <v>1.155</v>
      </c>
      <c r="AF408" s="75">
        <v>1.0302227722772279</v>
      </c>
      <c r="AG408" s="75">
        <v>1.0920361386138617</v>
      </c>
      <c r="AH408" s="97">
        <v>880.5526000000001</v>
      </c>
      <c r="AI408" s="39">
        <v>144.73221475312383</v>
      </c>
      <c r="AJ408" s="97">
        <v>158.25351223444864</v>
      </c>
      <c r="AK408" s="40">
        <v>314.58514666308349</v>
      </c>
      <c r="AL408" s="41">
        <v>158</v>
      </c>
      <c r="AM408" s="39">
        <v>159.58000000000001</v>
      </c>
      <c r="AN408" s="39">
        <v>174.26712700000007</v>
      </c>
      <c r="AO408" s="39">
        <v>580.89042333333362</v>
      </c>
      <c r="AP408" s="107" t="s">
        <v>1507</v>
      </c>
      <c r="AQ408" s="108" t="s">
        <v>1508</v>
      </c>
      <c r="AR408" s="207"/>
    </row>
  </sheetData>
  <phoneticPr fontId="2" type="noConversion"/>
  <conditionalFormatting sqref="X4:X5">
    <cfRule type="cellIs" dxfId="13" priority="12" operator="lessThan">
      <formula>130</formula>
    </cfRule>
  </conditionalFormatting>
  <conditionalFormatting sqref="AA4:AA5">
    <cfRule type="cellIs" dxfId="12" priority="13" operator="lessThan">
      <formula>400</formula>
    </cfRule>
  </conditionalFormatting>
  <conditionalFormatting sqref="AB4:AB5">
    <cfRule type="cellIs" dxfId="11" priority="14" operator="lessThan">
      <formula>86</formula>
    </cfRule>
  </conditionalFormatting>
  <conditionalFormatting sqref="AY4">
    <cfRule type="colorScale" priority="23">
      <colorScale>
        <cfvo type="min"/>
        <cfvo type="percentile" val="50"/>
        <cfvo type="max"/>
        <color rgb="FF63BE7B"/>
        <color rgb="FFFFEB84"/>
        <color rgb="FFF8696B"/>
      </colorScale>
    </cfRule>
  </conditionalFormatting>
  <conditionalFormatting sqref="AY5">
    <cfRule type="colorScale" priority="15">
      <colorScale>
        <cfvo type="min"/>
        <cfvo type="percentile" val="50"/>
        <cfvo type="max"/>
        <color rgb="FF63BE7B"/>
        <color rgb="FFFFEB84"/>
        <color rgb="FFF8696B"/>
      </colorScale>
    </cfRule>
  </conditionalFormatting>
  <conditionalFormatting sqref="X394 X398:X408 X343:X379 X270:X311 X211:X264 X176:X209 X168:X174 X133:X166 X111:X131 X41:X109 X9:X38">
    <cfRule type="cellIs" dxfId="10" priority="9" operator="lessThan">
      <formula>130</formula>
    </cfRule>
  </conditionalFormatting>
  <conditionalFormatting sqref="AA391 AA399 AA401:AA405 AA407:AA408 AA343:AA374 AA295:AA311 AA285:AA289 AA275 AA278:AA280 AA261:AA264 AA257:AA259 AA243:AA246 AA248:AA249 AA251:AA255 AA239:AA241 AA226:AA237 AA217:AA223 AA214 AA201:AA203 AA189:AA190 AA198:AA199 AA181:AA187 AA176:AA177 AA127:AA131 AA133:AA166 AA113:AA125 AA111 AA43:AA109 AA41 AA37:AA38 AA22:AA35 AA19:AA20 AA9:AA17">
    <cfRule type="cellIs" dxfId="9" priority="10" operator="lessThan">
      <formula>400</formula>
    </cfRule>
  </conditionalFormatting>
  <conditionalFormatting sqref="AB391 AB399 AB401:AB405 AB407:AB408 AB343:AB374 AB295:AB311 AB285:AB289 AB274:AB275 AB278:AB280 AB261:AB264 AB257:AB259 AB243:AB246 AB248:AB249 AB251:AB255 AB239:AB241 AB226:AB237 AB217:AB223 AB205 AB214 AB201:AB203 AB189:AB190 AB198:AB199 AB181:AB187 AB176:AB177 AB127:AB131 AB133:AB166 AB43:AB125 AB41 AB37:AB38 AB22:AB35 AB19:AB20 AB9:AB17">
    <cfRule type="cellIs" dxfId="8" priority="11" operator="lessThan">
      <formula>86</formula>
    </cfRule>
  </conditionalFormatting>
  <conditionalFormatting sqref="X266:X268">
    <cfRule type="cellIs" dxfId="7" priority="6" operator="lessThan">
      <formula>130</formula>
    </cfRule>
  </conditionalFormatting>
  <conditionalFormatting sqref="AA267">
    <cfRule type="cellIs" dxfId="6" priority="7" operator="lessThan">
      <formula>400</formula>
    </cfRule>
  </conditionalFormatting>
  <conditionalFormatting sqref="AB267">
    <cfRule type="cellIs" dxfId="5" priority="8" operator="lessThan">
      <formula>86</formula>
    </cfRule>
  </conditionalFormatting>
  <conditionalFormatting sqref="X317:X318">
    <cfRule type="cellIs" dxfId="4" priority="5" operator="lessThan">
      <formula>130</formula>
    </cfRule>
  </conditionalFormatting>
  <conditionalFormatting sqref="X326">
    <cfRule type="cellIs" dxfId="3" priority="4" operator="lessThan">
      <formula>130</formula>
    </cfRule>
  </conditionalFormatting>
  <conditionalFormatting sqref="X327">
    <cfRule type="cellIs" dxfId="2" priority="3" operator="lessThan">
      <formula>130</formula>
    </cfRule>
  </conditionalFormatting>
  <conditionalFormatting sqref="X334">
    <cfRule type="cellIs" dxfId="1" priority="2" operator="lessThan">
      <formula>130</formula>
    </cfRule>
  </conditionalFormatting>
  <conditionalFormatting sqref="X391:X393 X395">
    <cfRule type="cellIs" dxfId="0" priority="1" operator="lessThan">
      <formula>120</formula>
    </cfRule>
  </conditionalFormatting>
  <dataValidations count="1">
    <dataValidation allowBlank="1" showInputMessage="1" promptTitle="Wedge Code pulled automatically" prompt="Wedge Code will be pulled automatically by the inputs in the template." sqref="G375:G377" xr:uid="{3B8970A4-5D1D-434A-8F73-1FF91965ABCD}"/>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준열 이</dc:creator>
  <cp:lastModifiedBy>준열 이</cp:lastModifiedBy>
  <dcterms:created xsi:type="dcterms:W3CDTF">2026-02-21T07:17:51Z</dcterms:created>
  <dcterms:modified xsi:type="dcterms:W3CDTF">2026-02-24T06:04:24Z</dcterms:modified>
</cp:coreProperties>
</file>