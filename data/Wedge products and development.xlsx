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pivotTables/pivotTable1.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https://kurarayglobal.sharepoint.com/sites/KAI-AIS_Global/The Wedge/"/>
    </mc:Choice>
  </mc:AlternateContent>
  <xr:revisionPtr revIDLastSave="0" documentId="8_{9ACDB322-51D0-4ADC-A581-C4E769771A39}" xr6:coauthVersionLast="47" xr6:coauthVersionMax="47" xr10:uidLastSave="{00000000-0000-0000-0000-000000000000}"/>
  <bookViews>
    <workbookView xWindow="28680" yWindow="-120" windowWidth="29040" windowHeight="15720" tabRatio="576" firstSheet="1" activeTab="1" xr2:uid="{00000000-000D-0000-FFFF-FFFF00000000}"/>
  </bookViews>
  <sheets>
    <sheet name="W-Code Decoder" sheetId="5" r:id="rId1"/>
    <sheet name="W-code list" sheetId="1" r:id="rId2"/>
    <sheet name="reference" sheetId="20" r:id="rId3"/>
    <sheet name="Wedge packaging" sheetId="9" r:id="rId4"/>
    <sheet name="Xinyi sites" sheetId="16" r:id="rId5"/>
    <sheet name="Cal vs angle" sheetId="15" r:id="rId6"/>
    <sheet name="C, D, O" sheetId="17" r:id="rId7"/>
    <sheet name="Codes by customer" sheetId="12" r:id="rId8"/>
    <sheet name="HUD locations" sheetId="10" r:id="rId9"/>
    <sheet name="HUD span" sheetId="19" r:id="rId10"/>
    <sheet name="HUD Top Loca'n" sheetId="18" r:id="rId11"/>
    <sheet name="Plateau" sheetId="11" r:id="rId12"/>
    <sheet name="Angle PT" sheetId="7" r:id="rId13"/>
    <sheet name="Capability" sheetId="3" r:id="rId14"/>
    <sheet name="Capabilities" sheetId="2" r:id="rId15"/>
    <sheet name="Cars with HUD" sheetId="4" r:id="rId16"/>
  </sheets>
  <definedNames>
    <definedName name="_xlnm._FilterDatabase" localSheetId="15" hidden="1">'Cars with HUD'!$A$1:$K$1</definedName>
    <definedName name="_xlnm._FilterDatabase" localSheetId="1" hidden="1">'W-code list'!$A$5:$BP$672</definedName>
    <definedName name="_xlchart.v1.0" hidden="1">'W-code list'!$AY$6:$AY$500</definedName>
  </definedNames>
  <calcPr calcId="191028" calcCompleted="0"/>
  <pivotCaches>
    <pivotCache cacheId="70" r:id="rId17"/>
    <pivotCache cacheId="71" r:id="rId18"/>
    <pivotCache cacheId="72"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77" i="1" l="1"/>
  <c r="W677" i="1"/>
  <c r="AA677" i="1"/>
  <c r="AC677" i="1"/>
  <c r="AD677" i="1"/>
  <c r="X677" i="1" s="1"/>
  <c r="AE677" i="1"/>
  <c r="AG677" i="1" s="1"/>
  <c r="AH677" i="1" s="1"/>
  <c r="AI677" i="1"/>
  <c r="AN677" i="1"/>
  <c r="S676" i="1"/>
  <c r="W676" i="1"/>
  <c r="AA676" i="1"/>
  <c r="AC676" i="1"/>
  <c r="AD676" i="1"/>
  <c r="X676" i="1" s="1"/>
  <c r="AI676" i="1"/>
  <c r="AN676" i="1"/>
  <c r="AO677" i="1" l="1"/>
  <c r="AP677" i="1" s="1"/>
  <c r="AK677" i="1"/>
  <c r="AB677" i="1"/>
  <c r="AL677" i="1"/>
  <c r="AJ677" i="1"/>
  <c r="AE676" i="1"/>
  <c r="AJ676" i="1" s="1"/>
  <c r="AB676" i="1"/>
  <c r="AK676" i="1" l="1"/>
  <c r="AG676" i="1"/>
  <c r="AH676" i="1" s="1"/>
  <c r="AO676" i="1" s="1"/>
  <c r="AP676" i="1" s="1"/>
  <c r="AL676" i="1"/>
  <c r="S675" i="1"/>
  <c r="W675" i="1"/>
  <c r="AA675" i="1"/>
  <c r="AC675" i="1"/>
  <c r="AD675" i="1"/>
  <c r="X675" i="1" s="1"/>
  <c r="AI675" i="1"/>
  <c r="AN675" i="1"/>
  <c r="S674" i="1"/>
  <c r="W674" i="1"/>
  <c r="AA674" i="1"/>
  <c r="AC674" i="1"/>
  <c r="AD674" i="1"/>
  <c r="X674" i="1" s="1"/>
  <c r="AI674" i="1"/>
  <c r="AN674" i="1"/>
  <c r="S673" i="1"/>
  <c r="W673" i="1"/>
  <c r="AA673" i="1"/>
  <c r="AC673" i="1"/>
  <c r="AD673" i="1"/>
  <c r="X673" i="1" s="1"/>
  <c r="AI673" i="1"/>
  <c r="AN673" i="1"/>
  <c r="AB674" i="1" l="1"/>
  <c r="AE675" i="1"/>
  <c r="AB675" i="1"/>
  <c r="AE674" i="1"/>
  <c r="AE673" i="1"/>
  <c r="AB673" i="1"/>
  <c r="AG675" i="1" l="1"/>
  <c r="AH675" i="1" s="1"/>
  <c r="AO675" i="1" s="1"/>
  <c r="AP675" i="1" s="1"/>
  <c r="AJ675" i="1"/>
  <c r="AK675" i="1"/>
  <c r="AL675" i="1"/>
  <c r="AJ674" i="1"/>
  <c r="AK674" i="1"/>
  <c r="AL674" i="1"/>
  <c r="AG674" i="1"/>
  <c r="AH674" i="1" s="1"/>
  <c r="AO674" i="1" s="1"/>
  <c r="AP674" i="1" s="1"/>
  <c r="AJ673" i="1"/>
  <c r="AL673" i="1"/>
  <c r="AK673" i="1"/>
  <c r="AG673" i="1"/>
  <c r="AH673" i="1" s="1"/>
  <c r="AO673" i="1" s="1"/>
  <c r="AP673" i="1" s="1"/>
  <c r="AN550" i="1" l="1"/>
  <c r="AI550" i="1"/>
  <c r="AD550" i="1"/>
  <c r="AE550" i="1" s="1"/>
  <c r="AG550" i="1" s="1"/>
  <c r="AH550" i="1" s="1"/>
  <c r="AC550" i="1"/>
  <c r="AA550" i="1"/>
  <c r="W550" i="1"/>
  <c r="S550" i="1"/>
  <c r="AN496" i="1"/>
  <c r="AI496" i="1"/>
  <c r="AD496" i="1"/>
  <c r="X496" i="1" s="1"/>
  <c r="AC496" i="1"/>
  <c r="AA496" i="1"/>
  <c r="W496" i="1"/>
  <c r="S496" i="1"/>
  <c r="AO550" i="1" l="1"/>
  <c r="AP550" i="1" s="1"/>
  <c r="X550" i="1"/>
  <c r="AB496" i="1"/>
  <c r="AB550" i="1"/>
  <c r="AE496" i="1"/>
  <c r="AL496" i="1" s="1"/>
  <c r="AK550" i="1"/>
  <c r="AL550" i="1"/>
  <c r="AJ550" i="1"/>
  <c r="S79" i="1"/>
  <c r="W79" i="1"/>
  <c r="AA79" i="1"/>
  <c r="AC79" i="1"/>
  <c r="AD79" i="1"/>
  <c r="X79" i="1" s="1"/>
  <c r="AI79" i="1"/>
  <c r="AN79" i="1"/>
  <c r="S539" i="1"/>
  <c r="W539" i="1"/>
  <c r="AA539" i="1"/>
  <c r="AC539" i="1"/>
  <c r="AD539" i="1"/>
  <c r="X539" i="1" s="1"/>
  <c r="AI539" i="1"/>
  <c r="AN539" i="1"/>
  <c r="S541" i="1"/>
  <c r="W541" i="1"/>
  <c r="AA541" i="1"/>
  <c r="AC541" i="1"/>
  <c r="AD541" i="1"/>
  <c r="AE541" i="1" s="1"/>
  <c r="AL541" i="1" s="1"/>
  <c r="AI541" i="1"/>
  <c r="AN541" i="1"/>
  <c r="S540" i="1"/>
  <c r="W540" i="1"/>
  <c r="AA540" i="1"/>
  <c r="AC540" i="1"/>
  <c r="AD540" i="1"/>
  <c r="AI540" i="1"/>
  <c r="AN540" i="1"/>
  <c r="S538" i="1"/>
  <c r="W538" i="1"/>
  <c r="AA538" i="1"/>
  <c r="AC538" i="1"/>
  <c r="AD538" i="1"/>
  <c r="X538" i="1" s="1"/>
  <c r="AI538" i="1"/>
  <c r="AN538"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42" i="1"/>
  <c r="AN543" i="1"/>
  <c r="AN544" i="1"/>
  <c r="AN545" i="1"/>
  <c r="AN546" i="1"/>
  <c r="AN547" i="1"/>
  <c r="AN548" i="1"/>
  <c r="AN549"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A8" i="1"/>
  <c r="AC8" i="1"/>
  <c r="AD8" i="1"/>
  <c r="AB8" i="1" s="1"/>
  <c r="AI8" i="1"/>
  <c r="AA9" i="1"/>
  <c r="AC9" i="1"/>
  <c r="AD9" i="1"/>
  <c r="AB9" i="1" s="1"/>
  <c r="AI9" i="1"/>
  <c r="AA10" i="1"/>
  <c r="AC10" i="1"/>
  <c r="AD10" i="1"/>
  <c r="AI10" i="1"/>
  <c r="AA11" i="1"/>
  <c r="AC11" i="1"/>
  <c r="AD11" i="1"/>
  <c r="AB11" i="1" s="1"/>
  <c r="AI11" i="1"/>
  <c r="AA12" i="1"/>
  <c r="AC12" i="1"/>
  <c r="AD12" i="1"/>
  <c r="AE12" i="1" s="1"/>
  <c r="AJ12" i="1" s="1"/>
  <c r="AI12" i="1"/>
  <c r="AA13" i="1"/>
  <c r="AC13" i="1"/>
  <c r="AD13" i="1"/>
  <c r="AI13" i="1"/>
  <c r="AA14" i="1"/>
  <c r="AC14" i="1"/>
  <c r="AD14" i="1"/>
  <c r="AB14" i="1" s="1"/>
  <c r="AI14" i="1"/>
  <c r="AA15" i="1"/>
  <c r="AC15" i="1"/>
  <c r="AD15" i="1"/>
  <c r="AE15" i="1" s="1"/>
  <c r="AI15" i="1"/>
  <c r="AA16" i="1"/>
  <c r="AC16" i="1"/>
  <c r="AD16" i="1"/>
  <c r="AI16" i="1"/>
  <c r="AA17" i="1"/>
  <c r="AC17" i="1"/>
  <c r="AD17" i="1"/>
  <c r="X17" i="1" s="1"/>
  <c r="AI17" i="1"/>
  <c r="AA18" i="1"/>
  <c r="AC18" i="1"/>
  <c r="AD18" i="1"/>
  <c r="AI18" i="1"/>
  <c r="AA19" i="1"/>
  <c r="AC19" i="1"/>
  <c r="AD19" i="1"/>
  <c r="X19" i="1" s="1"/>
  <c r="AI19" i="1"/>
  <c r="AA20" i="1"/>
  <c r="AC20" i="1"/>
  <c r="AD20" i="1"/>
  <c r="AB20" i="1" s="1"/>
  <c r="AI20" i="1"/>
  <c r="AA21" i="1"/>
  <c r="AC21" i="1"/>
  <c r="AD21" i="1"/>
  <c r="X21" i="1" s="1"/>
  <c r="AI21" i="1"/>
  <c r="AA22" i="1"/>
  <c r="AC22" i="1"/>
  <c r="AD22" i="1"/>
  <c r="AE22" i="1" s="1"/>
  <c r="AJ22" i="1" s="1"/>
  <c r="AI22" i="1"/>
  <c r="AA23" i="1"/>
  <c r="AC23" i="1"/>
  <c r="AD23" i="1"/>
  <c r="AB23" i="1" s="1"/>
  <c r="AI23" i="1"/>
  <c r="AC24" i="1"/>
  <c r="AD24" i="1"/>
  <c r="X24" i="1" s="1"/>
  <c r="AI24" i="1"/>
  <c r="AC25" i="1"/>
  <c r="AD25" i="1"/>
  <c r="AI25" i="1"/>
  <c r="AA26" i="1"/>
  <c r="AC26" i="1"/>
  <c r="AD26" i="1"/>
  <c r="AI26" i="1"/>
  <c r="AA27" i="1"/>
  <c r="AC27" i="1"/>
  <c r="AD27" i="1"/>
  <c r="AE27" i="1" s="1"/>
  <c r="AJ27" i="1" s="1"/>
  <c r="AI27" i="1"/>
  <c r="AA28" i="1"/>
  <c r="AC28" i="1"/>
  <c r="AD28" i="1"/>
  <c r="AE28" i="1" s="1"/>
  <c r="AL28" i="1" s="1"/>
  <c r="AI28" i="1"/>
  <c r="AA29" i="1"/>
  <c r="AC29" i="1"/>
  <c r="AD29" i="1"/>
  <c r="AE29" i="1" s="1"/>
  <c r="AJ29" i="1" s="1"/>
  <c r="AI29" i="1"/>
  <c r="AA30" i="1"/>
  <c r="AC30" i="1"/>
  <c r="AD30" i="1"/>
  <c r="AI30" i="1"/>
  <c r="AA31" i="1"/>
  <c r="AC31" i="1"/>
  <c r="AD31" i="1"/>
  <c r="AB31" i="1" s="1"/>
  <c r="AI31" i="1"/>
  <c r="AC32" i="1"/>
  <c r="AD32" i="1"/>
  <c r="AE32" i="1" s="1"/>
  <c r="AG32" i="1" s="1"/>
  <c r="AH32" i="1" s="1"/>
  <c r="BL32" i="1" s="1"/>
  <c r="AI32" i="1"/>
  <c r="AA33" i="1"/>
  <c r="AC33" i="1"/>
  <c r="AD33" i="1"/>
  <c r="X33" i="1" s="1"/>
  <c r="AI33" i="1"/>
  <c r="AA34" i="1"/>
  <c r="AC34" i="1"/>
  <c r="AD34" i="1"/>
  <c r="AE34" i="1" s="1"/>
  <c r="AK34" i="1" s="1"/>
  <c r="AI34" i="1"/>
  <c r="AA35" i="1"/>
  <c r="AC35" i="1"/>
  <c r="AD35" i="1"/>
  <c r="AB35" i="1" s="1"/>
  <c r="AI35" i="1"/>
  <c r="AC36" i="1"/>
  <c r="AD36" i="1"/>
  <c r="X36" i="1" s="1"/>
  <c r="AC37" i="1"/>
  <c r="AD37" i="1"/>
  <c r="AE37" i="1" s="1"/>
  <c r="AL37" i="1" s="1"/>
  <c r="AC38" i="1"/>
  <c r="AD38" i="1"/>
  <c r="X38" i="1" s="1"/>
  <c r="AC39" i="1"/>
  <c r="AD39" i="1"/>
  <c r="X39" i="1" s="1"/>
  <c r="AA40" i="1"/>
  <c r="AC40" i="1"/>
  <c r="AD40" i="1"/>
  <c r="AE40" i="1" s="1"/>
  <c r="AJ40" i="1" s="1"/>
  <c r="AI40" i="1"/>
  <c r="AA41" i="1"/>
  <c r="AC41" i="1"/>
  <c r="AD41" i="1"/>
  <c r="AB41" i="1" s="1"/>
  <c r="AI41" i="1"/>
  <c r="AA42" i="1"/>
  <c r="AC42" i="1"/>
  <c r="AD42" i="1"/>
  <c r="AE42" i="1" s="1"/>
  <c r="AK42" i="1" s="1"/>
  <c r="AI42" i="1"/>
  <c r="AA43" i="1"/>
  <c r="AC43" i="1"/>
  <c r="AD43" i="1"/>
  <c r="AE43" i="1" s="1"/>
  <c r="AI43" i="1"/>
  <c r="AA44" i="1"/>
  <c r="AC44" i="1"/>
  <c r="AD44" i="1"/>
  <c r="AI44" i="1"/>
  <c r="AA45" i="1"/>
  <c r="AC45" i="1"/>
  <c r="AD45" i="1"/>
  <c r="AB45" i="1" s="1"/>
  <c r="AI45" i="1"/>
  <c r="AA46" i="1"/>
  <c r="AC46" i="1"/>
  <c r="AD46" i="1"/>
  <c r="AE46" i="1" s="1"/>
  <c r="AL46" i="1" s="1"/>
  <c r="AI46" i="1"/>
  <c r="AA47" i="1"/>
  <c r="AC47" i="1"/>
  <c r="AD47" i="1"/>
  <c r="AE47" i="1" s="1"/>
  <c r="AK47" i="1" s="1"/>
  <c r="AI47" i="1"/>
  <c r="AA48" i="1"/>
  <c r="AC48" i="1"/>
  <c r="AD48" i="1"/>
  <c r="X48" i="1" s="1"/>
  <c r="AI48" i="1"/>
  <c r="AA49" i="1"/>
  <c r="AC49" i="1"/>
  <c r="AD49" i="1"/>
  <c r="AB49" i="1" s="1"/>
  <c r="AI49" i="1"/>
  <c r="AA50" i="1"/>
  <c r="AC50" i="1"/>
  <c r="AD50" i="1"/>
  <c r="AB50" i="1" s="1"/>
  <c r="AI50" i="1"/>
  <c r="AA51" i="1"/>
  <c r="AC51" i="1"/>
  <c r="AD51" i="1"/>
  <c r="AI51" i="1"/>
  <c r="AA52" i="1"/>
  <c r="AC52" i="1"/>
  <c r="AD52" i="1"/>
  <c r="AE52" i="1" s="1"/>
  <c r="AG52" i="1" s="1"/>
  <c r="AH52" i="1" s="1"/>
  <c r="AI52" i="1"/>
  <c r="AA53" i="1"/>
  <c r="AC53" i="1"/>
  <c r="AD53" i="1"/>
  <c r="AE53" i="1" s="1"/>
  <c r="AJ53" i="1" s="1"/>
  <c r="AI53" i="1"/>
  <c r="AA54" i="1"/>
  <c r="AC54" i="1"/>
  <c r="AD54" i="1"/>
  <c r="X54" i="1" s="1"/>
  <c r="AI54" i="1"/>
  <c r="AA55" i="1"/>
  <c r="AC55" i="1"/>
  <c r="AD55" i="1"/>
  <c r="AI55" i="1"/>
  <c r="AC56" i="1"/>
  <c r="AD56" i="1"/>
  <c r="AI56" i="1"/>
  <c r="AC57" i="1"/>
  <c r="AD57" i="1"/>
  <c r="AE57" i="1" s="1"/>
  <c r="AK57" i="1" s="1"/>
  <c r="AI57" i="1"/>
  <c r="AA58" i="1"/>
  <c r="AC58" i="1"/>
  <c r="AD58" i="1"/>
  <c r="AE58" i="1" s="1"/>
  <c r="AL58" i="1" s="1"/>
  <c r="AI58" i="1"/>
  <c r="AC59" i="1"/>
  <c r="AD59" i="1"/>
  <c r="AE59" i="1" s="1"/>
  <c r="AK59" i="1" s="1"/>
  <c r="AI59" i="1"/>
  <c r="AC60" i="1"/>
  <c r="AD60" i="1"/>
  <c r="AI60" i="1"/>
  <c r="AC61" i="1"/>
  <c r="AD61" i="1"/>
  <c r="AI61" i="1"/>
  <c r="AA62" i="1"/>
  <c r="AC62" i="1"/>
  <c r="AD62" i="1"/>
  <c r="AB62" i="1" s="1"/>
  <c r="AI62" i="1"/>
  <c r="AA63" i="1"/>
  <c r="AC63" i="1"/>
  <c r="AD63" i="1"/>
  <c r="AI63" i="1"/>
  <c r="AA64" i="1"/>
  <c r="AC64" i="1"/>
  <c r="AD64" i="1"/>
  <c r="AE64" i="1" s="1"/>
  <c r="AJ64" i="1" s="1"/>
  <c r="AI64" i="1"/>
  <c r="AA65" i="1"/>
  <c r="AC65" i="1"/>
  <c r="AD65" i="1"/>
  <c r="AE65" i="1" s="1"/>
  <c r="AK65" i="1" s="1"/>
  <c r="AI65" i="1"/>
  <c r="AA66" i="1"/>
  <c r="AC66" i="1"/>
  <c r="AD66" i="1"/>
  <c r="AI66" i="1"/>
  <c r="AC67" i="1"/>
  <c r="AD67" i="1"/>
  <c r="AI67" i="1"/>
  <c r="AA68" i="1"/>
  <c r="AC68" i="1"/>
  <c r="AD68" i="1"/>
  <c r="AB68" i="1" s="1"/>
  <c r="AI68" i="1"/>
  <c r="AA69" i="1"/>
  <c r="AC69" i="1"/>
  <c r="AD69" i="1"/>
  <c r="AB69" i="1" s="1"/>
  <c r="AI69" i="1"/>
  <c r="AA70" i="1"/>
  <c r="AC70" i="1"/>
  <c r="AD70" i="1"/>
  <c r="X70" i="1" s="1"/>
  <c r="AI70" i="1"/>
  <c r="AA71" i="1"/>
  <c r="AC71" i="1"/>
  <c r="AD71" i="1"/>
  <c r="AE71" i="1" s="1"/>
  <c r="AI71" i="1"/>
  <c r="AA72" i="1"/>
  <c r="AC72" i="1"/>
  <c r="AD72" i="1"/>
  <c r="X72" i="1" s="1"/>
  <c r="AI72" i="1"/>
  <c r="AC73" i="1"/>
  <c r="AD73" i="1"/>
  <c r="AI73" i="1"/>
  <c r="AC74" i="1"/>
  <c r="AD74" i="1"/>
  <c r="X74" i="1" s="1"/>
  <c r="AI74" i="1"/>
  <c r="AA75" i="1"/>
  <c r="AC75" i="1"/>
  <c r="AD75" i="1"/>
  <c r="AI75" i="1"/>
  <c r="AA76" i="1"/>
  <c r="AC76" i="1"/>
  <c r="AD76" i="1"/>
  <c r="AE76" i="1" s="1"/>
  <c r="AL76" i="1" s="1"/>
  <c r="AI76" i="1"/>
  <c r="AA77" i="1"/>
  <c r="AC77" i="1"/>
  <c r="AD77" i="1"/>
  <c r="X77" i="1" s="1"/>
  <c r="AI77" i="1"/>
  <c r="AA78" i="1"/>
  <c r="AC78" i="1"/>
  <c r="AD78" i="1"/>
  <c r="AI78" i="1"/>
  <c r="AA80" i="1"/>
  <c r="AC80" i="1"/>
  <c r="AD80" i="1"/>
  <c r="AB80" i="1" s="1"/>
  <c r="AI80" i="1"/>
  <c r="AA81" i="1"/>
  <c r="AC81" i="1"/>
  <c r="AD81" i="1"/>
  <c r="AI81" i="1"/>
  <c r="AA82" i="1"/>
  <c r="AC82" i="1"/>
  <c r="AD82" i="1"/>
  <c r="AB82" i="1" s="1"/>
  <c r="AI82" i="1"/>
  <c r="AA83" i="1"/>
  <c r="AC83" i="1"/>
  <c r="AD83" i="1"/>
  <c r="AI83" i="1"/>
  <c r="AA84" i="1"/>
  <c r="AC84" i="1"/>
  <c r="AD84" i="1"/>
  <c r="AE84" i="1" s="1"/>
  <c r="AJ84" i="1" s="1"/>
  <c r="AI84" i="1"/>
  <c r="AA85" i="1"/>
  <c r="AC85" i="1"/>
  <c r="AD85" i="1"/>
  <c r="X85" i="1" s="1"/>
  <c r="AI85" i="1"/>
  <c r="AA86" i="1"/>
  <c r="AC86" i="1"/>
  <c r="AD86" i="1"/>
  <c r="AI86" i="1"/>
  <c r="AA87" i="1"/>
  <c r="AC87" i="1"/>
  <c r="AD87" i="1"/>
  <c r="AB87" i="1" s="1"/>
  <c r="AI87" i="1"/>
  <c r="AA88" i="1"/>
  <c r="AC88" i="1"/>
  <c r="AD88" i="1"/>
  <c r="AB88" i="1" s="1"/>
  <c r="AI88" i="1"/>
  <c r="AA89" i="1"/>
  <c r="AC89" i="1"/>
  <c r="AD89" i="1"/>
  <c r="AB89" i="1" s="1"/>
  <c r="AI89" i="1"/>
  <c r="AA90" i="1"/>
  <c r="AC90" i="1"/>
  <c r="AD90" i="1"/>
  <c r="AI90" i="1"/>
  <c r="AA91" i="1"/>
  <c r="AC91" i="1"/>
  <c r="AD91" i="1"/>
  <c r="AE91" i="1" s="1"/>
  <c r="AL91" i="1" s="1"/>
  <c r="AI91" i="1"/>
  <c r="AA92" i="1"/>
  <c r="AC92" i="1"/>
  <c r="AD92" i="1"/>
  <c r="AI92" i="1"/>
  <c r="AA93" i="1"/>
  <c r="AC93" i="1"/>
  <c r="AD93" i="1"/>
  <c r="AB93" i="1" s="1"/>
  <c r="AI93" i="1"/>
  <c r="AA94" i="1"/>
  <c r="AC94" i="1"/>
  <c r="AD94" i="1"/>
  <c r="AB94" i="1" s="1"/>
  <c r="AI94" i="1"/>
  <c r="AA95" i="1"/>
  <c r="AC95" i="1"/>
  <c r="AD95" i="1"/>
  <c r="AE95" i="1" s="1"/>
  <c r="AI95" i="1"/>
  <c r="AA96" i="1"/>
  <c r="AC96" i="1"/>
  <c r="AD96" i="1"/>
  <c r="AE96" i="1" s="1"/>
  <c r="AJ96" i="1" s="1"/>
  <c r="AI96" i="1"/>
  <c r="AA97" i="1"/>
  <c r="AC97" i="1"/>
  <c r="AD97" i="1"/>
  <c r="X97" i="1" s="1"/>
  <c r="AI97" i="1"/>
  <c r="AA98" i="1"/>
  <c r="AC98" i="1"/>
  <c r="AD98" i="1"/>
  <c r="AB98" i="1" s="1"/>
  <c r="AI98" i="1"/>
  <c r="AA99" i="1"/>
  <c r="AC99" i="1"/>
  <c r="AD99" i="1"/>
  <c r="AB99" i="1" s="1"/>
  <c r="AI99" i="1"/>
  <c r="AA100" i="1"/>
  <c r="AC100" i="1"/>
  <c r="AD100" i="1"/>
  <c r="AE100" i="1" s="1"/>
  <c r="AI100" i="1"/>
  <c r="AA101" i="1"/>
  <c r="AC101" i="1"/>
  <c r="AD101" i="1"/>
  <c r="AE101" i="1" s="1"/>
  <c r="AG101" i="1" s="1"/>
  <c r="AH101" i="1" s="1"/>
  <c r="AI101" i="1"/>
  <c r="AA102" i="1"/>
  <c r="AC102" i="1"/>
  <c r="AD102" i="1"/>
  <c r="AB102" i="1" s="1"/>
  <c r="AI102" i="1"/>
  <c r="AA103" i="1"/>
  <c r="AC103" i="1"/>
  <c r="AD103" i="1"/>
  <c r="AI103" i="1"/>
  <c r="AA104" i="1"/>
  <c r="AC104" i="1"/>
  <c r="AD104" i="1"/>
  <c r="AE104" i="1" s="1"/>
  <c r="AL104" i="1" s="1"/>
  <c r="AI104" i="1"/>
  <c r="AA105" i="1"/>
  <c r="AC105" i="1"/>
  <c r="AD105" i="1"/>
  <c r="AE105" i="1" s="1"/>
  <c r="AI105" i="1"/>
  <c r="AA106" i="1"/>
  <c r="AC106" i="1"/>
  <c r="AD106" i="1"/>
  <c r="X106" i="1" s="1"/>
  <c r="AI106" i="1"/>
  <c r="AA107" i="1"/>
  <c r="AC107" i="1"/>
  <c r="AD107" i="1"/>
  <c r="AB107" i="1" s="1"/>
  <c r="AI107" i="1"/>
  <c r="AA108" i="1"/>
  <c r="AC108" i="1"/>
  <c r="AD108" i="1"/>
  <c r="AE108" i="1" s="1"/>
  <c r="AG108" i="1" s="1"/>
  <c r="AH108" i="1" s="1"/>
  <c r="AI108" i="1"/>
  <c r="AA109" i="1"/>
  <c r="AC109" i="1"/>
  <c r="AD109" i="1"/>
  <c r="AI109" i="1"/>
  <c r="AA110" i="1"/>
  <c r="AC110" i="1"/>
  <c r="AD110" i="1"/>
  <c r="AB110" i="1" s="1"/>
  <c r="AI110" i="1"/>
  <c r="AA111" i="1"/>
  <c r="AC111" i="1"/>
  <c r="AD111" i="1"/>
  <c r="AB111" i="1" s="1"/>
  <c r="AI111" i="1"/>
  <c r="AA112" i="1"/>
  <c r="AC112" i="1"/>
  <c r="AD112" i="1"/>
  <c r="AB112" i="1" s="1"/>
  <c r="AI112" i="1"/>
  <c r="AA113" i="1"/>
  <c r="AC113" i="1"/>
  <c r="AD113" i="1"/>
  <c r="AI113" i="1"/>
  <c r="AA114" i="1"/>
  <c r="AC114" i="1"/>
  <c r="AD114" i="1"/>
  <c r="AE114" i="1" s="1"/>
  <c r="AG114" i="1" s="1"/>
  <c r="AH114" i="1" s="1"/>
  <c r="AI114" i="1"/>
  <c r="AA115" i="1"/>
  <c r="AC115" i="1"/>
  <c r="AD115" i="1"/>
  <c r="AI115" i="1"/>
  <c r="AA116" i="1"/>
  <c r="AC116" i="1"/>
  <c r="AD116" i="1"/>
  <c r="AE116" i="1" s="1"/>
  <c r="AG116" i="1" s="1"/>
  <c r="AH116" i="1" s="1"/>
  <c r="AI116" i="1"/>
  <c r="AA117" i="1"/>
  <c r="AC117" i="1"/>
  <c r="AD117" i="1"/>
  <c r="AI117" i="1"/>
  <c r="AA118" i="1"/>
  <c r="AC118" i="1"/>
  <c r="AD118" i="1"/>
  <c r="X118" i="1" s="1"/>
  <c r="AI118" i="1"/>
  <c r="AA119" i="1"/>
  <c r="AC119" i="1"/>
  <c r="AD119" i="1"/>
  <c r="AE119" i="1" s="1"/>
  <c r="AJ119" i="1" s="1"/>
  <c r="AI119" i="1"/>
  <c r="AC120" i="1"/>
  <c r="AD120" i="1"/>
  <c r="AE120" i="1" s="1"/>
  <c r="AG120" i="1" s="1"/>
  <c r="AH120" i="1" s="1"/>
  <c r="AI120" i="1"/>
  <c r="AA121" i="1"/>
  <c r="AC121" i="1"/>
  <c r="AD121" i="1"/>
  <c r="AE121" i="1" s="1"/>
  <c r="AL121" i="1" s="1"/>
  <c r="AI121" i="1"/>
  <c r="AA122" i="1"/>
  <c r="AC122" i="1"/>
  <c r="AD122" i="1"/>
  <c r="AB122" i="1" s="1"/>
  <c r="AI122" i="1"/>
  <c r="AA123" i="1"/>
  <c r="AC123" i="1"/>
  <c r="AD123" i="1"/>
  <c r="AB123" i="1" s="1"/>
  <c r="AI123" i="1"/>
  <c r="AA124" i="1"/>
  <c r="AC124" i="1"/>
  <c r="AD124" i="1"/>
  <c r="X124" i="1" s="1"/>
  <c r="AI124" i="1"/>
  <c r="AA125" i="1"/>
  <c r="AC125" i="1"/>
  <c r="AD125" i="1"/>
  <c r="AB125" i="1" s="1"/>
  <c r="AI125" i="1"/>
  <c r="AA126" i="1"/>
  <c r="AC126" i="1"/>
  <c r="AD126" i="1"/>
  <c r="AB126" i="1" s="1"/>
  <c r="AI126" i="1"/>
  <c r="AA127" i="1"/>
  <c r="AC127" i="1"/>
  <c r="AD127" i="1"/>
  <c r="AE127" i="1" s="1"/>
  <c r="AK127" i="1" s="1"/>
  <c r="AI127" i="1"/>
  <c r="AA128" i="1"/>
  <c r="AC128" i="1"/>
  <c r="AD128" i="1"/>
  <c r="AE128" i="1" s="1"/>
  <c r="AG128" i="1" s="1"/>
  <c r="AH128" i="1" s="1"/>
  <c r="AI128" i="1"/>
  <c r="AA129" i="1"/>
  <c r="AC129" i="1"/>
  <c r="AD129" i="1"/>
  <c r="AI129" i="1"/>
  <c r="AA130" i="1"/>
  <c r="AC130" i="1"/>
  <c r="AD130" i="1"/>
  <c r="X130" i="1" s="1"/>
  <c r="AI130" i="1"/>
  <c r="AA131" i="1"/>
  <c r="AC131" i="1"/>
  <c r="AD131" i="1"/>
  <c r="AB131" i="1" s="1"/>
  <c r="AI131" i="1"/>
  <c r="AA132" i="1"/>
  <c r="AC132" i="1"/>
  <c r="AD132" i="1"/>
  <c r="AE132" i="1" s="1"/>
  <c r="AJ132" i="1" s="1"/>
  <c r="AI132" i="1"/>
  <c r="AC133" i="1"/>
  <c r="AD133" i="1"/>
  <c r="X133" i="1" s="1"/>
  <c r="AI133" i="1"/>
  <c r="AA134" i="1"/>
  <c r="AC134" i="1"/>
  <c r="AD134" i="1"/>
  <c r="AB134" i="1" s="1"/>
  <c r="AI134" i="1"/>
  <c r="AA135" i="1"/>
  <c r="AC135" i="1"/>
  <c r="AD135" i="1"/>
  <c r="AE135" i="1" s="1"/>
  <c r="AI135" i="1"/>
  <c r="AA136" i="1"/>
  <c r="AC136" i="1"/>
  <c r="AD136" i="1"/>
  <c r="AB136" i="1" s="1"/>
  <c r="AI136" i="1"/>
  <c r="AA137" i="1"/>
  <c r="AC137" i="1"/>
  <c r="AD137" i="1"/>
  <c r="AI137" i="1"/>
  <c r="AA138" i="1"/>
  <c r="AC138" i="1"/>
  <c r="AD138" i="1"/>
  <c r="AE138" i="1" s="1"/>
  <c r="AK138" i="1" s="1"/>
  <c r="AI138" i="1"/>
  <c r="AA139" i="1"/>
  <c r="AC139" i="1"/>
  <c r="AD139" i="1"/>
  <c r="AE139" i="1" s="1"/>
  <c r="AL139" i="1" s="1"/>
  <c r="AI139" i="1"/>
  <c r="AA140" i="1"/>
  <c r="AC140" i="1"/>
  <c r="AD140" i="1"/>
  <c r="AE140" i="1" s="1"/>
  <c r="AJ140" i="1" s="1"/>
  <c r="AI140" i="1"/>
  <c r="AA141" i="1"/>
  <c r="AC141" i="1"/>
  <c r="AD141" i="1"/>
  <c r="AB141" i="1" s="1"/>
  <c r="AI141" i="1"/>
  <c r="AC142" i="1"/>
  <c r="AD142" i="1"/>
  <c r="X142" i="1" s="1"/>
  <c r="AI142" i="1"/>
  <c r="AA143" i="1"/>
  <c r="AC143" i="1"/>
  <c r="AD143" i="1"/>
  <c r="X143" i="1" s="1"/>
  <c r="AI143" i="1"/>
  <c r="AA144" i="1"/>
  <c r="AC144" i="1"/>
  <c r="AD144" i="1"/>
  <c r="AE144" i="1" s="1"/>
  <c r="AG144" i="1" s="1"/>
  <c r="AH144" i="1" s="1"/>
  <c r="AI144" i="1"/>
  <c r="AA145" i="1"/>
  <c r="AC145" i="1"/>
  <c r="AD145" i="1"/>
  <c r="AE145" i="1" s="1"/>
  <c r="AG145" i="1" s="1"/>
  <c r="AH145" i="1" s="1"/>
  <c r="AI145" i="1"/>
  <c r="AA146" i="1"/>
  <c r="AC146" i="1"/>
  <c r="AD146" i="1"/>
  <c r="AI146" i="1"/>
  <c r="AA147" i="1"/>
  <c r="AC147" i="1"/>
  <c r="AD147" i="1"/>
  <c r="X147" i="1" s="1"/>
  <c r="AI147" i="1"/>
  <c r="AA148" i="1"/>
  <c r="AC148" i="1"/>
  <c r="AD148" i="1"/>
  <c r="AB148" i="1" s="1"/>
  <c r="AI148" i="1"/>
  <c r="AA149" i="1"/>
  <c r="AC149" i="1"/>
  <c r="AD149" i="1"/>
  <c r="AI149" i="1"/>
  <c r="AC150" i="1"/>
  <c r="AD150" i="1"/>
  <c r="AE150" i="1" s="1"/>
  <c r="AI150" i="1"/>
  <c r="AA151" i="1"/>
  <c r="AC151" i="1"/>
  <c r="AD151" i="1"/>
  <c r="X151" i="1" s="1"/>
  <c r="AI151" i="1"/>
  <c r="AA152" i="1"/>
  <c r="AC152" i="1"/>
  <c r="AD152" i="1"/>
  <c r="AE152" i="1" s="1"/>
  <c r="AL152" i="1" s="1"/>
  <c r="AI152" i="1"/>
  <c r="AA153" i="1"/>
  <c r="AC153" i="1"/>
  <c r="AD153" i="1"/>
  <c r="AB153" i="1" s="1"/>
  <c r="AI153" i="1"/>
  <c r="AA154" i="1"/>
  <c r="AC154" i="1"/>
  <c r="AD154" i="1"/>
  <c r="AB154" i="1" s="1"/>
  <c r="AI154" i="1"/>
  <c r="AA155" i="1"/>
  <c r="AC155" i="1"/>
  <c r="AD155" i="1"/>
  <c r="AE155" i="1" s="1"/>
  <c r="AJ155" i="1" s="1"/>
  <c r="AI155" i="1"/>
  <c r="AA156" i="1"/>
  <c r="AC156" i="1"/>
  <c r="AD156" i="1"/>
  <c r="AI156" i="1"/>
  <c r="AA157" i="1"/>
  <c r="AC157" i="1"/>
  <c r="AD157" i="1"/>
  <c r="AE157" i="1" s="1"/>
  <c r="AG157" i="1" s="1"/>
  <c r="AH157" i="1" s="1"/>
  <c r="AI157" i="1"/>
  <c r="AA158" i="1"/>
  <c r="AC158" i="1"/>
  <c r="AD158" i="1"/>
  <c r="AE158" i="1" s="1"/>
  <c r="AI158" i="1"/>
  <c r="AA159" i="1"/>
  <c r="AC159" i="1"/>
  <c r="AD159" i="1"/>
  <c r="AI159" i="1"/>
  <c r="AA160" i="1"/>
  <c r="AC160" i="1"/>
  <c r="AD160" i="1"/>
  <c r="AB160" i="1" s="1"/>
  <c r="AI160" i="1"/>
  <c r="AA161" i="1"/>
  <c r="AC161" i="1"/>
  <c r="AD161" i="1"/>
  <c r="AB161" i="1" s="1"/>
  <c r="AI161" i="1"/>
  <c r="AA162" i="1"/>
  <c r="AC162" i="1"/>
  <c r="AD162" i="1"/>
  <c r="AE162" i="1" s="1"/>
  <c r="AL162" i="1" s="1"/>
  <c r="AI162" i="1"/>
  <c r="AA163" i="1"/>
  <c r="AC163" i="1"/>
  <c r="AD163" i="1"/>
  <c r="AE163" i="1" s="1"/>
  <c r="AL163" i="1" s="1"/>
  <c r="AI163" i="1"/>
  <c r="AA164" i="1"/>
  <c r="AC164" i="1"/>
  <c r="AD164" i="1"/>
  <c r="AB164" i="1" s="1"/>
  <c r="AI164" i="1"/>
  <c r="AA165" i="1"/>
  <c r="AC165" i="1"/>
  <c r="AD165" i="1"/>
  <c r="AB165" i="1" s="1"/>
  <c r="AI165" i="1"/>
  <c r="AA166" i="1"/>
  <c r="AC166" i="1"/>
  <c r="AD166" i="1"/>
  <c r="AB166" i="1" s="1"/>
  <c r="AI166" i="1"/>
  <c r="AA167" i="1"/>
  <c r="AC167" i="1"/>
  <c r="AD167" i="1"/>
  <c r="AB167" i="1" s="1"/>
  <c r="AI167" i="1"/>
  <c r="AA168" i="1"/>
  <c r="AC168" i="1"/>
  <c r="AD168" i="1"/>
  <c r="AI168" i="1"/>
  <c r="AA169" i="1"/>
  <c r="AC169" i="1"/>
  <c r="AD169" i="1"/>
  <c r="AB169" i="1" s="1"/>
  <c r="AI169" i="1"/>
  <c r="AA170" i="1"/>
  <c r="AC170" i="1"/>
  <c r="AD170" i="1"/>
  <c r="AE170" i="1" s="1"/>
  <c r="AG170" i="1" s="1"/>
  <c r="AH170" i="1" s="1"/>
  <c r="AI170" i="1"/>
  <c r="AA171" i="1"/>
  <c r="AC171" i="1"/>
  <c r="AD171" i="1"/>
  <c r="AE171" i="1" s="1"/>
  <c r="AL171" i="1" s="1"/>
  <c r="AI171" i="1"/>
  <c r="AA172" i="1"/>
  <c r="AC172" i="1"/>
  <c r="AD172" i="1"/>
  <c r="AB172" i="1" s="1"/>
  <c r="AI172" i="1"/>
  <c r="AA173" i="1"/>
  <c r="AC173" i="1"/>
  <c r="AD173" i="1"/>
  <c r="AE173" i="1" s="1"/>
  <c r="AI173" i="1"/>
  <c r="AA174" i="1"/>
  <c r="AC174" i="1"/>
  <c r="AD174" i="1"/>
  <c r="AE174" i="1" s="1"/>
  <c r="AL174" i="1" s="1"/>
  <c r="AI174" i="1"/>
  <c r="AA175" i="1"/>
  <c r="AC175" i="1"/>
  <c r="AD175" i="1"/>
  <c r="AI175" i="1"/>
  <c r="AA176" i="1"/>
  <c r="AC176" i="1"/>
  <c r="AD176" i="1"/>
  <c r="X176" i="1" s="1"/>
  <c r="AI176" i="1"/>
  <c r="AA177" i="1"/>
  <c r="AC177" i="1"/>
  <c r="AD177" i="1"/>
  <c r="AE177" i="1" s="1"/>
  <c r="AG177" i="1" s="1"/>
  <c r="AH177" i="1" s="1"/>
  <c r="AI177" i="1"/>
  <c r="AA178" i="1"/>
  <c r="AC178" i="1"/>
  <c r="AD178" i="1"/>
  <c r="AE178" i="1" s="1"/>
  <c r="AK178" i="1" s="1"/>
  <c r="AI178" i="1"/>
  <c r="AA179" i="1"/>
  <c r="AC179" i="1"/>
  <c r="AD179" i="1"/>
  <c r="AB179" i="1" s="1"/>
  <c r="AI179" i="1"/>
  <c r="AA180" i="1"/>
  <c r="AC180" i="1"/>
  <c r="AD180" i="1"/>
  <c r="X180" i="1" s="1"/>
  <c r="AI180" i="1"/>
  <c r="AA181" i="1"/>
  <c r="AC181" i="1"/>
  <c r="AD181" i="1"/>
  <c r="AB181" i="1" s="1"/>
  <c r="AI181" i="1"/>
  <c r="AA182" i="1"/>
  <c r="AC182" i="1"/>
  <c r="AD182" i="1"/>
  <c r="AB182" i="1" s="1"/>
  <c r="AI182" i="1"/>
  <c r="AA183" i="1"/>
  <c r="AC183" i="1"/>
  <c r="AD183" i="1"/>
  <c r="AB183" i="1" s="1"/>
  <c r="AI183" i="1"/>
  <c r="AA184" i="1"/>
  <c r="AC184" i="1"/>
  <c r="AD184" i="1"/>
  <c r="AB184" i="1" s="1"/>
  <c r="AI184" i="1"/>
  <c r="AA185" i="1"/>
  <c r="AC185" i="1"/>
  <c r="AD185" i="1"/>
  <c r="AB185" i="1" s="1"/>
  <c r="AI185" i="1"/>
  <c r="AA186" i="1"/>
  <c r="AC186" i="1"/>
  <c r="AD186" i="1"/>
  <c r="X186" i="1" s="1"/>
  <c r="AI186" i="1"/>
  <c r="AA187" i="1"/>
  <c r="AC187" i="1"/>
  <c r="AD187" i="1"/>
  <c r="AB187" i="1" s="1"/>
  <c r="AI187" i="1"/>
  <c r="AA188" i="1"/>
  <c r="AC188" i="1"/>
  <c r="AD188" i="1"/>
  <c r="AE188" i="1" s="1"/>
  <c r="AI188" i="1"/>
  <c r="AA189" i="1"/>
  <c r="AC189" i="1"/>
  <c r="AD189" i="1"/>
  <c r="AB189" i="1" s="1"/>
  <c r="AI189" i="1"/>
  <c r="AA190" i="1"/>
  <c r="AC190" i="1"/>
  <c r="AD190" i="1"/>
  <c r="AE190" i="1" s="1"/>
  <c r="AI190" i="1"/>
  <c r="AA191" i="1"/>
  <c r="AC191" i="1"/>
  <c r="AD191" i="1"/>
  <c r="AB191" i="1" s="1"/>
  <c r="AI191" i="1"/>
  <c r="AA192" i="1"/>
  <c r="AC192" i="1"/>
  <c r="AD192" i="1"/>
  <c r="AE192" i="1" s="1"/>
  <c r="AK192" i="1" s="1"/>
  <c r="AI192" i="1"/>
  <c r="AA193" i="1"/>
  <c r="AC193" i="1"/>
  <c r="AD193" i="1"/>
  <c r="AI193" i="1"/>
  <c r="AA194" i="1"/>
  <c r="AC194" i="1"/>
  <c r="AD194" i="1"/>
  <c r="AB194" i="1" s="1"/>
  <c r="AI194" i="1"/>
  <c r="AA195" i="1"/>
  <c r="AC195" i="1"/>
  <c r="AD195" i="1"/>
  <c r="AB195" i="1" s="1"/>
  <c r="AI195" i="1"/>
  <c r="AA196" i="1"/>
  <c r="AC196" i="1"/>
  <c r="AD196" i="1"/>
  <c r="AB196" i="1" s="1"/>
  <c r="AI196" i="1"/>
  <c r="AA197" i="1"/>
  <c r="AC197" i="1"/>
  <c r="AD197" i="1"/>
  <c r="AE197" i="1" s="1"/>
  <c r="AL197" i="1" s="1"/>
  <c r="AI197" i="1"/>
  <c r="AA198" i="1"/>
  <c r="AC198" i="1"/>
  <c r="AD198" i="1"/>
  <c r="X198" i="1" s="1"/>
  <c r="AI198" i="1"/>
  <c r="AA199" i="1"/>
  <c r="AC199" i="1"/>
  <c r="AD199" i="1"/>
  <c r="AB199" i="1" s="1"/>
  <c r="AI199" i="1"/>
  <c r="AA200" i="1"/>
  <c r="AC200" i="1"/>
  <c r="AD200" i="1"/>
  <c r="AB200" i="1" s="1"/>
  <c r="AI200" i="1"/>
  <c r="AA201" i="1"/>
  <c r="AC201" i="1"/>
  <c r="AD201" i="1"/>
  <c r="AB201" i="1" s="1"/>
  <c r="AI201" i="1"/>
  <c r="AA202" i="1"/>
  <c r="AC202" i="1"/>
  <c r="AD202" i="1"/>
  <c r="AE202" i="1" s="1"/>
  <c r="AJ202" i="1" s="1"/>
  <c r="AI202" i="1"/>
  <c r="AA203" i="1"/>
  <c r="AC203" i="1"/>
  <c r="AD203" i="1"/>
  <c r="AE203" i="1" s="1"/>
  <c r="AL203" i="1" s="1"/>
  <c r="AI203" i="1"/>
  <c r="AA204" i="1"/>
  <c r="AC204" i="1"/>
  <c r="AD204" i="1"/>
  <c r="AE204" i="1" s="1"/>
  <c r="AK204" i="1" s="1"/>
  <c r="AI204" i="1"/>
  <c r="AA205" i="1"/>
  <c r="AC205" i="1"/>
  <c r="AD205" i="1"/>
  <c r="AE205" i="1" s="1"/>
  <c r="AK205" i="1" s="1"/>
  <c r="AI205" i="1"/>
  <c r="AA206" i="1"/>
  <c r="AC206" i="1"/>
  <c r="AD206" i="1"/>
  <c r="AB206" i="1" s="1"/>
  <c r="AI206" i="1"/>
  <c r="AA207" i="1"/>
  <c r="AC207" i="1"/>
  <c r="AD207" i="1"/>
  <c r="AB207" i="1" s="1"/>
  <c r="AI207" i="1"/>
  <c r="AA208" i="1"/>
  <c r="AC208" i="1"/>
  <c r="AD208" i="1"/>
  <c r="X208" i="1" s="1"/>
  <c r="AI208" i="1"/>
  <c r="AA209" i="1"/>
  <c r="AC209" i="1"/>
  <c r="AD209" i="1"/>
  <c r="X209" i="1" s="1"/>
  <c r="AI209" i="1"/>
  <c r="AA210" i="1"/>
  <c r="AC210" i="1"/>
  <c r="AD210" i="1"/>
  <c r="X210" i="1" s="1"/>
  <c r="AI210" i="1"/>
  <c r="AA211" i="1"/>
  <c r="AC211" i="1"/>
  <c r="AD211" i="1"/>
  <c r="AE211" i="1" s="1"/>
  <c r="AL211" i="1" s="1"/>
  <c r="AI211" i="1"/>
  <c r="AA212" i="1"/>
  <c r="AC212" i="1"/>
  <c r="AD212" i="1"/>
  <c r="AB212" i="1" s="1"/>
  <c r="AI212" i="1"/>
  <c r="AA213" i="1"/>
  <c r="AC213" i="1"/>
  <c r="AD213" i="1"/>
  <c r="X213" i="1" s="1"/>
  <c r="AI213" i="1"/>
  <c r="AA214" i="1"/>
  <c r="AC214" i="1"/>
  <c r="AD214" i="1"/>
  <c r="AE214" i="1" s="1"/>
  <c r="AJ214" i="1" s="1"/>
  <c r="AI214" i="1"/>
  <c r="AA215" i="1"/>
  <c r="AC215" i="1"/>
  <c r="AD215" i="1"/>
  <c r="AE215" i="1" s="1"/>
  <c r="AG215" i="1" s="1"/>
  <c r="AH215" i="1" s="1"/>
  <c r="AI215" i="1"/>
  <c r="AA216" i="1"/>
  <c r="AC216" i="1"/>
  <c r="AD216" i="1"/>
  <c r="AE216" i="1" s="1"/>
  <c r="AG216" i="1" s="1"/>
  <c r="AH216" i="1" s="1"/>
  <c r="AI216" i="1"/>
  <c r="AA217" i="1"/>
  <c r="AC217" i="1"/>
  <c r="AD217" i="1"/>
  <c r="AI217" i="1"/>
  <c r="AA218" i="1"/>
  <c r="AC218" i="1"/>
  <c r="AD218" i="1"/>
  <c r="AE218" i="1" s="1"/>
  <c r="AI218" i="1"/>
  <c r="AA219" i="1"/>
  <c r="AC219" i="1"/>
  <c r="AD219" i="1"/>
  <c r="AB219" i="1" s="1"/>
  <c r="AI219" i="1"/>
  <c r="AA220" i="1"/>
  <c r="AC220" i="1"/>
  <c r="AD220" i="1"/>
  <c r="AI220" i="1"/>
  <c r="AA221" i="1"/>
  <c r="AC221" i="1"/>
  <c r="AD221" i="1"/>
  <c r="X221" i="1" s="1"/>
  <c r="AI221" i="1"/>
  <c r="AA222" i="1"/>
  <c r="AC222" i="1"/>
  <c r="AD222" i="1"/>
  <c r="X222" i="1" s="1"/>
  <c r="AI222" i="1"/>
  <c r="AA223" i="1"/>
  <c r="AC223" i="1"/>
  <c r="AD223" i="1"/>
  <c r="AB223" i="1" s="1"/>
  <c r="AI223" i="1"/>
  <c r="AA224" i="1"/>
  <c r="AC224" i="1"/>
  <c r="AD224" i="1"/>
  <c r="AB224" i="1" s="1"/>
  <c r="AI224" i="1"/>
  <c r="AA225" i="1"/>
  <c r="AC225" i="1"/>
  <c r="AD225" i="1"/>
  <c r="AE225" i="1" s="1"/>
  <c r="AJ225" i="1" s="1"/>
  <c r="AI225" i="1"/>
  <c r="AA226" i="1"/>
  <c r="AC226" i="1"/>
  <c r="AD226" i="1"/>
  <c r="AE226" i="1" s="1"/>
  <c r="AJ226" i="1" s="1"/>
  <c r="AI226" i="1"/>
  <c r="AA227" i="1"/>
  <c r="AC227" i="1"/>
  <c r="AD227" i="1"/>
  <c r="AE227" i="1" s="1"/>
  <c r="AG227" i="1" s="1"/>
  <c r="AH227" i="1" s="1"/>
  <c r="AI227" i="1"/>
  <c r="AA228" i="1"/>
  <c r="AC228" i="1"/>
  <c r="AD228" i="1"/>
  <c r="AE228" i="1" s="1"/>
  <c r="AG228" i="1" s="1"/>
  <c r="AH228" i="1" s="1"/>
  <c r="AI228" i="1"/>
  <c r="AA229" i="1"/>
  <c r="AC229" i="1"/>
  <c r="AD229" i="1"/>
  <c r="AB229" i="1" s="1"/>
  <c r="AI229" i="1"/>
  <c r="AA230" i="1"/>
  <c r="AC230" i="1"/>
  <c r="AD230" i="1"/>
  <c r="AB230" i="1" s="1"/>
  <c r="AI230" i="1"/>
  <c r="AA231" i="1"/>
  <c r="AC231" i="1"/>
  <c r="AD231" i="1"/>
  <c r="AB231" i="1" s="1"/>
  <c r="AI231" i="1"/>
  <c r="AA232" i="1"/>
  <c r="AC232" i="1"/>
  <c r="AD232" i="1"/>
  <c r="AB232" i="1" s="1"/>
  <c r="AI232" i="1"/>
  <c r="AA233" i="1"/>
  <c r="AC233" i="1"/>
  <c r="AD233" i="1"/>
  <c r="AI233" i="1"/>
  <c r="AA234" i="1"/>
  <c r="AC234" i="1"/>
  <c r="AD234" i="1"/>
  <c r="AE234" i="1" s="1"/>
  <c r="AG234" i="1" s="1"/>
  <c r="AH234" i="1" s="1"/>
  <c r="AI234" i="1"/>
  <c r="AA235" i="1"/>
  <c r="AC235" i="1"/>
  <c r="AD235" i="1"/>
  <c r="AB235" i="1" s="1"/>
  <c r="AI235" i="1"/>
  <c r="AA236" i="1"/>
  <c r="AC236" i="1"/>
  <c r="AD236" i="1"/>
  <c r="X236" i="1" s="1"/>
  <c r="AI236" i="1"/>
  <c r="AA237" i="1"/>
  <c r="AC237" i="1"/>
  <c r="AD237" i="1"/>
  <c r="AB237" i="1" s="1"/>
  <c r="AI237" i="1"/>
  <c r="AA238" i="1"/>
  <c r="AC238" i="1"/>
  <c r="AD238" i="1"/>
  <c r="AE238" i="1" s="1"/>
  <c r="AG238" i="1" s="1"/>
  <c r="AH238" i="1" s="1"/>
  <c r="AI238" i="1"/>
  <c r="AA239" i="1"/>
  <c r="AC239" i="1"/>
  <c r="AD239" i="1"/>
  <c r="AI239" i="1"/>
  <c r="AA240" i="1"/>
  <c r="AC240" i="1"/>
  <c r="AD240" i="1"/>
  <c r="AE240" i="1" s="1"/>
  <c r="AK240" i="1" s="1"/>
  <c r="AI240" i="1"/>
  <c r="AA241" i="1"/>
  <c r="AC241" i="1"/>
  <c r="AD241" i="1"/>
  <c r="X241" i="1" s="1"/>
  <c r="AI241" i="1"/>
  <c r="AA242" i="1"/>
  <c r="AC242" i="1"/>
  <c r="AD242" i="1"/>
  <c r="X242" i="1" s="1"/>
  <c r="AI242" i="1"/>
  <c r="AA243" i="1"/>
  <c r="AC243" i="1"/>
  <c r="AD243" i="1"/>
  <c r="AB243" i="1" s="1"/>
  <c r="AI243" i="1"/>
  <c r="AA244" i="1"/>
  <c r="AC244" i="1"/>
  <c r="AD244" i="1"/>
  <c r="AB244" i="1" s="1"/>
  <c r="AI244" i="1"/>
  <c r="AA245" i="1"/>
  <c r="AC245" i="1"/>
  <c r="AD245" i="1"/>
  <c r="AB245" i="1" s="1"/>
  <c r="AI245" i="1"/>
  <c r="AA246" i="1"/>
  <c r="AC246" i="1"/>
  <c r="AD246" i="1"/>
  <c r="X246" i="1" s="1"/>
  <c r="AI246" i="1"/>
  <c r="AA247" i="1"/>
  <c r="AC247" i="1"/>
  <c r="AD247" i="1"/>
  <c r="AE247" i="1" s="1"/>
  <c r="AJ247" i="1" s="1"/>
  <c r="AI247" i="1"/>
  <c r="AA248" i="1"/>
  <c r="AC248" i="1"/>
  <c r="AD248" i="1"/>
  <c r="X248" i="1" s="1"/>
  <c r="AI248" i="1"/>
  <c r="AA249" i="1"/>
  <c r="AC249" i="1"/>
  <c r="AD249" i="1"/>
  <c r="AB249" i="1" s="1"/>
  <c r="AI249" i="1"/>
  <c r="AA250" i="1"/>
  <c r="AC250" i="1"/>
  <c r="AD250" i="1"/>
  <c r="AI250" i="1"/>
  <c r="AA251" i="1"/>
  <c r="AC251" i="1"/>
  <c r="AD251" i="1"/>
  <c r="AE251" i="1" s="1"/>
  <c r="AJ251" i="1" s="1"/>
  <c r="AI251" i="1"/>
  <c r="AA252" i="1"/>
  <c r="AC252" i="1"/>
  <c r="AD252" i="1"/>
  <c r="AE252" i="1" s="1"/>
  <c r="AG252" i="1" s="1"/>
  <c r="AH252" i="1" s="1"/>
  <c r="AI252" i="1"/>
  <c r="AA253" i="1"/>
  <c r="AC253" i="1"/>
  <c r="AD253" i="1"/>
  <c r="AB253" i="1" s="1"/>
  <c r="AI253" i="1"/>
  <c r="AA254" i="1"/>
  <c r="AC254" i="1"/>
  <c r="AD254" i="1"/>
  <c r="AI254" i="1"/>
  <c r="AA255" i="1"/>
  <c r="AC255" i="1"/>
  <c r="AD255" i="1"/>
  <c r="AB255" i="1" s="1"/>
  <c r="AI255" i="1"/>
  <c r="AA256" i="1"/>
  <c r="AC256" i="1"/>
  <c r="AD256" i="1"/>
  <c r="AB256" i="1" s="1"/>
  <c r="AI256" i="1"/>
  <c r="AA257" i="1"/>
  <c r="AC257" i="1"/>
  <c r="AD257" i="1"/>
  <c r="AI257" i="1"/>
  <c r="AA258" i="1"/>
  <c r="AC258" i="1"/>
  <c r="AD258" i="1"/>
  <c r="AE258" i="1" s="1"/>
  <c r="AK258" i="1" s="1"/>
  <c r="AI258" i="1"/>
  <c r="AA259" i="1"/>
  <c r="AC259" i="1"/>
  <c r="AD259" i="1"/>
  <c r="AB259" i="1" s="1"/>
  <c r="AI259" i="1"/>
  <c r="AA260" i="1"/>
  <c r="AC260" i="1"/>
  <c r="AD260" i="1"/>
  <c r="X260" i="1" s="1"/>
  <c r="AI260" i="1"/>
  <c r="AA261" i="1"/>
  <c r="AC261" i="1"/>
  <c r="AD261" i="1"/>
  <c r="AI261" i="1"/>
  <c r="AA262" i="1"/>
  <c r="AC262" i="1"/>
  <c r="AD262" i="1"/>
  <c r="AB262" i="1" s="1"/>
  <c r="AI262" i="1"/>
  <c r="AA263" i="1"/>
  <c r="AC263" i="1"/>
  <c r="AD263" i="1"/>
  <c r="AB263" i="1" s="1"/>
  <c r="AI263" i="1"/>
  <c r="AA264" i="1"/>
  <c r="AC264" i="1"/>
  <c r="AD264" i="1"/>
  <c r="X264" i="1" s="1"/>
  <c r="AI264" i="1"/>
  <c r="AA265" i="1"/>
  <c r="AC265" i="1"/>
  <c r="AD265" i="1"/>
  <c r="AB265" i="1" s="1"/>
  <c r="AI265" i="1"/>
  <c r="AA266" i="1"/>
  <c r="AC266" i="1"/>
  <c r="AD266" i="1"/>
  <c r="AE266" i="1" s="1"/>
  <c r="AG266" i="1" s="1"/>
  <c r="AH266" i="1" s="1"/>
  <c r="AI266" i="1"/>
  <c r="AA267" i="1"/>
  <c r="AC267" i="1"/>
  <c r="AD267" i="1"/>
  <c r="AE267" i="1" s="1"/>
  <c r="AJ267" i="1" s="1"/>
  <c r="AI267" i="1"/>
  <c r="AA268" i="1"/>
  <c r="AC268" i="1"/>
  <c r="AD268" i="1"/>
  <c r="AI268" i="1"/>
  <c r="AA269" i="1"/>
  <c r="AC269" i="1"/>
  <c r="AD269" i="1"/>
  <c r="AB269" i="1" s="1"/>
  <c r="AI269" i="1"/>
  <c r="AA270" i="1"/>
  <c r="AC270" i="1"/>
  <c r="AD270" i="1"/>
  <c r="AE270" i="1" s="1"/>
  <c r="AG270" i="1" s="1"/>
  <c r="AH270" i="1" s="1"/>
  <c r="AI270" i="1"/>
  <c r="AA271" i="1"/>
  <c r="AC271" i="1"/>
  <c r="AD271" i="1"/>
  <c r="AB271" i="1" s="1"/>
  <c r="AI271" i="1"/>
  <c r="AA272" i="1"/>
  <c r="AC272" i="1"/>
  <c r="AD272" i="1"/>
  <c r="AB272" i="1" s="1"/>
  <c r="AI272" i="1"/>
  <c r="AA273" i="1"/>
  <c r="AC273" i="1"/>
  <c r="AD273" i="1"/>
  <c r="AE273" i="1" s="1"/>
  <c r="AJ273" i="1" s="1"/>
  <c r="AI273" i="1"/>
  <c r="AA274" i="1"/>
  <c r="AC274" i="1"/>
  <c r="AD274" i="1"/>
  <c r="AB274" i="1" s="1"/>
  <c r="AI274" i="1"/>
  <c r="AA275" i="1"/>
  <c r="AC275" i="1"/>
  <c r="AD275" i="1"/>
  <c r="AB275" i="1" s="1"/>
  <c r="AI275" i="1"/>
  <c r="AA276" i="1"/>
  <c r="AC276" i="1"/>
  <c r="AD276" i="1"/>
  <c r="AE276" i="1" s="1"/>
  <c r="AJ276" i="1" s="1"/>
  <c r="AI276" i="1"/>
  <c r="AA277" i="1"/>
  <c r="AC277" i="1"/>
  <c r="AD277" i="1"/>
  <c r="AE277" i="1" s="1"/>
  <c r="AL277" i="1" s="1"/>
  <c r="AI277" i="1"/>
  <c r="AA278" i="1"/>
  <c r="AC278" i="1"/>
  <c r="AD278" i="1"/>
  <c r="AB278" i="1" s="1"/>
  <c r="AI278" i="1"/>
  <c r="AA279" i="1"/>
  <c r="AC279" i="1"/>
  <c r="AD279" i="1"/>
  <c r="AB279" i="1" s="1"/>
  <c r="AI279" i="1"/>
  <c r="AA280" i="1"/>
  <c r="AC280" i="1"/>
  <c r="AD280" i="1"/>
  <c r="AE280" i="1" s="1"/>
  <c r="AI280" i="1"/>
  <c r="AA281" i="1"/>
  <c r="AC281" i="1"/>
  <c r="AD281" i="1"/>
  <c r="AB281" i="1" s="1"/>
  <c r="AI281" i="1"/>
  <c r="AA282" i="1"/>
  <c r="AC282" i="1"/>
  <c r="AD282" i="1"/>
  <c r="AI282" i="1"/>
  <c r="AA283" i="1"/>
  <c r="AC283" i="1"/>
  <c r="AD283" i="1"/>
  <c r="AB283" i="1" s="1"/>
  <c r="AI283" i="1"/>
  <c r="AA284" i="1"/>
  <c r="AC284" i="1"/>
  <c r="AD284" i="1"/>
  <c r="AI284" i="1"/>
  <c r="AA285" i="1"/>
  <c r="AC285" i="1"/>
  <c r="AD285" i="1"/>
  <c r="AE285" i="1" s="1"/>
  <c r="AJ285" i="1" s="1"/>
  <c r="AI285" i="1"/>
  <c r="AA286" i="1"/>
  <c r="AC286" i="1"/>
  <c r="AD286" i="1"/>
  <c r="X286" i="1" s="1"/>
  <c r="AI286" i="1"/>
  <c r="AA287" i="1"/>
  <c r="AC287" i="1"/>
  <c r="AD287" i="1"/>
  <c r="AE287" i="1" s="1"/>
  <c r="AG287" i="1" s="1"/>
  <c r="AH287" i="1" s="1"/>
  <c r="AI287" i="1"/>
  <c r="AA288" i="1"/>
  <c r="AC288" i="1"/>
  <c r="AD288" i="1"/>
  <c r="AB288" i="1" s="1"/>
  <c r="AI288" i="1"/>
  <c r="AA289" i="1"/>
  <c r="AC289" i="1"/>
  <c r="AD289" i="1"/>
  <c r="AE289" i="1" s="1"/>
  <c r="AK289" i="1" s="1"/>
  <c r="AI289" i="1"/>
  <c r="AA290" i="1"/>
  <c r="AC290" i="1"/>
  <c r="AD290" i="1"/>
  <c r="AB290" i="1" s="1"/>
  <c r="AI290" i="1"/>
  <c r="AA291" i="1"/>
  <c r="AC291" i="1"/>
  <c r="AD291" i="1"/>
  <c r="AE291" i="1" s="1"/>
  <c r="AI291" i="1"/>
  <c r="AA292" i="1"/>
  <c r="AC292" i="1"/>
  <c r="AD292" i="1"/>
  <c r="AB292" i="1" s="1"/>
  <c r="AI292" i="1"/>
  <c r="AA293" i="1"/>
  <c r="AC293" i="1"/>
  <c r="AD293" i="1"/>
  <c r="AB293" i="1" s="1"/>
  <c r="AI293" i="1"/>
  <c r="AA294" i="1"/>
  <c r="AC294" i="1"/>
  <c r="AD294" i="1"/>
  <c r="AB294" i="1" s="1"/>
  <c r="AI294" i="1"/>
  <c r="AA295" i="1"/>
  <c r="AC295" i="1"/>
  <c r="AD295" i="1"/>
  <c r="AI295" i="1"/>
  <c r="AA296" i="1"/>
  <c r="AC296" i="1"/>
  <c r="AD296" i="1"/>
  <c r="AB296" i="1" s="1"/>
  <c r="AI296" i="1"/>
  <c r="AA297" i="1"/>
  <c r="AC297" i="1"/>
  <c r="AD297" i="1"/>
  <c r="AE297" i="1" s="1"/>
  <c r="AI297" i="1"/>
  <c r="AA298" i="1"/>
  <c r="AC298" i="1"/>
  <c r="AD298" i="1"/>
  <c r="X298" i="1" s="1"/>
  <c r="AI298" i="1"/>
  <c r="AA299" i="1"/>
  <c r="AC299" i="1"/>
  <c r="AD299" i="1"/>
  <c r="AB299" i="1" s="1"/>
  <c r="AI299" i="1"/>
  <c r="AA300" i="1"/>
  <c r="AC300" i="1"/>
  <c r="AD300" i="1"/>
  <c r="AI300" i="1"/>
  <c r="AA301" i="1"/>
  <c r="AC301" i="1"/>
  <c r="AD301" i="1"/>
  <c r="AB301" i="1" s="1"/>
  <c r="AI301" i="1"/>
  <c r="AA302" i="1"/>
  <c r="AC302" i="1"/>
  <c r="AD302" i="1"/>
  <c r="AB302" i="1" s="1"/>
  <c r="AI302" i="1"/>
  <c r="AA303" i="1"/>
  <c r="AC303" i="1"/>
  <c r="AD303" i="1"/>
  <c r="AB303" i="1" s="1"/>
  <c r="AI303" i="1"/>
  <c r="AA304" i="1"/>
  <c r="AC304" i="1"/>
  <c r="AD304" i="1"/>
  <c r="AE304" i="1" s="1"/>
  <c r="AI304" i="1"/>
  <c r="AA305" i="1"/>
  <c r="AC305" i="1"/>
  <c r="AD305" i="1"/>
  <c r="AI305" i="1"/>
  <c r="AA306" i="1"/>
  <c r="AC306" i="1"/>
  <c r="AD306" i="1"/>
  <c r="AB306" i="1" s="1"/>
  <c r="AI306" i="1"/>
  <c r="AA307" i="1"/>
  <c r="AC307" i="1"/>
  <c r="AD307" i="1"/>
  <c r="AE307" i="1" s="1"/>
  <c r="AG307" i="1" s="1"/>
  <c r="AH307" i="1" s="1"/>
  <c r="AI307" i="1"/>
  <c r="AA308" i="1"/>
  <c r="AC308" i="1"/>
  <c r="AD308" i="1"/>
  <c r="AI308" i="1"/>
  <c r="AA309" i="1"/>
  <c r="AC309" i="1"/>
  <c r="AD309" i="1"/>
  <c r="AE309" i="1" s="1"/>
  <c r="AG309" i="1" s="1"/>
  <c r="AH309" i="1" s="1"/>
  <c r="AI309" i="1"/>
  <c r="AA310" i="1"/>
  <c r="AC310" i="1"/>
  <c r="AD310" i="1"/>
  <c r="AE310" i="1" s="1"/>
  <c r="AJ310" i="1" s="1"/>
  <c r="AI310" i="1"/>
  <c r="AA311" i="1"/>
  <c r="AC311" i="1"/>
  <c r="AD311" i="1"/>
  <c r="AI311" i="1"/>
  <c r="AA312" i="1"/>
  <c r="AC312" i="1"/>
  <c r="AD312" i="1"/>
  <c r="X312" i="1" s="1"/>
  <c r="AI312" i="1"/>
  <c r="AA313" i="1"/>
  <c r="AC313" i="1"/>
  <c r="AD313" i="1"/>
  <c r="X313" i="1" s="1"/>
  <c r="AI313" i="1"/>
  <c r="AA314" i="1"/>
  <c r="AC314" i="1"/>
  <c r="AD314" i="1"/>
  <c r="AB314" i="1" s="1"/>
  <c r="AI314" i="1"/>
  <c r="AA315" i="1"/>
  <c r="AC315" i="1"/>
  <c r="AD315" i="1"/>
  <c r="AE315" i="1" s="1"/>
  <c r="AI315" i="1"/>
  <c r="AA316" i="1"/>
  <c r="AC316" i="1"/>
  <c r="AD316" i="1"/>
  <c r="AI316" i="1"/>
  <c r="AA317" i="1"/>
  <c r="AC317" i="1"/>
  <c r="AD317" i="1"/>
  <c r="AE317" i="1" s="1"/>
  <c r="AJ317" i="1" s="1"/>
  <c r="AI317" i="1"/>
  <c r="AA318" i="1"/>
  <c r="AC318" i="1"/>
  <c r="AD318" i="1"/>
  <c r="AB318" i="1" s="1"/>
  <c r="AI318" i="1"/>
  <c r="AA319" i="1"/>
  <c r="AC319" i="1"/>
  <c r="AD319" i="1"/>
  <c r="AB319" i="1" s="1"/>
  <c r="AI319" i="1"/>
  <c r="AA320" i="1"/>
  <c r="AC320" i="1"/>
  <c r="AD320" i="1"/>
  <c r="AE320" i="1" s="1"/>
  <c r="AL320" i="1" s="1"/>
  <c r="AI320" i="1"/>
  <c r="AA321" i="1"/>
  <c r="AC321" i="1"/>
  <c r="AD321" i="1"/>
  <c r="AE321" i="1" s="1"/>
  <c r="AG321" i="1" s="1"/>
  <c r="AH321" i="1" s="1"/>
  <c r="AI321" i="1"/>
  <c r="AA322" i="1"/>
  <c r="AC322" i="1"/>
  <c r="AD322" i="1"/>
  <c r="X322" i="1" s="1"/>
  <c r="AI322" i="1"/>
  <c r="AA323" i="1"/>
  <c r="AC323" i="1"/>
  <c r="AD323" i="1"/>
  <c r="AB323" i="1" s="1"/>
  <c r="AI323" i="1"/>
  <c r="AA324" i="1"/>
  <c r="AC324" i="1"/>
  <c r="AD324" i="1"/>
  <c r="AI324" i="1"/>
  <c r="AA325" i="1"/>
  <c r="AC325" i="1"/>
  <c r="AD325" i="1"/>
  <c r="AB325" i="1" s="1"/>
  <c r="AI325" i="1"/>
  <c r="AA326" i="1"/>
  <c r="AC326" i="1"/>
  <c r="AD326" i="1"/>
  <c r="AB326" i="1" s="1"/>
  <c r="AI326" i="1"/>
  <c r="AA327" i="1"/>
  <c r="AC327" i="1"/>
  <c r="AD327" i="1"/>
  <c r="AI327" i="1"/>
  <c r="AA328" i="1"/>
  <c r="AC328" i="1"/>
  <c r="AD328" i="1"/>
  <c r="AI328" i="1"/>
  <c r="AA329" i="1"/>
  <c r="AC329" i="1"/>
  <c r="AD329" i="1"/>
  <c r="AE329" i="1" s="1"/>
  <c r="AK329" i="1" s="1"/>
  <c r="AI329" i="1"/>
  <c r="AA330" i="1"/>
  <c r="AC330" i="1"/>
  <c r="AD330" i="1"/>
  <c r="AB330" i="1" s="1"/>
  <c r="AI330" i="1"/>
  <c r="AA331" i="1"/>
  <c r="AC331" i="1"/>
  <c r="AD331" i="1"/>
  <c r="AB331" i="1" s="1"/>
  <c r="AI331" i="1"/>
  <c r="AA332" i="1"/>
  <c r="AC332" i="1"/>
  <c r="AD332" i="1"/>
  <c r="AI332" i="1"/>
  <c r="AA333" i="1"/>
  <c r="AC333" i="1"/>
  <c r="AD333" i="1"/>
  <c r="AE333" i="1" s="1"/>
  <c r="AL333" i="1" s="1"/>
  <c r="AI333" i="1"/>
  <c r="AA334" i="1"/>
  <c r="AC334" i="1"/>
  <c r="AD334" i="1"/>
  <c r="AB334" i="1" s="1"/>
  <c r="AI334" i="1"/>
  <c r="AA335" i="1"/>
  <c r="AC335" i="1"/>
  <c r="AD335" i="1"/>
  <c r="AB335" i="1" s="1"/>
  <c r="AI335" i="1"/>
  <c r="AA336" i="1"/>
  <c r="AC336" i="1"/>
  <c r="AD336" i="1"/>
  <c r="AE336" i="1" s="1"/>
  <c r="AI336" i="1"/>
  <c r="AA337" i="1"/>
  <c r="AC337" i="1"/>
  <c r="AD337" i="1"/>
  <c r="AB337" i="1" s="1"/>
  <c r="AI337" i="1"/>
  <c r="AA338" i="1"/>
  <c r="AC338" i="1"/>
  <c r="AD338" i="1"/>
  <c r="AB338" i="1" s="1"/>
  <c r="AI338" i="1"/>
  <c r="AC339" i="1"/>
  <c r="AD339" i="1"/>
  <c r="AE339" i="1" s="1"/>
  <c r="AK339" i="1" s="1"/>
  <c r="AI339" i="1"/>
  <c r="AC340" i="1"/>
  <c r="AD340" i="1"/>
  <c r="X340" i="1" s="1"/>
  <c r="AI340" i="1"/>
  <c r="AA341" i="1"/>
  <c r="AC341" i="1"/>
  <c r="AD341" i="1"/>
  <c r="AE341" i="1" s="1"/>
  <c r="AL341" i="1" s="1"/>
  <c r="AI341" i="1"/>
  <c r="AA342" i="1"/>
  <c r="AC342" i="1"/>
  <c r="AD342" i="1"/>
  <c r="AB342" i="1" s="1"/>
  <c r="AI342" i="1"/>
  <c r="AA343" i="1"/>
  <c r="AC343" i="1"/>
  <c r="AD343" i="1"/>
  <c r="AB343" i="1" s="1"/>
  <c r="AI343" i="1"/>
  <c r="AA344" i="1"/>
  <c r="AC344" i="1"/>
  <c r="AD344" i="1"/>
  <c r="AE344" i="1" s="1"/>
  <c r="AL344" i="1" s="1"/>
  <c r="AI344" i="1"/>
  <c r="AA345" i="1"/>
  <c r="AC345" i="1"/>
  <c r="AD345" i="1"/>
  <c r="AE345" i="1" s="1"/>
  <c r="AG345" i="1" s="1"/>
  <c r="AH345" i="1" s="1"/>
  <c r="AI345" i="1"/>
  <c r="AA346" i="1"/>
  <c r="AC346" i="1"/>
  <c r="AD346" i="1"/>
  <c r="AE346" i="1" s="1"/>
  <c r="AG346" i="1" s="1"/>
  <c r="AH346" i="1" s="1"/>
  <c r="AI346" i="1"/>
  <c r="AA347" i="1"/>
  <c r="AC347" i="1"/>
  <c r="AD347" i="1"/>
  <c r="AI347" i="1"/>
  <c r="AA348" i="1"/>
  <c r="AC348" i="1"/>
  <c r="AD348" i="1"/>
  <c r="AI348" i="1"/>
  <c r="AA349" i="1"/>
  <c r="AC349" i="1"/>
  <c r="AD349" i="1"/>
  <c r="X349" i="1" s="1"/>
  <c r="AI349" i="1"/>
  <c r="AA350" i="1"/>
  <c r="AC350" i="1"/>
  <c r="AD350" i="1"/>
  <c r="AE350" i="1" s="1"/>
  <c r="AI350" i="1"/>
  <c r="AA351" i="1"/>
  <c r="AC351" i="1"/>
  <c r="AD351" i="1"/>
  <c r="AI351" i="1"/>
  <c r="AA352" i="1"/>
  <c r="AC352" i="1"/>
  <c r="AD352" i="1"/>
  <c r="AB352" i="1" s="1"/>
  <c r="AI352" i="1"/>
  <c r="AA353" i="1"/>
  <c r="AC353" i="1"/>
  <c r="AD353" i="1"/>
  <c r="X353" i="1" s="1"/>
  <c r="AI353" i="1"/>
  <c r="AC354" i="1"/>
  <c r="AD354" i="1"/>
  <c r="X354" i="1" s="1"/>
  <c r="AI354" i="1"/>
  <c r="AA355" i="1"/>
  <c r="AC355" i="1"/>
  <c r="AD355" i="1"/>
  <c r="X355" i="1" s="1"/>
  <c r="AI355" i="1"/>
  <c r="AA356" i="1"/>
  <c r="AC356" i="1"/>
  <c r="AD356" i="1"/>
  <c r="X356" i="1" s="1"/>
  <c r="AI356" i="1"/>
  <c r="AA357" i="1"/>
  <c r="AC357" i="1"/>
  <c r="AD357" i="1"/>
  <c r="AE357" i="1" s="1"/>
  <c r="AI357" i="1"/>
  <c r="AA358" i="1"/>
  <c r="AC358" i="1"/>
  <c r="AD358" i="1"/>
  <c r="X358" i="1" s="1"/>
  <c r="AI358" i="1"/>
  <c r="AA359" i="1"/>
  <c r="AC359" i="1"/>
  <c r="AD359" i="1"/>
  <c r="AE359" i="1" s="1"/>
  <c r="AK359" i="1" s="1"/>
  <c r="AI359" i="1"/>
  <c r="AA360" i="1"/>
  <c r="AC360" i="1"/>
  <c r="AD360" i="1"/>
  <c r="AE360" i="1" s="1"/>
  <c r="AL360" i="1" s="1"/>
  <c r="AI360" i="1"/>
  <c r="AA361" i="1"/>
  <c r="AC361" i="1"/>
  <c r="AD361" i="1"/>
  <c r="X361" i="1" s="1"/>
  <c r="AI361" i="1"/>
  <c r="AA362" i="1"/>
  <c r="AC362" i="1"/>
  <c r="AD362" i="1"/>
  <c r="AB362" i="1" s="1"/>
  <c r="AI362" i="1"/>
  <c r="AA363" i="1"/>
  <c r="AC363" i="1"/>
  <c r="AD363" i="1"/>
  <c r="AE363" i="1" s="1"/>
  <c r="AL363" i="1" s="1"/>
  <c r="AI363" i="1"/>
  <c r="AA364" i="1"/>
  <c r="AC364" i="1"/>
  <c r="AD364" i="1"/>
  <c r="AE364" i="1" s="1"/>
  <c r="AL364" i="1" s="1"/>
  <c r="AA365" i="1"/>
  <c r="AC365" i="1"/>
  <c r="AD365" i="1"/>
  <c r="X365" i="1" s="1"/>
  <c r="AI365" i="1"/>
  <c r="AA366" i="1"/>
  <c r="AC366" i="1"/>
  <c r="AD366" i="1"/>
  <c r="AB366" i="1" s="1"/>
  <c r="AI366" i="1"/>
  <c r="AC367" i="1"/>
  <c r="AD367" i="1"/>
  <c r="X367" i="1" s="1"/>
  <c r="AI367" i="1"/>
  <c r="AC368" i="1"/>
  <c r="AD368" i="1"/>
  <c r="X368" i="1" s="1"/>
  <c r="AI368" i="1"/>
  <c r="AA369" i="1"/>
  <c r="AC369" i="1"/>
  <c r="AD369" i="1"/>
  <c r="X369" i="1" s="1"/>
  <c r="AI369" i="1"/>
  <c r="AA370" i="1"/>
  <c r="AC370" i="1"/>
  <c r="AD370" i="1"/>
  <c r="X370" i="1" s="1"/>
  <c r="AI370" i="1"/>
  <c r="AA371" i="1"/>
  <c r="AC371" i="1"/>
  <c r="AD371" i="1"/>
  <c r="AI371" i="1"/>
  <c r="AC372" i="1"/>
  <c r="AD372" i="1"/>
  <c r="AE372" i="1" s="1"/>
  <c r="AK372" i="1" s="1"/>
  <c r="AI372" i="1"/>
  <c r="AA373" i="1"/>
  <c r="AC373" i="1"/>
  <c r="AD373" i="1"/>
  <c r="X373" i="1" s="1"/>
  <c r="AI373" i="1"/>
  <c r="AA374" i="1"/>
  <c r="AC374" i="1"/>
  <c r="AD374" i="1"/>
  <c r="AI374" i="1"/>
  <c r="AA375" i="1"/>
  <c r="AC375" i="1"/>
  <c r="AD375" i="1"/>
  <c r="X375" i="1" s="1"/>
  <c r="AI375" i="1"/>
  <c r="AA376" i="1"/>
  <c r="AC376" i="1"/>
  <c r="AD376" i="1"/>
  <c r="AI376" i="1"/>
  <c r="AA377" i="1"/>
  <c r="AC377" i="1"/>
  <c r="AD377" i="1"/>
  <c r="AE377" i="1" s="1"/>
  <c r="AL377" i="1" s="1"/>
  <c r="AI377" i="1"/>
  <c r="AA378" i="1"/>
  <c r="AC378" i="1"/>
  <c r="AD378" i="1"/>
  <c r="X378" i="1" s="1"/>
  <c r="AI378" i="1"/>
  <c r="AA379" i="1"/>
  <c r="AC379" i="1"/>
  <c r="AD379" i="1"/>
  <c r="AE379" i="1" s="1"/>
  <c r="AI379" i="1"/>
  <c r="AA380" i="1"/>
  <c r="AC380" i="1"/>
  <c r="AD380" i="1"/>
  <c r="AE380" i="1" s="1"/>
  <c r="AK380" i="1" s="1"/>
  <c r="AI380" i="1"/>
  <c r="AA381" i="1"/>
  <c r="AC381" i="1"/>
  <c r="AD381" i="1"/>
  <c r="AE381" i="1" s="1"/>
  <c r="AG381" i="1" s="1"/>
  <c r="AH381" i="1" s="1"/>
  <c r="AI381" i="1"/>
  <c r="AA382" i="1"/>
  <c r="AC382" i="1"/>
  <c r="AD382" i="1"/>
  <c r="X382" i="1" s="1"/>
  <c r="AI382" i="1"/>
  <c r="AA383" i="1"/>
  <c r="AC383" i="1"/>
  <c r="AD383" i="1"/>
  <c r="AE383" i="1" s="1"/>
  <c r="AJ383" i="1" s="1"/>
  <c r="AI383" i="1"/>
  <c r="AA384" i="1"/>
  <c r="AC384" i="1"/>
  <c r="AD384" i="1"/>
  <c r="AE384" i="1" s="1"/>
  <c r="AI384" i="1"/>
  <c r="AA385" i="1"/>
  <c r="AC385" i="1"/>
  <c r="AD385" i="1"/>
  <c r="AB385" i="1" s="1"/>
  <c r="AI385" i="1"/>
  <c r="AA386" i="1"/>
  <c r="AC386" i="1"/>
  <c r="AD386" i="1"/>
  <c r="X386" i="1" s="1"/>
  <c r="AI386" i="1"/>
  <c r="AA387" i="1"/>
  <c r="AC387" i="1"/>
  <c r="AD387" i="1"/>
  <c r="AB387" i="1" s="1"/>
  <c r="AI387" i="1"/>
  <c r="AA388" i="1"/>
  <c r="AC388" i="1"/>
  <c r="AD388" i="1"/>
  <c r="AE388" i="1" s="1"/>
  <c r="AI388" i="1"/>
  <c r="AA389" i="1"/>
  <c r="AC389" i="1"/>
  <c r="AD389" i="1"/>
  <c r="AE389" i="1" s="1"/>
  <c r="AG389" i="1" s="1"/>
  <c r="AH389" i="1" s="1"/>
  <c r="AI389" i="1"/>
  <c r="AA390" i="1"/>
  <c r="AC390" i="1"/>
  <c r="AD390" i="1"/>
  <c r="X390" i="1" s="1"/>
  <c r="AI390" i="1"/>
  <c r="AA391" i="1"/>
  <c r="AC391" i="1"/>
  <c r="AD391" i="1"/>
  <c r="AB391" i="1" s="1"/>
  <c r="AI391" i="1"/>
  <c r="AC392" i="1"/>
  <c r="AD392" i="1"/>
  <c r="AI392" i="1"/>
  <c r="AA393" i="1"/>
  <c r="AC393" i="1"/>
  <c r="AD393" i="1"/>
  <c r="AE393" i="1" s="1"/>
  <c r="AG393" i="1" s="1"/>
  <c r="AH393" i="1" s="1"/>
  <c r="AI393" i="1"/>
  <c r="AA394" i="1"/>
  <c r="AC394" i="1"/>
  <c r="AD394" i="1"/>
  <c r="AE394" i="1" s="1"/>
  <c r="AI394" i="1"/>
  <c r="AA395" i="1"/>
  <c r="AC395" i="1"/>
  <c r="AD395" i="1"/>
  <c r="X395" i="1" s="1"/>
  <c r="AI395" i="1"/>
  <c r="AA396" i="1"/>
  <c r="AC396" i="1"/>
  <c r="AD396" i="1"/>
  <c r="AB396" i="1" s="1"/>
  <c r="AI396" i="1"/>
  <c r="AA397" i="1"/>
  <c r="AC397" i="1"/>
  <c r="AD397" i="1"/>
  <c r="X397" i="1" s="1"/>
  <c r="AI397" i="1"/>
  <c r="AC398" i="1"/>
  <c r="AD398" i="1"/>
  <c r="X398" i="1" s="1"/>
  <c r="AI398" i="1"/>
  <c r="AC399" i="1"/>
  <c r="AD399" i="1"/>
  <c r="AE399" i="1" s="1"/>
  <c r="AL399" i="1" s="1"/>
  <c r="AI399" i="1"/>
  <c r="AA400" i="1"/>
  <c r="AC400" i="1"/>
  <c r="AD400" i="1"/>
  <c r="AI400" i="1"/>
  <c r="AA401" i="1"/>
  <c r="AC401" i="1"/>
  <c r="AD401" i="1"/>
  <c r="AE401" i="1" s="1"/>
  <c r="AK401" i="1" s="1"/>
  <c r="AI401" i="1"/>
  <c r="AA402" i="1"/>
  <c r="AC402" i="1"/>
  <c r="AD402" i="1"/>
  <c r="AI402" i="1"/>
  <c r="AA403" i="1"/>
  <c r="AC403" i="1"/>
  <c r="AD403" i="1"/>
  <c r="AB403" i="1" s="1"/>
  <c r="AI403" i="1"/>
  <c r="AA404" i="1"/>
  <c r="AC404" i="1"/>
  <c r="AD404" i="1"/>
  <c r="AE404" i="1" s="1"/>
  <c r="AI404" i="1"/>
  <c r="AA405" i="1"/>
  <c r="AC405" i="1"/>
  <c r="AD405" i="1"/>
  <c r="X405" i="1" s="1"/>
  <c r="AI405" i="1"/>
  <c r="AA406" i="1"/>
  <c r="AC406" i="1"/>
  <c r="AD406" i="1"/>
  <c r="AB406" i="1" s="1"/>
  <c r="AI406" i="1"/>
  <c r="AA407" i="1"/>
  <c r="AC407" i="1"/>
  <c r="AD407" i="1"/>
  <c r="AE407" i="1" s="1"/>
  <c r="AG407" i="1" s="1"/>
  <c r="AH407" i="1" s="1"/>
  <c r="AI407" i="1"/>
  <c r="AA408" i="1"/>
  <c r="AC408" i="1"/>
  <c r="AD408" i="1"/>
  <c r="AE408" i="1" s="1"/>
  <c r="AJ408" i="1" s="1"/>
  <c r="AI408" i="1"/>
  <c r="AA409" i="1"/>
  <c r="AC409" i="1"/>
  <c r="AD409" i="1"/>
  <c r="AE409" i="1" s="1"/>
  <c r="AG409" i="1" s="1"/>
  <c r="AH409" i="1" s="1"/>
  <c r="AI409" i="1"/>
  <c r="AA410" i="1"/>
  <c r="AC410" i="1"/>
  <c r="AD410" i="1"/>
  <c r="X410" i="1" s="1"/>
  <c r="AI410" i="1"/>
  <c r="AA411" i="1"/>
  <c r="AC411" i="1"/>
  <c r="AD411" i="1"/>
  <c r="X411" i="1" s="1"/>
  <c r="AI411" i="1"/>
  <c r="AA412" i="1"/>
  <c r="AC412" i="1"/>
  <c r="AD412" i="1"/>
  <c r="AB412" i="1" s="1"/>
  <c r="AI412" i="1"/>
  <c r="AA413" i="1"/>
  <c r="AC413" i="1"/>
  <c r="AD413" i="1"/>
  <c r="X413" i="1" s="1"/>
  <c r="AI413" i="1"/>
  <c r="AA414" i="1"/>
  <c r="AC414" i="1"/>
  <c r="AD414" i="1"/>
  <c r="AB414" i="1" s="1"/>
  <c r="AI414" i="1"/>
  <c r="AA415" i="1"/>
  <c r="AC415" i="1"/>
  <c r="AD415" i="1"/>
  <c r="AE415" i="1" s="1"/>
  <c r="AI415" i="1"/>
  <c r="AA416" i="1"/>
  <c r="AC416" i="1"/>
  <c r="AD416" i="1"/>
  <c r="AE416" i="1" s="1"/>
  <c r="AK416" i="1" s="1"/>
  <c r="AI416" i="1"/>
  <c r="AA417" i="1"/>
  <c r="AC417" i="1"/>
  <c r="AD417" i="1"/>
  <c r="AI417" i="1"/>
  <c r="AA418" i="1"/>
  <c r="AC418" i="1"/>
  <c r="AD418" i="1"/>
  <c r="AB418" i="1" s="1"/>
  <c r="AI418" i="1"/>
  <c r="AA419" i="1"/>
  <c r="AC419" i="1"/>
  <c r="AD419" i="1"/>
  <c r="AI419" i="1"/>
  <c r="AA420" i="1"/>
  <c r="AC420" i="1"/>
  <c r="AD420" i="1"/>
  <c r="AB420" i="1" s="1"/>
  <c r="AI420" i="1"/>
  <c r="AA421" i="1"/>
  <c r="AC421" i="1"/>
  <c r="AD421" i="1"/>
  <c r="AI421" i="1"/>
  <c r="AA422" i="1"/>
  <c r="AC422" i="1"/>
  <c r="AD422" i="1"/>
  <c r="AB422" i="1" s="1"/>
  <c r="AI422" i="1"/>
  <c r="AA423" i="1"/>
  <c r="AC423" i="1"/>
  <c r="AD423" i="1"/>
  <c r="AB423" i="1" s="1"/>
  <c r="AI423" i="1"/>
  <c r="AA424" i="1"/>
  <c r="AC424" i="1"/>
  <c r="AD424" i="1"/>
  <c r="AI424" i="1"/>
  <c r="AA425" i="1"/>
  <c r="AC425" i="1"/>
  <c r="AD425" i="1"/>
  <c r="AE425" i="1" s="1"/>
  <c r="AI425" i="1"/>
  <c r="AA426" i="1"/>
  <c r="AC426" i="1"/>
  <c r="AD426" i="1"/>
  <c r="AB426" i="1" s="1"/>
  <c r="AI426" i="1"/>
  <c r="AA427" i="1"/>
  <c r="AC427" i="1"/>
  <c r="AD427" i="1"/>
  <c r="AB427" i="1" s="1"/>
  <c r="AI427" i="1"/>
  <c r="AA428" i="1"/>
  <c r="AC428" i="1"/>
  <c r="AD428" i="1"/>
  <c r="AE428" i="1" s="1"/>
  <c r="AK428" i="1" s="1"/>
  <c r="AI428" i="1"/>
  <c r="AA429" i="1"/>
  <c r="AC429" i="1"/>
  <c r="AD429" i="1"/>
  <c r="AI429" i="1"/>
  <c r="AA430" i="1"/>
  <c r="AC430" i="1"/>
  <c r="AD430" i="1"/>
  <c r="AB430" i="1" s="1"/>
  <c r="AI430" i="1"/>
  <c r="AA431" i="1"/>
  <c r="AC431" i="1"/>
  <c r="AD431" i="1"/>
  <c r="AB431" i="1" s="1"/>
  <c r="AI431" i="1"/>
  <c r="AA432" i="1"/>
  <c r="AC432" i="1"/>
  <c r="AD432" i="1"/>
  <c r="AB432" i="1" s="1"/>
  <c r="AI432" i="1"/>
  <c r="AA433" i="1"/>
  <c r="AC433" i="1"/>
  <c r="AD433" i="1"/>
  <c r="AE433" i="1" s="1"/>
  <c r="AG433" i="1" s="1"/>
  <c r="AC434" i="1"/>
  <c r="AD434" i="1"/>
  <c r="X434" i="1" s="1"/>
  <c r="AA435" i="1"/>
  <c r="AC435" i="1"/>
  <c r="AD435" i="1"/>
  <c r="AI435" i="1"/>
  <c r="AA436" i="1"/>
  <c r="AC436" i="1"/>
  <c r="AD436" i="1"/>
  <c r="AB436" i="1" s="1"/>
  <c r="AI436" i="1"/>
  <c r="AA437" i="1"/>
  <c r="AC437" i="1"/>
  <c r="AD437" i="1"/>
  <c r="AI437" i="1"/>
  <c r="AA438" i="1"/>
  <c r="AC438" i="1"/>
  <c r="AD438" i="1"/>
  <c r="AB438" i="1" s="1"/>
  <c r="AI438" i="1"/>
  <c r="AA439" i="1"/>
  <c r="AC439" i="1"/>
  <c r="AD439" i="1"/>
  <c r="AB439" i="1" s="1"/>
  <c r="AA440" i="1"/>
  <c r="AC440" i="1"/>
  <c r="AD440" i="1"/>
  <c r="AA441" i="1"/>
  <c r="AC441" i="1"/>
  <c r="AD441" i="1"/>
  <c r="AB441" i="1" s="1"/>
  <c r="AI441" i="1"/>
  <c r="AA442" i="1"/>
  <c r="AC442" i="1"/>
  <c r="AD442" i="1"/>
  <c r="AB442" i="1" s="1"/>
  <c r="AI442" i="1"/>
  <c r="AA443" i="1"/>
  <c r="AC443" i="1"/>
  <c r="AD443" i="1"/>
  <c r="AI443" i="1"/>
  <c r="AA444" i="1"/>
  <c r="AC444" i="1"/>
  <c r="AD444" i="1"/>
  <c r="AB444" i="1" s="1"/>
  <c r="AI444" i="1"/>
  <c r="AA445" i="1"/>
  <c r="AC445" i="1"/>
  <c r="AD445" i="1"/>
  <c r="AE445" i="1" s="1"/>
  <c r="AG445" i="1" s="1"/>
  <c r="AH445" i="1" s="1"/>
  <c r="AI445" i="1"/>
  <c r="AC446" i="1"/>
  <c r="AD446" i="1"/>
  <c r="AI446" i="1"/>
  <c r="AA447" i="1"/>
  <c r="AC447" i="1"/>
  <c r="AD447" i="1"/>
  <c r="AB447" i="1" s="1"/>
  <c r="AI447" i="1"/>
  <c r="AC448" i="1"/>
  <c r="AD448" i="1"/>
  <c r="X448" i="1" s="1"/>
  <c r="AI448" i="1"/>
  <c r="AA449" i="1"/>
  <c r="AC449" i="1"/>
  <c r="AD449" i="1"/>
  <c r="AB449" i="1" s="1"/>
  <c r="AI449" i="1"/>
  <c r="AC450" i="1"/>
  <c r="AD450" i="1"/>
  <c r="AI450" i="1"/>
  <c r="AC451" i="1"/>
  <c r="AD451" i="1"/>
  <c r="AI451" i="1"/>
  <c r="AA452" i="1"/>
  <c r="AC452" i="1"/>
  <c r="AD452" i="1"/>
  <c r="AE452" i="1" s="1"/>
  <c r="AL452" i="1" s="1"/>
  <c r="AI452" i="1"/>
  <c r="AC453" i="1"/>
  <c r="AD453" i="1"/>
  <c r="X453" i="1" s="1"/>
  <c r="AI453" i="1"/>
  <c r="AA454" i="1"/>
  <c r="AC454" i="1"/>
  <c r="AD454" i="1"/>
  <c r="AB454" i="1" s="1"/>
  <c r="AI454" i="1"/>
  <c r="AC455" i="1"/>
  <c r="AD455" i="1"/>
  <c r="AE455" i="1" s="1"/>
  <c r="AI455" i="1"/>
  <c r="AC456" i="1"/>
  <c r="AD456" i="1"/>
  <c r="X456" i="1" s="1"/>
  <c r="AI456" i="1"/>
  <c r="AC457" i="1"/>
  <c r="AD457" i="1"/>
  <c r="AE457" i="1" s="1"/>
  <c r="AJ457" i="1" s="1"/>
  <c r="AI457" i="1"/>
  <c r="AC458" i="1"/>
  <c r="AD458" i="1"/>
  <c r="X458" i="1" s="1"/>
  <c r="AI458" i="1"/>
  <c r="AC459" i="1"/>
  <c r="AD459" i="1"/>
  <c r="AI459" i="1"/>
  <c r="AA460" i="1"/>
  <c r="AC460" i="1"/>
  <c r="AD460" i="1"/>
  <c r="AB460" i="1" s="1"/>
  <c r="AI460" i="1"/>
  <c r="AA461" i="1"/>
  <c r="AC461" i="1"/>
  <c r="AD461" i="1"/>
  <c r="AB461" i="1" s="1"/>
  <c r="AI461" i="1"/>
  <c r="AA462" i="1"/>
  <c r="AC462" i="1"/>
  <c r="AD462" i="1"/>
  <c r="AB462" i="1" s="1"/>
  <c r="AI462" i="1"/>
  <c r="AC463" i="1"/>
  <c r="AD463" i="1"/>
  <c r="AE463" i="1" s="1"/>
  <c r="AG463" i="1" s="1"/>
  <c r="AH463" i="1" s="1"/>
  <c r="AI463" i="1"/>
  <c r="AC464" i="1"/>
  <c r="AD464" i="1"/>
  <c r="AE464" i="1" s="1"/>
  <c r="AI464" i="1"/>
  <c r="AC465" i="1"/>
  <c r="AD465" i="1"/>
  <c r="AI465" i="1"/>
  <c r="AA466" i="1"/>
  <c r="AC466" i="1"/>
  <c r="AD466" i="1"/>
  <c r="X466" i="1" s="1"/>
  <c r="AI466" i="1"/>
  <c r="AA467" i="1"/>
  <c r="AC467" i="1"/>
  <c r="AD467" i="1"/>
  <c r="AB467" i="1" s="1"/>
  <c r="AI467" i="1"/>
  <c r="AA468" i="1"/>
  <c r="AC468" i="1"/>
  <c r="AD468" i="1"/>
  <c r="AE468" i="1" s="1"/>
  <c r="AI468" i="1"/>
  <c r="AA469" i="1"/>
  <c r="AC469" i="1"/>
  <c r="AD469" i="1"/>
  <c r="AE469" i="1" s="1"/>
  <c r="AG469" i="1" s="1"/>
  <c r="AH469" i="1" s="1"/>
  <c r="AI469" i="1"/>
  <c r="AA470" i="1"/>
  <c r="AC470" i="1"/>
  <c r="AD470" i="1"/>
  <c r="X470" i="1" s="1"/>
  <c r="AI470" i="1"/>
  <c r="AA471" i="1"/>
  <c r="AC471" i="1"/>
  <c r="AD471" i="1"/>
  <c r="AB471" i="1" s="1"/>
  <c r="AI471" i="1"/>
  <c r="AA472" i="1"/>
  <c r="AC472" i="1"/>
  <c r="AD472" i="1"/>
  <c r="AB472" i="1" s="1"/>
  <c r="AI472" i="1"/>
  <c r="AC473" i="1"/>
  <c r="AD473" i="1"/>
  <c r="AE473" i="1" s="1"/>
  <c r="AI473" i="1"/>
  <c r="AA474" i="1"/>
  <c r="AC474" i="1"/>
  <c r="AD474" i="1"/>
  <c r="AB474" i="1" s="1"/>
  <c r="AI474" i="1"/>
  <c r="AA475" i="1"/>
  <c r="AC475" i="1"/>
  <c r="AD475" i="1"/>
  <c r="AE475" i="1" s="1"/>
  <c r="AL475" i="1" s="1"/>
  <c r="AI475" i="1"/>
  <c r="AA476" i="1"/>
  <c r="AC476" i="1"/>
  <c r="AD476" i="1"/>
  <c r="AB476" i="1" s="1"/>
  <c r="AI476" i="1"/>
  <c r="AA477" i="1"/>
  <c r="AC477" i="1"/>
  <c r="AD477" i="1"/>
  <c r="AB477" i="1" s="1"/>
  <c r="AI477" i="1"/>
  <c r="AA478" i="1"/>
  <c r="AC478" i="1"/>
  <c r="AD478" i="1"/>
  <c r="X478" i="1" s="1"/>
  <c r="AI478" i="1"/>
  <c r="AA479" i="1"/>
  <c r="AC479" i="1"/>
  <c r="AD479" i="1"/>
  <c r="AB479" i="1" s="1"/>
  <c r="AI479" i="1"/>
  <c r="AA480" i="1"/>
  <c r="AC480" i="1"/>
  <c r="AD480" i="1"/>
  <c r="AB480" i="1" s="1"/>
  <c r="AI480" i="1"/>
  <c r="AA481" i="1"/>
  <c r="AC481" i="1"/>
  <c r="AD481" i="1"/>
  <c r="AB481" i="1" s="1"/>
  <c r="AI481" i="1"/>
  <c r="AA482" i="1"/>
  <c r="AC482" i="1"/>
  <c r="AD482" i="1"/>
  <c r="AI482" i="1"/>
  <c r="AA483" i="1"/>
  <c r="AC483" i="1"/>
  <c r="AD483" i="1"/>
  <c r="AB483" i="1" s="1"/>
  <c r="AI483" i="1"/>
  <c r="AA484" i="1"/>
  <c r="AC484" i="1"/>
  <c r="AD484" i="1"/>
  <c r="X484" i="1" s="1"/>
  <c r="AI484" i="1"/>
  <c r="AA485" i="1"/>
  <c r="AC485" i="1"/>
  <c r="AD485" i="1"/>
  <c r="AB485" i="1" s="1"/>
  <c r="AI485" i="1"/>
  <c r="AC486" i="1"/>
  <c r="AD486" i="1"/>
  <c r="AE486" i="1" s="1"/>
  <c r="AI486" i="1"/>
  <c r="AA487" i="1"/>
  <c r="AC487" i="1"/>
  <c r="AD487" i="1"/>
  <c r="AE487" i="1" s="1"/>
  <c r="AI487" i="1"/>
  <c r="AA488" i="1"/>
  <c r="AC488" i="1"/>
  <c r="AD488" i="1"/>
  <c r="AI488" i="1"/>
  <c r="AA489" i="1"/>
  <c r="AC489" i="1"/>
  <c r="AD489" i="1"/>
  <c r="AB489" i="1" s="1"/>
  <c r="AI489" i="1"/>
  <c r="AC490" i="1"/>
  <c r="AD490" i="1"/>
  <c r="AI490" i="1"/>
  <c r="AA491" i="1"/>
  <c r="AC491" i="1"/>
  <c r="AD491" i="1"/>
  <c r="AB491" i="1" s="1"/>
  <c r="AI491" i="1"/>
  <c r="AC492" i="1"/>
  <c r="AD492" i="1"/>
  <c r="AE492" i="1" s="1"/>
  <c r="AG492" i="1" s="1"/>
  <c r="AH492" i="1" s="1"/>
  <c r="AI492" i="1"/>
  <c r="AA493" i="1"/>
  <c r="AC493" i="1"/>
  <c r="AD493" i="1"/>
  <c r="AE493" i="1" s="1"/>
  <c r="AG493" i="1" s="1"/>
  <c r="AH493" i="1" s="1"/>
  <c r="AI493" i="1"/>
  <c r="AA494" i="1"/>
  <c r="AC494" i="1"/>
  <c r="AD494" i="1"/>
  <c r="AB494" i="1" s="1"/>
  <c r="AI494" i="1"/>
  <c r="AA495" i="1"/>
  <c r="AC495" i="1"/>
  <c r="AD495" i="1"/>
  <c r="AB495" i="1" s="1"/>
  <c r="AI495" i="1"/>
  <c r="AA497" i="1"/>
  <c r="AC497" i="1"/>
  <c r="AD497" i="1"/>
  <c r="AB497" i="1" s="1"/>
  <c r="AI497" i="1"/>
  <c r="AA498" i="1"/>
  <c r="AC498" i="1"/>
  <c r="AD498" i="1"/>
  <c r="AB498" i="1" s="1"/>
  <c r="AA499" i="1"/>
  <c r="AC499" i="1"/>
  <c r="AD499" i="1"/>
  <c r="AI499" i="1"/>
  <c r="AA500" i="1"/>
  <c r="AC500" i="1"/>
  <c r="AI500" i="1"/>
  <c r="AA501" i="1"/>
  <c r="AC501" i="1"/>
  <c r="AD501" i="1"/>
  <c r="X501" i="1" s="1"/>
  <c r="AI501" i="1"/>
  <c r="AA502" i="1"/>
  <c r="AC502" i="1"/>
  <c r="AD502" i="1"/>
  <c r="AA503" i="1"/>
  <c r="AC503" i="1"/>
  <c r="AD503" i="1"/>
  <c r="AE503" i="1" s="1"/>
  <c r="AK503" i="1" s="1"/>
  <c r="AI503" i="1"/>
  <c r="AA504" i="1"/>
  <c r="AC504" i="1"/>
  <c r="AD504" i="1"/>
  <c r="X504" i="1" s="1"/>
  <c r="AI504" i="1"/>
  <c r="AA505" i="1"/>
  <c r="AC505" i="1"/>
  <c r="AD505" i="1"/>
  <c r="AB505" i="1" s="1"/>
  <c r="AI505" i="1"/>
  <c r="AA506" i="1"/>
  <c r="AC506" i="1"/>
  <c r="AD506" i="1"/>
  <c r="X506" i="1" s="1"/>
  <c r="AI506" i="1"/>
  <c r="AA507" i="1"/>
  <c r="AC507" i="1"/>
  <c r="AD507" i="1"/>
  <c r="AE507" i="1" s="1"/>
  <c r="AI507" i="1"/>
  <c r="AA508" i="1"/>
  <c r="AC508" i="1"/>
  <c r="AD508" i="1"/>
  <c r="AB508" i="1" s="1"/>
  <c r="AI508" i="1"/>
  <c r="AA509" i="1"/>
  <c r="AC509" i="1"/>
  <c r="AD509" i="1"/>
  <c r="AB509" i="1" s="1"/>
  <c r="AI509" i="1"/>
  <c r="AA510" i="1"/>
  <c r="AC510" i="1"/>
  <c r="AD510" i="1"/>
  <c r="AE510" i="1" s="1"/>
  <c r="AA511" i="1"/>
  <c r="AC511" i="1"/>
  <c r="AD511" i="1"/>
  <c r="X511" i="1" s="1"/>
  <c r="AA512" i="1"/>
  <c r="AC512" i="1"/>
  <c r="AD512" i="1"/>
  <c r="AB512" i="1" s="1"/>
  <c r="AA513" i="1"/>
  <c r="AC513" i="1"/>
  <c r="AD513" i="1"/>
  <c r="AB513" i="1" s="1"/>
  <c r="AI513" i="1"/>
  <c r="AA514" i="1"/>
  <c r="AC514" i="1"/>
  <c r="AD514" i="1"/>
  <c r="AB514" i="1" s="1"/>
  <c r="AA515" i="1"/>
  <c r="AC515" i="1"/>
  <c r="AD515" i="1"/>
  <c r="AB515" i="1" s="1"/>
  <c r="AI515" i="1"/>
  <c r="AA516" i="1"/>
  <c r="AC516" i="1"/>
  <c r="AD516" i="1"/>
  <c r="AA517" i="1"/>
  <c r="AC517" i="1"/>
  <c r="AD517" i="1"/>
  <c r="X517" i="1" s="1"/>
  <c r="AI517" i="1"/>
  <c r="AA518" i="1"/>
  <c r="AC518" i="1"/>
  <c r="AD518" i="1"/>
  <c r="AE518" i="1" s="1"/>
  <c r="AA519" i="1"/>
  <c r="AC519" i="1"/>
  <c r="AD519" i="1"/>
  <c r="AB519" i="1" s="1"/>
  <c r="AI519" i="1"/>
  <c r="AC520" i="1"/>
  <c r="AD520" i="1"/>
  <c r="AE520" i="1" s="1"/>
  <c r="AG520" i="1" s="1"/>
  <c r="AH520" i="1" s="1"/>
  <c r="AI520" i="1"/>
  <c r="AA521" i="1"/>
  <c r="AC521" i="1"/>
  <c r="AD521" i="1"/>
  <c r="X521" i="1" s="1"/>
  <c r="AI521" i="1"/>
  <c r="AA522" i="1"/>
  <c r="AC522" i="1"/>
  <c r="AD522" i="1"/>
  <c r="AB522" i="1" s="1"/>
  <c r="AI522" i="1"/>
  <c r="AA523" i="1"/>
  <c r="AC523" i="1"/>
  <c r="AD523" i="1"/>
  <c r="AB523" i="1" s="1"/>
  <c r="AA524" i="1"/>
  <c r="AC524" i="1"/>
  <c r="AD524" i="1"/>
  <c r="AA525" i="1"/>
  <c r="AC525" i="1"/>
  <c r="AD525" i="1"/>
  <c r="AB525" i="1" s="1"/>
  <c r="AI525" i="1"/>
  <c r="AC526" i="1"/>
  <c r="AD526" i="1"/>
  <c r="AE526" i="1" s="1"/>
  <c r="AG526" i="1" s="1"/>
  <c r="AC527" i="1"/>
  <c r="AD527" i="1"/>
  <c r="AE527" i="1" s="1"/>
  <c r="AK527" i="1" s="1"/>
  <c r="AA528" i="1"/>
  <c r="AC528" i="1"/>
  <c r="AD528" i="1"/>
  <c r="AE528" i="1" s="1"/>
  <c r="AK528" i="1" s="1"/>
  <c r="AI528" i="1"/>
  <c r="AA529" i="1"/>
  <c r="AC529" i="1"/>
  <c r="AD529" i="1"/>
  <c r="AI529" i="1"/>
  <c r="AA530" i="1"/>
  <c r="AC530" i="1"/>
  <c r="AD530" i="1"/>
  <c r="AB530" i="1" s="1"/>
  <c r="AI530" i="1"/>
  <c r="AA531" i="1"/>
  <c r="AC531" i="1"/>
  <c r="AD531" i="1"/>
  <c r="AB531" i="1" s="1"/>
  <c r="AI531" i="1"/>
  <c r="AA532" i="1"/>
  <c r="AC532" i="1"/>
  <c r="AD532" i="1"/>
  <c r="AE532" i="1" s="1"/>
  <c r="AJ532" i="1" s="1"/>
  <c r="AI532" i="1"/>
  <c r="AA533" i="1"/>
  <c r="AC533" i="1"/>
  <c r="AD533" i="1"/>
  <c r="AB533" i="1" s="1"/>
  <c r="AI533" i="1"/>
  <c r="AA534" i="1"/>
  <c r="AC534" i="1"/>
  <c r="AD534" i="1"/>
  <c r="AE534" i="1" s="1"/>
  <c r="AG534" i="1" s="1"/>
  <c r="AH534" i="1" s="1"/>
  <c r="AI534" i="1"/>
  <c r="AA535" i="1"/>
  <c r="AC535" i="1"/>
  <c r="AD535" i="1"/>
  <c r="AB535" i="1" s="1"/>
  <c r="AI535" i="1"/>
  <c r="AA536" i="1"/>
  <c r="AC536" i="1"/>
  <c r="AD536" i="1"/>
  <c r="X536" i="1" s="1"/>
  <c r="AI536" i="1"/>
  <c r="AA537" i="1"/>
  <c r="AC537" i="1"/>
  <c r="AD537" i="1"/>
  <c r="AB537" i="1" s="1"/>
  <c r="AI537" i="1"/>
  <c r="AA542" i="1"/>
  <c r="AC542" i="1"/>
  <c r="AD542" i="1"/>
  <c r="AI542" i="1"/>
  <c r="AA543" i="1"/>
  <c r="AC543" i="1"/>
  <c r="AD543" i="1"/>
  <c r="AE543" i="1" s="1"/>
  <c r="AI543" i="1"/>
  <c r="AA544" i="1"/>
  <c r="AC544" i="1"/>
  <c r="AD544" i="1"/>
  <c r="AI544" i="1"/>
  <c r="AA545" i="1"/>
  <c r="AC545" i="1"/>
  <c r="AD545" i="1"/>
  <c r="X545" i="1" s="1"/>
  <c r="AI545" i="1"/>
  <c r="AA546" i="1"/>
  <c r="AC546" i="1"/>
  <c r="AD546" i="1"/>
  <c r="AB546" i="1" s="1"/>
  <c r="AI546" i="1"/>
  <c r="AA547" i="1"/>
  <c r="AC547" i="1"/>
  <c r="AD547" i="1"/>
  <c r="AI547" i="1"/>
  <c r="AA548" i="1"/>
  <c r="AC548" i="1"/>
  <c r="AD548" i="1"/>
  <c r="AB548" i="1" s="1"/>
  <c r="AI548" i="1"/>
  <c r="AA549" i="1"/>
  <c r="AC549" i="1"/>
  <c r="AD549" i="1"/>
  <c r="AB549" i="1" s="1"/>
  <c r="AI549" i="1"/>
  <c r="AA551" i="1"/>
  <c r="AC551" i="1"/>
  <c r="AD551" i="1"/>
  <c r="AB551" i="1" s="1"/>
  <c r="AI551" i="1"/>
  <c r="AA552" i="1"/>
  <c r="AC552" i="1"/>
  <c r="AD552" i="1"/>
  <c r="AB552" i="1" s="1"/>
  <c r="AI552" i="1"/>
  <c r="AA553" i="1"/>
  <c r="AC553" i="1"/>
  <c r="AD553" i="1"/>
  <c r="AI553" i="1"/>
  <c r="AA554" i="1"/>
  <c r="AC554" i="1"/>
  <c r="AD554" i="1"/>
  <c r="AB554" i="1" s="1"/>
  <c r="AI554" i="1"/>
  <c r="AA555" i="1"/>
  <c r="AC555" i="1"/>
  <c r="AD555" i="1"/>
  <c r="AB555" i="1" s="1"/>
  <c r="AI555" i="1"/>
  <c r="AA556" i="1"/>
  <c r="AC556" i="1"/>
  <c r="AD556" i="1"/>
  <c r="AE556" i="1" s="1"/>
  <c r="AK556" i="1" s="1"/>
  <c r="AI556" i="1"/>
  <c r="AA557" i="1"/>
  <c r="AC557" i="1"/>
  <c r="AD557" i="1"/>
  <c r="AE557" i="1" s="1"/>
  <c r="AG557" i="1" s="1"/>
  <c r="AH557" i="1" s="1"/>
  <c r="AO557" i="1" s="1"/>
  <c r="AP557" i="1" s="1"/>
  <c r="AI557" i="1"/>
  <c r="AA558" i="1"/>
  <c r="AC558" i="1"/>
  <c r="AD558" i="1"/>
  <c r="X558" i="1" s="1"/>
  <c r="AI558" i="1"/>
  <c r="AA559" i="1"/>
  <c r="AC559" i="1"/>
  <c r="AD559" i="1"/>
  <c r="AB559" i="1" s="1"/>
  <c r="AI559" i="1"/>
  <c r="AA560" i="1"/>
  <c r="AC560" i="1"/>
  <c r="AD560" i="1"/>
  <c r="AB560" i="1" s="1"/>
  <c r="AI560" i="1"/>
  <c r="AA561" i="1"/>
  <c r="AC561" i="1"/>
  <c r="AD561" i="1"/>
  <c r="AB561" i="1" s="1"/>
  <c r="AI561" i="1"/>
  <c r="AA562" i="1"/>
  <c r="AC562" i="1"/>
  <c r="AD562" i="1"/>
  <c r="AI562" i="1"/>
  <c r="AA563" i="1"/>
  <c r="AC563" i="1"/>
  <c r="AD563" i="1"/>
  <c r="AE563" i="1" s="1"/>
  <c r="AG563" i="1" s="1"/>
  <c r="AH563" i="1" s="1"/>
  <c r="AI563" i="1"/>
  <c r="AA564" i="1"/>
  <c r="AC564" i="1"/>
  <c r="AD564" i="1"/>
  <c r="AE564" i="1" s="1"/>
  <c r="AK564" i="1" s="1"/>
  <c r="AI564" i="1"/>
  <c r="AA565" i="1"/>
  <c r="AC565" i="1"/>
  <c r="AD565" i="1"/>
  <c r="X565" i="1" s="1"/>
  <c r="AI565" i="1"/>
  <c r="AA566" i="1"/>
  <c r="AC566" i="1"/>
  <c r="AD566" i="1"/>
  <c r="AI566" i="1"/>
  <c r="AA567" i="1"/>
  <c r="AC567" i="1"/>
  <c r="AD567" i="1"/>
  <c r="AB567" i="1" s="1"/>
  <c r="AI567" i="1"/>
  <c r="AA568" i="1"/>
  <c r="AC568" i="1"/>
  <c r="AD568" i="1"/>
  <c r="AE568" i="1" s="1"/>
  <c r="AI568" i="1"/>
  <c r="AA569" i="1"/>
  <c r="AC569" i="1"/>
  <c r="AD569" i="1"/>
  <c r="AE569" i="1" s="1"/>
  <c r="AI569" i="1"/>
  <c r="AA570" i="1"/>
  <c r="AC570" i="1"/>
  <c r="AD570" i="1"/>
  <c r="AI570" i="1"/>
  <c r="AA571" i="1"/>
  <c r="AC571" i="1"/>
  <c r="AD571" i="1"/>
  <c r="AB571" i="1" s="1"/>
  <c r="AI571" i="1"/>
  <c r="AA572" i="1"/>
  <c r="AC572" i="1"/>
  <c r="AD572" i="1"/>
  <c r="AB572" i="1" s="1"/>
  <c r="AI572" i="1"/>
  <c r="AA573" i="1"/>
  <c r="AC573" i="1"/>
  <c r="AD573" i="1"/>
  <c r="AB573" i="1" s="1"/>
  <c r="AI573" i="1"/>
  <c r="AA574" i="1"/>
  <c r="AC574" i="1"/>
  <c r="AD574" i="1"/>
  <c r="AB574" i="1" s="1"/>
  <c r="AI574" i="1"/>
  <c r="AA575" i="1"/>
  <c r="AC575" i="1"/>
  <c r="AD575" i="1"/>
  <c r="X575" i="1" s="1"/>
  <c r="AI575" i="1"/>
  <c r="AA576" i="1"/>
  <c r="AC576" i="1"/>
  <c r="AD576" i="1"/>
  <c r="AE576" i="1" s="1"/>
  <c r="AJ576" i="1" s="1"/>
  <c r="AI576" i="1"/>
  <c r="AC577" i="1"/>
  <c r="AD577" i="1"/>
  <c r="X577" i="1" s="1"/>
  <c r="AI577" i="1"/>
  <c r="AA578" i="1"/>
  <c r="AC578" i="1"/>
  <c r="AD578" i="1"/>
  <c r="AB578" i="1" s="1"/>
  <c r="AI578" i="1"/>
  <c r="AA579" i="1"/>
  <c r="AC579" i="1"/>
  <c r="AD579" i="1"/>
  <c r="AB579" i="1" s="1"/>
  <c r="AI579" i="1"/>
  <c r="AA580" i="1"/>
  <c r="AC580" i="1"/>
  <c r="AD580" i="1"/>
  <c r="AB580" i="1" s="1"/>
  <c r="AI580" i="1"/>
  <c r="AA581" i="1"/>
  <c r="AC581" i="1"/>
  <c r="AD581" i="1"/>
  <c r="X581" i="1" s="1"/>
  <c r="AI581" i="1"/>
  <c r="AA582" i="1"/>
  <c r="AC582" i="1"/>
  <c r="AD582" i="1"/>
  <c r="X582" i="1" s="1"/>
  <c r="AI582" i="1"/>
  <c r="AA583" i="1"/>
  <c r="AC583" i="1"/>
  <c r="AD583" i="1"/>
  <c r="AI583" i="1"/>
  <c r="AA584" i="1"/>
  <c r="AC584" i="1"/>
  <c r="AD584" i="1"/>
  <c r="AB584" i="1" s="1"/>
  <c r="AI584" i="1"/>
  <c r="AC585" i="1"/>
  <c r="AD585" i="1"/>
  <c r="AE585" i="1" s="1"/>
  <c r="AJ585" i="1" s="1"/>
  <c r="AC586" i="1"/>
  <c r="AD586" i="1"/>
  <c r="AE586" i="1" s="1"/>
  <c r="AA587" i="1"/>
  <c r="AC587" i="1"/>
  <c r="AD587" i="1"/>
  <c r="AI587" i="1"/>
  <c r="AA588" i="1"/>
  <c r="AC588" i="1"/>
  <c r="AD588" i="1"/>
  <c r="X588" i="1" s="1"/>
  <c r="AI588" i="1"/>
  <c r="AA589" i="1"/>
  <c r="AC589" i="1"/>
  <c r="AD589" i="1"/>
  <c r="AE589" i="1" s="1"/>
  <c r="AI589" i="1"/>
  <c r="AA590" i="1"/>
  <c r="AC590" i="1"/>
  <c r="AD590" i="1"/>
  <c r="AB590" i="1" s="1"/>
  <c r="AI590" i="1"/>
  <c r="AA591" i="1"/>
  <c r="AC591" i="1"/>
  <c r="AD591" i="1"/>
  <c r="AB591" i="1" s="1"/>
  <c r="AI591" i="1"/>
  <c r="AA592" i="1"/>
  <c r="AC592" i="1"/>
  <c r="AD592" i="1"/>
  <c r="X592" i="1" s="1"/>
  <c r="AI592" i="1"/>
  <c r="AA593" i="1"/>
  <c r="AC593" i="1"/>
  <c r="AD593" i="1"/>
  <c r="AB593" i="1" s="1"/>
  <c r="AI593" i="1"/>
  <c r="AA594" i="1"/>
  <c r="AC594" i="1"/>
  <c r="AD594" i="1"/>
  <c r="X594" i="1" s="1"/>
  <c r="AI594" i="1"/>
  <c r="AA595" i="1"/>
  <c r="AC595" i="1"/>
  <c r="AD595" i="1"/>
  <c r="AB595" i="1" s="1"/>
  <c r="AI595" i="1"/>
  <c r="AA596" i="1"/>
  <c r="AC596" i="1"/>
  <c r="AD596" i="1"/>
  <c r="X596" i="1" s="1"/>
  <c r="AI596" i="1"/>
  <c r="AA597" i="1"/>
  <c r="AC597" i="1"/>
  <c r="AD597" i="1"/>
  <c r="AI597" i="1"/>
  <c r="AA598" i="1"/>
  <c r="AC598" i="1"/>
  <c r="AD598" i="1"/>
  <c r="AE598" i="1" s="1"/>
  <c r="AI598" i="1"/>
  <c r="AA599" i="1"/>
  <c r="AC599" i="1"/>
  <c r="AD599" i="1"/>
  <c r="AB599" i="1" s="1"/>
  <c r="AI599" i="1"/>
  <c r="AA600" i="1"/>
  <c r="AC600" i="1"/>
  <c r="AD600" i="1"/>
  <c r="AE600" i="1" s="1"/>
  <c r="AJ600" i="1" s="1"/>
  <c r="AA601" i="1"/>
  <c r="AC601" i="1"/>
  <c r="AD601" i="1"/>
  <c r="AB601" i="1" s="1"/>
  <c r="AI601" i="1"/>
  <c r="AC602" i="1"/>
  <c r="AD602" i="1"/>
  <c r="AE602" i="1" s="1"/>
  <c r="AK602" i="1" s="1"/>
  <c r="AI602" i="1"/>
  <c r="AC603" i="1"/>
  <c r="AD603" i="1"/>
  <c r="X603" i="1" s="1"/>
  <c r="AI603" i="1"/>
  <c r="AA604" i="1"/>
  <c r="AC604" i="1"/>
  <c r="AD604" i="1"/>
  <c r="X604" i="1" s="1"/>
  <c r="AI604" i="1"/>
  <c r="AA605" i="1"/>
  <c r="AC605" i="1"/>
  <c r="AD605" i="1"/>
  <c r="AB605" i="1" s="1"/>
  <c r="AI605" i="1"/>
  <c r="AA606" i="1"/>
  <c r="AC606" i="1"/>
  <c r="AD606" i="1"/>
  <c r="X606" i="1" s="1"/>
  <c r="AI606" i="1"/>
  <c r="AA607" i="1"/>
  <c r="AC607" i="1"/>
  <c r="AD607" i="1"/>
  <c r="AB607" i="1" s="1"/>
  <c r="AI607" i="1"/>
  <c r="AA608" i="1"/>
  <c r="AC608" i="1"/>
  <c r="AD608" i="1"/>
  <c r="AB608" i="1" s="1"/>
  <c r="AI608" i="1"/>
  <c r="AA609" i="1"/>
  <c r="AC609" i="1"/>
  <c r="AD609" i="1"/>
  <c r="AB609" i="1" s="1"/>
  <c r="AI609" i="1"/>
  <c r="AA610" i="1"/>
  <c r="AC610" i="1"/>
  <c r="AD610" i="1"/>
  <c r="AB610" i="1" s="1"/>
  <c r="AI610" i="1"/>
  <c r="AA611" i="1"/>
  <c r="AC611" i="1"/>
  <c r="AD611" i="1"/>
  <c r="AB611" i="1" s="1"/>
  <c r="AI611" i="1"/>
  <c r="AA612" i="1"/>
  <c r="AC612" i="1"/>
  <c r="AD612" i="1"/>
  <c r="X612" i="1" s="1"/>
  <c r="AI612" i="1"/>
  <c r="AA613" i="1"/>
  <c r="AC613" i="1"/>
  <c r="AD613" i="1"/>
  <c r="AB613" i="1" s="1"/>
  <c r="AI613" i="1"/>
  <c r="AA614" i="1"/>
  <c r="AC614" i="1"/>
  <c r="AD614" i="1"/>
  <c r="AA615" i="1"/>
  <c r="AC615" i="1"/>
  <c r="AD615" i="1"/>
  <c r="AB615" i="1" s="1"/>
  <c r="AA616" i="1"/>
  <c r="AC616" i="1"/>
  <c r="AD616" i="1"/>
  <c r="AB616" i="1" s="1"/>
  <c r="AI616" i="1"/>
  <c r="AA617" i="1"/>
  <c r="AC617" i="1"/>
  <c r="AD617" i="1"/>
  <c r="AB617" i="1" s="1"/>
  <c r="AC618" i="1"/>
  <c r="AD618" i="1"/>
  <c r="AI618" i="1"/>
  <c r="AA619" i="1"/>
  <c r="AC619" i="1"/>
  <c r="AD619" i="1"/>
  <c r="AA620" i="1"/>
  <c r="AC620" i="1"/>
  <c r="AD620" i="1"/>
  <c r="X620" i="1" s="1"/>
  <c r="AI620" i="1"/>
  <c r="AA621" i="1"/>
  <c r="AC621" i="1"/>
  <c r="AD621" i="1"/>
  <c r="AB621" i="1" s="1"/>
  <c r="AI621" i="1"/>
  <c r="AA622" i="1"/>
  <c r="AC622" i="1"/>
  <c r="AD622" i="1"/>
  <c r="AE622" i="1" s="1"/>
  <c r="AK622" i="1" s="1"/>
  <c r="AI622" i="1"/>
  <c r="AA623" i="1"/>
  <c r="AC623" i="1"/>
  <c r="AD623" i="1"/>
  <c r="AE623" i="1" s="1"/>
  <c r="AI623" i="1"/>
  <c r="AA624" i="1"/>
  <c r="AC624" i="1"/>
  <c r="AD624" i="1"/>
  <c r="X624" i="1" s="1"/>
  <c r="AA625" i="1"/>
  <c r="AC625" i="1"/>
  <c r="AD625" i="1"/>
  <c r="AB625" i="1" s="1"/>
  <c r="AA626" i="1"/>
  <c r="AC626" i="1"/>
  <c r="AD626" i="1"/>
  <c r="AB626" i="1" s="1"/>
  <c r="AA627" i="1"/>
  <c r="AC627" i="1"/>
  <c r="AD627" i="1"/>
  <c r="AB627" i="1" s="1"/>
  <c r="AI627" i="1"/>
  <c r="AA628" i="1"/>
  <c r="AC628" i="1"/>
  <c r="AD628" i="1"/>
  <c r="AB628" i="1" s="1"/>
  <c r="AI628" i="1"/>
  <c r="AA629" i="1"/>
  <c r="AC629" i="1"/>
  <c r="AD629" i="1"/>
  <c r="AI629" i="1"/>
  <c r="AA630" i="1"/>
  <c r="AC630" i="1"/>
  <c r="AD630" i="1"/>
  <c r="X630" i="1" s="1"/>
  <c r="AI630" i="1"/>
  <c r="AA631" i="1"/>
  <c r="AC631" i="1"/>
  <c r="AD631" i="1"/>
  <c r="AB631" i="1" s="1"/>
  <c r="AA632" i="1"/>
  <c r="AC632" i="1"/>
  <c r="AD632" i="1"/>
  <c r="AB632" i="1" s="1"/>
  <c r="AI632" i="1"/>
  <c r="AA633" i="1"/>
  <c r="AC633" i="1"/>
  <c r="AD633" i="1"/>
  <c r="X633" i="1" s="1"/>
  <c r="AI633" i="1"/>
  <c r="AA634" i="1"/>
  <c r="AC634" i="1"/>
  <c r="AD634" i="1"/>
  <c r="X634" i="1" s="1"/>
  <c r="AI634" i="1"/>
  <c r="AA635" i="1"/>
  <c r="AC635" i="1"/>
  <c r="AD635" i="1"/>
  <c r="AB635" i="1" s="1"/>
  <c r="AI635" i="1"/>
  <c r="AA636" i="1"/>
  <c r="AC636" i="1"/>
  <c r="AD636" i="1"/>
  <c r="X636" i="1" s="1"/>
  <c r="AI636" i="1"/>
  <c r="AA637" i="1"/>
  <c r="AC637" i="1"/>
  <c r="AD637" i="1"/>
  <c r="AB637" i="1" s="1"/>
  <c r="AI637" i="1"/>
  <c r="AA638" i="1"/>
  <c r="AC638" i="1"/>
  <c r="AD638" i="1"/>
  <c r="AB638" i="1" s="1"/>
  <c r="AI638" i="1"/>
  <c r="AA639" i="1"/>
  <c r="AC639" i="1"/>
  <c r="AD639" i="1"/>
  <c r="X639" i="1" s="1"/>
  <c r="AI639" i="1"/>
  <c r="AA640" i="1"/>
  <c r="AC640" i="1"/>
  <c r="AD640" i="1"/>
  <c r="AB640" i="1" s="1"/>
  <c r="AI640" i="1"/>
  <c r="AA641" i="1"/>
  <c r="AC641" i="1"/>
  <c r="AD641" i="1"/>
  <c r="X641" i="1" s="1"/>
  <c r="AI641" i="1"/>
  <c r="AA642" i="1"/>
  <c r="AC642" i="1"/>
  <c r="AD642" i="1"/>
  <c r="AE642" i="1" s="1"/>
  <c r="AG642" i="1" s="1"/>
  <c r="AH642" i="1" s="1"/>
  <c r="AI642" i="1"/>
  <c r="AA643" i="1"/>
  <c r="AC643" i="1"/>
  <c r="AD643" i="1"/>
  <c r="AI643" i="1"/>
  <c r="AA644" i="1"/>
  <c r="AC644" i="1"/>
  <c r="AD644" i="1"/>
  <c r="AB644" i="1" s="1"/>
  <c r="AI644" i="1"/>
  <c r="AA645" i="1"/>
  <c r="AC645" i="1"/>
  <c r="AD645" i="1"/>
  <c r="AB645" i="1" s="1"/>
  <c r="AI645" i="1"/>
  <c r="AA646" i="1"/>
  <c r="AC646" i="1"/>
  <c r="AD646" i="1"/>
  <c r="X646" i="1" s="1"/>
  <c r="AA647" i="1"/>
  <c r="AC647" i="1"/>
  <c r="AD647" i="1"/>
  <c r="AB647" i="1" s="1"/>
  <c r="AC648" i="1"/>
  <c r="AD648" i="1"/>
  <c r="AA649" i="1"/>
  <c r="AC649" i="1"/>
  <c r="AD649" i="1"/>
  <c r="AB649" i="1" s="1"/>
  <c r="AC650" i="1"/>
  <c r="AD650" i="1"/>
  <c r="AI650" i="1"/>
  <c r="AA651" i="1"/>
  <c r="AC651" i="1"/>
  <c r="AD651" i="1"/>
  <c r="AB651" i="1" s="1"/>
  <c r="AI651" i="1"/>
  <c r="AA652" i="1"/>
  <c r="AC652" i="1"/>
  <c r="AD652" i="1"/>
  <c r="AE652" i="1" s="1"/>
  <c r="AI652" i="1"/>
  <c r="AA653" i="1"/>
  <c r="AC653" i="1"/>
  <c r="AD653" i="1"/>
  <c r="AB653" i="1" s="1"/>
  <c r="AI653" i="1"/>
  <c r="AA654" i="1"/>
  <c r="AC654" i="1"/>
  <c r="AD654" i="1"/>
  <c r="X654" i="1" s="1"/>
  <c r="AI654" i="1"/>
  <c r="AA655" i="1"/>
  <c r="AC655" i="1"/>
  <c r="AD655" i="1"/>
  <c r="AI655" i="1"/>
  <c r="AC656" i="1"/>
  <c r="AD656" i="1"/>
  <c r="AE656" i="1" s="1"/>
  <c r="AG656" i="1" s="1"/>
  <c r="AA657" i="1"/>
  <c r="AC657" i="1"/>
  <c r="AD657" i="1"/>
  <c r="X657" i="1" s="1"/>
  <c r="AA658" i="1"/>
  <c r="AC658" i="1"/>
  <c r="AD658" i="1"/>
  <c r="X658" i="1" s="1"/>
  <c r="AA659" i="1"/>
  <c r="AC659" i="1"/>
  <c r="AD659" i="1"/>
  <c r="AI659" i="1"/>
  <c r="AA660" i="1"/>
  <c r="AC660" i="1"/>
  <c r="AD660" i="1"/>
  <c r="AB660" i="1" s="1"/>
  <c r="AI660" i="1"/>
  <c r="AA661" i="1"/>
  <c r="AC661" i="1"/>
  <c r="AD661" i="1"/>
  <c r="AB661" i="1" s="1"/>
  <c r="AI661" i="1"/>
  <c r="AA662" i="1"/>
  <c r="AC662" i="1"/>
  <c r="AD662" i="1"/>
  <c r="AB662" i="1" s="1"/>
  <c r="AI662" i="1"/>
  <c r="AA663" i="1"/>
  <c r="AC663" i="1"/>
  <c r="AD663" i="1"/>
  <c r="AE663" i="1" s="1"/>
  <c r="AI663" i="1"/>
  <c r="AA664" i="1"/>
  <c r="AC664" i="1"/>
  <c r="AD664" i="1"/>
  <c r="AE664" i="1" s="1"/>
  <c r="AI664" i="1"/>
  <c r="AA665" i="1"/>
  <c r="AC665" i="1"/>
  <c r="AD665" i="1"/>
  <c r="AE665" i="1" s="1"/>
  <c r="AI665" i="1"/>
  <c r="AA666" i="1"/>
  <c r="AC666" i="1"/>
  <c r="AD666" i="1"/>
  <c r="X666" i="1" s="1"/>
  <c r="AI666" i="1"/>
  <c r="AA667" i="1"/>
  <c r="AC667" i="1"/>
  <c r="AD667" i="1"/>
  <c r="AB667" i="1" s="1"/>
  <c r="AI667" i="1"/>
  <c r="AA668" i="1"/>
  <c r="AC668" i="1"/>
  <c r="AD668" i="1"/>
  <c r="AB668" i="1" s="1"/>
  <c r="AA669" i="1"/>
  <c r="AC669" i="1"/>
  <c r="AD669" i="1"/>
  <c r="AE669" i="1" s="1"/>
  <c r="AL669" i="1" s="1"/>
  <c r="AI669" i="1"/>
  <c r="AA670" i="1"/>
  <c r="AC670" i="1"/>
  <c r="AD670" i="1"/>
  <c r="AB670" i="1" s="1"/>
  <c r="AI670" i="1"/>
  <c r="AA671" i="1"/>
  <c r="AC671" i="1"/>
  <c r="AD671" i="1"/>
  <c r="AI671" i="1"/>
  <c r="AA672" i="1"/>
  <c r="AC672" i="1"/>
  <c r="AD672" i="1"/>
  <c r="AB672" i="1" s="1"/>
  <c r="AI672"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7" i="1"/>
  <c r="W488" i="1"/>
  <c r="W489" i="1"/>
  <c r="W490" i="1"/>
  <c r="W491" i="1"/>
  <c r="W492" i="1"/>
  <c r="W493" i="1"/>
  <c r="W494" i="1"/>
  <c r="W495"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42" i="1"/>
  <c r="W543" i="1"/>
  <c r="W544" i="1"/>
  <c r="W545" i="1"/>
  <c r="W546" i="1"/>
  <c r="W547" i="1"/>
  <c r="W548" i="1"/>
  <c r="W549"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602" i="1"/>
  <c r="W603" i="1"/>
  <c r="W604" i="1"/>
  <c r="W605" i="1"/>
  <c r="W606" i="1"/>
  <c r="W607"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42" i="1"/>
  <c r="S543" i="1"/>
  <c r="S544" i="1"/>
  <c r="S545" i="1"/>
  <c r="S546" i="1"/>
  <c r="S547" i="1"/>
  <c r="S548" i="1"/>
  <c r="S549"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BA479" i="1"/>
  <c r="BB481" i="1"/>
  <c r="S7" i="1"/>
  <c r="AY605" i="1"/>
  <c r="BA605" i="1"/>
  <c r="Z25" i="1"/>
  <c r="BA25" i="1"/>
  <c r="AA7" i="1"/>
  <c r="AN7" i="1"/>
  <c r="AC7" i="1"/>
  <c r="AD7" i="1"/>
  <c r="X7" i="1" s="1"/>
  <c r="AI7" i="1"/>
  <c r="W7" i="1"/>
  <c r="AY574" i="1"/>
  <c r="AY227" i="1"/>
  <c r="AY243" i="1"/>
  <c r="BA243" i="1"/>
  <c r="AY471" i="1"/>
  <c r="BA471" i="1"/>
  <c r="AY487" i="1"/>
  <c r="BA487" i="1"/>
  <c r="AY242" i="1"/>
  <c r="AY244" i="1"/>
  <c r="BA242" i="1"/>
  <c r="BA244" i="1"/>
  <c r="AY563" i="1"/>
  <c r="BA563" i="1"/>
  <c r="AY17" i="1"/>
  <c r="AY71" i="1"/>
  <c r="BC71" i="1"/>
  <c r="BB71" i="1"/>
  <c r="BA71" i="1"/>
  <c r="S6" i="1"/>
  <c r="W6" i="1"/>
  <c r="AY70" i="1"/>
  <c r="BC70" i="1"/>
  <c r="BB70" i="1"/>
  <c r="BA70" i="1"/>
  <c r="BB506" i="1"/>
  <c r="BA506" i="1"/>
  <c r="AY390" i="1"/>
  <c r="AY376" i="1"/>
  <c r="BA376" i="1"/>
  <c r="AY356" i="1"/>
  <c r="BA356" i="1"/>
  <c r="BB356" i="1"/>
  <c r="BB507" i="1"/>
  <c r="BA507" i="1"/>
  <c r="BA578" i="1"/>
  <c r="AY495" i="1"/>
  <c r="BA495" i="1"/>
  <c r="BA41" i="1"/>
  <c r="BA269" i="1"/>
  <c r="AY566" i="1"/>
  <c r="AY235" i="1"/>
  <c r="AY238" i="1"/>
  <c r="AY591" i="1"/>
  <c r="BT344" i="1"/>
  <c r="BU344" i="1" s="1"/>
  <c r="BC591" i="1"/>
  <c r="BD591" i="1" s="1"/>
  <c r="BB591" i="1"/>
  <c r="BA591" i="1"/>
  <c r="AY554" i="1"/>
  <c r="BA554" i="1"/>
  <c r="AY170" i="1"/>
  <c r="BA576" i="1"/>
  <c r="BA575" i="1"/>
  <c r="AY203" i="1"/>
  <c r="BA549" i="1"/>
  <c r="BA548" i="1"/>
  <c r="AY379" i="1"/>
  <c r="AY565" i="1"/>
  <c r="AY183" i="1"/>
  <c r="AY171" i="1"/>
  <c r="AY274" i="1"/>
  <c r="BA274" i="1"/>
  <c r="AY447" i="1"/>
  <c r="BT333" i="1"/>
  <c r="BV333" i="1" s="1"/>
  <c r="BX333" i="1" s="1"/>
  <c r="BA447" i="1"/>
  <c r="Z74" i="1"/>
  <c r="AY469" i="1"/>
  <c r="AY470" i="1"/>
  <c r="BA470" i="1"/>
  <c r="AY23" i="1"/>
  <c r="AY11" i="1"/>
  <c r="AY20" i="1"/>
  <c r="AY21" i="1"/>
  <c r="AY22" i="1"/>
  <c r="AY18" i="1"/>
  <c r="AY32" i="1"/>
  <c r="AY33" i="1"/>
  <c r="AY24" i="1"/>
  <c r="AY27" i="1"/>
  <c r="AY29" i="1"/>
  <c r="AY12" i="1"/>
  <c r="AY14" i="1"/>
  <c r="AY15" i="1"/>
  <c r="AY30" i="1"/>
  <c r="AY31" i="1"/>
  <c r="AY26" i="1"/>
  <c r="AY55" i="1"/>
  <c r="AY54" i="1"/>
  <c r="AY65" i="1"/>
  <c r="AY66" i="1"/>
  <c r="AY68" i="1"/>
  <c r="AY69" i="1"/>
  <c r="AY67" i="1"/>
  <c r="AY222" i="1"/>
  <c r="AY73" i="1"/>
  <c r="AY80" i="1"/>
  <c r="AY86" i="1"/>
  <c r="AY87" i="1"/>
  <c r="AY91" i="1"/>
  <c r="AY88" i="1"/>
  <c r="AY89" i="1"/>
  <c r="AY90" i="1"/>
  <c r="AY83" i="1"/>
  <c r="AY82" i="1"/>
  <c r="AY81" i="1"/>
  <c r="AY85" i="1"/>
  <c r="AY92" i="1"/>
  <c r="AY118" i="1"/>
  <c r="AY117" i="1"/>
  <c r="AY97" i="1"/>
  <c r="AY113" i="1"/>
  <c r="AY111" i="1"/>
  <c r="AY96" i="1"/>
  <c r="AY95" i="1"/>
  <c r="AY108" i="1"/>
  <c r="AY115" i="1"/>
  <c r="AY114" i="1"/>
  <c r="AY119" i="1"/>
  <c r="AY121" i="1"/>
  <c r="AY122" i="1"/>
  <c r="AY123" i="1"/>
  <c r="AY124" i="1"/>
  <c r="AY125" i="1"/>
  <c r="AY126" i="1"/>
  <c r="AY127" i="1"/>
  <c r="AY133" i="1"/>
  <c r="AY134" i="1"/>
  <c r="AY128" i="1"/>
  <c r="AY129" i="1"/>
  <c r="AY130" i="1"/>
  <c r="AY131" i="1"/>
  <c r="AY132" i="1"/>
  <c r="AY120" i="1"/>
  <c r="AY135" i="1"/>
  <c r="AY142" i="1"/>
  <c r="AY143" i="1"/>
  <c r="AY144" i="1"/>
  <c r="AY136" i="1"/>
  <c r="AY137" i="1"/>
  <c r="AY138" i="1"/>
  <c r="AY139" i="1"/>
  <c r="AY140" i="1"/>
  <c r="AY141" i="1"/>
  <c r="AY150" i="1"/>
  <c r="AY145" i="1"/>
  <c r="AY146" i="1"/>
  <c r="AY147" i="1"/>
  <c r="AY148" i="1"/>
  <c r="AY149" i="1"/>
  <c r="AY151" i="1"/>
  <c r="AY152" i="1"/>
  <c r="AY153" i="1"/>
  <c r="AY154" i="1"/>
  <c r="AY155" i="1"/>
  <c r="AY186" i="1"/>
  <c r="AY187" i="1"/>
  <c r="AY188" i="1"/>
  <c r="AY189" i="1"/>
  <c r="AY190" i="1"/>
  <c r="AY157" i="1"/>
  <c r="AY163" i="1"/>
  <c r="AY172" i="1"/>
  <c r="AY173" i="1"/>
  <c r="AY182" i="1"/>
  <c r="AY181" i="1"/>
  <c r="AY180" i="1"/>
  <c r="AY178" i="1"/>
  <c r="AY179" i="1"/>
  <c r="AY169" i="1"/>
  <c r="AY159" i="1"/>
  <c r="AY161" i="1"/>
  <c r="AY162" i="1"/>
  <c r="AY175" i="1"/>
  <c r="AY174" i="1"/>
  <c r="AY195" i="1"/>
  <c r="AY158" i="1"/>
  <c r="AY184" i="1"/>
  <c r="AY185" i="1"/>
  <c r="AY156" i="1"/>
  <c r="AY164" i="1"/>
  <c r="AY217" i="1"/>
  <c r="AY198" i="1"/>
  <c r="AY199" i="1"/>
  <c r="AY200" i="1"/>
  <c r="AY201" i="1"/>
  <c r="AY219" i="1"/>
  <c r="AY206" i="1"/>
  <c r="AY208" i="1"/>
  <c r="AY207" i="1"/>
  <c r="AY218" i="1"/>
  <c r="AY212" i="1"/>
  <c r="AY209" i="1"/>
  <c r="AY211" i="1"/>
  <c r="AY210" i="1"/>
  <c r="AY213" i="1"/>
  <c r="AY214" i="1"/>
  <c r="AY215" i="1"/>
  <c r="AY216" i="1"/>
  <c r="AY205" i="1"/>
  <c r="AY196" i="1"/>
  <c r="AY221" i="1"/>
  <c r="AY197" i="1"/>
  <c r="AY202" i="1"/>
  <c r="AY277" i="1"/>
  <c r="AY223" i="1"/>
  <c r="AY224" i="1"/>
  <c r="AY236" i="1"/>
  <c r="AY233" i="1"/>
  <c r="AY234" i="1"/>
  <c r="AY226" i="1"/>
  <c r="AY232" i="1"/>
  <c r="AY231" i="1"/>
  <c r="AY225" i="1"/>
  <c r="AY230" i="1"/>
  <c r="AY229" i="1"/>
  <c r="AY228" i="1"/>
  <c r="AY246" i="1"/>
  <c r="AY248" i="1"/>
  <c r="AY247" i="1"/>
  <c r="AY245" i="1"/>
  <c r="AY252" i="1"/>
  <c r="AY249" i="1"/>
  <c r="AY250" i="1"/>
  <c r="AY263" i="1"/>
  <c r="AY260" i="1"/>
  <c r="AY256" i="1"/>
  <c r="AY254" i="1"/>
  <c r="AY262" i="1"/>
  <c r="AY283" i="1"/>
  <c r="AY282" i="1"/>
  <c r="AY272" i="1"/>
  <c r="AY271" i="1"/>
  <c r="AY270" i="1"/>
  <c r="AY280" i="1"/>
  <c r="AY281" i="1"/>
  <c r="AY289" i="1"/>
  <c r="AY287" i="1"/>
  <c r="AY288" i="1"/>
  <c r="AY268" i="1"/>
  <c r="AY267" i="1"/>
  <c r="AY264" i="1"/>
  <c r="AY265" i="1"/>
  <c r="AY285" i="1"/>
  <c r="AY286" i="1"/>
  <c r="AY266" i="1"/>
  <c r="AY291" i="1"/>
  <c r="AY284" i="1"/>
  <c r="AY273" i="1"/>
  <c r="AY290" i="1"/>
  <c r="AY298" i="1"/>
  <c r="AY299" i="1"/>
  <c r="AY311" i="1"/>
  <c r="AY312" i="1"/>
  <c r="AY310" i="1"/>
  <c r="AY303" i="1"/>
  <c r="AY302" i="1"/>
  <c r="AY301" i="1"/>
  <c r="AY330" i="1"/>
  <c r="AY294" i="1"/>
  <c r="AY332" i="1"/>
  <c r="AY296" i="1"/>
  <c r="AY292" i="1"/>
  <c r="AY323" i="1"/>
  <c r="AY322" i="1"/>
  <c r="AY335" i="1"/>
  <c r="AY333" i="1"/>
  <c r="AY336" i="1"/>
  <c r="AY305" i="1"/>
  <c r="AY368" i="1"/>
  <c r="AY373" i="1"/>
  <c r="AY369" i="1"/>
  <c r="AY370" i="1"/>
  <c r="AY371" i="1"/>
  <c r="AY372" i="1"/>
  <c r="AY367" i="1"/>
  <c r="AY374" i="1"/>
  <c r="AY354" i="1"/>
  <c r="AY350" i="1"/>
  <c r="AY351" i="1"/>
  <c r="AY353" i="1"/>
  <c r="AY352" i="1"/>
  <c r="AY357" i="1"/>
  <c r="AY359" i="1"/>
  <c r="AY358" i="1"/>
  <c r="AY360" i="1"/>
  <c r="AY337" i="1"/>
  <c r="AY338" i="1"/>
  <c r="AY349" i="1"/>
  <c r="AY348" i="1"/>
  <c r="AY386" i="1"/>
  <c r="AY388" i="1"/>
  <c r="AY387" i="1"/>
  <c r="AY375" i="1"/>
  <c r="AY377" i="1"/>
  <c r="AY378" i="1"/>
  <c r="AY403" i="1"/>
  <c r="AY381" i="1"/>
  <c r="AY382" i="1"/>
  <c r="AY383" i="1"/>
  <c r="AY380" i="1"/>
  <c r="AY393" i="1"/>
  <c r="AY394" i="1"/>
  <c r="AY395" i="1"/>
  <c r="AY396" i="1"/>
  <c r="AY347" i="1"/>
  <c r="AY346" i="1"/>
  <c r="AY339" i="1"/>
  <c r="AY340" i="1"/>
  <c r="AY389" i="1"/>
  <c r="AY391" i="1"/>
  <c r="AY398" i="1"/>
  <c r="AY399" i="1"/>
  <c r="AY400" i="1"/>
  <c r="AY401" i="1"/>
  <c r="AY402" i="1"/>
  <c r="AY341" i="1"/>
  <c r="AY342" i="1"/>
  <c r="AY343" i="1"/>
  <c r="AY344" i="1"/>
  <c r="AY345" i="1"/>
  <c r="AY384" i="1"/>
  <c r="AY385" i="1"/>
  <c r="AY363" i="1"/>
  <c r="AY365" i="1"/>
  <c r="AY364" i="1"/>
  <c r="AY392" i="1"/>
  <c r="AY404" i="1"/>
  <c r="AY405" i="1"/>
  <c r="AY409" i="1"/>
  <c r="AY407" i="1"/>
  <c r="AY406" i="1"/>
  <c r="AY414" i="1"/>
  <c r="AY410" i="1"/>
  <c r="AY412" i="1"/>
  <c r="AY413" i="1"/>
  <c r="AY417" i="1"/>
  <c r="AY415" i="1"/>
  <c r="AY418" i="1"/>
  <c r="AY419" i="1"/>
  <c r="AY420" i="1"/>
  <c r="AY434" i="1"/>
  <c r="AY436" i="1"/>
  <c r="AY437" i="1"/>
  <c r="AY423" i="1"/>
  <c r="AY427" i="1"/>
  <c r="AY425" i="1"/>
  <c r="AY421" i="1"/>
  <c r="AY430" i="1"/>
  <c r="AY429" i="1"/>
  <c r="AY435" i="1"/>
  <c r="AY422" i="1"/>
  <c r="AY442" i="1"/>
  <c r="AY441" i="1"/>
  <c r="AY445" i="1"/>
  <c r="AY450" i="1"/>
  <c r="AY448" i="1"/>
  <c r="AY463" i="1"/>
  <c r="AY458" i="1"/>
  <c r="AY451" i="1"/>
  <c r="AY453" i="1"/>
  <c r="AY457" i="1"/>
  <c r="AY464" i="1"/>
  <c r="AY456" i="1"/>
  <c r="AY454" i="1"/>
  <c r="AY455" i="1"/>
  <c r="AY459" i="1"/>
  <c r="AY462" i="1"/>
  <c r="AY465" i="1"/>
  <c r="AY449" i="1"/>
  <c r="AY452" i="1"/>
  <c r="AY446" i="1"/>
  <c r="AY460" i="1"/>
  <c r="AY461" i="1"/>
  <c r="AY492" i="1"/>
  <c r="AY491" i="1"/>
  <c r="AY489" i="1"/>
  <c r="AY488" i="1"/>
  <c r="AY493" i="1"/>
  <c r="AY494" i="1"/>
  <c r="AY499" i="1"/>
  <c r="AY490" i="1"/>
  <c r="AY518" i="1"/>
  <c r="AY510" i="1"/>
  <c r="AY511" i="1"/>
  <c r="AY512" i="1"/>
  <c r="AY514" i="1"/>
  <c r="AY516" i="1"/>
  <c r="AY517" i="1"/>
  <c r="AY513" i="1"/>
  <c r="AY515" i="1"/>
  <c r="AY509" i="1"/>
  <c r="AY502" i="1"/>
  <c r="AY520" i="1"/>
  <c r="AY521" i="1"/>
  <c r="AY522" i="1"/>
  <c r="AY523" i="1"/>
  <c r="AY524" i="1"/>
  <c r="AY525" i="1"/>
  <c r="AY526" i="1"/>
  <c r="AY527" i="1"/>
  <c r="AY547" i="1"/>
  <c r="AY535" i="1"/>
  <c r="AY473" i="1"/>
  <c r="AY474" i="1"/>
  <c r="AY478" i="1"/>
  <c r="AY476" i="1"/>
  <c r="AY475" i="1"/>
  <c r="AY477" i="1"/>
  <c r="AY568" i="1"/>
  <c r="AY480" i="1"/>
  <c r="AY468" i="1"/>
  <c r="AY467" i="1"/>
  <c r="AY553" i="1"/>
  <c r="AY570" i="1"/>
  <c r="AY572" i="1"/>
  <c r="AY577" i="1"/>
  <c r="AY579" i="1"/>
  <c r="AY558" i="1"/>
  <c r="AY559" i="1"/>
  <c r="AY497" i="1"/>
  <c r="AY498" i="1"/>
  <c r="AY500" i="1"/>
  <c r="AY583" i="1"/>
  <c r="AY584" i="1"/>
  <c r="AY580" i="1"/>
  <c r="AY604" i="1"/>
  <c r="AY602" i="1"/>
  <c r="AY603" i="1"/>
  <c r="AY606" i="1"/>
  <c r="AY607" i="1"/>
  <c r="AY588" i="1"/>
  <c r="AY587" i="1"/>
  <c r="AY590" i="1"/>
  <c r="AY589" i="1"/>
  <c r="AY609" i="1"/>
  <c r="AY610" i="1"/>
  <c r="AY648" i="1"/>
  <c r="AY626" i="1"/>
  <c r="AY649" i="1"/>
  <c r="AY619" i="1"/>
  <c r="AY631" i="1"/>
  <c r="AY646" i="1"/>
  <c r="AY647" i="1"/>
  <c r="AY637" i="1"/>
  <c r="AY638" i="1"/>
  <c r="AY636" i="1"/>
  <c r="AY640" i="1"/>
  <c r="AY645" i="1"/>
  <c r="AY641" i="1"/>
  <c r="AY642" i="1"/>
  <c r="AY644" i="1"/>
  <c r="AY643" i="1"/>
  <c r="AY639" i="1"/>
  <c r="AY618" i="1"/>
  <c r="AY632" i="1"/>
  <c r="AY611" i="1"/>
  <c r="AY633" i="1"/>
  <c r="AY634" i="1"/>
  <c r="AY627" i="1"/>
  <c r="AY628" i="1"/>
  <c r="AY629" i="1"/>
  <c r="AY630" i="1"/>
  <c r="AY620" i="1"/>
  <c r="AY621" i="1"/>
  <c r="AY635" i="1"/>
  <c r="AY650" i="1"/>
  <c r="AY612" i="1"/>
  <c r="AY613" i="1"/>
  <c r="AY651" i="1"/>
  <c r="AY652" i="1"/>
  <c r="AY653" i="1"/>
  <c r="AY654" i="1"/>
  <c r="AY655" i="1"/>
  <c r="AY622" i="1"/>
  <c r="AY623" i="1"/>
  <c r="AY616" i="1"/>
  <c r="AY615" i="1"/>
  <c r="AY617" i="1"/>
  <c r="AY656" i="1"/>
  <c r="AY614" i="1"/>
  <c r="AY657" i="1"/>
  <c r="AY658" i="1"/>
  <c r="AY624" i="1"/>
  <c r="AY625" i="1"/>
  <c r="AY35" i="1"/>
  <c r="AY40" i="1"/>
  <c r="AY6" i="1"/>
  <c r="AY53" i="1"/>
  <c r="AY9" i="1"/>
  <c r="AY10" i="1"/>
  <c r="AY42" i="1"/>
  <c r="AY43" i="1"/>
  <c r="AY44" i="1"/>
  <c r="AY45" i="1"/>
  <c r="AY46" i="1"/>
  <c r="BA639" i="1"/>
  <c r="BA410" i="1"/>
  <c r="BA610" i="1"/>
  <c r="BT140" i="1"/>
  <c r="BV140" i="1" s="1"/>
  <c r="BX140" i="1" s="1"/>
  <c r="BC610" i="1"/>
  <c r="BD610" i="1" s="1"/>
  <c r="BB610" i="1"/>
  <c r="BA201" i="1"/>
  <c r="BA553" i="1"/>
  <c r="BA416" i="1"/>
  <c r="AN6" i="1"/>
  <c r="AA6" i="1"/>
  <c r="AC6" i="1"/>
  <c r="AD6" i="1"/>
  <c r="AI6" i="1"/>
  <c r="BA6" i="1"/>
  <c r="BA445" i="1"/>
  <c r="BT669" i="1"/>
  <c r="BV669" i="1" s="1"/>
  <c r="BX669" i="1" s="1"/>
  <c r="BC584" i="1"/>
  <c r="BD584" i="1" s="1"/>
  <c r="BB584" i="1"/>
  <c r="BA584" i="1"/>
  <c r="BC579" i="1"/>
  <c r="BB579" i="1"/>
  <c r="BA509" i="1"/>
  <c r="BC138" i="1"/>
  <c r="BD138" i="1" s="1"/>
  <c r="BB138" i="1"/>
  <c r="BA138" i="1"/>
  <c r="BA299" i="1"/>
  <c r="BA346" i="1"/>
  <c r="BA535" i="1"/>
  <c r="BA403" i="1"/>
  <c r="BA579" i="1"/>
  <c r="BA616" i="1"/>
  <c r="BA617" i="1"/>
  <c r="BA415" i="1"/>
  <c r="BA449" i="1"/>
  <c r="BA452" i="1"/>
  <c r="BA446" i="1"/>
  <c r="BA460" i="1"/>
  <c r="BA461" i="1"/>
  <c r="BA466" i="1"/>
  <c r="BA441" i="1"/>
  <c r="BA404" i="1"/>
  <c r="BA405" i="1"/>
  <c r="BA518" i="1"/>
  <c r="BA510" i="1"/>
  <c r="BA511" i="1"/>
  <c r="BA512" i="1"/>
  <c r="BA514" i="1"/>
  <c r="BA516" i="1"/>
  <c r="BA517" i="1"/>
  <c r="BA513" i="1"/>
  <c r="BA515" i="1"/>
  <c r="BA520" i="1"/>
  <c r="BA521" i="1"/>
  <c r="BA522" i="1"/>
  <c r="BA523" i="1"/>
  <c r="BA524" i="1"/>
  <c r="BA525" i="1"/>
  <c r="BA526" i="1"/>
  <c r="BA527" i="1"/>
  <c r="BA473" i="1"/>
  <c r="BA474" i="1"/>
  <c r="BA478" i="1"/>
  <c r="BA476" i="1"/>
  <c r="BA475" i="1"/>
  <c r="BA477" i="1"/>
  <c r="BA568" i="1"/>
  <c r="BA480" i="1"/>
  <c r="BA468" i="1"/>
  <c r="BA467" i="1"/>
  <c r="BA492" i="1"/>
  <c r="BA486" i="1"/>
  <c r="BA491" i="1"/>
  <c r="BA489" i="1"/>
  <c r="BA488" i="1"/>
  <c r="BA493" i="1"/>
  <c r="BA494" i="1"/>
  <c r="BA499" i="1"/>
  <c r="BA490" i="1"/>
  <c r="BA570" i="1"/>
  <c r="BA577" i="1"/>
  <c r="BA558" i="1"/>
  <c r="BA559" i="1"/>
  <c r="BA572" i="1"/>
  <c r="BA547" i="1"/>
  <c r="BA497" i="1"/>
  <c r="BA498" i="1"/>
  <c r="BA500" i="1"/>
  <c r="BA583" i="1"/>
  <c r="BA580" i="1"/>
  <c r="BA586" i="1"/>
  <c r="BA585" i="1"/>
  <c r="BA604" i="1"/>
  <c r="BA599" i="1"/>
  <c r="BA601" i="1"/>
  <c r="BA600" i="1"/>
  <c r="BA588" i="1"/>
  <c r="BA587" i="1"/>
  <c r="BA590" i="1"/>
  <c r="BA589" i="1"/>
  <c r="BA602" i="1"/>
  <c r="BA603" i="1"/>
  <c r="BA606" i="1"/>
  <c r="BA607" i="1"/>
  <c r="BA608" i="1"/>
  <c r="BA609" i="1"/>
  <c r="BA648" i="1"/>
  <c r="BA626" i="1"/>
  <c r="BA649" i="1"/>
  <c r="BA619" i="1"/>
  <c r="BA631" i="1"/>
  <c r="BA646" i="1"/>
  <c r="BA647" i="1"/>
  <c r="BA637" i="1"/>
  <c r="BA638" i="1"/>
  <c r="BA636" i="1"/>
  <c r="BA640" i="1"/>
  <c r="BA645" i="1"/>
  <c r="BA641" i="1"/>
  <c r="BA642" i="1"/>
  <c r="BA644" i="1"/>
  <c r="BA643" i="1"/>
  <c r="BA618" i="1"/>
  <c r="BA632" i="1"/>
  <c r="BA611" i="1"/>
  <c r="BA633" i="1"/>
  <c r="BA634" i="1"/>
  <c r="BA627" i="1"/>
  <c r="BA628" i="1"/>
  <c r="BA629" i="1"/>
  <c r="BA630" i="1"/>
  <c r="BA620" i="1"/>
  <c r="BA621" i="1"/>
  <c r="BA635" i="1"/>
  <c r="BA650" i="1"/>
  <c r="BA612" i="1"/>
  <c r="BA613" i="1"/>
  <c r="BA651" i="1"/>
  <c r="BA652" i="1"/>
  <c r="BA653" i="1"/>
  <c r="BA654" i="1"/>
  <c r="BA655" i="1"/>
  <c r="BA622" i="1"/>
  <c r="BA623" i="1"/>
  <c r="BA615" i="1"/>
  <c r="BA656" i="1"/>
  <c r="BA43" i="1"/>
  <c r="BA44" i="1"/>
  <c r="BA45" i="1"/>
  <c r="BA46" i="1"/>
  <c r="BA23" i="1"/>
  <c r="BA11" i="1"/>
  <c r="BA20" i="1"/>
  <c r="BA21" i="1"/>
  <c r="BA22" i="1"/>
  <c r="BA18" i="1"/>
  <c r="BA32" i="1"/>
  <c r="BA33" i="1"/>
  <c r="BA24" i="1"/>
  <c r="BA27" i="1"/>
  <c r="BA29" i="1"/>
  <c r="BA30" i="1"/>
  <c r="BA31" i="1"/>
  <c r="BA26" i="1"/>
  <c r="BA55" i="1"/>
  <c r="BA54" i="1"/>
  <c r="BA59" i="1"/>
  <c r="BA61" i="1"/>
  <c r="BA62" i="1"/>
  <c r="BA56" i="1"/>
  <c r="BA60" i="1"/>
  <c r="BA57" i="1"/>
  <c r="BA58" i="1"/>
  <c r="BA65" i="1"/>
  <c r="BA66" i="1"/>
  <c r="BA68" i="1"/>
  <c r="BA69" i="1"/>
  <c r="BA67" i="1"/>
  <c r="BA222" i="1"/>
  <c r="BA73" i="1"/>
  <c r="BA80" i="1"/>
  <c r="BA86" i="1"/>
  <c r="BA87" i="1"/>
  <c r="BA91" i="1"/>
  <c r="BA88" i="1"/>
  <c r="BA89" i="1"/>
  <c r="BA90" i="1"/>
  <c r="BA84" i="1"/>
  <c r="BA83" i="1"/>
  <c r="BA82" i="1"/>
  <c r="BA81" i="1"/>
  <c r="BA85" i="1"/>
  <c r="BA92" i="1"/>
  <c r="BA118" i="1"/>
  <c r="BA117" i="1"/>
  <c r="BA97" i="1"/>
  <c r="BA113" i="1"/>
  <c r="BA96" i="1"/>
  <c r="BA95" i="1"/>
  <c r="BA108" i="1"/>
  <c r="BA115" i="1"/>
  <c r="BA114" i="1"/>
  <c r="BA119" i="1"/>
  <c r="BA121" i="1"/>
  <c r="BA122" i="1"/>
  <c r="BA123" i="1"/>
  <c r="BA124" i="1"/>
  <c r="BA125" i="1"/>
  <c r="BA126" i="1"/>
  <c r="BA162" i="1"/>
  <c r="BA127" i="1"/>
  <c r="BA133" i="1"/>
  <c r="BA134" i="1"/>
  <c r="BA128" i="1"/>
  <c r="BA130" i="1"/>
  <c r="BA131" i="1"/>
  <c r="BA132" i="1"/>
  <c r="BA120" i="1"/>
  <c r="BA135" i="1"/>
  <c r="BA142" i="1"/>
  <c r="BA143" i="1"/>
  <c r="BA144" i="1"/>
  <c r="BA136" i="1"/>
  <c r="BA137" i="1"/>
  <c r="BA139" i="1"/>
  <c r="BA140" i="1"/>
  <c r="BA141" i="1"/>
  <c r="BA150" i="1"/>
  <c r="BA145" i="1"/>
  <c r="BA146" i="1"/>
  <c r="BA147" i="1"/>
  <c r="BA148" i="1"/>
  <c r="BA149" i="1"/>
  <c r="BA101" i="1"/>
  <c r="BA151" i="1"/>
  <c r="BA152" i="1"/>
  <c r="BA153" i="1"/>
  <c r="BA155" i="1"/>
  <c r="BA186" i="1"/>
  <c r="BA187" i="1"/>
  <c r="BA188" i="1"/>
  <c r="BA189" i="1"/>
  <c r="BA190" i="1"/>
  <c r="BA157" i="1"/>
  <c r="BA163" i="1"/>
  <c r="BA172" i="1"/>
  <c r="BA173" i="1"/>
  <c r="BA180" i="1"/>
  <c r="BA182" i="1"/>
  <c r="BA178" i="1"/>
  <c r="BA179" i="1"/>
  <c r="BA169" i="1"/>
  <c r="BA159" i="1"/>
  <c r="BA161" i="1"/>
  <c r="BA184" i="1"/>
  <c r="BA185" i="1"/>
  <c r="BA156" i="1"/>
  <c r="BA164" i="1"/>
  <c r="BA217" i="1"/>
  <c r="BA198" i="1"/>
  <c r="BA199" i="1"/>
  <c r="BA200" i="1"/>
  <c r="BA219" i="1"/>
  <c r="BA206" i="1"/>
  <c r="BA208" i="1"/>
  <c r="BA207" i="1"/>
  <c r="BA218" i="1"/>
  <c r="BA212" i="1"/>
  <c r="BA209" i="1"/>
  <c r="BA211" i="1"/>
  <c r="BA210" i="1"/>
  <c r="BA213" i="1"/>
  <c r="BA214" i="1"/>
  <c r="BA215" i="1"/>
  <c r="BA216" i="1"/>
  <c r="BA205" i="1"/>
  <c r="BA196" i="1"/>
  <c r="BA221" i="1"/>
  <c r="BA197" i="1"/>
  <c r="BA277" i="1"/>
  <c r="BA223" i="1"/>
  <c r="BA224" i="1"/>
  <c r="BA236" i="1"/>
  <c r="BA233" i="1"/>
  <c r="BA234" i="1"/>
  <c r="BA226" i="1"/>
  <c r="BA232" i="1"/>
  <c r="BA231" i="1"/>
  <c r="BA225" i="1"/>
  <c r="BA230" i="1"/>
  <c r="BA229" i="1"/>
  <c r="BA228" i="1"/>
  <c r="BA246" i="1"/>
  <c r="BA248" i="1"/>
  <c r="BA247" i="1"/>
  <c r="BA245" i="1"/>
  <c r="BA252" i="1"/>
  <c r="BA250" i="1"/>
  <c r="BA263" i="1"/>
  <c r="BA260" i="1"/>
  <c r="BA256" i="1"/>
  <c r="BA254" i="1"/>
  <c r="BA262" i="1"/>
  <c r="BA283" i="1"/>
  <c r="BA282" i="1"/>
  <c r="BA272" i="1"/>
  <c r="BA271" i="1"/>
  <c r="BA270" i="1"/>
  <c r="BA280" i="1"/>
  <c r="BA281" i="1"/>
  <c r="BA289" i="1"/>
  <c r="BA287" i="1"/>
  <c r="BA288" i="1"/>
  <c r="BA268" i="1"/>
  <c r="BA267" i="1"/>
  <c r="BA264" i="1"/>
  <c r="BA265" i="1"/>
  <c r="BA285" i="1"/>
  <c r="BA286" i="1"/>
  <c r="BA266" i="1"/>
  <c r="BA291" i="1"/>
  <c r="BA284" i="1"/>
  <c r="BA273" i="1"/>
  <c r="BA290" i="1"/>
  <c r="BA298" i="1"/>
  <c r="BA311" i="1"/>
  <c r="BA312" i="1"/>
  <c r="BA310" i="1"/>
  <c r="BA303" i="1"/>
  <c r="BA302" i="1"/>
  <c r="BA301" i="1"/>
  <c r="BA330" i="1"/>
  <c r="BA294" i="1"/>
  <c r="BA332" i="1"/>
  <c r="BA292" i="1"/>
  <c r="BA323" i="1"/>
  <c r="BA183" i="1"/>
  <c r="BA322" i="1"/>
  <c r="BA335" i="1"/>
  <c r="BA333" i="1"/>
  <c r="BA336" i="1"/>
  <c r="BA305" i="1"/>
  <c r="BA368" i="1"/>
  <c r="BA373" i="1"/>
  <c r="BA369" i="1"/>
  <c r="BA370" i="1"/>
  <c r="BA372" i="1"/>
  <c r="BA367" i="1"/>
  <c r="BA371" i="1"/>
  <c r="BA374" i="1"/>
  <c r="BA354" i="1"/>
  <c r="BA350" i="1"/>
  <c r="BA351" i="1"/>
  <c r="BA353" i="1"/>
  <c r="BA352" i="1"/>
  <c r="BA357" i="1"/>
  <c r="BA359" i="1"/>
  <c r="BA358" i="1"/>
  <c r="BA360" i="1"/>
  <c r="BA337" i="1"/>
  <c r="BA338" i="1"/>
  <c r="BA349" i="1"/>
  <c r="BA348" i="1"/>
  <c r="BA386" i="1"/>
  <c r="BA388" i="1"/>
  <c r="BA387" i="1"/>
  <c r="BA375" i="1"/>
  <c r="BA377" i="1"/>
  <c r="BA378" i="1"/>
  <c r="BA381" i="1"/>
  <c r="BA382" i="1"/>
  <c r="BA383" i="1"/>
  <c r="BA393" i="1"/>
  <c r="BA394" i="1"/>
  <c r="BA395" i="1"/>
  <c r="BA396" i="1"/>
  <c r="BA347" i="1"/>
  <c r="BA339" i="1"/>
  <c r="BA340" i="1"/>
  <c r="BA389" i="1"/>
  <c r="BA391" i="1"/>
  <c r="BA398" i="1"/>
  <c r="BA399" i="1"/>
  <c r="BA400" i="1"/>
  <c r="BA401" i="1"/>
  <c r="BA402" i="1"/>
  <c r="BA341" i="1"/>
  <c r="BA342" i="1"/>
  <c r="BA343" i="1"/>
  <c r="BA344" i="1"/>
  <c r="BA345" i="1"/>
  <c r="BA384" i="1"/>
  <c r="BA385" i="1"/>
  <c r="BA361" i="1"/>
  <c r="BA362" i="1"/>
  <c r="BA363" i="1"/>
  <c r="BA365" i="1"/>
  <c r="BA364" i="1"/>
  <c r="BA366" i="1"/>
  <c r="BA392" i="1"/>
  <c r="BA434" i="1"/>
  <c r="BA436" i="1"/>
  <c r="BA437" i="1"/>
  <c r="BA423" i="1"/>
  <c r="BA427" i="1"/>
  <c r="BA425" i="1"/>
  <c r="BA421" i="1"/>
  <c r="BA429" i="1"/>
  <c r="BA430" i="1"/>
  <c r="BA435" i="1"/>
  <c r="BA442" i="1"/>
  <c r="BA418" i="1"/>
  <c r="BA414" i="1"/>
  <c r="BA413" i="1"/>
  <c r="BA412" i="1"/>
  <c r="BA419" i="1"/>
  <c r="BA417" i="1"/>
  <c r="BA420" i="1"/>
  <c r="BB42" i="1"/>
  <c r="BA42" i="1"/>
  <c r="BT6" i="1"/>
  <c r="BU6" i="1" s="1"/>
  <c r="BC568" i="1"/>
  <c r="BD568" i="1" s="1"/>
  <c r="BB414" i="1"/>
  <c r="BA40" i="1"/>
  <c r="BA35" i="1"/>
  <c r="BA36" i="1"/>
  <c r="BA37" i="1"/>
  <c r="BA9" i="1"/>
  <c r="BA10" i="1"/>
  <c r="BA407" i="1"/>
  <c r="BA406" i="1"/>
  <c r="BA409" i="1"/>
  <c r="BA450" i="1"/>
  <c r="BA448" i="1"/>
  <c r="BA463" i="1"/>
  <c r="BA458" i="1"/>
  <c r="BA451" i="1"/>
  <c r="BA453" i="1"/>
  <c r="BA457" i="1"/>
  <c r="BA464" i="1"/>
  <c r="BA456" i="1"/>
  <c r="BA455" i="1"/>
  <c r="BA454" i="1"/>
  <c r="BA459" i="1"/>
  <c r="BA462" i="1"/>
  <c r="BA465" i="1"/>
  <c r="BA614" i="1"/>
  <c r="BA657" i="1"/>
  <c r="BA658" i="1"/>
  <c r="BA624" i="1"/>
  <c r="BA625" i="1"/>
  <c r="BA661" i="1"/>
  <c r="BA666" i="1"/>
  <c r="BA659" i="1"/>
  <c r="BA660" i="1"/>
  <c r="BA662" i="1"/>
  <c r="BA663" i="1"/>
  <c r="BA664" i="1"/>
  <c r="BA665" i="1"/>
  <c r="BA667" i="1"/>
  <c r="BA672" i="1"/>
  <c r="BA671" i="1"/>
  <c r="BA668" i="1"/>
  <c r="BA669" i="1"/>
  <c r="BA670" i="1"/>
  <c r="BT391" i="1"/>
  <c r="BV391" i="1" s="1"/>
  <c r="BX391" i="1" s="1"/>
  <c r="BB303" i="1"/>
  <c r="BB302" i="1"/>
  <c r="BB294" i="1"/>
  <c r="BB332" i="1"/>
  <c r="BB292" i="1"/>
  <c r="BB336" i="1"/>
  <c r="BB305" i="1"/>
  <c r="BB398" i="1"/>
  <c r="BB399" i="1"/>
  <c r="BB400" i="1"/>
  <c r="BB401" i="1"/>
  <c r="BB402" i="1"/>
  <c r="BB368" i="1"/>
  <c r="BB373" i="1"/>
  <c r="BB369" i="1"/>
  <c r="BB370" i="1"/>
  <c r="BB372" i="1"/>
  <c r="BB367" i="1"/>
  <c r="BB371" i="1"/>
  <c r="BB374" i="1"/>
  <c r="BB354" i="1"/>
  <c r="BB350" i="1"/>
  <c r="BB351" i="1"/>
  <c r="BB353" i="1"/>
  <c r="BB352" i="1"/>
  <c r="BB357" i="1"/>
  <c r="BB359" i="1"/>
  <c r="BB358" i="1"/>
  <c r="BB360" i="1"/>
  <c r="BB337" i="1"/>
  <c r="BB338" i="1"/>
  <c r="BB386" i="1"/>
  <c r="BB388" i="1"/>
  <c r="BB285" i="1"/>
  <c r="BB281" i="1"/>
  <c r="BB287" i="1"/>
  <c r="BB280" i="1"/>
  <c r="BB265" i="1"/>
  <c r="BB224" i="1"/>
  <c r="BB119" i="1"/>
  <c r="BB333" i="1"/>
  <c r="BB183" i="1"/>
  <c r="BB291" i="1"/>
  <c r="BB270" i="1"/>
  <c r="BB284" i="1"/>
  <c r="BB288" i="1"/>
  <c r="BB273" i="1"/>
  <c r="BB290" i="1"/>
  <c r="BB311" i="1"/>
  <c r="BB312" i="1"/>
  <c r="BB310" i="1"/>
  <c r="BB298" i="1"/>
  <c r="BT260" i="1"/>
  <c r="BT159" i="1"/>
  <c r="BT330" i="1"/>
  <c r="BU330" i="1" s="1"/>
  <c r="BT80" i="1"/>
  <c r="BU80" i="1" s="1"/>
  <c r="BT149" i="1"/>
  <c r="Y57" i="1"/>
  <c r="Z57" i="1"/>
  <c r="BC29" i="1"/>
  <c r="BB29" i="1"/>
  <c r="Y36" i="1"/>
  <c r="Z36" i="1"/>
  <c r="Y37" i="1"/>
  <c r="Z37" i="1"/>
  <c r="BB409" i="1"/>
  <c r="BB480" i="1"/>
  <c r="BB396" i="1"/>
  <c r="BB395" i="1"/>
  <c r="BB394" i="1"/>
  <c r="BB286" i="1"/>
  <c r="BB264" i="1"/>
  <c r="BB268" i="1"/>
  <c r="BB267" i="1"/>
  <c r="BB232" i="1"/>
  <c r="BB271" i="1"/>
  <c r="BB272" i="1"/>
  <c r="BB289" i="1"/>
  <c r="BB283" i="1"/>
  <c r="BB282" i="1"/>
  <c r="BB262" i="1"/>
  <c r="BB254" i="1"/>
  <c r="BB263" i="1"/>
  <c r="BB250" i="1"/>
  <c r="BB245" i="1"/>
  <c r="BB230" i="1"/>
  <c r="BB233" i="1"/>
  <c r="BB236" i="1"/>
  <c r="BB226" i="1"/>
  <c r="BB234" i="1"/>
  <c r="BB229" i="1"/>
  <c r="BB223" i="1"/>
  <c r="BB196" i="1"/>
  <c r="BB216" i="1"/>
  <c r="BB207" i="1"/>
  <c r="BB277" i="1"/>
  <c r="BB205" i="1"/>
  <c r="BB208" i="1"/>
  <c r="BB206" i="1"/>
  <c r="BB198" i="1"/>
  <c r="BB219" i="1"/>
  <c r="BB252" i="1"/>
  <c r="BB217" i="1"/>
  <c r="BB164" i="1"/>
  <c r="BB184" i="1"/>
  <c r="BB185" i="1"/>
  <c r="BB172" i="1"/>
  <c r="BB169" i="1"/>
  <c r="BB182" i="1"/>
  <c r="BB179" i="1"/>
  <c r="BB178" i="1"/>
  <c r="BB173" i="1"/>
  <c r="BB157" i="1"/>
  <c r="BB190" i="1"/>
  <c r="BB188" i="1"/>
  <c r="BB187" i="1"/>
  <c r="BB152" i="1"/>
  <c r="BB148" i="1"/>
  <c r="BB147" i="1"/>
  <c r="BB141" i="1"/>
  <c r="BB135" i="1"/>
  <c r="BB132" i="1"/>
  <c r="BB131" i="1"/>
  <c r="BB127" i="1"/>
  <c r="BB162" i="1"/>
  <c r="BB126" i="1"/>
  <c r="BB125" i="1"/>
  <c r="BB124" i="1"/>
  <c r="BB123" i="1"/>
  <c r="BB122" i="1"/>
  <c r="BB121" i="1"/>
  <c r="BB155" i="1"/>
  <c r="BB153" i="1"/>
  <c r="BB151" i="1"/>
  <c r="BB146" i="1"/>
  <c r="BB145" i="1"/>
  <c r="BB140" i="1"/>
  <c r="BB139" i="1"/>
  <c r="BB137" i="1"/>
  <c r="BB136" i="1"/>
  <c r="BB130" i="1"/>
  <c r="BB128" i="1"/>
  <c r="BB144" i="1"/>
  <c r="BB143" i="1"/>
  <c r="BB134" i="1"/>
  <c r="BB133" i="1"/>
  <c r="BB120" i="1"/>
  <c r="BB150" i="1"/>
  <c r="BB142" i="1"/>
  <c r="BB101" i="1"/>
  <c r="BB301" i="1"/>
  <c r="BB114" i="1"/>
  <c r="BB95" i="1"/>
  <c r="BB118" i="1"/>
  <c r="BB117" i="1"/>
  <c r="BB90" i="1"/>
  <c r="BB92" i="1"/>
  <c r="BB85" i="1"/>
  <c r="BB81" i="1"/>
  <c r="BB84" i="1"/>
  <c r="BB82" i="1"/>
  <c r="BB83" i="1"/>
  <c r="BB87" i="1"/>
  <c r="BB91" i="1"/>
  <c r="BB89" i="1"/>
  <c r="BB86" i="1"/>
  <c r="BB214" i="1"/>
  <c r="BB88" i="1"/>
  <c r="BB80" i="1"/>
  <c r="BB73" i="1"/>
  <c r="BB222" i="1"/>
  <c r="BB67" i="1"/>
  <c r="BB69" i="1"/>
  <c r="BB68" i="1"/>
  <c r="BB66" i="1"/>
  <c r="BB65" i="1"/>
  <c r="BB58" i="1"/>
  <c r="BB60" i="1"/>
  <c r="BB56" i="1"/>
  <c r="BB62" i="1"/>
  <c r="BB61" i="1"/>
  <c r="BB59" i="1"/>
  <c r="BB54" i="1"/>
  <c r="BB55" i="1"/>
  <c r="BB26" i="1"/>
  <c r="BB33" i="1"/>
  <c r="BB31" i="1"/>
  <c r="BB30" i="1"/>
  <c r="BB24" i="1"/>
  <c r="BB32" i="1"/>
  <c r="BB18" i="1"/>
  <c r="BB11" i="1"/>
  <c r="BB23" i="1"/>
  <c r="BB46" i="1"/>
  <c r="BB45" i="1"/>
  <c r="BB44" i="1"/>
  <c r="BB43" i="1"/>
  <c r="BB10" i="1"/>
  <c r="BB9" i="1"/>
  <c r="BB37" i="1"/>
  <c r="BB36" i="1"/>
  <c r="BB342" i="1"/>
  <c r="BB343" i="1"/>
  <c r="BB344" i="1"/>
  <c r="BB345" i="1"/>
  <c r="BB384" i="1"/>
  <c r="BB385" i="1"/>
  <c r="BB361" i="1"/>
  <c r="BB362" i="1"/>
  <c r="BB363" i="1"/>
  <c r="BB365" i="1"/>
  <c r="BB364" i="1"/>
  <c r="BB366" i="1"/>
  <c r="BB392" i="1"/>
  <c r="BB434" i="1"/>
  <c r="BB436" i="1"/>
  <c r="BB437" i="1"/>
  <c r="BB423" i="1"/>
  <c r="BB427" i="1"/>
  <c r="BB425" i="1"/>
  <c r="BB429" i="1"/>
  <c r="BB435" i="1"/>
  <c r="BB442" i="1"/>
  <c r="BB418" i="1"/>
  <c r="BB419" i="1"/>
  <c r="BB407" i="1"/>
  <c r="BB406" i="1"/>
  <c r="BB450" i="1"/>
  <c r="BB448" i="1"/>
  <c r="BB463" i="1"/>
  <c r="BB458" i="1"/>
  <c r="BB451" i="1"/>
  <c r="BB453" i="1"/>
  <c r="BB457" i="1"/>
  <c r="BB464" i="1"/>
  <c r="BB456" i="1"/>
  <c r="BB455" i="1"/>
  <c r="BB459" i="1"/>
  <c r="BB462" i="1"/>
  <c r="BB465" i="1"/>
  <c r="BB449" i="1"/>
  <c r="BB452" i="1"/>
  <c r="BB446" i="1"/>
  <c r="BB460" i="1"/>
  <c r="BB461" i="1"/>
  <c r="BB466" i="1"/>
  <c r="BB441" i="1"/>
  <c r="BB404" i="1"/>
  <c r="BB518" i="1"/>
  <c r="BB511" i="1"/>
  <c r="BB512" i="1"/>
  <c r="BB514" i="1"/>
  <c r="BB513" i="1"/>
  <c r="BB515" i="1"/>
  <c r="BB510" i="1"/>
  <c r="BB520" i="1"/>
  <c r="BB521" i="1"/>
  <c r="BB522" i="1"/>
  <c r="BB523" i="1"/>
  <c r="BJ453" i="1"/>
  <c r="BJ451" i="1"/>
  <c r="BJ458" i="1"/>
  <c r="BJ463" i="1"/>
  <c r="BJ448" i="1"/>
  <c r="BJ450" i="1"/>
  <c r="BJ67" i="1"/>
  <c r="BB348" i="1"/>
  <c r="BB339" i="1"/>
  <c r="BB340" i="1"/>
  <c r="BB341" i="1"/>
  <c r="BB524" i="1"/>
  <c r="BB525" i="1"/>
  <c r="BB526" i="1"/>
  <c r="BB527" i="1"/>
  <c r="BB473" i="1"/>
  <c r="BB474" i="1"/>
  <c r="BB478" i="1"/>
  <c r="BB476" i="1"/>
  <c r="BB475" i="1"/>
  <c r="BB477" i="1"/>
  <c r="BB492" i="1"/>
  <c r="BB486" i="1"/>
  <c r="BB491" i="1"/>
  <c r="BB493" i="1"/>
  <c r="BB494" i="1"/>
  <c r="BB499" i="1"/>
  <c r="BB490" i="1"/>
  <c r="BB570" i="1"/>
  <c r="BB577" i="1"/>
  <c r="BB497" i="1"/>
  <c r="BB498" i="1"/>
  <c r="BB500" i="1"/>
  <c r="BB583" i="1"/>
  <c r="BB580" i="1"/>
  <c r="BB586" i="1"/>
  <c r="BB585" i="1"/>
  <c r="BB604" i="1"/>
  <c r="BB599" i="1"/>
  <c r="BB601" i="1"/>
  <c r="BB600" i="1"/>
  <c r="BB588" i="1"/>
  <c r="BB587" i="1"/>
  <c r="BB590" i="1"/>
  <c r="BB589" i="1"/>
  <c r="BB602" i="1"/>
  <c r="BB603" i="1"/>
  <c r="BB606" i="1"/>
  <c r="BB607" i="1"/>
  <c r="BB608" i="1"/>
  <c r="BB609" i="1"/>
  <c r="BB648" i="1"/>
  <c r="BB626" i="1"/>
  <c r="BB649" i="1"/>
  <c r="BB619" i="1"/>
  <c r="BB631" i="1"/>
  <c r="BB646" i="1"/>
  <c r="BB647" i="1"/>
  <c r="BB618" i="1"/>
  <c r="BB632" i="1"/>
  <c r="BB611" i="1"/>
  <c r="BB633" i="1"/>
  <c r="BB634" i="1"/>
  <c r="BB627" i="1"/>
  <c r="BB628" i="1"/>
  <c r="BB629" i="1"/>
  <c r="BB630" i="1"/>
  <c r="BB620" i="1"/>
  <c r="BB621" i="1"/>
  <c r="BB650" i="1"/>
  <c r="BB612" i="1"/>
  <c r="BB613" i="1"/>
  <c r="BB651" i="1"/>
  <c r="BB652" i="1"/>
  <c r="BB653" i="1"/>
  <c r="BB654" i="1"/>
  <c r="BB655" i="1"/>
  <c r="BB622" i="1"/>
  <c r="BB623" i="1"/>
  <c r="BB615" i="1"/>
  <c r="BB656" i="1"/>
  <c r="BB614" i="1"/>
  <c r="BB657" i="1"/>
  <c r="BB658" i="1"/>
  <c r="BB624" i="1"/>
  <c r="BB625" i="1"/>
  <c r="BB661" i="1"/>
  <c r="BB666" i="1"/>
  <c r="BB659" i="1"/>
  <c r="BB660" i="1"/>
  <c r="BB662" i="1"/>
  <c r="BB663" i="1"/>
  <c r="BB664" i="1"/>
  <c r="BB665" i="1"/>
  <c r="BB667" i="1"/>
  <c r="BB672" i="1"/>
  <c r="BB671" i="1"/>
  <c r="BB668" i="1"/>
  <c r="BB669" i="1"/>
  <c r="BB670" i="1"/>
  <c r="BC236" i="1"/>
  <c r="BD236" i="1" s="1"/>
  <c r="C19" i="12"/>
  <c r="BC291" i="1"/>
  <c r="BD291" i="1" s="1"/>
  <c r="BC226" i="1"/>
  <c r="BD226" i="1" s="1"/>
  <c r="BC234" i="1"/>
  <c r="BD234" i="1" s="1"/>
  <c r="BC229" i="1"/>
  <c r="BD229" i="1" s="1"/>
  <c r="BC491" i="1"/>
  <c r="BC18" i="1"/>
  <c r="BD18" i="1" s="1"/>
  <c r="BC419" i="1"/>
  <c r="BD419" i="1" s="1"/>
  <c r="BC462" i="1"/>
  <c r="BD462" i="1" s="1"/>
  <c r="BC404" i="1"/>
  <c r="BD404" i="1" s="1"/>
  <c r="BC157" i="1"/>
  <c r="BD157" i="1" s="1"/>
  <c r="BC173" i="1"/>
  <c r="BD173" i="1" s="1"/>
  <c r="BC178" i="1"/>
  <c r="BC169" i="1"/>
  <c r="BC185" i="1"/>
  <c r="BC101" i="1"/>
  <c r="BE101" i="1" s="1"/>
  <c r="BC142" i="1"/>
  <c r="BD142" i="1" s="1"/>
  <c r="BC150" i="1"/>
  <c r="BD150" i="1" s="1"/>
  <c r="BC120" i="1"/>
  <c r="BD120" i="1" s="1"/>
  <c r="BC133" i="1"/>
  <c r="BD133" i="1" s="1"/>
  <c r="BC134" i="1"/>
  <c r="BC143" i="1"/>
  <c r="BD143" i="1" s="1"/>
  <c r="BC144" i="1"/>
  <c r="BD144" i="1" s="1"/>
  <c r="BC128" i="1"/>
  <c r="BD128" i="1" s="1"/>
  <c r="BC130" i="1"/>
  <c r="BD130" i="1" s="1"/>
  <c r="BC136" i="1"/>
  <c r="BD136" i="1" s="1"/>
  <c r="BC137" i="1"/>
  <c r="BD137" i="1" s="1"/>
  <c r="BC139" i="1"/>
  <c r="BD139" i="1" s="1"/>
  <c r="BC140" i="1"/>
  <c r="BD140" i="1" s="1"/>
  <c r="BC145" i="1"/>
  <c r="BD145" i="1" s="1"/>
  <c r="BC146" i="1"/>
  <c r="BC151" i="1"/>
  <c r="BC153" i="1"/>
  <c r="BD153" i="1" s="1"/>
  <c r="BC155" i="1"/>
  <c r="BD155" i="1" s="1"/>
  <c r="BC217" i="1"/>
  <c r="BD217" i="1" s="1"/>
  <c r="BC196" i="1"/>
  <c r="BD196" i="1" s="1"/>
  <c r="BC252" i="1"/>
  <c r="BD252" i="1" s="1"/>
  <c r="BC219" i="1"/>
  <c r="BD219" i="1" s="1"/>
  <c r="BC277" i="1"/>
  <c r="BD277" i="1" s="1"/>
  <c r="BC216" i="1"/>
  <c r="BD216" i="1" s="1"/>
  <c r="BC272" i="1"/>
  <c r="BC271" i="1"/>
  <c r="BD271" i="1" s="1"/>
  <c r="BC283" i="1"/>
  <c r="BD283" i="1" s="1"/>
  <c r="BC289" i="1"/>
  <c r="BD289" i="1" s="1"/>
  <c r="BC267" i="1"/>
  <c r="BD267" i="1" s="1"/>
  <c r="BC301" i="1"/>
  <c r="BD301" i="1" s="1"/>
  <c r="BC232" i="1"/>
  <c r="BC89" i="1"/>
  <c r="BC88" i="1"/>
  <c r="BD88" i="1" s="1"/>
  <c r="BC214" i="1"/>
  <c r="BD214" i="1" s="1"/>
  <c r="BC80" i="1"/>
  <c r="BD80" i="1" s="1"/>
  <c r="BC91" i="1"/>
  <c r="BD91" i="1" s="1"/>
  <c r="BC62" i="1"/>
  <c r="BD62" i="1" s="1"/>
  <c r="BC56" i="1"/>
  <c r="BD56" i="1" s="1"/>
  <c r="BC60" i="1"/>
  <c r="BD60" i="1" s="1"/>
  <c r="BC58" i="1"/>
  <c r="BD58" i="1" s="1"/>
  <c r="BC65" i="1"/>
  <c r="BD65" i="1" s="1"/>
  <c r="BC66" i="1"/>
  <c r="BD66" i="1" s="1"/>
  <c r="BC68" i="1"/>
  <c r="BD68" i="1" s="1"/>
  <c r="BC69" i="1"/>
  <c r="BD69" i="1" s="1"/>
  <c r="BC67" i="1"/>
  <c r="BD67" i="1" s="1"/>
  <c r="BC222" i="1"/>
  <c r="BD222" i="1" s="1"/>
  <c r="BC223" i="1"/>
  <c r="BD223" i="1" s="1"/>
  <c r="BC73" i="1"/>
  <c r="BD73" i="1" s="1"/>
  <c r="BC311" i="1"/>
  <c r="BD311" i="1" s="1"/>
  <c r="BC305" i="1"/>
  <c r="BC187" i="1"/>
  <c r="BD187" i="1" s="1"/>
  <c r="BC188" i="1"/>
  <c r="BD188" i="1" s="1"/>
  <c r="BC190" i="1"/>
  <c r="BC522" i="1"/>
  <c r="BD522" i="1" s="1"/>
  <c r="BT9" i="1"/>
  <c r="BU9" i="1" s="1"/>
  <c r="Y60" i="1"/>
  <c r="Z60" i="1"/>
  <c r="BC477" i="1"/>
  <c r="BD477" i="1" s="1"/>
  <c r="BC476" i="1"/>
  <c r="BC407" i="1"/>
  <c r="BD407" i="1" s="1"/>
  <c r="V599" i="1"/>
  <c r="BC647" i="1"/>
  <c r="BD647" i="1" s="1"/>
  <c r="BC646" i="1"/>
  <c r="BD646" i="1" s="1"/>
  <c r="W599" i="1"/>
  <c r="BT364" i="1"/>
  <c r="BU364" i="1" s="1"/>
  <c r="BC9" i="1"/>
  <c r="BC10" i="1"/>
  <c r="BD10" i="1" s="1"/>
  <c r="BC350" i="1"/>
  <c r="BD350" i="1" s="1"/>
  <c r="BC337" i="1"/>
  <c r="BC117" i="1"/>
  <c r="BD117" i="1" s="1"/>
  <c r="V600" i="1"/>
  <c r="W600" i="1" s="1"/>
  <c r="V601" i="1"/>
  <c r="BC601" i="1"/>
  <c r="BD601" i="1" s="1"/>
  <c r="BC599" i="1"/>
  <c r="BC600" i="1"/>
  <c r="BD600" i="1" s="1"/>
  <c r="BT514" i="1"/>
  <c r="BU514" i="1" s="1"/>
  <c r="BC436" i="1"/>
  <c r="BD436" i="1" s="1"/>
  <c r="BC475" i="1"/>
  <c r="Z473" i="1"/>
  <c r="AA473" i="1" s="1"/>
  <c r="BC418" i="1"/>
  <c r="BD418" i="1" s="1"/>
  <c r="C28" i="9"/>
  <c r="BC583" i="1"/>
  <c r="BD583" i="1" s="1"/>
  <c r="BC580" i="1"/>
  <c r="BD580" i="1" s="1"/>
  <c r="BT10" i="1"/>
  <c r="BV10" i="1" s="1"/>
  <c r="BX10" i="1" s="1"/>
  <c r="BT644" i="1"/>
  <c r="BV644" i="1" s="1"/>
  <c r="BX644" i="1" s="1"/>
  <c r="BT352" i="1"/>
  <c r="BV352" i="1" s="1"/>
  <c r="BX352" i="1" s="1"/>
  <c r="BT232" i="1"/>
  <c r="BC604" i="1"/>
  <c r="BD604" i="1" s="1"/>
  <c r="BC521" i="1"/>
  <c r="BD521" i="1" s="1"/>
  <c r="BC512" i="1"/>
  <c r="BD512" i="1" s="1"/>
  <c r="BT461" i="1"/>
  <c r="BU461" i="1" s="1"/>
  <c r="BC442" i="1"/>
  <c r="BC474" i="1"/>
  <c r="BD474" i="1" s="1"/>
  <c r="BT554" i="1"/>
  <c r="BT102" i="1"/>
  <c r="BU102" i="1" s="1"/>
  <c r="BT188" i="1"/>
  <c r="BU188" i="1" s="1"/>
  <c r="BT153" i="1"/>
  <c r="BT267" i="1"/>
  <c r="BT216" i="1"/>
  <c r="BV216" i="1" s="1"/>
  <c r="BT436" i="1"/>
  <c r="BT460" i="1"/>
  <c r="BU460" i="1" s="1"/>
  <c r="BC441" i="1"/>
  <c r="BC23" i="1"/>
  <c r="BC11" i="1"/>
  <c r="BD11" i="1" s="1"/>
  <c r="BA38" i="1"/>
  <c r="BB38" i="1"/>
  <c r="BC38" i="1"/>
  <c r="BD38" i="1" s="1"/>
  <c r="BA39" i="1"/>
  <c r="BB39" i="1"/>
  <c r="BC39" i="1"/>
  <c r="BC632" i="1"/>
  <c r="BD632" i="1" s="1"/>
  <c r="BC633" i="1"/>
  <c r="BD633" i="1" s="1"/>
  <c r="BC611" i="1"/>
  <c r="BC650" i="1"/>
  <c r="BD650" i="1" s="1"/>
  <c r="BC612" i="1"/>
  <c r="BC613" i="1"/>
  <c r="BD613" i="1" s="1"/>
  <c r="C33" i="9"/>
  <c r="C32" i="9"/>
  <c r="C31" i="9"/>
  <c r="C30" i="9"/>
  <c r="C27" i="9"/>
  <c r="C26" i="9"/>
  <c r="C25" i="9"/>
  <c r="C24" i="9"/>
  <c r="C23" i="9"/>
  <c r="C22" i="9"/>
  <c r="C21" i="9"/>
  <c r="C20" i="9"/>
  <c r="C19" i="9"/>
  <c r="C18" i="9"/>
  <c r="C17" i="9"/>
  <c r="C16" i="9"/>
  <c r="C15" i="9"/>
  <c r="C14" i="9"/>
  <c r="C13" i="9"/>
  <c r="C12" i="9"/>
  <c r="C11" i="9"/>
  <c r="C10" i="9"/>
  <c r="C9" i="9"/>
  <c r="C8" i="9"/>
  <c r="C7" i="9"/>
  <c r="C6" i="9"/>
  <c r="C5" i="9"/>
  <c r="N4" i="9"/>
  <c r="C4" i="9"/>
  <c r="Z73" i="1"/>
  <c r="AA73" i="1" s="1"/>
  <c r="BT551" i="1"/>
  <c r="BU551" i="1" s="1"/>
  <c r="BC511" i="1"/>
  <c r="BD511" i="1" s="1"/>
  <c r="BT470" i="1"/>
  <c r="BT641" i="1"/>
  <c r="BV641" i="1" s="1"/>
  <c r="BX641" i="1" s="1"/>
  <c r="BC353" i="1"/>
  <c r="BD353" i="1" s="1"/>
  <c r="BT235" i="1"/>
  <c r="BV235" i="1" s="1"/>
  <c r="BX235" i="1" s="1"/>
  <c r="Y142" i="1"/>
  <c r="Z142" i="1"/>
  <c r="Y150" i="1"/>
  <c r="Z150" i="1"/>
  <c r="Y133" i="1"/>
  <c r="Z133" i="1"/>
  <c r="BC282" i="1"/>
  <c r="BT455" i="1"/>
  <c r="BU455" i="1" s="1"/>
  <c r="BT495" i="1"/>
  <c r="BU495" i="1" s="1"/>
  <c r="BT404" i="1"/>
  <c r="BU404" i="1" s="1"/>
  <c r="BT531" i="1"/>
  <c r="BU531" i="1" s="1"/>
  <c r="BT120" i="1"/>
  <c r="BT84" i="1"/>
  <c r="BT204" i="1"/>
  <c r="BT405" i="1"/>
  <c r="BU405" i="1" s="1"/>
  <c r="BT654" i="1"/>
  <c r="BU654" i="1" s="1"/>
  <c r="BT622" i="1"/>
  <c r="BV622" i="1" s="1"/>
  <c r="BT652" i="1"/>
  <c r="BV652" i="1" s="1"/>
  <c r="BX652" i="1" s="1"/>
  <c r="BT521" i="1"/>
  <c r="BT645" i="1"/>
  <c r="BV645" i="1" s="1"/>
  <c r="BX645" i="1" s="1"/>
  <c r="BT214" i="1"/>
  <c r="BV214" i="1" s="1"/>
  <c r="BX214" i="1" s="1"/>
  <c r="BT134" i="1"/>
  <c r="BV134" i="1" s="1"/>
  <c r="BX134" i="1" s="1"/>
  <c r="BT350" i="1"/>
  <c r="BT667" i="1"/>
  <c r="BT56" i="1"/>
  <c r="BT399" i="1"/>
  <c r="BV399" i="1" s="1"/>
  <c r="BT219" i="1"/>
  <c r="BU219" i="1" s="1"/>
  <c r="BT298" i="1"/>
  <c r="BV298" i="1" s="1"/>
  <c r="BX298" i="1" s="1"/>
  <c r="BT222" i="1"/>
  <c r="BU222" i="1" s="1"/>
  <c r="BT247" i="1"/>
  <c r="BU247" i="1" s="1"/>
  <c r="BT468" i="1"/>
  <c r="BU468" i="1" s="1"/>
  <c r="BT57" i="1"/>
  <c r="BU57" i="1" s="1"/>
  <c r="BT452" i="1"/>
  <c r="BU452" i="1" s="1"/>
  <c r="BT211" i="1"/>
  <c r="BT451" i="1"/>
  <c r="BV451" i="1" s="1"/>
  <c r="BX451" i="1" s="1"/>
  <c r="BT70" i="1"/>
  <c r="BU70" i="1" s="1"/>
  <c r="BT610" i="1"/>
  <c r="BU610" i="1" s="1"/>
  <c r="BT179" i="1"/>
  <c r="BU179" i="1" s="1"/>
  <c r="BT138" i="1"/>
  <c r="BU138" i="1" s="1"/>
  <c r="BT266" i="1"/>
  <c r="BT86" i="1"/>
  <c r="BU86" i="1" s="1"/>
  <c r="BT613" i="1"/>
  <c r="BU613" i="1" s="1"/>
  <c r="BT671" i="1"/>
  <c r="BV671" i="1" s="1"/>
  <c r="BX671" i="1" s="1"/>
  <c r="BT361" i="1"/>
  <c r="BU361" i="1" s="1"/>
  <c r="BT441" i="1"/>
  <c r="BV441" i="1" s="1"/>
  <c r="BT197" i="1"/>
  <c r="BU197" i="1" s="1"/>
  <c r="BT572" i="1"/>
  <c r="BT249" i="1"/>
  <c r="BU249" i="1" s="1"/>
  <c r="BT205" i="1"/>
  <c r="BV205" i="1" s="1"/>
  <c r="BT97" i="1"/>
  <c r="BU97" i="1" s="1"/>
  <c r="BT85" i="1"/>
  <c r="BT615" i="1"/>
  <c r="BU615" i="1" s="1"/>
  <c r="BT491" i="1"/>
  <c r="BT611" i="1"/>
  <c r="BU611" i="1" s="1"/>
  <c r="BT371" i="1"/>
  <c r="BV371" i="1" s="1"/>
  <c r="BX371" i="1" s="1"/>
  <c r="BT616" i="1"/>
  <c r="BT63" i="1"/>
  <c r="BU63" i="1" s="1"/>
  <c r="BT629" i="1"/>
  <c r="BT607" i="1"/>
  <c r="BU607" i="1" s="1"/>
  <c r="BT606" i="1"/>
  <c r="BU606" i="1" s="1"/>
  <c r="BT61" i="1"/>
  <c r="BU61" i="1" s="1"/>
  <c r="BT500" i="1"/>
  <c r="BV500" i="1" s="1"/>
  <c r="BX500" i="1" s="1"/>
  <c r="BT643" i="1"/>
  <c r="BV643" i="1" s="1"/>
  <c r="BX643" i="1" s="1"/>
  <c r="BT332" i="1"/>
  <c r="BU332" i="1" s="1"/>
  <c r="BT287" i="1"/>
  <c r="BT627" i="1"/>
  <c r="BU627" i="1" s="1"/>
  <c r="BT157" i="1"/>
  <c r="BV157" i="1" s="1"/>
  <c r="BT359" i="1"/>
  <c r="BT637" i="1"/>
  <c r="BV637" i="1" s="1"/>
  <c r="BT184" i="1"/>
  <c r="BV184" i="1" s="1"/>
  <c r="BT662" i="1"/>
  <c r="BU662" i="1" s="1"/>
  <c r="BT238" i="1"/>
  <c r="BU238" i="1" s="1"/>
  <c r="BT220" i="1"/>
  <c r="BV220" i="1" s="1"/>
  <c r="BX220" i="1" s="1"/>
  <c r="BT12" i="1"/>
  <c r="BU12" i="1" s="1"/>
  <c r="BT122" i="1"/>
  <c r="BU122" i="1" s="1"/>
  <c r="BT602" i="1"/>
  <c r="BV602" i="1" s="1"/>
  <c r="BT563" i="1"/>
  <c r="BV563" i="1" s="1"/>
  <c r="BT577" i="1"/>
  <c r="BU577" i="1" s="1"/>
  <c r="BT59" i="1"/>
  <c r="BU59" i="1" s="1"/>
  <c r="BT276" i="1"/>
  <c r="BU276" i="1" s="1"/>
  <c r="BT227" i="1"/>
  <c r="BT156" i="1"/>
  <c r="BU156" i="1" s="1"/>
  <c r="BT13" i="1"/>
  <c r="BU13" i="1" s="1"/>
  <c r="BT636" i="1"/>
  <c r="BV636" i="1" s="1"/>
  <c r="BT396" i="1"/>
  <c r="BV396" i="1" s="1"/>
  <c r="BX396" i="1" s="1"/>
  <c r="BT88" i="1"/>
  <c r="BT101" i="1"/>
  <c r="BV101" i="1" s="1"/>
  <c r="BX101" i="1" s="1"/>
  <c r="BT90" i="1"/>
  <c r="BV90" i="1" s="1"/>
  <c r="BX90" i="1" s="1"/>
  <c r="BT406" i="1"/>
  <c r="BV406" i="1" s="1"/>
  <c r="BX406" i="1" s="1"/>
  <c r="BT27" i="1"/>
  <c r="BT522" i="1"/>
  <c r="BV522" i="1" s="1"/>
  <c r="BX522" i="1" s="1"/>
  <c r="BT274" i="1"/>
  <c r="BV274" i="1" s="1"/>
  <c r="BX274" i="1" s="1"/>
  <c r="BT92" i="1"/>
  <c r="BU92" i="1" s="1"/>
  <c r="BT319" i="1"/>
  <c r="BV319" i="1" s="1"/>
  <c r="BT415" i="1"/>
  <c r="BU415" i="1" s="1"/>
  <c r="BT144" i="1"/>
  <c r="BV144" i="1" s="1"/>
  <c r="Z446" i="1"/>
  <c r="Y446" i="1"/>
  <c r="BC648" i="1"/>
  <c r="BD648" i="1" s="1"/>
  <c r="BC656" i="1"/>
  <c r="BD656" i="1" s="1"/>
  <c r="Z648" i="1"/>
  <c r="Y648" i="1"/>
  <c r="Z656" i="1"/>
  <c r="Y656" i="1"/>
  <c r="Y650" i="1"/>
  <c r="Z650" i="1"/>
  <c r="Y603" i="1"/>
  <c r="Y602" i="1"/>
  <c r="Y585" i="1"/>
  <c r="Y586" i="1"/>
  <c r="Y520" i="1"/>
  <c r="Y577" i="1"/>
  <c r="Y434" i="1"/>
  <c r="Y465" i="1"/>
  <c r="Y459" i="1"/>
  <c r="Y453" i="1"/>
  <c r="Y450" i="1"/>
  <c r="Y448" i="1"/>
  <c r="Y61" i="1"/>
  <c r="Z61" i="1"/>
  <c r="Y56" i="1"/>
  <c r="Z56" i="1"/>
  <c r="Z59" i="1"/>
  <c r="Y59" i="1"/>
  <c r="Y38" i="1"/>
  <c r="Y39" i="1"/>
  <c r="Z618" i="1"/>
  <c r="AA618" i="1" s="1"/>
  <c r="Z32" i="1"/>
  <c r="AA32" i="1" s="1"/>
  <c r="Z24" i="1"/>
  <c r="AA24" i="1" s="1"/>
  <c r="Z38" i="1"/>
  <c r="Z39" i="1"/>
  <c r="Z67" i="1"/>
  <c r="Z120" i="1"/>
  <c r="AA120" i="1" s="1"/>
  <c r="Z339" i="1"/>
  <c r="AA339" i="1" s="1"/>
  <c r="Z340" i="1"/>
  <c r="Z399" i="1"/>
  <c r="AA399" i="1" s="1"/>
  <c r="Z398" i="1"/>
  <c r="Z372" i="1"/>
  <c r="Z367" i="1"/>
  <c r="AA367" i="1" s="1"/>
  <c r="Z368" i="1"/>
  <c r="AA368" i="1" s="1"/>
  <c r="Z354" i="1"/>
  <c r="Z392" i="1"/>
  <c r="AA392" i="1" s="1"/>
  <c r="Z448" i="1"/>
  <c r="Z451" i="1"/>
  <c r="AA451" i="1" s="1"/>
  <c r="Z450" i="1"/>
  <c r="Z463" i="1"/>
  <c r="AA463" i="1" s="1"/>
  <c r="Z464" i="1"/>
  <c r="Z458" i="1"/>
  <c r="Z453" i="1"/>
  <c r="Z457" i="1"/>
  <c r="AA457" i="1" s="1"/>
  <c r="Z456" i="1"/>
  <c r="Z455" i="1"/>
  <c r="AA455" i="1" s="1"/>
  <c r="Z459" i="1"/>
  <c r="Z465" i="1"/>
  <c r="Z434" i="1"/>
  <c r="Z492" i="1"/>
  <c r="AA492" i="1" s="1"/>
  <c r="Z490" i="1"/>
  <c r="AA490" i="1" s="1"/>
  <c r="Z577" i="1"/>
  <c r="Z526" i="1"/>
  <c r="Z527" i="1"/>
  <c r="Z520" i="1"/>
  <c r="Z586" i="1"/>
  <c r="Z585" i="1"/>
  <c r="Z602" i="1"/>
  <c r="Z603" i="1"/>
  <c r="BC446" i="1"/>
  <c r="BD446" i="1" s="1"/>
  <c r="BC486" i="1"/>
  <c r="BD486" i="1" s="1"/>
  <c r="V486" i="1"/>
  <c r="W486" i="1" s="1"/>
  <c r="BC434" i="1"/>
  <c r="BD434" i="1" s="1"/>
  <c r="BC466" i="1"/>
  <c r="BF466" i="1" s="1"/>
  <c r="BT385" i="1"/>
  <c r="BV385" i="1" s="1"/>
  <c r="BX385" i="1" s="1"/>
  <c r="BT173" i="1"/>
  <c r="BV173" i="1" s="1"/>
  <c r="BX173" i="1" s="1"/>
  <c r="BC490" i="1"/>
  <c r="BC520" i="1"/>
  <c r="BD520" i="1" s="1"/>
  <c r="BC398" i="1"/>
  <c r="BD398" i="1" s="1"/>
  <c r="BC361" i="1"/>
  <c r="BD361" i="1" s="1"/>
  <c r="BC354" i="1"/>
  <c r="BC392" i="1"/>
  <c r="BD392" i="1" s="1"/>
  <c r="BC464" i="1"/>
  <c r="BC458" i="1"/>
  <c r="BD458" i="1" s="1"/>
  <c r="BC510" i="1"/>
  <c r="BD510" i="1" s="1"/>
  <c r="BC399" i="1"/>
  <c r="BD399" i="1" s="1"/>
  <c r="BC372" i="1"/>
  <c r="BD372" i="1" s="1"/>
  <c r="BC368" i="1"/>
  <c r="BD368" i="1" s="1"/>
  <c r="BC449" i="1"/>
  <c r="BC459" i="1"/>
  <c r="BD459" i="1" s="1"/>
  <c r="BC367" i="1"/>
  <c r="BD367" i="1" s="1"/>
  <c r="BC492" i="1"/>
  <c r="BD492" i="1" s="1"/>
  <c r="BC499" i="1"/>
  <c r="BD499" i="1" s="1"/>
  <c r="BC577" i="1"/>
  <c r="BD577" i="1" s="1"/>
  <c r="BC497" i="1"/>
  <c r="BF497" i="1" s="1"/>
  <c r="BG497" i="1" s="1"/>
  <c r="BI497" i="1" s="1"/>
  <c r="BC465" i="1"/>
  <c r="BD465" i="1" s="1"/>
  <c r="AZ463" i="1"/>
  <c r="AZ458" i="1"/>
  <c r="AZ450" i="1"/>
  <c r="BC450" i="1"/>
  <c r="BD450" i="1" s="1"/>
  <c r="BC463" i="1"/>
  <c r="BD463" i="1" s="1"/>
  <c r="BC453" i="1"/>
  <c r="BD453" i="1" s="1"/>
  <c r="BC455" i="1"/>
  <c r="BD455" i="1" s="1"/>
  <c r="BC448" i="1"/>
  <c r="BD448" i="1" s="1"/>
  <c r="BC451" i="1"/>
  <c r="BD451" i="1" s="1"/>
  <c r="BC457" i="1"/>
  <c r="BD457" i="1" s="1"/>
  <c r="BC456" i="1"/>
  <c r="BD456" i="1" s="1"/>
  <c r="BC24" i="1"/>
  <c r="BD24" i="1" s="1"/>
  <c r="BC401" i="1"/>
  <c r="BD401" i="1" s="1"/>
  <c r="BC371" i="1"/>
  <c r="BD371" i="1" s="1"/>
  <c r="BC26" i="1"/>
  <c r="BC585" i="1"/>
  <c r="BD585" i="1" s="1"/>
  <c r="BC588" i="1"/>
  <c r="BD588" i="1" s="1"/>
  <c r="BC587" i="1"/>
  <c r="BD587" i="1" s="1"/>
  <c r="BC590" i="1"/>
  <c r="BD590" i="1" s="1"/>
  <c r="BC589" i="1"/>
  <c r="BC602" i="1"/>
  <c r="BD602" i="1" s="1"/>
  <c r="BC603" i="1"/>
  <c r="BD603" i="1" s="1"/>
  <c r="BC606" i="1"/>
  <c r="BD606" i="1" s="1"/>
  <c r="BC607" i="1"/>
  <c r="BD607" i="1" s="1"/>
  <c r="BC608" i="1"/>
  <c r="BD608" i="1" s="1"/>
  <c r="BC609" i="1"/>
  <c r="BD609" i="1" s="1"/>
  <c r="BC618" i="1"/>
  <c r="BD618" i="1" s="1"/>
  <c r="BC661" i="1"/>
  <c r="BD661" i="1" s="1"/>
  <c r="BC666" i="1"/>
  <c r="BD666" i="1" s="1"/>
  <c r="BC659" i="1"/>
  <c r="BD659" i="1" s="1"/>
  <c r="BC660" i="1"/>
  <c r="BF660" i="1" s="1"/>
  <c r="BC662" i="1"/>
  <c r="BE662" i="1" s="1"/>
  <c r="BC663" i="1"/>
  <c r="BD663" i="1" s="1"/>
  <c r="BC664" i="1"/>
  <c r="BE664" i="1" s="1"/>
  <c r="BC665" i="1"/>
  <c r="BE665" i="1" s="1"/>
  <c r="BC667" i="1"/>
  <c r="BF667" i="1" s="1"/>
  <c r="BC672" i="1"/>
  <c r="BF672" i="1" s="1"/>
  <c r="BC671" i="1"/>
  <c r="BF671" i="1" s="1"/>
  <c r="BG671" i="1" s="1"/>
  <c r="BI671" i="1" s="1"/>
  <c r="BC668" i="1"/>
  <c r="BC669" i="1"/>
  <c r="BD669" i="1" s="1"/>
  <c r="BC670" i="1"/>
  <c r="BE670" i="1" s="1"/>
  <c r="BC33" i="1"/>
  <c r="BD33" i="1" s="1"/>
  <c r="BC32" i="1"/>
  <c r="BD32" i="1" s="1"/>
  <c r="BC36" i="1"/>
  <c r="BC37" i="1"/>
  <c r="BD37" i="1" s="1"/>
  <c r="BC43" i="1"/>
  <c r="BD43" i="1" s="1"/>
  <c r="BC44" i="1"/>
  <c r="BD44" i="1" s="1"/>
  <c r="BC45" i="1"/>
  <c r="BD45" i="1" s="1"/>
  <c r="BC46" i="1"/>
  <c r="BD46" i="1" s="1"/>
  <c r="BC55" i="1"/>
  <c r="BD55" i="1" s="1"/>
  <c r="BC54" i="1"/>
  <c r="BC59" i="1"/>
  <c r="BC61" i="1"/>
  <c r="BD61" i="1" s="1"/>
  <c r="BC339" i="1"/>
  <c r="BD339" i="1" s="1"/>
  <c r="BC340" i="1"/>
  <c r="BD340" i="1" s="1"/>
  <c r="BC341" i="1"/>
  <c r="BD341" i="1" s="1"/>
  <c r="BC342" i="1"/>
  <c r="BD342" i="1" s="1"/>
  <c r="BC343" i="1"/>
  <c r="BD343" i="1" s="1"/>
  <c r="BC344" i="1"/>
  <c r="BD344" i="1" s="1"/>
  <c r="BC345" i="1"/>
  <c r="BD345" i="1" s="1"/>
  <c r="BC384" i="1"/>
  <c r="BD384" i="1" s="1"/>
  <c r="BC385" i="1"/>
  <c r="BD385" i="1" s="1"/>
  <c r="BC400" i="1"/>
  <c r="BD400" i="1" s="1"/>
  <c r="BC402" i="1"/>
  <c r="BD402" i="1" s="1"/>
  <c r="BC362" i="1"/>
  <c r="BD362" i="1" s="1"/>
  <c r="BC363" i="1"/>
  <c r="BD363" i="1" s="1"/>
  <c r="BC365" i="1"/>
  <c r="BD365" i="1" s="1"/>
  <c r="BC364" i="1"/>
  <c r="BD364" i="1" s="1"/>
  <c r="BC366" i="1"/>
  <c r="BD366" i="1" s="1"/>
  <c r="BC369" i="1"/>
  <c r="BD369" i="1" s="1"/>
  <c r="BC370" i="1"/>
  <c r="BD370" i="1" s="1"/>
  <c r="BC374" i="1"/>
  <c r="BD374" i="1" s="1"/>
  <c r="BC452" i="1"/>
  <c r="BD452" i="1" s="1"/>
  <c r="BC460" i="1"/>
  <c r="BD460" i="1" s="1"/>
  <c r="BC461" i="1"/>
  <c r="BD461" i="1" s="1"/>
  <c r="BC493" i="1"/>
  <c r="BD493" i="1" s="1"/>
  <c r="BC494" i="1"/>
  <c r="BD494" i="1" s="1"/>
  <c r="BC498" i="1"/>
  <c r="BD498" i="1" s="1"/>
  <c r="BC473" i="1"/>
  <c r="BD473" i="1" s="1"/>
  <c r="BC526" i="1"/>
  <c r="BC527" i="1"/>
  <c r="BD527" i="1" s="1"/>
  <c r="BC518" i="1"/>
  <c r="BD518" i="1" s="1"/>
  <c r="BC586" i="1"/>
  <c r="BD586" i="1" s="1"/>
  <c r="BC30" i="1"/>
  <c r="BD30" i="1" s="1"/>
  <c r="BC31" i="1"/>
  <c r="BD31" i="1" s="1"/>
  <c r="AZ607" i="1"/>
  <c r="AZ602" i="1"/>
  <c r="AZ589" i="1"/>
  <c r="AZ587" i="1"/>
  <c r="U608" i="1"/>
  <c r="V608" i="1" s="1"/>
  <c r="AD2" i="1"/>
  <c r="AG2" i="1"/>
  <c r="AI625" i="1" s="1"/>
  <c r="AB2" i="1"/>
  <c r="U366" i="1"/>
  <c r="V366" i="1"/>
  <c r="AI37" i="1"/>
  <c r="AI38" i="1"/>
  <c r="AI36" i="1"/>
  <c r="AI39" i="1"/>
  <c r="AI614" i="1"/>
  <c r="AI617" i="1"/>
  <c r="AI585" i="1"/>
  <c r="AI658" i="1"/>
  <c r="AI524" i="1"/>
  <c r="AI511" i="1"/>
  <c r="AI668" i="1"/>
  <c r="AI514" i="1"/>
  <c r="BT536" i="1"/>
  <c r="BU536" i="1" s="1"/>
  <c r="BT248" i="1"/>
  <c r="BV248" i="1" s="1"/>
  <c r="BX248" i="1" s="1"/>
  <c r="BT128" i="1"/>
  <c r="BU128" i="1" s="1"/>
  <c r="BT601" i="1"/>
  <c r="BV601" i="1" s="1"/>
  <c r="BX601" i="1" s="1"/>
  <c r="BT14" i="1"/>
  <c r="BU14" i="1" s="1"/>
  <c r="BT41" i="1"/>
  <c r="BV41" i="1" s="1"/>
  <c r="BT314" i="1"/>
  <c r="BU314" i="1" s="1"/>
  <c r="BS101" i="1"/>
  <c r="BT323" i="1"/>
  <c r="BV323" i="1" s="1"/>
  <c r="BT236" i="1"/>
  <c r="BV236" i="1" s="1"/>
  <c r="BX236" i="1" s="1"/>
  <c r="BS236" i="1"/>
  <c r="BS238" i="1"/>
  <c r="BS14" i="1"/>
  <c r="AO128" i="1" l="1"/>
  <c r="AP128" i="1" s="1"/>
  <c r="AE426" i="1"/>
  <c r="AL426" i="1" s="1"/>
  <c r="AK58" i="1"/>
  <c r="AE430" i="1"/>
  <c r="AG430" i="1" s="1"/>
  <c r="AH430" i="1" s="1"/>
  <c r="AO430" i="1" s="1"/>
  <c r="AP430" i="1" s="1"/>
  <c r="AB410" i="1"/>
  <c r="AO215" i="1"/>
  <c r="AP215" i="1" s="1"/>
  <c r="X280" i="1"/>
  <c r="X95" i="1"/>
  <c r="X139" i="1"/>
  <c r="AO144" i="1"/>
  <c r="AP144" i="1" s="1"/>
  <c r="X9" i="1"/>
  <c r="AE410" i="1"/>
  <c r="AG410" i="1" s="1"/>
  <c r="AH410" i="1" s="1"/>
  <c r="AO410" i="1" s="1"/>
  <c r="AP410" i="1" s="1"/>
  <c r="X509" i="1"/>
  <c r="AE229" i="1"/>
  <c r="AL229" i="1" s="1"/>
  <c r="AK496" i="1"/>
  <c r="AO266" i="1"/>
  <c r="AP266" i="1" s="1"/>
  <c r="AB176" i="1"/>
  <c r="AB152" i="1"/>
  <c r="AJ152" i="1"/>
  <c r="AE398" i="1"/>
  <c r="AJ398" i="1" s="1"/>
  <c r="AK52" i="1"/>
  <c r="AB48" i="1"/>
  <c r="AL329" i="1"/>
  <c r="BM32" i="1"/>
  <c r="BP32" i="1" s="1"/>
  <c r="AB54" i="1"/>
  <c r="X87" i="1"/>
  <c r="X302" i="1"/>
  <c r="X91" i="1"/>
  <c r="AB42" i="1"/>
  <c r="AL42" i="1"/>
  <c r="AJ32" i="1"/>
  <c r="AK162" i="1"/>
  <c r="X344" i="1"/>
  <c r="AJ42" i="1"/>
  <c r="AK344" i="1"/>
  <c r="BE344" i="1" s="1"/>
  <c r="BF344" i="1" s="1"/>
  <c r="BG344" i="1" s="1"/>
  <c r="AB17" i="1"/>
  <c r="AB487" i="1"/>
  <c r="AG42" i="1"/>
  <c r="AH42" i="1" s="1"/>
  <c r="AO42" i="1" s="1"/>
  <c r="AP42" i="1" s="1"/>
  <c r="X125" i="1"/>
  <c r="AO114" i="1"/>
  <c r="AP114" i="1" s="1"/>
  <c r="AB242" i="1"/>
  <c r="AE260" i="1"/>
  <c r="AK260" i="1" s="1"/>
  <c r="AG226" i="1"/>
  <c r="AH226" i="1" s="1"/>
  <c r="AO226" i="1" s="1"/>
  <c r="AP226" i="1" s="1"/>
  <c r="AB458" i="1"/>
  <c r="AE256" i="1"/>
  <c r="AK256" i="1" s="1"/>
  <c r="X469" i="1"/>
  <c r="X258" i="1"/>
  <c r="AE454" i="1"/>
  <c r="AL454" i="1" s="1"/>
  <c r="AE395" i="1"/>
  <c r="AG395" i="1" s="1"/>
  <c r="AH395" i="1" s="1"/>
  <c r="AO395" i="1" s="1"/>
  <c r="AP395" i="1" s="1"/>
  <c r="X333" i="1"/>
  <c r="X366" i="1"/>
  <c r="X622" i="1"/>
  <c r="AE293" i="1"/>
  <c r="AJ293" i="1" s="1"/>
  <c r="AE366" i="1"/>
  <c r="AK366" i="1" s="1"/>
  <c r="BE366" i="1" s="1"/>
  <c r="BF366" i="1" s="1"/>
  <c r="BG366" i="1" s="1"/>
  <c r="AK333" i="1"/>
  <c r="AB468" i="1"/>
  <c r="AJ333" i="1"/>
  <c r="AJ329" i="1"/>
  <c r="AB203" i="1"/>
  <c r="AE303" i="1"/>
  <c r="AK303" i="1" s="1"/>
  <c r="AO32" i="1"/>
  <c r="AP32" i="1" s="1"/>
  <c r="X337" i="1"/>
  <c r="AE337" i="1"/>
  <c r="AJ337" i="1" s="1"/>
  <c r="AG329" i="1"/>
  <c r="AH329" i="1" s="1"/>
  <c r="AO329" i="1" s="1"/>
  <c r="AP329" i="1" s="1"/>
  <c r="AE635" i="1"/>
  <c r="AG635" i="1" s="1"/>
  <c r="AH635" i="1" s="1"/>
  <c r="AO635" i="1" s="1"/>
  <c r="AP635" i="1" s="1"/>
  <c r="AB453" i="1"/>
  <c r="X599" i="1"/>
  <c r="AE224" i="1"/>
  <c r="AJ224" i="1" s="1"/>
  <c r="AB186" i="1"/>
  <c r="AE418" i="1"/>
  <c r="AG418" i="1" s="1"/>
  <c r="AH418" i="1" s="1"/>
  <c r="AO418" i="1" s="1"/>
  <c r="AP418" i="1" s="1"/>
  <c r="AE17" i="1"/>
  <c r="AL17" i="1" s="1"/>
  <c r="AE340" i="1"/>
  <c r="AL340" i="1" s="1"/>
  <c r="AB214" i="1"/>
  <c r="AE467" i="1"/>
  <c r="AG467" i="1" s="1"/>
  <c r="AH467" i="1" s="1"/>
  <c r="AO467" i="1" s="1"/>
  <c r="AP467" i="1" s="1"/>
  <c r="X426" i="1"/>
  <c r="X513" i="1"/>
  <c r="AJ344" i="1"/>
  <c r="AE322" i="1"/>
  <c r="AG322" i="1" s="1"/>
  <c r="AH322" i="1" s="1"/>
  <c r="AO322" i="1" s="1"/>
  <c r="AP322" i="1" s="1"/>
  <c r="AE290" i="1"/>
  <c r="AL290" i="1" s="1"/>
  <c r="X123" i="1"/>
  <c r="AJ496" i="1"/>
  <c r="AB246" i="1"/>
  <c r="X59" i="1"/>
  <c r="AJ59" i="1"/>
  <c r="AE246" i="1"/>
  <c r="AJ246" i="1" s="1"/>
  <c r="AE595" i="1"/>
  <c r="AL595" i="1" s="1"/>
  <c r="AG344" i="1"/>
  <c r="AH344" i="1" s="1"/>
  <c r="AO344" i="1" s="1"/>
  <c r="AP344" i="1" s="1"/>
  <c r="AB344" i="1"/>
  <c r="AG59" i="1"/>
  <c r="AH59" i="1" s="1"/>
  <c r="AO59" i="1" s="1"/>
  <c r="AP59" i="1" s="1"/>
  <c r="AE406" i="1"/>
  <c r="AG406" i="1" s="1"/>
  <c r="AH406" i="1" s="1"/>
  <c r="AO406" i="1" s="1"/>
  <c r="AP406" i="1" s="1"/>
  <c r="X224" i="1"/>
  <c r="AE306" i="1"/>
  <c r="AJ306" i="1" s="1"/>
  <c r="X226" i="1"/>
  <c r="X150" i="1"/>
  <c r="AK32" i="1"/>
  <c r="BE32" i="1" s="1"/>
  <c r="BF32" i="1" s="1"/>
  <c r="BG32" i="1" s="1"/>
  <c r="AE230" i="1"/>
  <c r="AG230" i="1" s="1"/>
  <c r="AH230" i="1" s="1"/>
  <c r="AO230" i="1" s="1"/>
  <c r="AP230" i="1" s="1"/>
  <c r="X32" i="1"/>
  <c r="AG496" i="1"/>
  <c r="AH496" i="1" s="1"/>
  <c r="AO496" i="1" s="1"/>
  <c r="AP496" i="1" s="1"/>
  <c r="AE560" i="1"/>
  <c r="AL560" i="1" s="1"/>
  <c r="AE591" i="1"/>
  <c r="AG591" i="1" s="1"/>
  <c r="AH591" i="1" s="1"/>
  <c r="AO591" i="1" s="1"/>
  <c r="AP591" i="1" s="1"/>
  <c r="AL32" i="1"/>
  <c r="AE355" i="1"/>
  <c r="AG355" i="1" s="1"/>
  <c r="AH355" i="1" s="1"/>
  <c r="AO355" i="1" s="1"/>
  <c r="AP355" i="1" s="1"/>
  <c r="X234" i="1"/>
  <c r="X46" i="1"/>
  <c r="X497" i="1"/>
  <c r="AE74" i="1"/>
  <c r="AL74" i="1" s="1"/>
  <c r="AB322" i="1"/>
  <c r="AB260" i="1"/>
  <c r="X256" i="1"/>
  <c r="AB91" i="1"/>
  <c r="AE483" i="1"/>
  <c r="AK483" i="1" s="1"/>
  <c r="X99" i="1"/>
  <c r="AB359" i="1"/>
  <c r="X132" i="1"/>
  <c r="X22" i="1"/>
  <c r="AJ556" i="1"/>
  <c r="AB386" i="1"/>
  <c r="AG363" i="1"/>
  <c r="AH363" i="1" s="1"/>
  <c r="AO363" i="1" s="1"/>
  <c r="AP363" i="1" s="1"/>
  <c r="AB355" i="1"/>
  <c r="AG556" i="1"/>
  <c r="AH556" i="1" s="1"/>
  <c r="AO556" i="1" s="1"/>
  <c r="AP556" i="1" s="1"/>
  <c r="AJ363" i="1"/>
  <c r="AJ120" i="1"/>
  <c r="AJ564" i="1"/>
  <c r="AB22" i="1"/>
  <c r="AK108" i="1"/>
  <c r="AE349" i="1"/>
  <c r="AL349" i="1" s="1"/>
  <c r="AL564" i="1"/>
  <c r="X14" i="1"/>
  <c r="AE14" i="1"/>
  <c r="AJ14" i="1" s="1"/>
  <c r="AE370" i="1"/>
  <c r="AK370" i="1" s="1"/>
  <c r="BE370" i="1" s="1"/>
  <c r="BF370" i="1" s="1"/>
  <c r="BG370" i="1" s="1"/>
  <c r="AG564" i="1"/>
  <c r="AH564" i="1" s="1"/>
  <c r="AO564" i="1" s="1"/>
  <c r="AP564" i="1" s="1"/>
  <c r="AB564" i="1"/>
  <c r="X120" i="1"/>
  <c r="AL22" i="1"/>
  <c r="AG576" i="1"/>
  <c r="AH576" i="1" s="1"/>
  <c r="AO576" i="1" s="1"/>
  <c r="AP576" i="1" s="1"/>
  <c r="AL114" i="1"/>
  <c r="AJ108" i="1"/>
  <c r="AB116" i="1"/>
  <c r="AB142" i="1"/>
  <c r="X610" i="1"/>
  <c r="AL132" i="1"/>
  <c r="AG258" i="1"/>
  <c r="AH258" i="1" s="1"/>
  <c r="AO258" i="1" s="1"/>
  <c r="AP258" i="1" s="1"/>
  <c r="AK226" i="1"/>
  <c r="AE361" i="1"/>
  <c r="AK361" i="1" s="1"/>
  <c r="AK576" i="1"/>
  <c r="AE35" i="1"/>
  <c r="AG35" i="1" s="1"/>
  <c r="AH35" i="1" s="1"/>
  <c r="AO35" i="1" s="1"/>
  <c r="AP35" i="1" s="1"/>
  <c r="AJ372" i="1"/>
  <c r="X543" i="1"/>
  <c r="X338" i="1"/>
  <c r="AB543" i="1"/>
  <c r="X53" i="1"/>
  <c r="X314" i="1"/>
  <c r="X407" i="1"/>
  <c r="AB520" i="1"/>
  <c r="AB398" i="1"/>
  <c r="AB37" i="1"/>
  <c r="AB74" i="1"/>
  <c r="X644" i="1"/>
  <c r="AK28" i="1"/>
  <c r="AE87" i="1"/>
  <c r="AJ87" i="1" s="1"/>
  <c r="AJ91" i="1"/>
  <c r="AE48" i="1"/>
  <c r="AL48" i="1" s="1"/>
  <c r="AK238" i="1"/>
  <c r="AB361" i="1"/>
  <c r="AE367" i="1"/>
  <c r="AJ367" i="1" s="1"/>
  <c r="AB517" i="1"/>
  <c r="AB128" i="1"/>
  <c r="AK270" i="1"/>
  <c r="AL372" i="1"/>
  <c r="X104" i="1"/>
  <c r="AE396" i="1"/>
  <c r="AL396" i="1" s="1"/>
  <c r="X294" i="1"/>
  <c r="AB669" i="1"/>
  <c r="X238" i="1"/>
  <c r="X278" i="1"/>
  <c r="X42" i="1"/>
  <c r="X345" i="1"/>
  <c r="X128" i="1"/>
  <c r="AB104" i="1"/>
  <c r="AE20" i="1"/>
  <c r="AG20" i="1" s="1"/>
  <c r="AH20" i="1" s="1"/>
  <c r="AO20" i="1" s="1"/>
  <c r="AP20" i="1" s="1"/>
  <c r="AE99" i="1"/>
  <c r="AL99" i="1" s="1"/>
  <c r="AL120" i="1"/>
  <c r="AJ238" i="1"/>
  <c r="AL59" i="1"/>
  <c r="AL556" i="1"/>
  <c r="AE517" i="1"/>
  <c r="AJ517" i="1" s="1"/>
  <c r="AE326" i="1"/>
  <c r="AJ326" i="1" s="1"/>
  <c r="AE45" i="1"/>
  <c r="AJ45" i="1" s="1"/>
  <c r="AE274" i="1"/>
  <c r="AG274" i="1" s="1"/>
  <c r="AH274" i="1" s="1"/>
  <c r="AO274" i="1" s="1"/>
  <c r="AP274" i="1" s="1"/>
  <c r="X514" i="1"/>
  <c r="X35" i="1"/>
  <c r="X372" i="1"/>
  <c r="AB556" i="1"/>
  <c r="X152" i="1"/>
  <c r="X359" i="1"/>
  <c r="X388" i="1"/>
  <c r="AL116" i="1"/>
  <c r="AL57" i="1"/>
  <c r="AB388" i="1"/>
  <c r="AK363" i="1"/>
  <c r="BE363" i="1" s="1"/>
  <c r="BF363" i="1" s="1"/>
  <c r="BG363" i="1" s="1"/>
  <c r="BH363" i="1" s="1"/>
  <c r="AB84" i="1"/>
  <c r="AE519" i="1"/>
  <c r="AL519" i="1" s="1"/>
  <c r="X318" i="1"/>
  <c r="AK128" i="1"/>
  <c r="BE128" i="1" s="1"/>
  <c r="BF128" i="1" s="1"/>
  <c r="BG128" i="1" s="1"/>
  <c r="AE610" i="1"/>
  <c r="AL610" i="1" s="1"/>
  <c r="BE372" i="1"/>
  <c r="BF372" i="1" s="1"/>
  <c r="BG372" i="1" s="1"/>
  <c r="AB656" i="1"/>
  <c r="X45" i="1"/>
  <c r="X479" i="1"/>
  <c r="AE80" i="1"/>
  <c r="AJ80" i="1" s="1"/>
  <c r="AE123" i="1"/>
  <c r="AK123" i="1" s="1"/>
  <c r="AG119" i="1"/>
  <c r="AH119" i="1" s="1"/>
  <c r="AO119" i="1" s="1"/>
  <c r="AP119" i="1" s="1"/>
  <c r="AK120" i="1"/>
  <c r="BE120" i="1" s="1"/>
  <c r="BF120" i="1" s="1"/>
  <c r="BG120" i="1" s="1"/>
  <c r="AE242" i="1"/>
  <c r="AK242" i="1" s="1"/>
  <c r="AB370" i="1"/>
  <c r="AE222" i="1"/>
  <c r="AG222" i="1" s="1"/>
  <c r="AH222" i="1" s="1"/>
  <c r="AO222" i="1" s="1"/>
  <c r="AP222" i="1" s="1"/>
  <c r="AE458" i="1"/>
  <c r="AG458" i="1" s="1"/>
  <c r="AH458" i="1" s="1"/>
  <c r="AO458" i="1" s="1"/>
  <c r="AP458" i="1" s="1"/>
  <c r="AB95" i="1"/>
  <c r="AB132" i="1"/>
  <c r="AJ34" i="1"/>
  <c r="AE338" i="1"/>
  <c r="AJ338" i="1" s="1"/>
  <c r="AB46" i="1"/>
  <c r="X564" i="1"/>
  <c r="X112" i="1"/>
  <c r="AE302" i="1"/>
  <c r="AJ302" i="1" s="1"/>
  <c r="X471" i="1"/>
  <c r="X41" i="1"/>
  <c r="X568" i="1"/>
  <c r="X357" i="1"/>
  <c r="AO321" i="1"/>
  <c r="AP321" i="1" s="1"/>
  <c r="AO307" i="1"/>
  <c r="AP307" i="1" s="1"/>
  <c r="AO227" i="1"/>
  <c r="AP227" i="1" s="1"/>
  <c r="AO177" i="1"/>
  <c r="AP177" i="1" s="1"/>
  <c r="AL557" i="1"/>
  <c r="X598" i="1"/>
  <c r="X491" i="1"/>
  <c r="AG333" i="1"/>
  <c r="AH333" i="1" s="1"/>
  <c r="AO333" i="1" s="1"/>
  <c r="AP333" i="1" s="1"/>
  <c r="AL285" i="1"/>
  <c r="AB565" i="1"/>
  <c r="AB395" i="1"/>
  <c r="AE509" i="1"/>
  <c r="AJ509" i="1" s="1"/>
  <c r="AE259" i="1"/>
  <c r="AG259" i="1" s="1"/>
  <c r="AH259" i="1" s="1"/>
  <c r="AO259" i="1" s="1"/>
  <c r="AP259" i="1" s="1"/>
  <c r="X293" i="1"/>
  <c r="AO520" i="1"/>
  <c r="AP520" i="1" s="1"/>
  <c r="X69" i="1"/>
  <c r="AE441" i="1"/>
  <c r="AG441" i="1" s="1"/>
  <c r="AH441" i="1" s="1"/>
  <c r="AO441" i="1" s="1"/>
  <c r="AP441" i="1" s="1"/>
  <c r="AK285" i="1"/>
  <c r="AB321" i="1"/>
  <c r="AE657" i="1"/>
  <c r="AG657" i="1" s="1"/>
  <c r="AH657" i="1" s="1"/>
  <c r="AO657" i="1" s="1"/>
  <c r="AP657" i="1" s="1"/>
  <c r="AB622" i="1"/>
  <c r="X317" i="1"/>
  <c r="X321" i="1"/>
  <c r="X391" i="1"/>
  <c r="AO407" i="1"/>
  <c r="AP407" i="1" s="1"/>
  <c r="X557" i="1"/>
  <c r="AK600" i="1"/>
  <c r="BE600" i="1" s="1"/>
  <c r="BF600" i="1" s="1"/>
  <c r="AL321" i="1"/>
  <c r="AG285" i="1"/>
  <c r="AH285" i="1" s="1"/>
  <c r="AO285" i="1" s="1"/>
  <c r="AP285" i="1" s="1"/>
  <c r="AB285" i="1"/>
  <c r="AB297" i="1"/>
  <c r="X281" i="1"/>
  <c r="AB67" i="1"/>
  <c r="AL600" i="1"/>
  <c r="AJ139" i="1"/>
  <c r="AK321" i="1"/>
  <c r="AB333" i="1"/>
  <c r="AE571" i="1"/>
  <c r="AK571" i="1" s="1"/>
  <c r="AB317" i="1"/>
  <c r="X297" i="1"/>
  <c r="AG600" i="1"/>
  <c r="AH600" i="1" s="1"/>
  <c r="AO600" i="1" s="1"/>
  <c r="AP600" i="1" s="1"/>
  <c r="X301" i="1"/>
  <c r="AE283" i="1"/>
  <c r="AJ283" i="1" s="1"/>
  <c r="AE301" i="1"/>
  <c r="AJ301" i="1" s="1"/>
  <c r="AJ321" i="1"/>
  <c r="AG503" i="1"/>
  <c r="AH503" i="1" s="1"/>
  <c r="AO503" i="1" s="1"/>
  <c r="AP503" i="1" s="1"/>
  <c r="AB600" i="1"/>
  <c r="AL576" i="1"/>
  <c r="AB657" i="1"/>
  <c r="X285" i="1"/>
  <c r="AE572" i="1"/>
  <c r="AL572" i="1" s="1"/>
  <c r="X560" i="1"/>
  <c r="AB139" i="1"/>
  <c r="AE609" i="1"/>
  <c r="AK609" i="1" s="1"/>
  <c r="BE609" i="1" s="1"/>
  <c r="BF609" i="1" s="1"/>
  <c r="BG609" i="1" s="1"/>
  <c r="AB586" i="1"/>
  <c r="AK247" i="1"/>
  <c r="X145" i="1"/>
  <c r="X325" i="1"/>
  <c r="AE325" i="1"/>
  <c r="AG325" i="1" s="1"/>
  <c r="AH325" i="1" s="1"/>
  <c r="AO325" i="1" s="1"/>
  <c r="AP325" i="1" s="1"/>
  <c r="AG457" i="1"/>
  <c r="AH457" i="1" s="1"/>
  <c r="BL457" i="1" s="1"/>
  <c r="AE281" i="1"/>
  <c r="AG281" i="1" s="1"/>
  <c r="AH281" i="1" s="1"/>
  <c r="AO281" i="1" s="1"/>
  <c r="AP281" i="1" s="1"/>
  <c r="X454" i="1"/>
  <c r="X329" i="1"/>
  <c r="AB329" i="1"/>
  <c r="AE69" i="1"/>
  <c r="AK69" i="1" s="1"/>
  <c r="BE69" i="1" s="1"/>
  <c r="BF69" i="1" s="1"/>
  <c r="BG69" i="1" s="1"/>
  <c r="AE565" i="1"/>
  <c r="AG565" i="1" s="1"/>
  <c r="AH565" i="1" s="1"/>
  <c r="AO565" i="1" s="1"/>
  <c r="AP565" i="1" s="1"/>
  <c r="AL291" i="1"/>
  <c r="AK291" i="1"/>
  <c r="BE291" i="1" s="1"/>
  <c r="BF291" i="1" s="1"/>
  <c r="AO270" i="1"/>
  <c r="AP270" i="1" s="1"/>
  <c r="AE147" i="1"/>
  <c r="AG147" i="1" s="1"/>
  <c r="AH147" i="1" s="1"/>
  <c r="AO147" i="1" s="1"/>
  <c r="AP147" i="1" s="1"/>
  <c r="X195" i="1"/>
  <c r="BU622" i="1"/>
  <c r="AG310" i="1"/>
  <c r="AH310" i="1" s="1"/>
  <c r="AO310" i="1" s="1"/>
  <c r="AP310" i="1" s="1"/>
  <c r="X230" i="1"/>
  <c r="AL215" i="1"/>
  <c r="AB234" i="1"/>
  <c r="AE294" i="1"/>
  <c r="AG294" i="1" s="1"/>
  <c r="AH294" i="1" s="1"/>
  <c r="AO294" i="1" s="1"/>
  <c r="AP294" i="1" s="1"/>
  <c r="AL226" i="1"/>
  <c r="AE466" i="1"/>
  <c r="AG466" i="1" s="1"/>
  <c r="AH466" i="1" s="1"/>
  <c r="AO466" i="1" s="1"/>
  <c r="AP466" i="1" s="1"/>
  <c r="AE243" i="1"/>
  <c r="AJ243" i="1" s="1"/>
  <c r="AJ227" i="1"/>
  <c r="AB238" i="1"/>
  <c r="AB227" i="1"/>
  <c r="X492" i="1"/>
  <c r="AE279" i="1"/>
  <c r="AG279" i="1" s="1"/>
  <c r="AH279" i="1" s="1"/>
  <c r="AO279" i="1" s="1"/>
  <c r="AP279" i="1" s="1"/>
  <c r="AI624" i="1"/>
  <c r="X672" i="1"/>
  <c r="AE142" i="1"/>
  <c r="AL142" i="1" s="1"/>
  <c r="AE318" i="1"/>
  <c r="AJ318" i="1" s="1"/>
  <c r="AE378" i="1"/>
  <c r="AG378" i="1" s="1"/>
  <c r="AH378" i="1" s="1"/>
  <c r="AO378" i="1" s="1"/>
  <c r="AP378" i="1" s="1"/>
  <c r="AE470" i="1"/>
  <c r="AL470" i="1" s="1"/>
  <c r="AB270" i="1"/>
  <c r="AJ203" i="1"/>
  <c r="AB568" i="1"/>
  <c r="AE599" i="1"/>
  <c r="AG599" i="1" s="1"/>
  <c r="AH599" i="1" s="1"/>
  <c r="AO599" i="1" s="1"/>
  <c r="AP599" i="1" s="1"/>
  <c r="AE627" i="1"/>
  <c r="AL627" i="1" s="1"/>
  <c r="X572" i="1"/>
  <c r="X418" i="1"/>
  <c r="X215" i="1"/>
  <c r="X330" i="1"/>
  <c r="AE183" i="1"/>
  <c r="AG183" i="1" s="1"/>
  <c r="AH183" i="1" s="1"/>
  <c r="AO183" i="1" s="1"/>
  <c r="AP183" i="1" s="1"/>
  <c r="X219" i="1"/>
  <c r="AE263" i="1"/>
  <c r="AK263" i="1" s="1"/>
  <c r="AI615" i="1"/>
  <c r="X439" i="1"/>
  <c r="AG203" i="1"/>
  <c r="AH203" i="1" s="1"/>
  <c r="AO203" i="1" s="1"/>
  <c r="AP203" i="1" s="1"/>
  <c r="AL234" i="1"/>
  <c r="AE330" i="1"/>
  <c r="AK330" i="1" s="1"/>
  <c r="AB378" i="1"/>
  <c r="AE453" i="1"/>
  <c r="AK453" i="1" s="1"/>
  <c r="BE453" i="1" s="1"/>
  <c r="BF453" i="1" s="1"/>
  <c r="BG453" i="1" s="1"/>
  <c r="AB470" i="1"/>
  <c r="AE271" i="1"/>
  <c r="AG271" i="1" s="1"/>
  <c r="AH271" i="1" s="1"/>
  <c r="AO271" i="1" s="1"/>
  <c r="AP271" i="1" s="1"/>
  <c r="AE179" i="1"/>
  <c r="AK179" i="1" s="1"/>
  <c r="AK203" i="1"/>
  <c r="X430" i="1"/>
  <c r="X519" i="1"/>
  <c r="X270" i="1"/>
  <c r="X660" i="1"/>
  <c r="X235" i="1"/>
  <c r="AB251" i="1"/>
  <c r="X576" i="1"/>
  <c r="X183" i="1"/>
  <c r="AK310" i="1"/>
  <c r="AE275" i="1"/>
  <c r="AK227" i="1"/>
  <c r="X259" i="1"/>
  <c r="AI656" i="1"/>
  <c r="X595" i="1"/>
  <c r="AK234" i="1"/>
  <c r="AB286" i="1"/>
  <c r="AE497" i="1"/>
  <c r="AJ497" i="1" s="1"/>
  <c r="AE606" i="1"/>
  <c r="AG606" i="1" s="1"/>
  <c r="AH606" i="1" s="1"/>
  <c r="AO606" i="1" s="1"/>
  <c r="AP606" i="1" s="1"/>
  <c r="AE207" i="1"/>
  <c r="AJ207" i="1" s="1"/>
  <c r="AE191" i="1"/>
  <c r="AK191" i="1" s="1"/>
  <c r="AE444" i="1"/>
  <c r="AJ444" i="1" s="1"/>
  <c r="X444" i="1"/>
  <c r="AE616" i="1"/>
  <c r="AK616" i="1" s="1"/>
  <c r="X637" i="1"/>
  <c r="X227" i="1"/>
  <c r="X255" i="1"/>
  <c r="X561" i="1"/>
  <c r="X263" i="1"/>
  <c r="X231" i="1"/>
  <c r="AL247" i="1"/>
  <c r="AE187" i="1"/>
  <c r="AK187" i="1" s="1"/>
  <c r="BE187" i="1" s="1"/>
  <c r="BF187" i="1" s="1"/>
  <c r="BG187" i="1" s="1"/>
  <c r="AB163" i="1"/>
  <c r="AL227" i="1"/>
  <c r="AB466" i="1"/>
  <c r="AI586" i="1"/>
  <c r="AJ234" i="1"/>
  <c r="AB258" i="1"/>
  <c r="AE278" i="1"/>
  <c r="AE286" i="1"/>
  <c r="AG286" i="1" s="1"/>
  <c r="AH286" i="1" s="1"/>
  <c r="AO286" i="1" s="1"/>
  <c r="AP286" i="1" s="1"/>
  <c r="AG372" i="1"/>
  <c r="AH372" i="1" s="1"/>
  <c r="AO372" i="1" s="1"/>
  <c r="AP372" i="1" s="1"/>
  <c r="AB469" i="1"/>
  <c r="AB606" i="1"/>
  <c r="AE219" i="1"/>
  <c r="AJ219" i="1" s="1"/>
  <c r="AE195" i="1"/>
  <c r="AK195" i="1" s="1"/>
  <c r="AE471" i="1"/>
  <c r="AJ471" i="1" s="1"/>
  <c r="AE578" i="1"/>
  <c r="AL578" i="1" s="1"/>
  <c r="X483" i="1"/>
  <c r="AE235" i="1"/>
  <c r="AL235" i="1" s="1"/>
  <c r="X306" i="1"/>
  <c r="X556" i="1"/>
  <c r="AE314" i="1"/>
  <c r="AG314" i="1" s="1"/>
  <c r="AH314" i="1" s="1"/>
  <c r="AO314" i="1" s="1"/>
  <c r="AP314" i="1" s="1"/>
  <c r="X326" i="1"/>
  <c r="X363" i="1"/>
  <c r="X283" i="1"/>
  <c r="AE231" i="1"/>
  <c r="AK231" i="1" s="1"/>
  <c r="X203" i="1"/>
  <c r="AI657" i="1"/>
  <c r="X467" i="1"/>
  <c r="AK37" i="1"/>
  <c r="BE37" i="1" s="1"/>
  <c r="BF37" i="1" s="1"/>
  <c r="BG37" i="1" s="1"/>
  <c r="AB298" i="1"/>
  <c r="AB373" i="1"/>
  <c r="AE660" i="1"/>
  <c r="AK660" i="1" s="1"/>
  <c r="AE255" i="1"/>
  <c r="AL255" i="1" s="1"/>
  <c r="AE223" i="1"/>
  <c r="AL223" i="1" s="1"/>
  <c r="AE561" i="1"/>
  <c r="AG561" i="1" s="1"/>
  <c r="AH561" i="1" s="1"/>
  <c r="AO561" i="1" s="1"/>
  <c r="AP561" i="1" s="1"/>
  <c r="X271" i="1"/>
  <c r="X274" i="1"/>
  <c r="AE447" i="1"/>
  <c r="AG447" i="1" s="1"/>
  <c r="AH447" i="1" s="1"/>
  <c r="AO447" i="1" s="1"/>
  <c r="AP447" i="1" s="1"/>
  <c r="AB393" i="1"/>
  <c r="AB363" i="1"/>
  <c r="X275" i="1"/>
  <c r="X279" i="1"/>
  <c r="AE434" i="1"/>
  <c r="AG434" i="1" s="1"/>
  <c r="AH434" i="1" s="1"/>
  <c r="BM434" i="1" s="1"/>
  <c r="BN434" i="1" s="1"/>
  <c r="X207" i="1"/>
  <c r="AL238" i="1"/>
  <c r="AL258" i="1"/>
  <c r="AE298" i="1"/>
  <c r="BW298" i="1" s="1"/>
  <c r="AE299" i="1"/>
  <c r="AK299" i="1" s="1"/>
  <c r="AL270" i="1"/>
  <c r="AB226" i="1"/>
  <c r="AE590" i="1"/>
  <c r="AJ590" i="1" s="1"/>
  <c r="AG602" i="1"/>
  <c r="AH602" i="1" s="1"/>
  <c r="AO602" i="1" s="1"/>
  <c r="AP602" i="1" s="1"/>
  <c r="AJ270" i="1"/>
  <c r="X447" i="1"/>
  <c r="X299" i="1"/>
  <c r="X393" i="1"/>
  <c r="X290" i="1"/>
  <c r="AE199" i="1"/>
  <c r="AJ199" i="1" s="1"/>
  <c r="X251" i="1"/>
  <c r="X199" i="1"/>
  <c r="X223" i="1"/>
  <c r="X179" i="1"/>
  <c r="X187" i="1"/>
  <c r="X243" i="1"/>
  <c r="AL307" i="1"/>
  <c r="AJ211" i="1"/>
  <c r="AB215" i="1"/>
  <c r="AG247" i="1"/>
  <c r="AH247" i="1" s="1"/>
  <c r="AO247" i="1" s="1"/>
  <c r="AP247" i="1" s="1"/>
  <c r="AE577" i="1"/>
  <c r="AJ577" i="1" s="1"/>
  <c r="X191" i="1"/>
  <c r="AB118" i="1"/>
  <c r="AE513" i="1"/>
  <c r="AL513" i="1" s="1"/>
  <c r="AE413" i="1"/>
  <c r="AG413" i="1" s="1"/>
  <c r="AH413" i="1" s="1"/>
  <c r="AO413" i="1" s="1"/>
  <c r="AP413" i="1" s="1"/>
  <c r="AB29" i="1"/>
  <c r="X617" i="1"/>
  <c r="AB650" i="1"/>
  <c r="X586" i="1"/>
  <c r="AJ114" i="1"/>
  <c r="AE343" i="1"/>
  <c r="AL343" i="1" s="1"/>
  <c r="AE549" i="1"/>
  <c r="AJ549" i="1" s="1"/>
  <c r="X665" i="1"/>
  <c r="X463" i="1"/>
  <c r="AB357" i="1"/>
  <c r="AE118" i="1"/>
  <c r="AG118" i="1" s="1"/>
  <c r="AH118" i="1" s="1"/>
  <c r="AO118" i="1" s="1"/>
  <c r="AP118" i="1" s="1"/>
  <c r="X635" i="1"/>
  <c r="AE130" i="1"/>
  <c r="AK130" i="1" s="1"/>
  <c r="BE130" i="1" s="1"/>
  <c r="BF130" i="1" s="1"/>
  <c r="AL457" i="1"/>
  <c r="AG622" i="1"/>
  <c r="AH622" i="1" s="1"/>
  <c r="AO622" i="1" s="1"/>
  <c r="AP622" i="1" s="1"/>
  <c r="AE605" i="1"/>
  <c r="AG605" i="1" s="1"/>
  <c r="AH605" i="1" s="1"/>
  <c r="AO605" i="1" s="1"/>
  <c r="AP605" i="1" s="1"/>
  <c r="X527" i="1"/>
  <c r="X47" i="1"/>
  <c r="AE54" i="1"/>
  <c r="AJ54" i="1" s="1"/>
  <c r="AK114" i="1"/>
  <c r="BE339" i="1"/>
  <c r="BF339" i="1" s="1"/>
  <c r="BG339" i="1" s="1"/>
  <c r="AB130" i="1"/>
  <c r="AE630" i="1"/>
  <c r="AG630" i="1" s="1"/>
  <c r="AH630" i="1" s="1"/>
  <c r="AO630" i="1" s="1"/>
  <c r="AP630" i="1" s="1"/>
  <c r="AB518" i="1"/>
  <c r="AK155" i="1"/>
  <c r="BE155" i="1" s="1"/>
  <c r="BF155" i="1" s="1"/>
  <c r="BG155" i="1" s="1"/>
  <c r="AL339" i="1"/>
  <c r="X461" i="1"/>
  <c r="AE94" i="1"/>
  <c r="AJ94" i="1" s="1"/>
  <c r="AJ527" i="1"/>
  <c r="AB114" i="1"/>
  <c r="X82" i="1"/>
  <c r="AL47" i="1"/>
  <c r="AJ401" i="1"/>
  <c r="AE368" i="1"/>
  <c r="AJ368" i="1" s="1"/>
  <c r="X155" i="1"/>
  <c r="AE39" i="1"/>
  <c r="AJ39" i="1" s="1"/>
  <c r="AJ47" i="1"/>
  <c r="AE82" i="1"/>
  <c r="AG82" i="1" s="1"/>
  <c r="AH82" i="1" s="1"/>
  <c r="AO82" i="1" s="1"/>
  <c r="AP82" i="1" s="1"/>
  <c r="X409" i="1"/>
  <c r="X102" i="1"/>
  <c r="AO463" i="1"/>
  <c r="AP463" i="1" s="1"/>
  <c r="BE527" i="1"/>
  <c r="BF527" i="1" s="1"/>
  <c r="BG527" i="1" s="1"/>
  <c r="AB47" i="1"/>
  <c r="AE654" i="1"/>
  <c r="AG654" i="1" s="1"/>
  <c r="AH654" i="1" s="1"/>
  <c r="AO654" i="1" s="1"/>
  <c r="AP654" i="1" s="1"/>
  <c r="X114" i="1"/>
  <c r="X343" i="1"/>
  <c r="AG47" i="1"/>
  <c r="AH47" i="1" s="1"/>
  <c r="AO47" i="1" s="1"/>
  <c r="AP47" i="1" s="1"/>
  <c r="BV13" i="1"/>
  <c r="BX13" i="1" s="1"/>
  <c r="AB654" i="1"/>
  <c r="AB527" i="1"/>
  <c r="AJ426" i="1"/>
  <c r="AL310" i="1"/>
  <c r="AO52" i="1"/>
  <c r="AP52" i="1" s="1"/>
  <c r="AG426" i="1"/>
  <c r="AH426" i="1" s="1"/>
  <c r="AO426" i="1" s="1"/>
  <c r="AP426" i="1" s="1"/>
  <c r="AE106" i="1"/>
  <c r="AO287" i="1"/>
  <c r="AP287" i="1" s="1"/>
  <c r="AG527" i="1"/>
  <c r="AH527" i="1" s="1"/>
  <c r="AO527" i="1" s="1"/>
  <c r="AP527" i="1" s="1"/>
  <c r="AE461" i="1"/>
  <c r="AB106" i="1"/>
  <c r="AL527" i="1"/>
  <c r="AB155" i="1"/>
  <c r="AE102" i="1"/>
  <c r="AK102" i="1" s="1"/>
  <c r="AE611" i="1"/>
  <c r="AJ611" i="1" s="1"/>
  <c r="X573" i="1"/>
  <c r="AK158" i="1"/>
  <c r="AL158" i="1"/>
  <c r="AG158" i="1"/>
  <c r="AH158" i="1" s="1"/>
  <c r="AO158" i="1" s="1"/>
  <c r="AP158" i="1" s="1"/>
  <c r="AJ158" i="1"/>
  <c r="AL350" i="1"/>
  <c r="AJ350" i="1"/>
  <c r="AG350" i="1"/>
  <c r="AH350" i="1" s="1"/>
  <c r="AO350" i="1" s="1"/>
  <c r="AP350" i="1" s="1"/>
  <c r="AK350" i="1"/>
  <c r="BE350" i="1" s="1"/>
  <c r="BF350" i="1" s="1"/>
  <c r="AK379" i="1"/>
  <c r="AJ379" i="1"/>
  <c r="AO563" i="1"/>
  <c r="AP563" i="1" s="1"/>
  <c r="AA38" i="1"/>
  <c r="AE672" i="1"/>
  <c r="AK672" i="1" s="1"/>
  <c r="AE362" i="1"/>
  <c r="AK362" i="1" s="1"/>
  <c r="BE362" i="1" s="1"/>
  <c r="BF362" i="1" s="1"/>
  <c r="AE625" i="1"/>
  <c r="AJ625" i="1" s="1"/>
  <c r="AE112" i="1"/>
  <c r="AJ112" i="1" s="1"/>
  <c r="X423" i="1"/>
  <c r="X615" i="1"/>
  <c r="AE439" i="1"/>
  <c r="AJ439" i="1" s="1"/>
  <c r="X428" i="1"/>
  <c r="X116" i="1"/>
  <c r="X253" i="1"/>
  <c r="X432" i="1"/>
  <c r="X249" i="1"/>
  <c r="X441" i="1"/>
  <c r="X647" i="1"/>
  <c r="AL383" i="1"/>
  <c r="AB349" i="1"/>
  <c r="AJ341" i="1"/>
  <c r="AK76" i="1"/>
  <c r="AO492" i="1"/>
  <c r="AP492" i="1" s="1"/>
  <c r="X605" i="1"/>
  <c r="AE11" i="1"/>
  <c r="AJ11" i="1" s="1"/>
  <c r="X50" i="1"/>
  <c r="X415" i="1"/>
  <c r="X523" i="1"/>
  <c r="X20" i="1"/>
  <c r="AE213" i="1"/>
  <c r="AJ213" i="1" s="1"/>
  <c r="X342" i="1"/>
  <c r="BU451" i="1"/>
  <c r="AK426" i="1"/>
  <c r="AK383" i="1"/>
  <c r="AG341" i="1"/>
  <c r="AH341" i="1" s="1"/>
  <c r="AO341" i="1" s="1"/>
  <c r="AP341" i="1" s="1"/>
  <c r="AB353" i="1"/>
  <c r="AE615" i="1"/>
  <c r="AJ615" i="1" s="1"/>
  <c r="AB407" i="1"/>
  <c r="AB345" i="1"/>
  <c r="AB404" i="1"/>
  <c r="AB150" i="1"/>
  <c r="AE38" i="1"/>
  <c r="AJ38" i="1" s="1"/>
  <c r="AE342" i="1"/>
  <c r="AG383" i="1"/>
  <c r="AH383" i="1" s="1"/>
  <c r="AO383" i="1" s="1"/>
  <c r="AP383" i="1" s="1"/>
  <c r="AL345" i="1"/>
  <c r="AE189" i="1"/>
  <c r="AJ189" i="1" s="1"/>
  <c r="AE249" i="1"/>
  <c r="AL249" i="1" s="1"/>
  <c r="AE353" i="1"/>
  <c r="AG353" i="1" s="1"/>
  <c r="AH353" i="1" s="1"/>
  <c r="AO353" i="1" s="1"/>
  <c r="AP353" i="1" s="1"/>
  <c r="AE647" i="1"/>
  <c r="X631" i="1"/>
  <c r="AE375" i="1"/>
  <c r="AG375" i="1" s="1"/>
  <c r="AH375" i="1" s="1"/>
  <c r="AO375" i="1" s="1"/>
  <c r="AP375" i="1" s="1"/>
  <c r="AE617" i="1"/>
  <c r="AL617" i="1" s="1"/>
  <c r="AO252" i="1"/>
  <c r="AP252" i="1" s="1"/>
  <c r="AJ76" i="1"/>
  <c r="X162" i="1"/>
  <c r="AB354" i="1"/>
  <c r="AE50" i="1"/>
  <c r="AK50" i="1" s="1"/>
  <c r="AK116" i="1"/>
  <c r="AE354" i="1"/>
  <c r="AL354" i="1" s="1"/>
  <c r="AB358" i="1"/>
  <c r="AK345" i="1"/>
  <c r="BE345" i="1" s="1"/>
  <c r="BF345" i="1" s="1"/>
  <c r="BG345" i="1" s="1"/>
  <c r="AB341" i="1"/>
  <c r="X362" i="1"/>
  <c r="X449" i="1"/>
  <c r="X534" i="1"/>
  <c r="AE653" i="1"/>
  <c r="AE166" i="1"/>
  <c r="AJ166" i="1" s="1"/>
  <c r="AJ116" i="1"/>
  <c r="AE358" i="1"/>
  <c r="AG358" i="1" s="1"/>
  <c r="AH358" i="1" s="1"/>
  <c r="AO358" i="1" s="1"/>
  <c r="AP358" i="1" s="1"/>
  <c r="AJ345" i="1"/>
  <c r="AE666" i="1"/>
  <c r="AE631" i="1"/>
  <c r="AJ631" i="1" s="1"/>
  <c r="AE661" i="1"/>
  <c r="AJ661" i="1" s="1"/>
  <c r="AE154" i="1"/>
  <c r="AJ154" i="1" s="1"/>
  <c r="X153" i="1"/>
  <c r="AE670" i="1"/>
  <c r="AG670" i="1" s="1"/>
  <c r="AH670" i="1" s="1"/>
  <c r="AO670" i="1" s="1"/>
  <c r="AP670" i="1" s="1"/>
  <c r="X341" i="1"/>
  <c r="X154" i="1"/>
  <c r="AO381" i="1"/>
  <c r="AP381" i="1" s="1"/>
  <c r="AK84" i="1"/>
  <c r="AE391" i="1"/>
  <c r="AG391" i="1" s="1"/>
  <c r="AH391" i="1" s="1"/>
  <c r="AO391" i="1" s="1"/>
  <c r="AP391" i="1" s="1"/>
  <c r="AJ407" i="1"/>
  <c r="AB108" i="1"/>
  <c r="AK341" i="1"/>
  <c r="BE341" i="1" s="1"/>
  <c r="BF341" i="1" s="1"/>
  <c r="BG341" i="1" s="1"/>
  <c r="BH341" i="1" s="1"/>
  <c r="X609" i="1"/>
  <c r="X567" i="1"/>
  <c r="AE88" i="1"/>
  <c r="AK88" i="1" s="1"/>
  <c r="BE88" i="1" s="1"/>
  <c r="BF88" i="1" s="1"/>
  <c r="X80" i="1"/>
  <c r="X427" i="1"/>
  <c r="X166" i="1"/>
  <c r="AL408" i="1"/>
  <c r="AB459" i="1"/>
  <c r="X661" i="1"/>
  <c r="AE153" i="1"/>
  <c r="AG153" i="1" s="1"/>
  <c r="AH153" i="1" s="1"/>
  <c r="BM153" i="1" s="1"/>
  <c r="AE253" i="1"/>
  <c r="AG253" i="1" s="1"/>
  <c r="AH253" i="1" s="1"/>
  <c r="AO253" i="1" s="1"/>
  <c r="AP253" i="1" s="1"/>
  <c r="AE449" i="1"/>
  <c r="AG449" i="1" s="1"/>
  <c r="AH449" i="1" s="1"/>
  <c r="AO449" i="1" s="1"/>
  <c r="AP449" i="1" s="1"/>
  <c r="X489" i="1"/>
  <c r="AB383" i="1"/>
  <c r="X613" i="1"/>
  <c r="X108" i="1"/>
  <c r="AG76" i="1"/>
  <c r="AH76" i="1" s="1"/>
  <c r="AO76" i="1" s="1"/>
  <c r="AP76" i="1" s="1"/>
  <c r="X520" i="1"/>
  <c r="AK104" i="1"/>
  <c r="AE530" i="1"/>
  <c r="AG530" i="1" s="1"/>
  <c r="AH530" i="1" s="1"/>
  <c r="AO530" i="1" s="1"/>
  <c r="AP530" i="1" s="1"/>
  <c r="AE523" i="1"/>
  <c r="AK523" i="1" s="1"/>
  <c r="AB76" i="1"/>
  <c r="AB162" i="1"/>
  <c r="AE387" i="1"/>
  <c r="AG387" i="1" s="1"/>
  <c r="AH387" i="1" s="1"/>
  <c r="AO387" i="1" s="1"/>
  <c r="AP387" i="1" s="1"/>
  <c r="AJ104" i="1"/>
  <c r="AJ162" i="1"/>
  <c r="AE403" i="1"/>
  <c r="AL407" i="1"/>
  <c r="AE514" i="1"/>
  <c r="AG514" i="1" s="1"/>
  <c r="AH514" i="1" s="1"/>
  <c r="BM514" i="1" s="1"/>
  <c r="BN514" i="1" s="1"/>
  <c r="AB484" i="1"/>
  <c r="X84" i="1"/>
  <c r="X403" i="1"/>
  <c r="AE432" i="1"/>
  <c r="AL432" i="1" s="1"/>
  <c r="AB173" i="1"/>
  <c r="X645" i="1"/>
  <c r="X480" i="1"/>
  <c r="X88" i="1"/>
  <c r="X399" i="1"/>
  <c r="X76" i="1"/>
  <c r="AG104" i="1"/>
  <c r="AH104" i="1" s="1"/>
  <c r="AO104" i="1" s="1"/>
  <c r="AP104" i="1" s="1"/>
  <c r="AG162" i="1"/>
  <c r="AH162" i="1" s="1"/>
  <c r="AO162" i="1" s="1"/>
  <c r="AP162" i="1" s="1"/>
  <c r="AK407" i="1"/>
  <c r="BE407" i="1" s="1"/>
  <c r="BF407" i="1" s="1"/>
  <c r="BG407" i="1" s="1"/>
  <c r="AE613" i="1"/>
  <c r="AJ613" i="1" s="1"/>
  <c r="AK101" i="1"/>
  <c r="BY101" i="1" s="1"/>
  <c r="BZ101" i="1" s="1"/>
  <c r="AE427" i="1"/>
  <c r="AG427" i="1" s="1"/>
  <c r="AH427" i="1" s="1"/>
  <c r="AO427" i="1" s="1"/>
  <c r="AP427" i="1" s="1"/>
  <c r="AE479" i="1"/>
  <c r="AK479" i="1" s="1"/>
  <c r="AE423" i="1"/>
  <c r="AL423" i="1" s="1"/>
  <c r="AB428" i="1"/>
  <c r="AB415" i="1"/>
  <c r="X383" i="1"/>
  <c r="AE489" i="1"/>
  <c r="AL489" i="1" s="1"/>
  <c r="AB648" i="1"/>
  <c r="AE8" i="1"/>
  <c r="AL108" i="1"/>
  <c r="AB375" i="1"/>
  <c r="X653" i="1"/>
  <c r="X627" i="1"/>
  <c r="X387" i="1"/>
  <c r="X404" i="1"/>
  <c r="X8" i="1"/>
  <c r="AG15" i="1"/>
  <c r="AH15" i="1" s="1"/>
  <c r="AO15" i="1" s="1"/>
  <c r="AP15" i="1" s="1"/>
  <c r="AJ15" i="1"/>
  <c r="AK394" i="1"/>
  <c r="AG394" i="1"/>
  <c r="AH394" i="1" s="1"/>
  <c r="AO394" i="1" s="1"/>
  <c r="AP394" i="1" s="1"/>
  <c r="AJ589" i="1"/>
  <c r="AG589" i="1"/>
  <c r="AH589" i="1" s="1"/>
  <c r="AO589" i="1" s="1"/>
  <c r="AP589" i="1" s="1"/>
  <c r="AL589" i="1"/>
  <c r="AB24" i="1"/>
  <c r="BL128" i="1"/>
  <c r="AJ37" i="1"/>
  <c r="AK457" i="1"/>
  <c r="BE457" i="1" s="1"/>
  <c r="BF457" i="1" s="1"/>
  <c r="AJ58" i="1"/>
  <c r="AE456" i="1"/>
  <c r="AB28" i="1"/>
  <c r="X485" i="1"/>
  <c r="X196" i="1"/>
  <c r="AB541" i="1"/>
  <c r="AO108" i="1"/>
  <c r="AP108" i="1" s="1"/>
  <c r="AB456" i="1"/>
  <c r="BM128" i="1"/>
  <c r="BP128" i="1" s="1"/>
  <c r="X144" i="1"/>
  <c r="AJ145" i="1"/>
  <c r="AG37" i="1"/>
  <c r="AH37" i="1" s="1"/>
  <c r="AO37" i="1" s="1"/>
  <c r="AP37" i="1" s="1"/>
  <c r="AE373" i="1"/>
  <c r="AK373" i="1" s="1"/>
  <c r="AB144" i="1"/>
  <c r="AG58" i="1"/>
  <c r="AH58" i="1" s="1"/>
  <c r="AO58" i="1" s="1"/>
  <c r="AP58" i="1" s="1"/>
  <c r="AE512" i="1"/>
  <c r="X204" i="1"/>
  <c r="X28" i="1"/>
  <c r="AE49" i="1"/>
  <c r="AK49" i="1" s="1"/>
  <c r="X244" i="1"/>
  <c r="X240" i="1"/>
  <c r="X541" i="1"/>
  <c r="AE79" i="1"/>
  <c r="AK79" i="1" s="1"/>
  <c r="AB585" i="1"/>
  <c r="AL53" i="1"/>
  <c r="AK393" i="1"/>
  <c r="AO345" i="1"/>
  <c r="AP345" i="1" s="1"/>
  <c r="AK452" i="1"/>
  <c r="BE452" i="1" s="1"/>
  <c r="BF452" i="1" s="1"/>
  <c r="BG452" i="1" s="1"/>
  <c r="AG452" i="1"/>
  <c r="AH452" i="1" s="1"/>
  <c r="AO452" i="1" s="1"/>
  <c r="AP452" i="1" s="1"/>
  <c r="AE169" i="1"/>
  <c r="AJ169" i="1" s="1"/>
  <c r="X473" i="1"/>
  <c r="X232" i="1"/>
  <c r="X157" i="1"/>
  <c r="AB413" i="1"/>
  <c r="AG585" i="1"/>
  <c r="AH585" i="1" s="1"/>
  <c r="AO585" i="1" s="1"/>
  <c r="AP585" i="1" s="1"/>
  <c r="AB623" i="1"/>
  <c r="AK53" i="1"/>
  <c r="AE236" i="1"/>
  <c r="AK236" i="1" s="1"/>
  <c r="BY236" i="1" s="1"/>
  <c r="BZ236" i="1" s="1"/>
  <c r="AE477" i="1"/>
  <c r="AG477" i="1" s="1"/>
  <c r="AH477" i="1" s="1"/>
  <c r="AO477" i="1" s="1"/>
  <c r="AP477" i="1" s="1"/>
  <c r="AJ393" i="1"/>
  <c r="AL526" i="1"/>
  <c r="AB364" i="1"/>
  <c r="AB252" i="1"/>
  <c r="AE644" i="1"/>
  <c r="AJ644" i="1" s="1"/>
  <c r="X37" i="1"/>
  <c r="X228" i="1"/>
  <c r="X623" i="1"/>
  <c r="AB145" i="1"/>
  <c r="AB236" i="1"/>
  <c r="AE248" i="1"/>
  <c r="AK381" i="1"/>
  <c r="AL433" i="1"/>
  <c r="AE522" i="1"/>
  <c r="AB377" i="1"/>
  <c r="AE485" i="1"/>
  <c r="AL485" i="1" s="1"/>
  <c r="AE164" i="1"/>
  <c r="AB58" i="1"/>
  <c r="X452" i="1"/>
  <c r="X160" i="1"/>
  <c r="X11" i="1"/>
  <c r="AG53" i="1"/>
  <c r="AH53" i="1" s="1"/>
  <c r="AO53" i="1" s="1"/>
  <c r="AP53" i="1" s="1"/>
  <c r="AJ452" i="1"/>
  <c r="AE161" i="1"/>
  <c r="AK161" i="1" s="1"/>
  <c r="AE244" i="1"/>
  <c r="AK244" i="1" s="1"/>
  <c r="X216" i="1"/>
  <c r="AH526" i="1"/>
  <c r="AO526" i="1" s="1"/>
  <c r="AP526" i="1" s="1"/>
  <c r="BF662" i="1"/>
  <c r="BG662" i="1" s="1"/>
  <c r="BI662" i="1" s="1"/>
  <c r="AL379" i="1"/>
  <c r="AG140" i="1"/>
  <c r="AH140" i="1" s="1"/>
  <c r="AO140" i="1" s="1"/>
  <c r="AP140" i="1" s="1"/>
  <c r="AL144" i="1"/>
  <c r="AJ252" i="1"/>
  <c r="AB248" i="1"/>
  <c r="AK216" i="1"/>
  <c r="BE216" i="1" s="1"/>
  <c r="BF216" i="1" s="1"/>
  <c r="AK433" i="1"/>
  <c r="AE172" i="1"/>
  <c r="AB389" i="1"/>
  <c r="AE232" i="1"/>
  <c r="AJ232" i="1" s="1"/>
  <c r="X377" i="1"/>
  <c r="X173" i="1"/>
  <c r="X58" i="1"/>
  <c r="X360" i="1"/>
  <c r="AE62" i="1"/>
  <c r="AL346" i="1"/>
  <c r="X649" i="1"/>
  <c r="AE31" i="1"/>
  <c r="AG31" i="1" s="1"/>
  <c r="AH31" i="1" s="1"/>
  <c r="AO31" i="1" s="1"/>
  <c r="AP31" i="1" s="1"/>
  <c r="AK144" i="1"/>
  <c r="BE144" i="1" s="1"/>
  <c r="BF144" i="1" s="1"/>
  <c r="AE397" i="1"/>
  <c r="AK397" i="1" s="1"/>
  <c r="AJ216" i="1"/>
  <c r="AJ433" i="1"/>
  <c r="AE667" i="1"/>
  <c r="AG667" i="1" s="1"/>
  <c r="AH667" i="1" s="1"/>
  <c r="AO667" i="1" s="1"/>
  <c r="AP667" i="1" s="1"/>
  <c r="AE148" i="1"/>
  <c r="AG148" i="1" s="1"/>
  <c r="AH148" i="1" s="1"/>
  <c r="AO148" i="1" s="1"/>
  <c r="AP148" i="1" s="1"/>
  <c r="X584" i="1"/>
  <c r="X640" i="1"/>
  <c r="X457" i="1"/>
  <c r="X172" i="1"/>
  <c r="AB216" i="1"/>
  <c r="BW173" i="1"/>
  <c r="AK346" i="1"/>
  <c r="AJ144" i="1"/>
  <c r="AL145" i="1"/>
  <c r="AJ240" i="1"/>
  <c r="AB397" i="1"/>
  <c r="AL216" i="1"/>
  <c r="X580" i="1"/>
  <c r="X31" i="1"/>
  <c r="X433" i="1"/>
  <c r="X71" i="1"/>
  <c r="X364" i="1"/>
  <c r="X169" i="1"/>
  <c r="BV86" i="1"/>
  <c r="BX86" i="1" s="1"/>
  <c r="AJ346" i="1"/>
  <c r="AK145" i="1"/>
  <c r="BE145" i="1" s="1"/>
  <c r="BF145" i="1" s="1"/>
  <c r="BG145" i="1" s="1"/>
  <c r="AG240" i="1"/>
  <c r="AH240" i="1" s="1"/>
  <c r="AO240" i="1" s="1"/>
  <c r="AP240" i="1" s="1"/>
  <c r="AB157" i="1"/>
  <c r="AB228" i="1"/>
  <c r="AB71" i="1"/>
  <c r="AO642" i="1"/>
  <c r="AP642" i="1" s="1"/>
  <c r="BL492" i="1"/>
  <c r="X49" i="1"/>
  <c r="BV61" i="1"/>
  <c r="BX61" i="1" s="1"/>
  <c r="X57" i="1"/>
  <c r="AK46" i="1"/>
  <c r="BE46" i="1" s="1"/>
  <c r="BF46" i="1" s="1"/>
  <c r="BG46" i="1" s="1"/>
  <c r="AL157" i="1"/>
  <c r="AL240" i="1"/>
  <c r="AB53" i="1"/>
  <c r="AB240" i="1"/>
  <c r="X62" i="1"/>
  <c r="X571" i="1"/>
  <c r="X512" i="1"/>
  <c r="BU274" i="1"/>
  <c r="X522" i="1"/>
  <c r="AJ46" i="1"/>
  <c r="AE636" i="1"/>
  <c r="BW636" i="1" s="1"/>
  <c r="AE580" i="1"/>
  <c r="AJ580" i="1" s="1"/>
  <c r="AB105" i="1"/>
  <c r="AB465" i="1"/>
  <c r="AG46" i="1"/>
  <c r="AH46" i="1" s="1"/>
  <c r="AO46" i="1" s="1"/>
  <c r="AP46" i="1" s="1"/>
  <c r="AE24" i="1"/>
  <c r="AE165" i="1"/>
  <c r="AJ165" i="1" s="1"/>
  <c r="AB636" i="1"/>
  <c r="AE584" i="1"/>
  <c r="AB452" i="1"/>
  <c r="X161" i="1"/>
  <c r="X252" i="1"/>
  <c r="X526" i="1"/>
  <c r="X601" i="1"/>
  <c r="X632" i="1"/>
  <c r="AE176" i="1"/>
  <c r="AK176" i="1" s="1"/>
  <c r="AB433" i="1"/>
  <c r="AE649" i="1"/>
  <c r="AB360" i="1"/>
  <c r="AE601" i="1"/>
  <c r="AK601" i="1" s="1"/>
  <c r="BY601" i="1" s="1"/>
  <c r="BZ601" i="1" s="1"/>
  <c r="X585" i="1"/>
  <c r="X670" i="1"/>
  <c r="AL188" i="1"/>
  <c r="AK188" i="1"/>
  <c r="BE188" i="1" s="1"/>
  <c r="BF188" i="1" s="1"/>
  <c r="AJ464" i="1"/>
  <c r="AL464" i="1"/>
  <c r="AJ204" i="1"/>
  <c r="AE484" i="1"/>
  <c r="AJ484" i="1" s="1"/>
  <c r="AB409" i="1"/>
  <c r="X303" i="1"/>
  <c r="AO120" i="1"/>
  <c r="AP120" i="1" s="1"/>
  <c r="AJ192" i="1"/>
  <c r="AG204" i="1"/>
  <c r="AH204" i="1" s="1"/>
  <c r="AO204" i="1" s="1"/>
  <c r="AP204" i="1" s="1"/>
  <c r="AK669" i="1"/>
  <c r="AE579" i="1"/>
  <c r="AL579" i="1" s="1"/>
  <c r="BM492" i="1"/>
  <c r="AL266" i="1"/>
  <c r="X669" i="1"/>
  <c r="X136" i="1"/>
  <c r="AE331" i="1"/>
  <c r="AG331" i="1" s="1"/>
  <c r="AH331" i="1" s="1"/>
  <c r="AO331" i="1" s="1"/>
  <c r="AP331" i="1" s="1"/>
  <c r="AG192" i="1"/>
  <c r="AH192" i="1" s="1"/>
  <c r="AO192" i="1" s="1"/>
  <c r="AP192" i="1" s="1"/>
  <c r="AL204" i="1"/>
  <c r="AE442" i="1"/>
  <c r="AE588" i="1"/>
  <c r="AG588" i="1" s="1"/>
  <c r="AH588" i="1" s="1"/>
  <c r="AO588" i="1" s="1"/>
  <c r="AP588" i="1" s="1"/>
  <c r="AJ669" i="1"/>
  <c r="AG339" i="1"/>
  <c r="AH339" i="1" s="1"/>
  <c r="AO339" i="1" s="1"/>
  <c r="AP339" i="1" s="1"/>
  <c r="AB204" i="1"/>
  <c r="X464" i="1"/>
  <c r="AK266" i="1"/>
  <c r="AL192" i="1"/>
  <c r="AE460" i="1"/>
  <c r="AJ460" i="1" s="1"/>
  <c r="AB588" i="1"/>
  <c r="AE136" i="1"/>
  <c r="AJ136" i="1" s="1"/>
  <c r="X498" i="1"/>
  <c r="X460" i="1"/>
  <c r="X442" i="1"/>
  <c r="AJ266" i="1"/>
  <c r="AO170" i="1"/>
  <c r="AP170" i="1" s="1"/>
  <c r="AG669" i="1"/>
  <c r="AH669" i="1" s="1"/>
  <c r="AO669" i="1" s="1"/>
  <c r="AP669" i="1" s="1"/>
  <c r="AB401" i="1"/>
  <c r="AE476" i="1"/>
  <c r="AL476" i="1" s="1"/>
  <c r="X192" i="1"/>
  <c r="X140" i="1"/>
  <c r="AB140" i="1"/>
  <c r="AE472" i="1"/>
  <c r="AK472" i="1" s="1"/>
  <c r="AE184" i="1"/>
  <c r="AK184" i="1" s="1"/>
  <c r="X626" i="1"/>
  <c r="AE626" i="1"/>
  <c r="AG626" i="1" s="1"/>
  <c r="AH626" i="1" s="1"/>
  <c r="X468" i="1"/>
  <c r="BD664" i="1"/>
  <c r="BV330" i="1"/>
  <c r="BX330" i="1" s="1"/>
  <c r="AL287" i="1"/>
  <c r="AK307" i="1"/>
  <c r="AB630" i="1"/>
  <c r="AL140" i="1"/>
  <c r="X472" i="1"/>
  <c r="X579" i="1"/>
  <c r="X184" i="1"/>
  <c r="AK287" i="1"/>
  <c r="AJ307" i="1"/>
  <c r="AB493" i="1"/>
  <c r="AL493" i="1"/>
  <c r="AE480" i="1"/>
  <c r="AE196" i="1"/>
  <c r="AJ196" i="1" s="1"/>
  <c r="BV102" i="1"/>
  <c r="BX102" i="1" s="1"/>
  <c r="AO346" i="1"/>
  <c r="AP346" i="1" s="1"/>
  <c r="AJ287" i="1"/>
  <c r="X455" i="1"/>
  <c r="AE200" i="1"/>
  <c r="AK200" i="1" s="1"/>
  <c r="AE594" i="1"/>
  <c r="AK493" i="1"/>
  <c r="BE493" i="1" s="1"/>
  <c r="BF493" i="1" s="1"/>
  <c r="BG493" i="1" s="1"/>
  <c r="AE573" i="1"/>
  <c r="AG573" i="1" s="1"/>
  <c r="AH573" i="1" s="1"/>
  <c r="AO573" i="1" s="1"/>
  <c r="AP573" i="1" s="1"/>
  <c r="X476" i="1"/>
  <c r="BV128" i="1"/>
  <c r="BW128" i="1" s="1"/>
  <c r="BE671" i="1"/>
  <c r="AK277" i="1"/>
  <c r="BE277" i="1" s="1"/>
  <c r="BF277" i="1" s="1"/>
  <c r="BG277" i="1" s="1"/>
  <c r="BH277" i="1" s="1"/>
  <c r="X656" i="1"/>
  <c r="AE212" i="1"/>
  <c r="AE545" i="1"/>
  <c r="AG545" i="1" s="1"/>
  <c r="AH545" i="1" s="1"/>
  <c r="AO545" i="1" s="1"/>
  <c r="AP545" i="1" s="1"/>
  <c r="AB594" i="1"/>
  <c r="AJ493" i="1"/>
  <c r="X667" i="1"/>
  <c r="X200" i="1"/>
  <c r="X549" i="1"/>
  <c r="X569" i="1"/>
  <c r="X493" i="1"/>
  <c r="AB213" i="1"/>
  <c r="AK174" i="1"/>
  <c r="AL430" i="1"/>
  <c r="AE36" i="1"/>
  <c r="AJ36" i="1" s="1"/>
  <c r="AO234" i="1"/>
  <c r="AP234" i="1" s="1"/>
  <c r="AL409" i="1"/>
  <c r="AB545" i="1"/>
  <c r="AB598" i="1"/>
  <c r="X663" i="1"/>
  <c r="X164" i="1"/>
  <c r="X401" i="1"/>
  <c r="X148" i="1"/>
  <c r="AJ174" i="1"/>
  <c r="AJ289" i="1"/>
  <c r="AK430" i="1"/>
  <c r="AK409" i="1"/>
  <c r="AE498" i="1"/>
  <c r="AK498" i="1" s="1"/>
  <c r="BE498" i="1" s="1"/>
  <c r="BF498" i="1" s="1"/>
  <c r="BG498" i="1" s="1"/>
  <c r="X590" i="1"/>
  <c r="AJ339" i="1"/>
  <c r="AE160" i="1"/>
  <c r="AJ160" i="1" s="1"/>
  <c r="X518" i="1"/>
  <c r="BU645" i="1"/>
  <c r="AG174" i="1"/>
  <c r="AH174" i="1" s="1"/>
  <c r="AO174" i="1" s="1"/>
  <c r="AP174" i="1" s="1"/>
  <c r="AL15" i="1"/>
  <c r="AJ430" i="1"/>
  <c r="AJ409" i="1"/>
  <c r="AB652" i="1"/>
  <c r="X625" i="1"/>
  <c r="X339" i="1"/>
  <c r="BE660" i="1"/>
  <c r="BV415" i="1"/>
  <c r="BX415" i="1" s="1"/>
  <c r="AK15" i="1"/>
  <c r="AK140" i="1"/>
  <c r="BE140" i="1" s="1"/>
  <c r="BF140" i="1" s="1"/>
  <c r="AE335" i="1"/>
  <c r="AL335" i="1" s="1"/>
  <c r="AB192" i="1"/>
  <c r="AB663" i="1"/>
  <c r="X652" i="1"/>
  <c r="X212" i="1"/>
  <c r="AO393" i="1"/>
  <c r="AP393" i="1" s="1"/>
  <c r="BD59" i="1"/>
  <c r="BE59" i="1" s="1"/>
  <c r="BF59" i="1" s="1"/>
  <c r="AE421" i="1"/>
  <c r="AK421" i="1" s="1"/>
  <c r="AB421" i="1"/>
  <c r="X421" i="1"/>
  <c r="AB417" i="1"/>
  <c r="X417" i="1"/>
  <c r="AE417" i="1"/>
  <c r="AK417" i="1" s="1"/>
  <c r="BL145" i="1"/>
  <c r="BM145" i="1"/>
  <c r="BN145" i="1" s="1"/>
  <c r="AB524" i="1"/>
  <c r="X524" i="1"/>
  <c r="AE524" i="1"/>
  <c r="AE515" i="1"/>
  <c r="AK515" i="1" s="1"/>
  <c r="X515" i="1"/>
  <c r="X502" i="1"/>
  <c r="AE502" i="1"/>
  <c r="AB502" i="1"/>
  <c r="AB488" i="1"/>
  <c r="AE488" i="1"/>
  <c r="X488" i="1"/>
  <c r="X450" i="1"/>
  <c r="AE450" i="1"/>
  <c r="AB10" i="1"/>
  <c r="X10" i="1"/>
  <c r="AE10" i="1"/>
  <c r="AJ10" i="1" s="1"/>
  <c r="AE30" i="1"/>
  <c r="AJ30" i="1" s="1"/>
  <c r="X30" i="1"/>
  <c r="AB30" i="1"/>
  <c r="AB26" i="1"/>
  <c r="AE26" i="1"/>
  <c r="AK26" i="1" s="1"/>
  <c r="X26" i="1"/>
  <c r="AB372" i="1"/>
  <c r="AA372" i="1"/>
  <c r="AK532" i="1"/>
  <c r="AG532" i="1"/>
  <c r="AH532" i="1" s="1"/>
  <c r="AO532" i="1" s="1"/>
  <c r="AP532" i="1" s="1"/>
  <c r="AL532" i="1"/>
  <c r="AJ320" i="1"/>
  <c r="AK320" i="1"/>
  <c r="AG320" i="1"/>
  <c r="AH320" i="1" s="1"/>
  <c r="AO320" i="1" s="1"/>
  <c r="AP320" i="1" s="1"/>
  <c r="AB55" i="1"/>
  <c r="AE55" i="1"/>
  <c r="AK55" i="1" s="1"/>
  <c r="BE55" i="1" s="1"/>
  <c r="BF55" i="1" s="1"/>
  <c r="X55" i="1"/>
  <c r="AO309" i="1"/>
  <c r="AP309" i="1" s="1"/>
  <c r="AK64" i="1"/>
  <c r="AG64" i="1"/>
  <c r="AH64" i="1" s="1"/>
  <c r="AO64" i="1" s="1"/>
  <c r="AP64" i="1" s="1"/>
  <c r="AL64" i="1"/>
  <c r="AB117" i="1"/>
  <c r="AE117" i="1"/>
  <c r="AG117" i="1" s="1"/>
  <c r="AH117" i="1" s="1"/>
  <c r="AO117" i="1" s="1"/>
  <c r="AP117" i="1" s="1"/>
  <c r="X117" i="1"/>
  <c r="X109" i="1"/>
  <c r="AB109" i="1"/>
  <c r="AE109" i="1"/>
  <c r="AE221" i="1"/>
  <c r="AB221" i="1"/>
  <c r="AB129" i="1"/>
  <c r="X129" i="1"/>
  <c r="AE129" i="1"/>
  <c r="AK121" i="1"/>
  <c r="AG121" i="1"/>
  <c r="AH121" i="1" s="1"/>
  <c r="AO121" i="1" s="1"/>
  <c r="AP121" i="1" s="1"/>
  <c r="AJ121" i="1"/>
  <c r="AJ105" i="1"/>
  <c r="AL105" i="1"/>
  <c r="AG105" i="1"/>
  <c r="AH105" i="1" s="1"/>
  <c r="AO105" i="1" s="1"/>
  <c r="AP105" i="1" s="1"/>
  <c r="AK105" i="1"/>
  <c r="AO101" i="1"/>
  <c r="AP101" i="1" s="1"/>
  <c r="AJ336" i="1"/>
  <c r="AK336" i="1"/>
  <c r="AB332" i="1"/>
  <c r="X332" i="1"/>
  <c r="AE332" i="1"/>
  <c r="AE328" i="1"/>
  <c r="AL328" i="1" s="1"/>
  <c r="X328" i="1"/>
  <c r="AB328" i="1"/>
  <c r="AB324" i="1"/>
  <c r="X324" i="1"/>
  <c r="AE324" i="1"/>
  <c r="AG324" i="1" s="1"/>
  <c r="AH324" i="1" s="1"/>
  <c r="AO324" i="1" s="1"/>
  <c r="AP324" i="1" s="1"/>
  <c r="X320" i="1"/>
  <c r="AB320" i="1"/>
  <c r="AE629" i="1"/>
  <c r="AL629" i="1" s="1"/>
  <c r="AB629" i="1"/>
  <c r="X629" i="1"/>
  <c r="AB402" i="1"/>
  <c r="X402" i="1"/>
  <c r="AE402" i="1"/>
  <c r="AK402" i="1" s="1"/>
  <c r="BE402" i="1" s="1"/>
  <c r="BF402" i="1" s="1"/>
  <c r="AB566" i="1"/>
  <c r="X566" i="1"/>
  <c r="AE566" i="1"/>
  <c r="AG510" i="1"/>
  <c r="AH510" i="1" s="1"/>
  <c r="AO510" i="1" s="1"/>
  <c r="AP510" i="1" s="1"/>
  <c r="AK510" i="1"/>
  <c r="BE510" i="1" s="1"/>
  <c r="BF510" i="1" s="1"/>
  <c r="AL510" i="1"/>
  <c r="AJ510" i="1"/>
  <c r="AG428" i="1"/>
  <c r="AH428" i="1" s="1"/>
  <c r="AO428" i="1" s="1"/>
  <c r="AP428" i="1" s="1"/>
  <c r="AL428" i="1"/>
  <c r="AJ428" i="1"/>
  <c r="BU84" i="1"/>
  <c r="BV84" i="1"/>
  <c r="BX84" i="1" s="1"/>
  <c r="AK71" i="1"/>
  <c r="AL71" i="1"/>
  <c r="AJ71" i="1"/>
  <c r="AG71" i="1"/>
  <c r="AH71" i="1" s="1"/>
  <c r="AO71" i="1" s="1"/>
  <c r="AP71" i="1" s="1"/>
  <c r="AB570" i="1"/>
  <c r="AE570" i="1"/>
  <c r="X570" i="1"/>
  <c r="BE668" i="1"/>
  <c r="BD668" i="1"/>
  <c r="BU120" i="1"/>
  <c r="BV120" i="1"/>
  <c r="BX120" i="1" s="1"/>
  <c r="AL507" i="1"/>
  <c r="AG507" i="1"/>
  <c r="AH507" i="1" s="1"/>
  <c r="AO507" i="1" s="1"/>
  <c r="AP507" i="1" s="1"/>
  <c r="AJ507" i="1"/>
  <c r="AK507" i="1"/>
  <c r="AK377" i="1"/>
  <c r="AG377" i="1"/>
  <c r="AH377" i="1" s="1"/>
  <c r="AO377" i="1" s="1"/>
  <c r="AP377" i="1" s="1"/>
  <c r="AJ188" i="1"/>
  <c r="AK589" i="1"/>
  <c r="X121" i="1"/>
  <c r="X385" i="1"/>
  <c r="X138" i="1"/>
  <c r="AJ381" i="1"/>
  <c r="AB198" i="1"/>
  <c r="AE141" i="1"/>
  <c r="AB40" i="1"/>
  <c r="AO534" i="1"/>
  <c r="AP534" i="1" s="1"/>
  <c r="BD671" i="1"/>
  <c r="AB463" i="1"/>
  <c r="AB61" i="1"/>
  <c r="AG277" i="1"/>
  <c r="AH277" i="1" s="1"/>
  <c r="AO277" i="1" s="1"/>
  <c r="AP277" i="1" s="1"/>
  <c r="X89" i="1"/>
  <c r="AE198" i="1"/>
  <c r="AJ198" i="1" s="1"/>
  <c r="AJ528" i="1"/>
  <c r="AB666" i="1"/>
  <c r="AK464" i="1"/>
  <c r="AB528" i="1"/>
  <c r="AG34" i="1"/>
  <c r="AH34" i="1" s="1"/>
  <c r="AO34" i="1" s="1"/>
  <c r="AP34" i="1" s="1"/>
  <c r="AE593" i="1"/>
  <c r="AE632" i="1"/>
  <c r="AL381" i="1"/>
  <c r="X101" i="1"/>
  <c r="X559" i="1"/>
  <c r="X546" i="1"/>
  <c r="X525" i="1"/>
  <c r="X309" i="1"/>
  <c r="X528" i="1"/>
  <c r="X52" i="1"/>
  <c r="X105" i="1"/>
  <c r="X487" i="1"/>
  <c r="AO389" i="1"/>
  <c r="AP389" i="1" s="1"/>
  <c r="BW101" i="1"/>
  <c r="AB603" i="1"/>
  <c r="BV138" i="1"/>
  <c r="BU90" i="1"/>
  <c r="X533" i="1"/>
  <c r="AJ178" i="1"/>
  <c r="AE186" i="1"/>
  <c r="AK186" i="1" s="1"/>
  <c r="AG464" i="1"/>
  <c r="AH464" i="1" s="1"/>
  <c r="AE506" i="1"/>
  <c r="AL506" i="1" s="1"/>
  <c r="AE628" i="1"/>
  <c r="AE134" i="1"/>
  <c r="AG134" i="1" s="1"/>
  <c r="AH134" i="1" s="1"/>
  <c r="AO134" i="1" s="1"/>
  <c r="AP134" i="1" s="1"/>
  <c r="AE125" i="1"/>
  <c r="AJ125" i="1" s="1"/>
  <c r="X438" i="1"/>
  <c r="X563" i="1"/>
  <c r="X389" i="1"/>
  <c r="AK541" i="1"/>
  <c r="X94" i="1"/>
  <c r="X197" i="1"/>
  <c r="AB121" i="1"/>
  <c r="AB210" i="1"/>
  <c r="AL202" i="1"/>
  <c r="AB382" i="1"/>
  <c r="AB506" i="1"/>
  <c r="AE93" i="1"/>
  <c r="AE89" i="1"/>
  <c r="X40" i="1"/>
  <c r="AB205" i="1"/>
  <c r="AB34" i="1"/>
  <c r="X34" i="1"/>
  <c r="X445" i="1"/>
  <c r="AJ541" i="1"/>
  <c r="AB539" i="1"/>
  <c r="X503" i="1"/>
  <c r="AE194" i="1"/>
  <c r="AG194" i="1" s="1"/>
  <c r="AH194" i="1" s="1"/>
  <c r="AO194" i="1" s="1"/>
  <c r="AP194" i="1" s="1"/>
  <c r="AE210" i="1"/>
  <c r="AG210" i="1" s="1"/>
  <c r="AH210" i="1" s="1"/>
  <c r="AO210" i="1" s="1"/>
  <c r="AP210" i="1" s="1"/>
  <c r="AE382" i="1"/>
  <c r="AL382" i="1" s="1"/>
  <c r="AE546" i="1"/>
  <c r="AL546" i="1" s="1"/>
  <c r="AB101" i="1"/>
  <c r="AE525" i="1"/>
  <c r="AB381" i="1"/>
  <c r="AL138" i="1"/>
  <c r="X93" i="1"/>
  <c r="AG541" i="1"/>
  <c r="AH541" i="1" s="1"/>
  <c r="AO541" i="1" s="1"/>
  <c r="AP541" i="1" s="1"/>
  <c r="AO216" i="1"/>
  <c r="AP216" i="1" s="1"/>
  <c r="AE206" i="1"/>
  <c r="AG206" i="1" s="1"/>
  <c r="AH206" i="1" s="1"/>
  <c r="AO206" i="1" s="1"/>
  <c r="AP206" i="1" s="1"/>
  <c r="AE98" i="1"/>
  <c r="AK98" i="1" s="1"/>
  <c r="AE537" i="1"/>
  <c r="X194" i="1"/>
  <c r="AB641" i="1"/>
  <c r="AJ138" i="1"/>
  <c r="X181" i="1"/>
  <c r="X141" i="1"/>
  <c r="AG40" i="1"/>
  <c r="AH40" i="1" s="1"/>
  <c r="AO40" i="1" s="1"/>
  <c r="AP40" i="1" s="1"/>
  <c r="AE624" i="1"/>
  <c r="AE558" i="1"/>
  <c r="AL445" i="1"/>
  <c r="AE122" i="1"/>
  <c r="AG122" i="1" s="1"/>
  <c r="AH122" i="1" s="1"/>
  <c r="AO122" i="1" s="1"/>
  <c r="AP122" i="1" s="1"/>
  <c r="AB52" i="1"/>
  <c r="AB197" i="1"/>
  <c r="AE126" i="1"/>
  <c r="X381" i="1"/>
  <c r="X202" i="1"/>
  <c r="AB451" i="1"/>
  <c r="AL12" i="1"/>
  <c r="X122" i="1"/>
  <c r="AK40" i="1"/>
  <c r="AB97" i="1"/>
  <c r="AB624" i="1"/>
  <c r="AB558" i="1"/>
  <c r="AK445" i="1"/>
  <c r="AE181" i="1"/>
  <c r="X414" i="1"/>
  <c r="AE41" i="1"/>
  <c r="AB138" i="1"/>
  <c r="AE559" i="1"/>
  <c r="AK559" i="1" s="1"/>
  <c r="AB202" i="1"/>
  <c r="X608" i="1"/>
  <c r="AB450" i="1"/>
  <c r="AL642" i="1"/>
  <c r="AK12" i="1"/>
  <c r="X189" i="1"/>
  <c r="AE97" i="1"/>
  <c r="AL534" i="1"/>
  <c r="AJ445" i="1"/>
  <c r="AB309" i="1"/>
  <c r="AG138" i="1"/>
  <c r="AH138" i="1" s="1"/>
  <c r="AO138" i="1" s="1"/>
  <c r="AP138" i="1" s="1"/>
  <c r="AE645" i="1"/>
  <c r="AK645" i="1" s="1"/>
  <c r="BY645" i="1" s="1"/>
  <c r="BZ645" i="1" s="1"/>
  <c r="AE640" i="1"/>
  <c r="X628" i="1"/>
  <c r="X65" i="1"/>
  <c r="X206" i="1"/>
  <c r="AB133" i="1"/>
  <c r="AG12" i="1"/>
  <c r="AH12" i="1" s="1"/>
  <c r="AO12" i="1" s="1"/>
  <c r="AP12" i="1" s="1"/>
  <c r="AG475" i="1"/>
  <c r="AH475" i="1" s="1"/>
  <c r="AO475" i="1" s="1"/>
  <c r="AP475" i="1" s="1"/>
  <c r="X611" i="1"/>
  <c r="AL40" i="1"/>
  <c r="AB72" i="1"/>
  <c r="AE133" i="1"/>
  <c r="AE414" i="1"/>
  <c r="AB445" i="1"/>
  <c r="AL309" i="1"/>
  <c r="AE536" i="1"/>
  <c r="AG536" i="1" s="1"/>
  <c r="AH536" i="1" s="1"/>
  <c r="AO536" i="1" s="1"/>
  <c r="AP536" i="1" s="1"/>
  <c r="AB576" i="1"/>
  <c r="AE662" i="1"/>
  <c r="AG662" i="1" s="1"/>
  <c r="AH662" i="1" s="1"/>
  <c r="AO662" i="1" s="1"/>
  <c r="AP662" i="1" s="1"/>
  <c r="X126" i="1"/>
  <c r="AB65" i="1"/>
  <c r="X205" i="1"/>
  <c r="X602" i="1"/>
  <c r="BF665" i="1"/>
  <c r="BG665" i="1" s="1"/>
  <c r="BI665" i="1" s="1"/>
  <c r="BE58" i="1"/>
  <c r="BF58" i="1" s="1"/>
  <c r="AG289" i="1"/>
  <c r="AH289" i="1" s="1"/>
  <c r="BM289" i="1" s="1"/>
  <c r="AJ277" i="1"/>
  <c r="AK475" i="1"/>
  <c r="AL52" i="1"/>
  <c r="AE72" i="1"/>
  <c r="AG65" i="1"/>
  <c r="AH65" i="1" s="1"/>
  <c r="AO65" i="1" s="1"/>
  <c r="AP65" i="1" s="1"/>
  <c r="AE390" i="1"/>
  <c r="AK309" i="1"/>
  <c r="AL503" i="1"/>
  <c r="AB536" i="1"/>
  <c r="AL101" i="1"/>
  <c r="AJ52" i="1"/>
  <c r="AE554" i="1"/>
  <c r="X616" i="1"/>
  <c r="AB503" i="1"/>
  <c r="AE491" i="1"/>
  <c r="AE495" i="1"/>
  <c r="AJ495" i="1" s="1"/>
  <c r="X98" i="1"/>
  <c r="X201" i="1"/>
  <c r="BV662" i="1"/>
  <c r="BX662" i="1" s="1"/>
  <c r="AL289" i="1"/>
  <c r="AG188" i="1"/>
  <c r="AH188" i="1" s="1"/>
  <c r="AO188" i="1" s="1"/>
  <c r="AP188" i="1" s="1"/>
  <c r="AE385" i="1"/>
  <c r="BW385" i="1" s="1"/>
  <c r="AE438" i="1"/>
  <c r="AB390" i="1"/>
  <c r="AJ309" i="1"/>
  <c r="AJ503" i="1"/>
  <c r="AJ101" i="1"/>
  <c r="AL34" i="1"/>
  <c r="AE637" i="1"/>
  <c r="AB557" i="1"/>
  <c r="X495" i="1"/>
  <c r="AB569" i="1"/>
  <c r="X662" i="1"/>
  <c r="AE551" i="1"/>
  <c r="AK551" i="1" s="1"/>
  <c r="X134" i="1"/>
  <c r="X537" i="1"/>
  <c r="AA434" i="1"/>
  <c r="BU144" i="1"/>
  <c r="AJ475" i="1"/>
  <c r="AE201" i="1"/>
  <c r="AJ201" i="1" s="1"/>
  <c r="AE386" i="1"/>
  <c r="AK386" i="1" s="1"/>
  <c r="AE533" i="1"/>
  <c r="X548" i="1"/>
  <c r="AB563" i="1"/>
  <c r="AE641" i="1"/>
  <c r="X593" i="1"/>
  <c r="X554" i="1"/>
  <c r="AJ150" i="1"/>
  <c r="AL150" i="1"/>
  <c r="AG150" i="1"/>
  <c r="AH150" i="1" s="1"/>
  <c r="AO150" i="1" s="1"/>
  <c r="AP150" i="1" s="1"/>
  <c r="AK150" i="1"/>
  <c r="BE150" i="1" s="1"/>
  <c r="BF150" i="1" s="1"/>
  <c r="BG150" i="1" s="1"/>
  <c r="BX399" i="1"/>
  <c r="BW399" i="1"/>
  <c r="BX41" i="1"/>
  <c r="AG43" i="1"/>
  <c r="AH43" i="1" s="1"/>
  <c r="AO43" i="1" s="1"/>
  <c r="AP43" i="1" s="1"/>
  <c r="AJ43" i="1"/>
  <c r="AK43" i="1"/>
  <c r="BE43" i="1" s="1"/>
  <c r="BF43" i="1" s="1"/>
  <c r="BG43" i="1" s="1"/>
  <c r="AL43" i="1"/>
  <c r="AJ100" i="1"/>
  <c r="AG100" i="1"/>
  <c r="AH100" i="1" s="1"/>
  <c r="AO100" i="1" s="1"/>
  <c r="AP100" i="1" s="1"/>
  <c r="AK486" i="1"/>
  <c r="BE486" i="1" s="1"/>
  <c r="BF486" i="1" s="1"/>
  <c r="AL486" i="1"/>
  <c r="AJ486" i="1"/>
  <c r="AG486" i="1"/>
  <c r="AH486" i="1" s="1"/>
  <c r="AO486" i="1" s="1"/>
  <c r="AP486" i="1" s="1"/>
  <c r="AG95" i="1"/>
  <c r="AH95" i="1" s="1"/>
  <c r="AO95" i="1" s="1"/>
  <c r="AP95" i="1" s="1"/>
  <c r="AJ95" i="1"/>
  <c r="AK95" i="1"/>
  <c r="AL95" i="1"/>
  <c r="AG652" i="1"/>
  <c r="AH652" i="1" s="1"/>
  <c r="AO652" i="1" s="1"/>
  <c r="AP652" i="1" s="1"/>
  <c r="BW652" i="1"/>
  <c r="AL218" i="1"/>
  <c r="AG218" i="1"/>
  <c r="AH218" i="1" s="1"/>
  <c r="AO218" i="1" s="1"/>
  <c r="AP218" i="1" s="1"/>
  <c r="AJ218" i="1"/>
  <c r="AK218" i="1"/>
  <c r="AB147" i="1"/>
  <c r="AE131" i="1"/>
  <c r="AE237" i="1"/>
  <c r="AB304" i="1"/>
  <c r="X296" i="1"/>
  <c r="X245" i="1"/>
  <c r="X96" i="1"/>
  <c r="X574" i="1"/>
  <c r="AO116" i="1"/>
  <c r="AP116" i="1" s="1"/>
  <c r="BV577" i="1"/>
  <c r="AG273" i="1"/>
  <c r="AH273" i="1" s="1"/>
  <c r="AO273" i="1" s="1"/>
  <c r="AP273" i="1" s="1"/>
  <c r="AG336" i="1"/>
  <c r="AH336" i="1" s="1"/>
  <c r="AO336" i="1" s="1"/>
  <c r="AP336" i="1" s="1"/>
  <c r="AB85" i="1"/>
  <c r="X642" i="1"/>
  <c r="AB280" i="1"/>
  <c r="AE288" i="1"/>
  <c r="AE638" i="1"/>
  <c r="AK408" i="1"/>
  <c r="AE323" i="1"/>
  <c r="BW323" i="1" s="1"/>
  <c r="AB312" i="1"/>
  <c r="BF101" i="1"/>
  <c r="BG101" i="1" s="1"/>
  <c r="BI101" i="1" s="1"/>
  <c r="BU41" i="1"/>
  <c r="BU248" i="1"/>
  <c r="BD660" i="1"/>
  <c r="BE669" i="1"/>
  <c r="X486" i="1"/>
  <c r="AA527" i="1"/>
  <c r="BV404" i="1"/>
  <c r="BV57" i="1"/>
  <c r="BU371" i="1"/>
  <c r="BU399" i="1"/>
  <c r="AL273" i="1"/>
  <c r="AE85" i="1"/>
  <c r="AK85" i="1" s="1"/>
  <c r="AE612" i="1"/>
  <c r="AE621" i="1"/>
  <c r="X276" i="1"/>
  <c r="BW140" i="1"/>
  <c r="BU220" i="1"/>
  <c r="BU441" i="1"/>
  <c r="BV80" i="1"/>
  <c r="AK273" i="1"/>
  <c r="AG27" i="1"/>
  <c r="AH27" i="1" s="1"/>
  <c r="AO27" i="1" s="1"/>
  <c r="AP27" i="1" s="1"/>
  <c r="AJ656" i="1"/>
  <c r="AB612" i="1"/>
  <c r="AG408" i="1"/>
  <c r="AH408" i="1" s="1"/>
  <c r="AO408" i="1" s="1"/>
  <c r="AP408" i="1" s="1"/>
  <c r="AB408" i="1"/>
  <c r="X412" i="1"/>
  <c r="X190" i="1"/>
  <c r="BD589" i="1"/>
  <c r="BV364" i="1"/>
  <c r="BX364" i="1" s="1"/>
  <c r="AG267" i="1"/>
  <c r="AH267" i="1" s="1"/>
  <c r="AO267" i="1" s="1"/>
  <c r="AP267" i="1" s="1"/>
  <c r="AL27" i="1"/>
  <c r="AE167" i="1"/>
  <c r="AG167" i="1" s="1"/>
  <c r="AH167" i="1" s="1"/>
  <c r="AO167" i="1" s="1"/>
  <c r="AP167" i="1" s="1"/>
  <c r="AB534" i="1"/>
  <c r="AB380" i="1"/>
  <c r="X229" i="1"/>
  <c r="X551" i="1"/>
  <c r="X29" i="1"/>
  <c r="X131" i="1"/>
  <c r="AE272" i="1"/>
  <c r="X178" i="1"/>
  <c r="X319" i="1"/>
  <c r="AB39" i="1"/>
  <c r="AL267" i="1"/>
  <c r="AK27" i="1"/>
  <c r="X100" i="1"/>
  <c r="AK276" i="1"/>
  <c r="AE412" i="1"/>
  <c r="X651" i="1"/>
  <c r="AE9" i="1"/>
  <c r="AG9" i="1" s="1"/>
  <c r="AH9" i="1" s="1"/>
  <c r="AO9" i="1" s="1"/>
  <c r="AP9" i="1" s="1"/>
  <c r="AE312" i="1"/>
  <c r="AK267" i="1"/>
  <c r="BE267" i="1" s="1"/>
  <c r="BF267" i="1" s="1"/>
  <c r="AL656" i="1"/>
  <c r="AL225" i="1"/>
  <c r="X555" i="1"/>
  <c r="X420" i="1"/>
  <c r="AJ127" i="1"/>
  <c r="AG163" i="1"/>
  <c r="AH163" i="1" s="1"/>
  <c r="AO163" i="1" s="1"/>
  <c r="AP163" i="1" s="1"/>
  <c r="AG276" i="1"/>
  <c r="AH276" i="1" s="1"/>
  <c r="AO276" i="1" s="1"/>
  <c r="AP276" i="1" s="1"/>
  <c r="AE107" i="1"/>
  <c r="AL107" i="1" s="1"/>
  <c r="AB96" i="1"/>
  <c r="AE431" i="1"/>
  <c r="AE420" i="1"/>
  <c r="AE608" i="1"/>
  <c r="X288" i="1"/>
  <c r="AE508" i="1"/>
  <c r="AB315" i="1"/>
  <c r="X531" i="1"/>
  <c r="X119" i="1"/>
  <c r="AY608" i="1"/>
  <c r="BD662" i="1"/>
  <c r="BV551" i="1"/>
  <c r="BX551" i="1" s="1"/>
  <c r="BV460" i="1"/>
  <c r="AL276" i="1"/>
  <c r="AB178" i="1"/>
  <c r="X380" i="1"/>
  <c r="X508" i="1"/>
  <c r="X182" i="1"/>
  <c r="X638" i="1"/>
  <c r="X578" i="1"/>
  <c r="BV63" i="1"/>
  <c r="BX63" i="1" s="1"/>
  <c r="X408" i="1"/>
  <c r="AG127" i="1"/>
  <c r="AH127" i="1" s="1"/>
  <c r="AO127" i="1" s="1"/>
  <c r="AP127" i="1" s="1"/>
  <c r="AG214" i="1"/>
  <c r="AH214" i="1" s="1"/>
  <c r="AE462" i="1"/>
  <c r="AE436" i="1"/>
  <c r="AB642" i="1"/>
  <c r="X668" i="1"/>
  <c r="X436" i="1"/>
  <c r="X335" i="1"/>
  <c r="X621" i="1"/>
  <c r="X214" i="1"/>
  <c r="X269" i="1"/>
  <c r="X416" i="1"/>
  <c r="AB448" i="1"/>
  <c r="AL170" i="1"/>
  <c r="AK656" i="1"/>
  <c r="BE656" i="1" s="1"/>
  <c r="BF656" i="1" s="1"/>
  <c r="AG225" i="1"/>
  <c r="AH225" i="1" s="1"/>
  <c r="AO225" i="1" s="1"/>
  <c r="AP225" i="1" s="1"/>
  <c r="AL127" i="1"/>
  <c r="AE265" i="1"/>
  <c r="AL214" i="1"/>
  <c r="AL416" i="1"/>
  <c r="AE478" i="1"/>
  <c r="AE269" i="1"/>
  <c r="AB416" i="1"/>
  <c r="X163" i="1"/>
  <c r="X331" i="1"/>
  <c r="BU236" i="1"/>
  <c r="AA398" i="1"/>
  <c r="AA577" i="1"/>
  <c r="AJ394" i="1"/>
  <c r="AK170" i="1"/>
  <c r="X237" i="1"/>
  <c r="AE111" i="1"/>
  <c r="AL119" i="1"/>
  <c r="AG96" i="1"/>
  <c r="AH96" i="1" s="1"/>
  <c r="AO96" i="1" s="1"/>
  <c r="AP96" i="1" s="1"/>
  <c r="AG29" i="1"/>
  <c r="AH29" i="1" s="1"/>
  <c r="AO29" i="1" s="1"/>
  <c r="AP29" i="1" s="1"/>
  <c r="AG178" i="1"/>
  <c r="AH178" i="1" s="1"/>
  <c r="AO178" i="1" s="1"/>
  <c r="AP178" i="1" s="1"/>
  <c r="AK214" i="1"/>
  <c r="BY214" i="1" s="1"/>
  <c r="BZ214" i="1" s="1"/>
  <c r="AE474" i="1"/>
  <c r="AE448" i="1"/>
  <c r="AJ416" i="1"/>
  <c r="AB478" i="1"/>
  <c r="AB190" i="1"/>
  <c r="AB276" i="1"/>
  <c r="AB369" i="1"/>
  <c r="AE555" i="1"/>
  <c r="AB119" i="1"/>
  <c r="AE245" i="1"/>
  <c r="X265" i="1"/>
  <c r="X272" i="1"/>
  <c r="BF663" i="1"/>
  <c r="BG663" i="1" s="1"/>
  <c r="BI663" i="1" s="1"/>
  <c r="BE401" i="1"/>
  <c r="BF401" i="1" s="1"/>
  <c r="BG401" i="1" s="1"/>
  <c r="BF669" i="1"/>
  <c r="AB38" i="1"/>
  <c r="BV70" i="1"/>
  <c r="BX70" i="1" s="1"/>
  <c r="AL394" i="1"/>
  <c r="AK642" i="1"/>
  <c r="AJ170" i="1"/>
  <c r="AG291" i="1"/>
  <c r="AH291" i="1" s="1"/>
  <c r="AO291" i="1" s="1"/>
  <c r="AP291" i="1" s="1"/>
  <c r="AK119" i="1"/>
  <c r="AL29" i="1"/>
  <c r="AL178" i="1"/>
  <c r="AO228" i="1"/>
  <c r="AP228" i="1" s="1"/>
  <c r="AE582" i="1"/>
  <c r="AE369" i="1"/>
  <c r="X323" i="1"/>
  <c r="X127" i="1"/>
  <c r="X384" i="1"/>
  <c r="X315" i="1"/>
  <c r="X68" i="1"/>
  <c r="X111" i="1"/>
  <c r="X431" i="1"/>
  <c r="X462" i="1"/>
  <c r="BE663" i="1"/>
  <c r="BV59" i="1"/>
  <c r="BX59" i="1" s="1"/>
  <c r="BY59" i="1" s="1"/>
  <c r="BZ59" i="1" s="1"/>
  <c r="BF664" i="1"/>
  <c r="AB434" i="1"/>
  <c r="BU216" i="1"/>
  <c r="AJ642" i="1"/>
  <c r="AJ291" i="1"/>
  <c r="AL336" i="1"/>
  <c r="AK29" i="1"/>
  <c r="AE319" i="1"/>
  <c r="BW319" i="1" s="1"/>
  <c r="AJ377" i="1"/>
  <c r="AG416" i="1"/>
  <c r="AH416" i="1" s="1"/>
  <c r="AO416" i="1" s="1"/>
  <c r="AP416" i="1" s="1"/>
  <c r="AB582" i="1"/>
  <c r="AE296" i="1"/>
  <c r="AE574" i="1"/>
  <c r="AB384" i="1"/>
  <c r="AE531" i="1"/>
  <c r="X591" i="1"/>
  <c r="X396" i="1"/>
  <c r="X167" i="1"/>
  <c r="AB100" i="1"/>
  <c r="BD665" i="1"/>
  <c r="BF668" i="1"/>
  <c r="BH668" i="1" s="1"/>
  <c r="BU298" i="1"/>
  <c r="BD101" i="1"/>
  <c r="AA74" i="1"/>
  <c r="X107" i="1"/>
  <c r="AE182" i="1"/>
  <c r="AB222" i="1"/>
  <c r="AK534" i="1"/>
  <c r="AB127" i="1"/>
  <c r="AE567" i="1"/>
  <c r="AE68" i="1"/>
  <c r="AG68" i="1" s="1"/>
  <c r="AH68" i="1" s="1"/>
  <c r="AO68" i="1" s="1"/>
  <c r="AP68" i="1" s="1"/>
  <c r="X304" i="1"/>
  <c r="AA453" i="1"/>
  <c r="AA586" i="1"/>
  <c r="AA656" i="1"/>
  <c r="AA648" i="1"/>
  <c r="BX441" i="1"/>
  <c r="BX216" i="1"/>
  <c r="BW216" i="1"/>
  <c r="BX622" i="1"/>
  <c r="BY622" i="1" s="1"/>
  <c r="BZ622" i="1" s="1"/>
  <c r="BW622" i="1"/>
  <c r="BX144" i="1"/>
  <c r="BW144" i="1"/>
  <c r="AL455" i="1"/>
  <c r="AJ455" i="1"/>
  <c r="AK364" i="1"/>
  <c r="BE364" i="1" s="1"/>
  <c r="BF364" i="1" s="1"/>
  <c r="AG364" i="1"/>
  <c r="AH364" i="1" s="1"/>
  <c r="AO364" i="1" s="1"/>
  <c r="AP364" i="1" s="1"/>
  <c r="AK251" i="1"/>
  <c r="AL251" i="1"/>
  <c r="AG251" i="1"/>
  <c r="AH251" i="1" s="1"/>
  <c r="AO251" i="1" s="1"/>
  <c r="AP251" i="1" s="1"/>
  <c r="AJ157" i="1"/>
  <c r="AK157" i="1"/>
  <c r="BE157" i="1" s="1"/>
  <c r="BF157" i="1" s="1"/>
  <c r="BG157" i="1" s="1"/>
  <c r="BU601" i="1"/>
  <c r="AH433" i="1"/>
  <c r="AO433" i="1" s="1"/>
  <c r="AP433" i="1" s="1"/>
  <c r="AI510" i="1"/>
  <c r="AI439" i="1"/>
  <c r="X648" i="1"/>
  <c r="AE648" i="1"/>
  <c r="AB619" i="1"/>
  <c r="AE619" i="1"/>
  <c r="X619" i="1"/>
  <c r="AE535" i="1"/>
  <c r="AG535" i="1" s="1"/>
  <c r="AH535" i="1" s="1"/>
  <c r="AO535" i="1" s="1"/>
  <c r="AP535" i="1" s="1"/>
  <c r="X535" i="1"/>
  <c r="X394" i="1"/>
  <c r="AB394" i="1"/>
  <c r="AI626" i="1"/>
  <c r="AI434" i="1"/>
  <c r="BV92" i="1"/>
  <c r="BX92" i="1" s="1"/>
  <c r="AL622" i="1"/>
  <c r="AJ622" i="1"/>
  <c r="AB327" i="1"/>
  <c r="X327" i="1"/>
  <c r="AE327" i="1"/>
  <c r="AB233" i="1"/>
  <c r="X233" i="1"/>
  <c r="AE233" i="1"/>
  <c r="AB64" i="1"/>
  <c r="X64" i="1"/>
  <c r="AI600" i="1"/>
  <c r="AI648" i="1"/>
  <c r="BU385" i="1"/>
  <c r="AA450" i="1"/>
  <c r="BV12" i="1"/>
  <c r="BX12" i="1" s="1"/>
  <c r="BV247" i="1"/>
  <c r="BX247" i="1" s="1"/>
  <c r="AY599" i="1"/>
  <c r="AE482" i="1"/>
  <c r="X482" i="1"/>
  <c r="AB482" i="1"/>
  <c r="X174" i="1"/>
  <c r="AB174" i="1"/>
  <c r="AB171" i="1"/>
  <c r="X171" i="1"/>
  <c r="AE168" i="1"/>
  <c r="AK168" i="1" s="1"/>
  <c r="X168" i="1"/>
  <c r="AB168" i="1"/>
  <c r="AB86" i="1"/>
  <c r="AE86" i="1"/>
  <c r="X86" i="1"/>
  <c r="AE83" i="1"/>
  <c r="AB83" i="1"/>
  <c r="X83" i="1"/>
  <c r="AE70" i="1"/>
  <c r="AL70" i="1" s="1"/>
  <c r="AB70" i="1"/>
  <c r="X67" i="1"/>
  <c r="AE67" i="1"/>
  <c r="AJ57" i="1"/>
  <c r="AG57" i="1"/>
  <c r="AH57" i="1" s="1"/>
  <c r="AO57" i="1" s="1"/>
  <c r="AP57" i="1" s="1"/>
  <c r="AJ557" i="1"/>
  <c r="AK557" i="1"/>
  <c r="AE250" i="1"/>
  <c r="X250" i="1"/>
  <c r="AB250" i="1"/>
  <c r="AI631" i="1"/>
  <c r="AI518" i="1"/>
  <c r="AA67" i="1"/>
  <c r="BV610" i="1"/>
  <c r="BU652" i="1"/>
  <c r="AY600" i="1"/>
  <c r="BE65" i="1"/>
  <c r="BF65" i="1" s="1"/>
  <c r="BG65" i="1" s="1"/>
  <c r="BV344" i="1"/>
  <c r="BX344" i="1" s="1"/>
  <c r="AK100" i="1"/>
  <c r="X494" i="1"/>
  <c r="AE494" i="1"/>
  <c r="AB411" i="1"/>
  <c r="AE411" i="1"/>
  <c r="AJ28" i="1"/>
  <c r="AG28" i="1"/>
  <c r="AH28" i="1" s="1"/>
  <c r="AO28" i="1" s="1"/>
  <c r="AP28" i="1" s="1"/>
  <c r="AI523" i="1"/>
  <c r="AI502" i="1"/>
  <c r="Z486" i="1"/>
  <c r="AA486" i="1" s="1"/>
  <c r="AB492" i="1"/>
  <c r="AA465" i="1"/>
  <c r="BV613" i="1"/>
  <c r="BV514" i="1"/>
  <c r="AY601" i="1"/>
  <c r="AH656" i="1"/>
  <c r="AO656" i="1" s="1"/>
  <c r="AP656" i="1" s="1"/>
  <c r="AE440" i="1"/>
  <c r="X440" i="1"/>
  <c r="AB440" i="1"/>
  <c r="AB425" i="1"/>
  <c r="X425" i="1"/>
  <c r="X422" i="1"/>
  <c r="AE422" i="1"/>
  <c r="AG317" i="1"/>
  <c r="AH317" i="1" s="1"/>
  <c r="AO317" i="1" s="1"/>
  <c r="AP317" i="1" s="1"/>
  <c r="AK317" i="1"/>
  <c r="AL317" i="1"/>
  <c r="AK91" i="1"/>
  <c r="BE91" i="1" s="1"/>
  <c r="BF91" i="1" s="1"/>
  <c r="AG91" i="1"/>
  <c r="AH91" i="1" s="1"/>
  <c r="AO91" i="1" s="1"/>
  <c r="AP91" i="1" s="1"/>
  <c r="AI498" i="1"/>
  <c r="AI647" i="1"/>
  <c r="AI646" i="1"/>
  <c r="BE667" i="1"/>
  <c r="AB392" i="1"/>
  <c r="AA458" i="1"/>
  <c r="BU522" i="1"/>
  <c r="BU563" i="1"/>
  <c r="BU157" i="1"/>
  <c r="BV188" i="1"/>
  <c r="X600" i="1"/>
  <c r="AB501" i="1"/>
  <c r="AE501" i="1"/>
  <c r="AG501" i="1" s="1"/>
  <c r="AH501" i="1" s="1"/>
  <c r="AO501" i="1" s="1"/>
  <c r="AP501" i="1" s="1"/>
  <c r="X446" i="1"/>
  <c r="AE446" i="1"/>
  <c r="AL446" i="1" s="1"/>
  <c r="AB443" i="1"/>
  <c r="AE443" i="1"/>
  <c r="X443" i="1"/>
  <c r="AB267" i="1"/>
  <c r="X267" i="1"/>
  <c r="AE264" i="1"/>
  <c r="AB264" i="1"/>
  <c r="AB261" i="1"/>
  <c r="AE261" i="1"/>
  <c r="X261" i="1"/>
  <c r="AB113" i="1"/>
  <c r="X113" i="1"/>
  <c r="AE113" i="1"/>
  <c r="BE602" i="1"/>
  <c r="BF602" i="1" s="1"/>
  <c r="BG602" i="1" s="1"/>
  <c r="BD670" i="1"/>
  <c r="BU184" i="1"/>
  <c r="AI527" i="1"/>
  <c r="AI649" i="1"/>
  <c r="AI619" i="1"/>
  <c r="BU671" i="1"/>
  <c r="X510" i="1"/>
  <c r="AB510" i="1"/>
  <c r="AB507" i="1"/>
  <c r="X507" i="1"/>
  <c r="AB350" i="1"/>
  <c r="X350" i="1"/>
  <c r="AE347" i="1"/>
  <c r="X347" i="1"/>
  <c r="AB347" i="1"/>
  <c r="AG211" i="1"/>
  <c r="AH211" i="1" s="1"/>
  <c r="AO211" i="1" s="1"/>
  <c r="AP211" i="1" s="1"/>
  <c r="AK211" i="1"/>
  <c r="AB208" i="1"/>
  <c r="AE208" i="1"/>
  <c r="AK202" i="1"/>
  <c r="AG202" i="1"/>
  <c r="AH202" i="1" s="1"/>
  <c r="AO202" i="1" s="1"/>
  <c r="AP202" i="1" s="1"/>
  <c r="AG155" i="1"/>
  <c r="AH155" i="1" s="1"/>
  <c r="AL155" i="1"/>
  <c r="AB21" i="1"/>
  <c r="AE21" i="1"/>
  <c r="AG21" i="1" s="1"/>
  <c r="AH21" i="1" s="1"/>
  <c r="AO21" i="1" s="1"/>
  <c r="AP21" i="1" s="1"/>
  <c r="AE18" i="1"/>
  <c r="AB18" i="1"/>
  <c r="X18" i="1"/>
  <c r="AB15" i="1"/>
  <c r="X15" i="1"/>
  <c r="X12" i="1"/>
  <c r="AB12" i="1"/>
  <c r="AI512" i="1"/>
  <c r="AI526" i="1"/>
  <c r="AI516" i="1"/>
  <c r="AY486" i="1"/>
  <c r="AA61" i="1"/>
  <c r="AB399" i="1"/>
  <c r="AA520" i="1"/>
  <c r="BV332" i="1"/>
  <c r="W601" i="1"/>
  <c r="AL100" i="1"/>
  <c r="AB356" i="1"/>
  <c r="AE356" i="1"/>
  <c r="AB27" i="1"/>
  <c r="X27" i="1"/>
  <c r="AA602" i="1"/>
  <c r="BF670" i="1"/>
  <c r="BG670" i="1" s="1"/>
  <c r="BI670" i="1" s="1"/>
  <c r="AI440" i="1"/>
  <c r="AI364" i="1"/>
  <c r="AA56" i="1"/>
  <c r="BV276" i="1"/>
  <c r="BU319" i="1"/>
  <c r="BU636" i="1"/>
  <c r="AB633" i="1"/>
  <c r="AE633" i="1"/>
  <c r="AL585" i="1"/>
  <c r="AK585" i="1"/>
  <c r="BE585" i="1" s="1"/>
  <c r="BF585" i="1" s="1"/>
  <c r="BG585" i="1" s="1"/>
  <c r="AK228" i="1"/>
  <c r="AL228" i="1"/>
  <c r="AJ228" i="1"/>
  <c r="AI433" i="1"/>
  <c r="AB455" i="1"/>
  <c r="BU333" i="1"/>
  <c r="AB655" i="1"/>
  <c r="AE655" i="1"/>
  <c r="X655" i="1"/>
  <c r="AJ526" i="1"/>
  <c r="AK526" i="1"/>
  <c r="X465" i="1"/>
  <c r="AE465" i="1"/>
  <c r="AE459" i="1"/>
  <c r="AK459" i="1" s="1"/>
  <c r="BE459" i="1" s="1"/>
  <c r="BF459" i="1" s="1"/>
  <c r="X459" i="1"/>
  <c r="AG401" i="1"/>
  <c r="AH401" i="1" s="1"/>
  <c r="AO401" i="1" s="1"/>
  <c r="AP401" i="1" s="1"/>
  <c r="AL401" i="1"/>
  <c r="AJ364" i="1"/>
  <c r="X310" i="1"/>
  <c r="AB310" i="1"/>
  <c r="AB307" i="1"/>
  <c r="X307" i="1"/>
  <c r="X477" i="1"/>
  <c r="X474" i="1"/>
  <c r="AG379" i="1"/>
  <c r="AH379" i="1" s="1"/>
  <c r="AO379" i="1" s="1"/>
  <c r="AP379" i="1" s="1"/>
  <c r="X530" i="1"/>
  <c r="AE607" i="1"/>
  <c r="AE548" i="1"/>
  <c r="X607" i="1"/>
  <c r="AE603" i="1"/>
  <c r="AO469" i="1"/>
  <c r="AP469" i="1" s="1"/>
  <c r="AO409" i="1"/>
  <c r="AP409" i="1" s="1"/>
  <c r="AO157" i="1"/>
  <c r="AP157" i="1" s="1"/>
  <c r="AJ534" i="1"/>
  <c r="AE651" i="1"/>
  <c r="AE668" i="1"/>
  <c r="AB665" i="1"/>
  <c r="AB79" i="1"/>
  <c r="BX563" i="1"/>
  <c r="BW563" i="1"/>
  <c r="BH667" i="1"/>
  <c r="BG667" i="1"/>
  <c r="BI667" i="1" s="1"/>
  <c r="AK135" i="1"/>
  <c r="AJ135" i="1"/>
  <c r="AL135" i="1"/>
  <c r="AG135" i="1"/>
  <c r="AH135" i="1" s="1"/>
  <c r="AO135" i="1" s="1"/>
  <c r="AP135" i="1" s="1"/>
  <c r="BX319" i="1"/>
  <c r="BX636" i="1"/>
  <c r="BW157" i="1"/>
  <c r="BX157" i="1"/>
  <c r="BX184" i="1"/>
  <c r="BG660" i="1"/>
  <c r="BI660" i="1" s="1"/>
  <c r="BH660" i="1"/>
  <c r="BX637" i="1"/>
  <c r="BG672" i="1"/>
  <c r="BI672" i="1" s="1"/>
  <c r="BH672" i="1"/>
  <c r="AK315" i="1"/>
  <c r="AG315" i="1"/>
  <c r="AH315" i="1" s="1"/>
  <c r="AO315" i="1" s="1"/>
  <c r="AP315" i="1" s="1"/>
  <c r="AJ315" i="1"/>
  <c r="X156" i="1"/>
  <c r="AE156" i="1"/>
  <c r="AG156" i="1" s="1"/>
  <c r="AH156" i="1" s="1"/>
  <c r="AO156" i="1" s="1"/>
  <c r="AP156" i="1" s="1"/>
  <c r="AB156" i="1"/>
  <c r="AE66" i="1"/>
  <c r="X66" i="1"/>
  <c r="AB66" i="1"/>
  <c r="W608" i="1"/>
  <c r="AA354" i="1"/>
  <c r="BH671" i="1"/>
  <c r="BU205" i="1"/>
  <c r="BU637" i="1"/>
  <c r="BD54" i="1"/>
  <c r="BD36" i="1"/>
  <c r="BE672" i="1"/>
  <c r="BE659" i="1"/>
  <c r="BD26" i="1"/>
  <c r="AA585" i="1"/>
  <c r="BV222" i="1"/>
  <c r="BV611" i="1"/>
  <c r="BV197" i="1"/>
  <c r="BV267" i="1"/>
  <c r="BU267" i="1"/>
  <c r="AL315" i="1"/>
  <c r="AB36" i="1"/>
  <c r="AA36" i="1"/>
  <c r="AG425" i="1"/>
  <c r="AH425" i="1" s="1"/>
  <c r="AO425" i="1" s="1"/>
  <c r="AP425" i="1" s="1"/>
  <c r="AJ425" i="1"/>
  <c r="AL425" i="1"/>
  <c r="AK425" i="1"/>
  <c r="AG663" i="1"/>
  <c r="AH663" i="1" s="1"/>
  <c r="AO663" i="1" s="1"/>
  <c r="AP663" i="1" s="1"/>
  <c r="AJ663" i="1"/>
  <c r="AL663" i="1"/>
  <c r="AK663" i="1"/>
  <c r="AB553" i="1"/>
  <c r="X553" i="1"/>
  <c r="AE553" i="1"/>
  <c r="AL384" i="1"/>
  <c r="AJ384" i="1"/>
  <c r="AK384" i="1"/>
  <c r="BE384" i="1" s="1"/>
  <c r="BF384" i="1" s="1"/>
  <c r="AG384" i="1"/>
  <c r="AH384" i="1" s="1"/>
  <c r="AO384" i="1" s="1"/>
  <c r="AP384" i="1" s="1"/>
  <c r="AB300" i="1"/>
  <c r="X300" i="1"/>
  <c r="AE300" i="1"/>
  <c r="AK297" i="1"/>
  <c r="AL297" i="1"/>
  <c r="AG297" i="1"/>
  <c r="AH297" i="1" s="1"/>
  <c r="AO297" i="1" s="1"/>
  <c r="AP297" i="1" s="1"/>
  <c r="AJ297" i="1"/>
  <c r="AK280" i="1"/>
  <c r="AJ280" i="1"/>
  <c r="AG280" i="1"/>
  <c r="AH280" i="1" s="1"/>
  <c r="AO280" i="1" s="1"/>
  <c r="AP280" i="1" s="1"/>
  <c r="AL280" i="1"/>
  <c r="AB257" i="1"/>
  <c r="AE257" i="1"/>
  <c r="X257" i="1"/>
  <c r="AL190" i="1"/>
  <c r="AJ190" i="1"/>
  <c r="AK190" i="1"/>
  <c r="AB135" i="1"/>
  <c r="X135" i="1"/>
  <c r="AL96" i="1"/>
  <c r="AK96" i="1"/>
  <c r="AE78" i="1"/>
  <c r="AB78" i="1"/>
  <c r="X78" i="1"/>
  <c r="AB75" i="1"/>
  <c r="AE75" i="1"/>
  <c r="X75" i="1"/>
  <c r="X540" i="1"/>
  <c r="AB540" i="1"/>
  <c r="AE540" i="1"/>
  <c r="AK540" i="1" s="1"/>
  <c r="AB562" i="1"/>
  <c r="X562" i="1"/>
  <c r="X544" i="1"/>
  <c r="AE544" i="1"/>
  <c r="AB544" i="1"/>
  <c r="X490" i="1"/>
  <c r="AE490" i="1"/>
  <c r="AB376" i="1"/>
  <c r="X376" i="1"/>
  <c r="AE376" i="1"/>
  <c r="BV14" i="1"/>
  <c r="BF659" i="1"/>
  <c r="BD667" i="1"/>
  <c r="AY366" i="1"/>
  <c r="W366" i="1"/>
  <c r="AB602" i="1"/>
  <c r="AE562" i="1"/>
  <c r="AE193" i="1"/>
  <c r="AK193" i="1" s="1"/>
  <c r="AB193" i="1"/>
  <c r="X193" i="1"/>
  <c r="BV607" i="1"/>
  <c r="AA459" i="1"/>
  <c r="BV122" i="1"/>
  <c r="BV238" i="1"/>
  <c r="BV249" i="1"/>
  <c r="AG190" i="1"/>
  <c r="AH190" i="1" s="1"/>
  <c r="X60" i="1"/>
  <c r="AB60" i="1"/>
  <c r="AE60" i="1"/>
  <c r="BV314" i="1"/>
  <c r="BX314" i="1" s="1"/>
  <c r="BW214" i="1"/>
  <c r="AB618" i="1"/>
  <c r="BV156" i="1"/>
  <c r="BX156" i="1" s="1"/>
  <c r="AB473" i="1"/>
  <c r="BU153" i="1"/>
  <c r="BV153" i="1"/>
  <c r="AG664" i="1"/>
  <c r="AH664" i="1" s="1"/>
  <c r="AO664" i="1" s="1"/>
  <c r="AP664" i="1" s="1"/>
  <c r="AJ664" i="1"/>
  <c r="AK664" i="1"/>
  <c r="AB367" i="1"/>
  <c r="BV179" i="1"/>
  <c r="BU406" i="1"/>
  <c r="AB73" i="1"/>
  <c r="AL664" i="1"/>
  <c r="BV468" i="1"/>
  <c r="BX468" i="1" s="1"/>
  <c r="AG171" i="1"/>
  <c r="AH171" i="1" s="1"/>
  <c r="AO171" i="1" s="1"/>
  <c r="AP171" i="1" s="1"/>
  <c r="AK171" i="1"/>
  <c r="AJ171" i="1"/>
  <c r="BU232" i="1"/>
  <c r="BV232" i="1"/>
  <c r="AJ487" i="1"/>
  <c r="AK487" i="1"/>
  <c r="AG487" i="1"/>
  <c r="AH487" i="1" s="1"/>
  <c r="AO487" i="1" s="1"/>
  <c r="AP487" i="1" s="1"/>
  <c r="AL487" i="1"/>
  <c r="AB56" i="1"/>
  <c r="BV56" i="1"/>
  <c r="BX56" i="1" s="1"/>
  <c r="BU56" i="1"/>
  <c r="BD190" i="1"/>
  <c r="BD272" i="1"/>
  <c r="BD146" i="1"/>
  <c r="BD178" i="1"/>
  <c r="BE178" i="1" s="1"/>
  <c r="BF178" i="1" s="1"/>
  <c r="AB6" i="1"/>
  <c r="AE6" i="1"/>
  <c r="X6" i="1"/>
  <c r="AA456" i="1"/>
  <c r="AB368" i="1"/>
  <c r="AB120" i="1"/>
  <c r="AB577" i="1"/>
  <c r="AB457" i="1"/>
  <c r="BV654" i="1"/>
  <c r="BV97" i="1"/>
  <c r="BV667" i="1"/>
  <c r="BU667" i="1"/>
  <c r="BU470" i="1"/>
  <c r="BV470" i="1"/>
  <c r="BX470" i="1" s="1"/>
  <c r="BD672" i="1"/>
  <c r="BH497" i="1"/>
  <c r="BU396" i="1"/>
  <c r="BE497" i="1"/>
  <c r="AA448" i="1"/>
  <c r="AA603" i="1"/>
  <c r="BU643" i="1"/>
  <c r="BD134" i="1"/>
  <c r="BV149" i="1"/>
  <c r="BX149" i="1" s="1"/>
  <c r="BU149" i="1"/>
  <c r="X618" i="1"/>
  <c r="AE618" i="1"/>
  <c r="AB547" i="1"/>
  <c r="X547" i="1"/>
  <c r="AE547" i="1"/>
  <c r="X529" i="1"/>
  <c r="AB529" i="1"/>
  <c r="AE529" i="1"/>
  <c r="AL473" i="1"/>
  <c r="AK473" i="1"/>
  <c r="BE473" i="1" s="1"/>
  <c r="BF473" i="1" s="1"/>
  <c r="AJ473" i="1"/>
  <c r="AG473" i="1"/>
  <c r="AH473" i="1" s="1"/>
  <c r="AB405" i="1"/>
  <c r="AE405" i="1"/>
  <c r="AB295" i="1"/>
  <c r="X295" i="1"/>
  <c r="AE295" i="1"/>
  <c r="AK252" i="1"/>
  <c r="BE252" i="1" s="1"/>
  <c r="BF252" i="1" s="1"/>
  <c r="AL252" i="1"/>
  <c r="AB159" i="1"/>
  <c r="AE159" i="1"/>
  <c r="X159" i="1"/>
  <c r="AB124" i="1"/>
  <c r="AE124" i="1"/>
  <c r="X115" i="1"/>
  <c r="AB115" i="1"/>
  <c r="AE115" i="1"/>
  <c r="AG115" i="1" s="1"/>
  <c r="AH115" i="1" s="1"/>
  <c r="AO115" i="1" s="1"/>
  <c r="AP115" i="1" s="1"/>
  <c r="AA133" i="1"/>
  <c r="AA37" i="1"/>
  <c r="AE7" i="1"/>
  <c r="AK7" i="1" s="1"/>
  <c r="X614" i="1"/>
  <c r="AE614" i="1"/>
  <c r="AB614" i="1"/>
  <c r="X481" i="1"/>
  <c r="AE481" i="1"/>
  <c r="AE424" i="1"/>
  <c r="AB424" i="1"/>
  <c r="X424" i="1"/>
  <c r="AK399" i="1"/>
  <c r="AG399" i="1"/>
  <c r="AH399" i="1" s="1"/>
  <c r="AO399" i="1" s="1"/>
  <c r="AP399" i="1" s="1"/>
  <c r="AJ399" i="1"/>
  <c r="X346" i="1"/>
  <c r="AB346" i="1"/>
  <c r="AB289" i="1"/>
  <c r="X289" i="1"/>
  <c r="X266" i="1"/>
  <c r="AB266" i="1"/>
  <c r="AG173" i="1"/>
  <c r="AH173" i="1" s="1"/>
  <c r="AO173" i="1" s="1"/>
  <c r="AP173" i="1" s="1"/>
  <c r="AJ173" i="1"/>
  <c r="AK173" i="1"/>
  <c r="BY173" i="1" s="1"/>
  <c r="BZ173" i="1" s="1"/>
  <c r="AL173" i="1"/>
  <c r="AB170" i="1"/>
  <c r="X170" i="1"/>
  <c r="AG132" i="1"/>
  <c r="AH132" i="1" s="1"/>
  <c r="AO132" i="1" s="1"/>
  <c r="AP132" i="1" s="1"/>
  <c r="AK132" i="1"/>
  <c r="X63" i="1"/>
  <c r="AE63" i="1"/>
  <c r="AB63" i="1"/>
  <c r="AO145" i="1"/>
  <c r="AP145" i="1" s="1"/>
  <c r="AE646" i="1"/>
  <c r="AB646" i="1"/>
  <c r="AB643" i="1"/>
  <c r="X643" i="1"/>
  <c r="AE643" i="1"/>
  <c r="X451" i="1"/>
  <c r="AE451" i="1"/>
  <c r="X429" i="1"/>
  <c r="AB429" i="1"/>
  <c r="AE429" i="1"/>
  <c r="AK404" i="1"/>
  <c r="AG404" i="1"/>
  <c r="AH404" i="1" s="1"/>
  <c r="AO404" i="1" s="1"/>
  <c r="AP404" i="1" s="1"/>
  <c r="AJ404" i="1"/>
  <c r="AL404" i="1"/>
  <c r="AG360" i="1"/>
  <c r="AH360" i="1" s="1"/>
  <c r="AO360" i="1" s="1"/>
  <c r="AP360" i="1" s="1"/>
  <c r="AJ360" i="1"/>
  <c r="AK360" i="1"/>
  <c r="X334" i="1"/>
  <c r="AE334" i="1"/>
  <c r="AK215" i="1"/>
  <c r="AJ215" i="1"/>
  <c r="AA142" i="1"/>
  <c r="AA60" i="1"/>
  <c r="AE650" i="1"/>
  <c r="X650" i="1"/>
  <c r="AB634" i="1"/>
  <c r="AE634" i="1"/>
  <c r="AB620" i="1"/>
  <c r="AE620" i="1"/>
  <c r="X499" i="1"/>
  <c r="AB499" i="1"/>
  <c r="AE499" i="1"/>
  <c r="AJ469" i="1"/>
  <c r="AK469" i="1"/>
  <c r="AL469" i="1"/>
  <c r="AL463" i="1"/>
  <c r="AK463" i="1"/>
  <c r="BE463" i="1" s="1"/>
  <c r="BF463" i="1" s="1"/>
  <c r="BG463" i="1" s="1"/>
  <c r="AJ463" i="1"/>
  <c r="AG357" i="1"/>
  <c r="AH357" i="1" s="1"/>
  <c r="AO357" i="1" s="1"/>
  <c r="AP357" i="1" s="1"/>
  <c r="AJ357" i="1"/>
  <c r="AK357" i="1"/>
  <c r="AL357" i="1"/>
  <c r="AB277" i="1"/>
  <c r="X277" i="1"/>
  <c r="AE90" i="1"/>
  <c r="X90" i="1"/>
  <c r="AB90" i="1"/>
  <c r="AJ65" i="1"/>
  <c r="AL65" i="1"/>
  <c r="AJ598" i="1"/>
  <c r="AK598" i="1"/>
  <c r="AL598" i="1"/>
  <c r="AG598" i="1"/>
  <c r="AH598" i="1" s="1"/>
  <c r="AO598" i="1" s="1"/>
  <c r="AP598" i="1" s="1"/>
  <c r="AB587" i="1"/>
  <c r="X587" i="1"/>
  <c r="AE587" i="1"/>
  <c r="AK569" i="1"/>
  <c r="AG569" i="1"/>
  <c r="AH569" i="1" s="1"/>
  <c r="AO569" i="1" s="1"/>
  <c r="AP569" i="1" s="1"/>
  <c r="AJ569" i="1"/>
  <c r="AL569" i="1"/>
  <c r="AE511" i="1"/>
  <c r="AB511" i="1"/>
  <c r="AE435" i="1"/>
  <c r="X435" i="1"/>
  <c r="AB435" i="1"/>
  <c r="X392" i="1"/>
  <c r="AE392" i="1"/>
  <c r="AK389" i="1"/>
  <c r="AJ389" i="1"/>
  <c r="AL389" i="1"/>
  <c r="AB351" i="1"/>
  <c r="X351" i="1"/>
  <c r="AE351" i="1"/>
  <c r="AB311" i="1"/>
  <c r="AE311" i="1"/>
  <c r="X311" i="1"/>
  <c r="AB308" i="1"/>
  <c r="AE308" i="1"/>
  <c r="X308" i="1"/>
  <c r="AB268" i="1"/>
  <c r="X268" i="1"/>
  <c r="AE268" i="1"/>
  <c r="AB209" i="1"/>
  <c r="AE209" i="1"/>
  <c r="AB175" i="1"/>
  <c r="X175" i="1"/>
  <c r="AE175" i="1"/>
  <c r="X81" i="1"/>
  <c r="AB81" i="1"/>
  <c r="AE81" i="1"/>
  <c r="AE19" i="1"/>
  <c r="AB19" i="1"/>
  <c r="AB13" i="1"/>
  <c r="AE13" i="1"/>
  <c r="X13" i="1"/>
  <c r="AA57" i="1"/>
  <c r="AK225" i="1"/>
  <c r="AG665" i="1"/>
  <c r="AH665" i="1" s="1"/>
  <c r="AO665" i="1" s="1"/>
  <c r="AP665" i="1" s="1"/>
  <c r="AK665" i="1"/>
  <c r="AJ665" i="1"/>
  <c r="AL665" i="1"/>
  <c r="AB592" i="1"/>
  <c r="AE592" i="1"/>
  <c r="X505" i="1"/>
  <c r="AE505" i="1"/>
  <c r="AL380" i="1"/>
  <c r="AJ380" i="1"/>
  <c r="AG380" i="1"/>
  <c r="AH380" i="1" s="1"/>
  <c r="AO380" i="1" s="1"/>
  <c r="AP380" i="1" s="1"/>
  <c r="AE365" i="1"/>
  <c r="AB365" i="1"/>
  <c r="AB282" i="1"/>
  <c r="X282" i="1"/>
  <c r="AE282" i="1"/>
  <c r="AB220" i="1"/>
  <c r="X220" i="1"/>
  <c r="AE220" i="1"/>
  <c r="AK163" i="1"/>
  <c r="AJ163" i="1"/>
  <c r="AG152" i="1"/>
  <c r="AH152" i="1" s="1"/>
  <c r="AO152" i="1" s="1"/>
  <c r="AP152" i="1" s="1"/>
  <c r="AK152" i="1"/>
  <c r="AB149" i="1"/>
  <c r="X149" i="1"/>
  <c r="AE149" i="1"/>
  <c r="AB146" i="1"/>
  <c r="AE146" i="1"/>
  <c r="X146" i="1"/>
  <c r="AE143" i="1"/>
  <c r="AB143" i="1"/>
  <c r="AL128" i="1"/>
  <c r="AJ128" i="1"/>
  <c r="AE103" i="1"/>
  <c r="AB103" i="1"/>
  <c r="X103" i="1"/>
  <c r="AB44" i="1"/>
  <c r="X44" i="1"/>
  <c r="AE44" i="1"/>
  <c r="X25" i="1"/>
  <c r="AE25" i="1"/>
  <c r="AE659" i="1"/>
  <c r="AK659" i="1" s="1"/>
  <c r="AB659" i="1"/>
  <c r="X659" i="1"/>
  <c r="AJ652" i="1"/>
  <c r="AK652" i="1"/>
  <c r="BY652" i="1" s="1"/>
  <c r="BZ652" i="1" s="1"/>
  <c r="AL652" i="1"/>
  <c r="X583" i="1"/>
  <c r="AB583" i="1"/>
  <c r="AE583" i="1"/>
  <c r="AJ520" i="1"/>
  <c r="AK520" i="1"/>
  <c r="BE520" i="1" s="1"/>
  <c r="BF520" i="1" s="1"/>
  <c r="AL520" i="1"/>
  <c r="AB371" i="1"/>
  <c r="X371" i="1"/>
  <c r="AE371" i="1"/>
  <c r="AJ359" i="1"/>
  <c r="AL359" i="1"/>
  <c r="AG359" i="1"/>
  <c r="AH359" i="1" s="1"/>
  <c r="AO359" i="1" s="1"/>
  <c r="AP359" i="1" s="1"/>
  <c r="AB33" i="1"/>
  <c r="AE33" i="1"/>
  <c r="AB589" i="1"/>
  <c r="X589" i="1"/>
  <c r="AJ586" i="1"/>
  <c r="AK586" i="1"/>
  <c r="BE586" i="1" s="1"/>
  <c r="BF586" i="1" s="1"/>
  <c r="BG586" i="1" s="1"/>
  <c r="AG586" i="1"/>
  <c r="AH586" i="1" s="1"/>
  <c r="AO586" i="1" s="1"/>
  <c r="AP586" i="1" s="1"/>
  <c r="AL586" i="1"/>
  <c r="AB542" i="1"/>
  <c r="AE542" i="1"/>
  <c r="X542" i="1"/>
  <c r="AJ468" i="1"/>
  <c r="AG468" i="1"/>
  <c r="AH468" i="1" s="1"/>
  <c r="AO468" i="1" s="1"/>
  <c r="AP468" i="1" s="1"/>
  <c r="AK468" i="1"/>
  <c r="AL468" i="1"/>
  <c r="AB374" i="1"/>
  <c r="X374" i="1"/>
  <c r="AE374" i="1"/>
  <c r="AE316" i="1"/>
  <c r="AB316" i="1"/>
  <c r="X316" i="1"/>
  <c r="AE239" i="1"/>
  <c r="X239" i="1"/>
  <c r="AB239" i="1"/>
  <c r="AB225" i="1"/>
  <c r="X225" i="1"/>
  <c r="AJ197" i="1"/>
  <c r="AK197" i="1"/>
  <c r="AG197" i="1"/>
  <c r="AH197" i="1" s="1"/>
  <c r="AO197" i="1" s="1"/>
  <c r="AP197" i="1" s="1"/>
  <c r="AB180" i="1"/>
  <c r="AE180" i="1"/>
  <c r="AO493" i="1"/>
  <c r="AP493" i="1" s="1"/>
  <c r="AB597" i="1"/>
  <c r="AE597" i="1"/>
  <c r="X597" i="1"/>
  <c r="X516" i="1"/>
  <c r="AE516" i="1"/>
  <c r="AB516" i="1"/>
  <c r="X400" i="1"/>
  <c r="AE400" i="1"/>
  <c r="AB400" i="1"/>
  <c r="AE313" i="1"/>
  <c r="AB313" i="1"/>
  <c r="AJ304" i="1"/>
  <c r="AK304" i="1"/>
  <c r="AL304" i="1"/>
  <c r="AG304" i="1"/>
  <c r="AH304" i="1" s="1"/>
  <c r="AO304" i="1" s="1"/>
  <c r="AP304" i="1" s="1"/>
  <c r="AB287" i="1"/>
  <c r="X287" i="1"/>
  <c r="AB247" i="1"/>
  <c r="X247" i="1"/>
  <c r="BV461" i="1"/>
  <c r="AB664" i="1"/>
  <c r="X664" i="1"/>
  <c r="AE658" i="1"/>
  <c r="AB658" i="1"/>
  <c r="AG568" i="1"/>
  <c r="AH568" i="1" s="1"/>
  <c r="AO568" i="1" s="1"/>
  <c r="AP568" i="1" s="1"/>
  <c r="AJ568" i="1"/>
  <c r="AK568" i="1"/>
  <c r="AL568" i="1"/>
  <c r="AB419" i="1"/>
  <c r="X419" i="1"/>
  <c r="AE419" i="1"/>
  <c r="AL388" i="1"/>
  <c r="AJ388" i="1"/>
  <c r="AG388" i="1"/>
  <c r="AH388" i="1" s="1"/>
  <c r="AO388" i="1" s="1"/>
  <c r="AP388" i="1" s="1"/>
  <c r="AK388" i="1"/>
  <c r="AB379" i="1"/>
  <c r="X379" i="1"/>
  <c r="X284" i="1"/>
  <c r="AE284" i="1"/>
  <c r="AB284" i="1"/>
  <c r="AG205" i="1"/>
  <c r="AH205" i="1" s="1"/>
  <c r="AO205" i="1" s="1"/>
  <c r="AP205" i="1" s="1"/>
  <c r="AJ205" i="1"/>
  <c r="AL205" i="1"/>
  <c r="AB188" i="1"/>
  <c r="X188" i="1"/>
  <c r="AK139" i="1"/>
  <c r="BE139" i="1" s="1"/>
  <c r="BF139" i="1" s="1"/>
  <c r="AG139" i="1"/>
  <c r="AH139" i="1" s="1"/>
  <c r="AE110" i="1"/>
  <c r="X110" i="1"/>
  <c r="X51" i="1"/>
  <c r="AB51" i="1"/>
  <c r="AE51" i="1"/>
  <c r="AO238" i="1"/>
  <c r="AP238" i="1" s="1"/>
  <c r="AO445" i="1"/>
  <c r="AP445" i="1" s="1"/>
  <c r="BX323" i="1"/>
  <c r="BV491" i="1"/>
  <c r="BU491" i="1"/>
  <c r="BV536" i="1"/>
  <c r="BD39" i="1"/>
  <c r="BU323" i="1"/>
  <c r="BU101" i="1"/>
  <c r="BX205" i="1"/>
  <c r="BY205" i="1" s="1"/>
  <c r="BZ205" i="1" s="1"/>
  <c r="BW205" i="1"/>
  <c r="BD337" i="1"/>
  <c r="BD354" i="1"/>
  <c r="AA526" i="1"/>
  <c r="AB526" i="1"/>
  <c r="AA464" i="1"/>
  <c r="AB464" i="1"/>
  <c r="AA340" i="1"/>
  <c r="AB340" i="1"/>
  <c r="AA59" i="1"/>
  <c r="AB59" i="1"/>
  <c r="BV361" i="1"/>
  <c r="BX602" i="1"/>
  <c r="BY602" i="1" s="1"/>
  <c r="BZ602" i="1" s="1"/>
  <c r="BW602" i="1"/>
  <c r="BD526" i="1"/>
  <c r="BD449" i="1"/>
  <c r="BU350" i="1"/>
  <c r="BV350" i="1"/>
  <c r="BV88" i="1"/>
  <c r="BU88" i="1"/>
  <c r="BD9" i="1"/>
  <c r="BE361" i="1"/>
  <c r="BF361" i="1"/>
  <c r="BU602" i="1"/>
  <c r="BV615" i="1"/>
  <c r="BV85" i="1"/>
  <c r="BU85" i="1"/>
  <c r="BD497" i="1"/>
  <c r="BU173" i="1"/>
  <c r="AA446" i="1"/>
  <c r="AB446" i="1"/>
  <c r="BV452" i="1"/>
  <c r="BU134" i="1"/>
  <c r="BV554" i="1"/>
  <c r="BX554" i="1" s="1"/>
  <c r="BU554" i="1"/>
  <c r="AB490" i="1"/>
  <c r="BV627" i="1"/>
  <c r="BU359" i="1"/>
  <c r="BV359" i="1"/>
  <c r="BU629" i="1"/>
  <c r="BV629" i="1"/>
  <c r="BU211" i="1"/>
  <c r="BV211" i="1"/>
  <c r="BU521" i="1"/>
  <c r="BV521" i="1"/>
  <c r="BX521" i="1" s="1"/>
  <c r="BV531" i="1"/>
  <c r="AA150" i="1"/>
  <c r="BV436" i="1"/>
  <c r="BU436" i="1"/>
  <c r="BU260" i="1"/>
  <c r="BV260" i="1"/>
  <c r="BD612" i="1"/>
  <c r="BD442" i="1"/>
  <c r="AA650" i="1"/>
  <c r="BU616" i="1"/>
  <c r="BV616" i="1"/>
  <c r="BD441" i="1"/>
  <c r="BD185" i="1"/>
  <c r="BG466" i="1"/>
  <c r="BI466" i="1" s="1"/>
  <c r="BH466" i="1"/>
  <c r="BV27" i="1"/>
  <c r="BU27" i="1"/>
  <c r="BU572" i="1"/>
  <c r="BV572" i="1"/>
  <c r="BU266" i="1"/>
  <c r="BV266" i="1"/>
  <c r="BD282" i="1"/>
  <c r="BD611" i="1"/>
  <c r="BD466" i="1"/>
  <c r="BU287" i="1"/>
  <c r="BV287" i="1"/>
  <c r="BU235" i="1"/>
  <c r="AA25" i="1"/>
  <c r="AB25" i="1"/>
  <c r="BD464" i="1"/>
  <c r="BE466" i="1"/>
  <c r="BV219" i="1"/>
  <c r="BU227" i="1"/>
  <c r="BV227" i="1"/>
  <c r="BD23" i="1"/>
  <c r="BD490" i="1"/>
  <c r="AB32" i="1"/>
  <c r="AA39" i="1"/>
  <c r="AB339" i="1"/>
  <c r="BV405" i="1"/>
  <c r="BU214" i="1"/>
  <c r="BV606" i="1"/>
  <c r="BV204" i="1"/>
  <c r="BU204" i="1"/>
  <c r="BD475" i="1"/>
  <c r="BD169" i="1"/>
  <c r="BV6" i="1"/>
  <c r="BX6" i="1" s="1"/>
  <c r="BD476" i="1"/>
  <c r="BD305" i="1"/>
  <c r="BD491" i="1"/>
  <c r="BD70" i="1"/>
  <c r="BV9" i="1"/>
  <c r="BX9" i="1" s="1"/>
  <c r="BD89" i="1"/>
  <c r="BD599" i="1"/>
  <c r="BD232" i="1"/>
  <c r="BD29" i="1"/>
  <c r="BD579" i="1"/>
  <c r="BE289" i="1"/>
  <c r="BF289" i="1" s="1"/>
  <c r="BD151" i="1"/>
  <c r="BD71" i="1"/>
  <c r="BV159" i="1"/>
  <c r="BU159" i="1"/>
  <c r="BU140" i="1"/>
  <c r="AB7" i="1"/>
  <c r="AB57" i="1"/>
  <c r="AB92" i="1"/>
  <c r="X92" i="1"/>
  <c r="AE92" i="1"/>
  <c r="AG84" i="1"/>
  <c r="AH84" i="1" s="1"/>
  <c r="AO84" i="1" s="1"/>
  <c r="AP84" i="1" s="1"/>
  <c r="AL84" i="1"/>
  <c r="AG22" i="1"/>
  <c r="AH22" i="1" s="1"/>
  <c r="AO22" i="1" s="1"/>
  <c r="AP22" i="1" s="1"/>
  <c r="AK22" i="1"/>
  <c r="AJ177" i="1"/>
  <c r="AK177" i="1"/>
  <c r="AL177" i="1"/>
  <c r="AB348" i="1"/>
  <c r="X348" i="1"/>
  <c r="AE348" i="1"/>
  <c r="AB305" i="1"/>
  <c r="X305" i="1"/>
  <c r="AE305" i="1"/>
  <c r="X254" i="1"/>
  <c r="AB254" i="1"/>
  <c r="AE254" i="1"/>
  <c r="AB241" i="1"/>
  <c r="AE241" i="1"/>
  <c r="AB217" i="1"/>
  <c r="AE217" i="1"/>
  <c r="X217" i="1"/>
  <c r="AB177" i="1"/>
  <c r="X177" i="1"/>
  <c r="AE151" i="1"/>
  <c r="AB151" i="1"/>
  <c r="AE137" i="1"/>
  <c r="AB137" i="1"/>
  <c r="X137" i="1"/>
  <c r="AB16" i="1"/>
  <c r="X16" i="1"/>
  <c r="AE16" i="1"/>
  <c r="AE671" i="1"/>
  <c r="X671" i="1"/>
  <c r="AB639" i="1"/>
  <c r="AE639" i="1"/>
  <c r="AJ492" i="1"/>
  <c r="AK492" i="1"/>
  <c r="BE492" i="1" s="1"/>
  <c r="BF492" i="1" s="1"/>
  <c r="AL492" i="1"/>
  <c r="AL415" i="1"/>
  <c r="AG415" i="1"/>
  <c r="AH415" i="1" s="1"/>
  <c r="AO415" i="1" s="1"/>
  <c r="AP415" i="1" s="1"/>
  <c r="AK415" i="1"/>
  <c r="AJ415" i="1"/>
  <c r="AB273" i="1"/>
  <c r="X273" i="1"/>
  <c r="AE262" i="1"/>
  <c r="X262" i="1"/>
  <c r="AE185" i="1"/>
  <c r="X185" i="1"/>
  <c r="X158" i="1"/>
  <c r="AB158" i="1"/>
  <c r="AB77" i="1"/>
  <c r="AE77" i="1"/>
  <c r="AB43" i="1"/>
  <c r="X43" i="1"/>
  <c r="AJ563" i="1"/>
  <c r="AK563" i="1"/>
  <c r="AL563" i="1"/>
  <c r="X475" i="1"/>
  <c r="AB475" i="1"/>
  <c r="AB437" i="1"/>
  <c r="AE437" i="1"/>
  <c r="X437" i="1"/>
  <c r="AL602" i="1"/>
  <c r="AJ602" i="1"/>
  <c r="AB596" i="1"/>
  <c r="AE596" i="1"/>
  <c r="AE552" i="1"/>
  <c r="X552" i="1"/>
  <c r="AJ543" i="1"/>
  <c r="AK543" i="1"/>
  <c r="AG543" i="1"/>
  <c r="AH543" i="1" s="1"/>
  <c r="AO543" i="1" s="1"/>
  <c r="AP543" i="1" s="1"/>
  <c r="AL543" i="1"/>
  <c r="AG528" i="1"/>
  <c r="AH528" i="1" s="1"/>
  <c r="AO528" i="1" s="1"/>
  <c r="AP528" i="1" s="1"/>
  <c r="AL528" i="1"/>
  <c r="AE521" i="1"/>
  <c r="AB521" i="1"/>
  <c r="AG518" i="1"/>
  <c r="AH518" i="1" s="1"/>
  <c r="AO518" i="1" s="1"/>
  <c r="AP518" i="1" s="1"/>
  <c r="AK518" i="1"/>
  <c r="BE518" i="1" s="1"/>
  <c r="BF518" i="1" s="1"/>
  <c r="AJ518" i="1"/>
  <c r="AL518" i="1"/>
  <c r="AE504" i="1"/>
  <c r="AB504" i="1"/>
  <c r="AG455" i="1"/>
  <c r="AH455" i="1" s="1"/>
  <c r="AK455" i="1"/>
  <c r="BE455" i="1" s="1"/>
  <c r="BF455" i="1" s="1"/>
  <c r="AB671" i="1"/>
  <c r="AK623" i="1"/>
  <c r="AL623" i="1"/>
  <c r="AG623" i="1"/>
  <c r="AH623" i="1" s="1"/>
  <c r="AO623" i="1" s="1"/>
  <c r="AP623" i="1" s="1"/>
  <c r="AJ623" i="1"/>
  <c r="AB604" i="1"/>
  <c r="AE604" i="1"/>
  <c r="AE581" i="1"/>
  <c r="AB581" i="1"/>
  <c r="AB575" i="1"/>
  <c r="AE575" i="1"/>
  <c r="AB336" i="1"/>
  <c r="X336" i="1"/>
  <c r="AB291" i="1"/>
  <c r="X291" i="1"/>
  <c r="X56" i="1"/>
  <c r="AE56" i="1"/>
  <c r="X211" i="1"/>
  <c r="AB211" i="1"/>
  <c r="X165" i="1"/>
  <c r="AE73" i="1"/>
  <c r="X73" i="1"/>
  <c r="AE538" i="1"/>
  <c r="AB538" i="1"/>
  <c r="AE352" i="1"/>
  <c r="X352" i="1"/>
  <c r="AE23" i="1"/>
  <c r="X23" i="1"/>
  <c r="AL393" i="1"/>
  <c r="AB532" i="1"/>
  <c r="X532" i="1"/>
  <c r="X218" i="1"/>
  <c r="AB218" i="1"/>
  <c r="X61" i="1"/>
  <c r="AE61" i="1"/>
  <c r="AJ258" i="1"/>
  <c r="X406" i="1"/>
  <c r="X292" i="1"/>
  <c r="AE292" i="1"/>
  <c r="AE539" i="1"/>
  <c r="AL410" i="1" l="1"/>
  <c r="AJ410" i="1"/>
  <c r="AK410" i="1"/>
  <c r="AJ229" i="1"/>
  <c r="AG229" i="1"/>
  <c r="AH229" i="1" s="1"/>
  <c r="AO229" i="1" s="1"/>
  <c r="AP229" i="1" s="1"/>
  <c r="AK229" i="1"/>
  <c r="AJ406" i="1"/>
  <c r="AL260" i="1"/>
  <c r="AG260" i="1"/>
  <c r="AH260" i="1" s="1"/>
  <c r="AO260" i="1" s="1"/>
  <c r="AP260" i="1" s="1"/>
  <c r="AG398" i="1"/>
  <c r="AH398" i="1" s="1"/>
  <c r="AO398" i="1" s="1"/>
  <c r="AP398" i="1" s="1"/>
  <c r="AK398" i="1"/>
  <c r="BE398" i="1" s="1"/>
  <c r="BF398" i="1" s="1"/>
  <c r="BG398" i="1" s="1"/>
  <c r="AL398" i="1"/>
  <c r="AG454" i="1"/>
  <c r="AH454" i="1" s="1"/>
  <c r="AO454" i="1" s="1"/>
  <c r="AP454" i="1" s="1"/>
  <c r="AJ230" i="1"/>
  <c r="BN32" i="1"/>
  <c r="AK454" i="1"/>
  <c r="AJ340" i="1"/>
  <c r="AL244" i="1"/>
  <c r="AJ483" i="1"/>
  <c r="AK635" i="1"/>
  <c r="AJ395" i="1"/>
  <c r="AL615" i="1"/>
  <c r="AK142" i="1"/>
  <c r="BE142" i="1" s="1"/>
  <c r="BF142" i="1" s="1"/>
  <c r="AG246" i="1"/>
  <c r="AH246" i="1" s="1"/>
  <c r="AO246" i="1" s="1"/>
  <c r="AP246" i="1" s="1"/>
  <c r="AJ591" i="1"/>
  <c r="AL224" i="1"/>
  <c r="AL395" i="1"/>
  <c r="AG224" i="1"/>
  <c r="AH224" i="1" s="1"/>
  <c r="AO224" i="1" s="1"/>
  <c r="AP224" i="1" s="1"/>
  <c r="AK224" i="1"/>
  <c r="AJ303" i="1"/>
  <c r="AJ260" i="1"/>
  <c r="AJ256" i="1"/>
  <c r="AG256" i="1"/>
  <c r="AH256" i="1" s="1"/>
  <c r="AO256" i="1" s="1"/>
  <c r="AP256" i="1" s="1"/>
  <c r="AL256" i="1"/>
  <c r="AL447" i="1"/>
  <c r="AJ290" i="1"/>
  <c r="AK340" i="1"/>
  <c r="BE340" i="1" s="1"/>
  <c r="BF340" i="1" s="1"/>
  <c r="BG340" i="1" s="1"/>
  <c r="BH340" i="1" s="1"/>
  <c r="AL483" i="1"/>
  <c r="AK395" i="1"/>
  <c r="BH120" i="1"/>
  <c r="BI120" i="1" s="1"/>
  <c r="AG283" i="1"/>
  <c r="AH283" i="1" s="1"/>
  <c r="AO283" i="1" s="1"/>
  <c r="AP283" i="1" s="1"/>
  <c r="BN128" i="1"/>
  <c r="AJ635" i="1"/>
  <c r="AJ454" i="1"/>
  <c r="AL230" i="1"/>
  <c r="AK358" i="1"/>
  <c r="AJ627" i="1"/>
  <c r="AL635" i="1"/>
  <c r="AK353" i="1"/>
  <c r="BE353" i="1" s="1"/>
  <c r="BF353" i="1" s="1"/>
  <c r="AK467" i="1"/>
  <c r="AK406" i="1"/>
  <c r="BY406" i="1" s="1"/>
  <c r="BZ406" i="1" s="1"/>
  <c r="AJ35" i="1"/>
  <c r="AL467" i="1"/>
  <c r="AL406" i="1"/>
  <c r="BW406" i="1"/>
  <c r="AL31" i="1"/>
  <c r="AK31" i="1"/>
  <c r="BE31" i="1" s="1"/>
  <c r="BF31" i="1" s="1"/>
  <c r="BG31" i="1" s="1"/>
  <c r="AL35" i="1"/>
  <c r="AJ467" i="1"/>
  <c r="AK30" i="1"/>
  <c r="BE30" i="1" s="1"/>
  <c r="BF30" i="1" s="1"/>
  <c r="BG30" i="1" s="1"/>
  <c r="AL630" i="1"/>
  <c r="BH372" i="1"/>
  <c r="BI372" i="1" s="1"/>
  <c r="AK17" i="1"/>
  <c r="AL293" i="1"/>
  <c r="AK355" i="1"/>
  <c r="AJ322" i="1"/>
  <c r="AG306" i="1"/>
  <c r="AH306" i="1" s="1"/>
  <c r="AO306" i="1" s="1"/>
  <c r="AP306" i="1" s="1"/>
  <c r="AL591" i="1"/>
  <c r="AG293" i="1"/>
  <c r="AH293" i="1" s="1"/>
  <c r="AO293" i="1" s="1"/>
  <c r="AP293" i="1" s="1"/>
  <c r="AJ366" i="1"/>
  <c r="AK306" i="1"/>
  <c r="AK337" i="1"/>
  <c r="BE337" i="1" s="1"/>
  <c r="BF337" i="1" s="1"/>
  <c r="BG337" i="1" s="1"/>
  <c r="AK322" i="1"/>
  <c r="AG49" i="1"/>
  <c r="AH49" i="1" s="1"/>
  <c r="AO49" i="1" s="1"/>
  <c r="AP49" i="1" s="1"/>
  <c r="AL366" i="1"/>
  <c r="BH366" i="1" s="1"/>
  <c r="BI366" i="1" s="1"/>
  <c r="AK325" i="1"/>
  <c r="AK290" i="1"/>
  <c r="AL322" i="1"/>
  <c r="AL303" i="1"/>
  <c r="AK246" i="1"/>
  <c r="AL337" i="1"/>
  <c r="AJ17" i="1"/>
  <c r="AK418" i="1"/>
  <c r="BE418" i="1" s="1"/>
  <c r="BF418" i="1" s="1"/>
  <c r="BG418" i="1" s="1"/>
  <c r="AK591" i="1"/>
  <c r="AG290" i="1"/>
  <c r="AH290" i="1" s="1"/>
  <c r="AO290" i="1" s="1"/>
  <c r="AP290" i="1" s="1"/>
  <c r="AK281" i="1"/>
  <c r="AG303" i="1"/>
  <c r="AH303" i="1" s="1"/>
  <c r="AO303" i="1" s="1"/>
  <c r="AP303" i="1" s="1"/>
  <c r="AK293" i="1"/>
  <c r="AL246" i="1"/>
  <c r="AG337" i="1"/>
  <c r="AH337" i="1" s="1"/>
  <c r="AO337" i="1" s="1"/>
  <c r="AP337" i="1" s="1"/>
  <c r="BY102" i="1"/>
  <c r="BZ102" i="1" s="1"/>
  <c r="AG366" i="1"/>
  <c r="AH366" i="1" s="1"/>
  <c r="AO366" i="1" s="1"/>
  <c r="AP366" i="1" s="1"/>
  <c r="AJ355" i="1"/>
  <c r="AG340" i="1"/>
  <c r="AH340" i="1" s="1"/>
  <c r="AO340" i="1" s="1"/>
  <c r="AP340" i="1" s="1"/>
  <c r="AG17" i="1"/>
  <c r="AH17" i="1" s="1"/>
  <c r="AO17" i="1" s="1"/>
  <c r="AP17" i="1" s="1"/>
  <c r="AJ595" i="1"/>
  <c r="AG595" i="1"/>
  <c r="AH595" i="1" s="1"/>
  <c r="AO595" i="1" s="1"/>
  <c r="AP595" i="1" s="1"/>
  <c r="AK230" i="1"/>
  <c r="AJ610" i="1"/>
  <c r="AK595" i="1"/>
  <c r="AJ418" i="1"/>
  <c r="AL231" i="1"/>
  <c r="AG483" i="1"/>
  <c r="AH483" i="1" s="1"/>
  <c r="AO483" i="1" s="1"/>
  <c r="AP483" i="1" s="1"/>
  <c r="AL418" i="1"/>
  <c r="AL14" i="1"/>
  <c r="AK338" i="1"/>
  <c r="AL362" i="1"/>
  <c r="AL361" i="1"/>
  <c r="BY120" i="1"/>
  <c r="BZ120" i="1" s="1"/>
  <c r="AG242" i="1"/>
  <c r="AH242" i="1" s="1"/>
  <c r="AO242" i="1" s="1"/>
  <c r="AP242" i="1" s="1"/>
  <c r="AG361" i="1"/>
  <c r="AH361" i="1" s="1"/>
  <c r="AO361" i="1" s="1"/>
  <c r="AP361" i="1" s="1"/>
  <c r="AG10" i="1"/>
  <c r="AH10" i="1" s="1"/>
  <c r="AO10" i="1" s="1"/>
  <c r="AP10" i="1" s="1"/>
  <c r="AG85" i="1"/>
  <c r="AH85" i="1" s="1"/>
  <c r="AO85" i="1" s="1"/>
  <c r="AP85" i="1" s="1"/>
  <c r="AK183" i="1"/>
  <c r="AJ20" i="1"/>
  <c r="AK432" i="1"/>
  <c r="AG610" i="1"/>
  <c r="AH610" i="1" s="1"/>
  <c r="AO610" i="1" s="1"/>
  <c r="AP610" i="1" s="1"/>
  <c r="AG74" i="1"/>
  <c r="AH74" i="1" s="1"/>
  <c r="AO74" i="1" s="1"/>
  <c r="AP74" i="1" s="1"/>
  <c r="AL355" i="1"/>
  <c r="AJ281" i="1"/>
  <c r="AK80" i="1"/>
  <c r="BE80" i="1" s="1"/>
  <c r="BF80" i="1" s="1"/>
  <c r="BG80" i="1" s="1"/>
  <c r="AL123" i="1"/>
  <c r="AK610" i="1"/>
  <c r="BE610" i="1" s="1"/>
  <c r="BF610" i="1" s="1"/>
  <c r="BG610" i="1" s="1"/>
  <c r="AG87" i="1"/>
  <c r="AH87" i="1" s="1"/>
  <c r="AO87" i="1" s="1"/>
  <c r="AP87" i="1" s="1"/>
  <c r="AG549" i="1"/>
  <c r="AH549" i="1" s="1"/>
  <c r="AO549" i="1" s="1"/>
  <c r="AP549" i="1" s="1"/>
  <c r="AJ74" i="1"/>
  <c r="AK87" i="1"/>
  <c r="AJ242" i="1"/>
  <c r="AG370" i="1"/>
  <c r="AH370" i="1" s="1"/>
  <c r="AO370" i="1" s="1"/>
  <c r="AP370" i="1" s="1"/>
  <c r="AG560" i="1"/>
  <c r="AH560" i="1" s="1"/>
  <c r="AO560" i="1" s="1"/>
  <c r="AP560" i="1" s="1"/>
  <c r="AK14" i="1"/>
  <c r="AG14" i="1"/>
  <c r="AH14" i="1" s="1"/>
  <c r="AO14" i="1" s="1"/>
  <c r="AP14" i="1" s="1"/>
  <c r="AK74" i="1"/>
  <c r="AL659" i="1"/>
  <c r="AL187" i="1"/>
  <c r="BH187" i="1" s="1"/>
  <c r="BI187" i="1" s="1"/>
  <c r="AK560" i="1"/>
  <c r="AL306" i="1"/>
  <c r="AJ560" i="1"/>
  <c r="AO457" i="1"/>
  <c r="AP457" i="1" s="1"/>
  <c r="AL283" i="1"/>
  <c r="AJ561" i="1"/>
  <c r="BE589" i="1"/>
  <c r="BF589" i="1" s="1"/>
  <c r="BG589" i="1" s="1"/>
  <c r="BH589" i="1" s="1"/>
  <c r="AL353" i="1"/>
  <c r="AK45" i="1"/>
  <c r="BE45" i="1" s="1"/>
  <c r="BF45" i="1" s="1"/>
  <c r="BG45" i="1" s="1"/>
  <c r="AK301" i="1"/>
  <c r="BE301" i="1" s="1"/>
  <c r="BF301" i="1" s="1"/>
  <c r="BG301" i="1" s="1"/>
  <c r="AK627" i="1"/>
  <c r="AK572" i="1"/>
  <c r="AL571" i="1"/>
  <c r="AK199" i="1"/>
  <c r="AG627" i="1"/>
  <c r="AH627" i="1" s="1"/>
  <c r="AO627" i="1" s="1"/>
  <c r="AP627" i="1" s="1"/>
  <c r="AL301" i="1"/>
  <c r="AG301" i="1"/>
  <c r="AH301" i="1" s="1"/>
  <c r="AO301" i="1" s="1"/>
  <c r="AP301" i="1" s="1"/>
  <c r="AG48" i="1"/>
  <c r="AH48" i="1" s="1"/>
  <c r="AO48" i="1" s="1"/>
  <c r="AP48" i="1" s="1"/>
  <c r="AJ353" i="1"/>
  <c r="AK517" i="1"/>
  <c r="AJ325" i="1"/>
  <c r="AG517" i="1"/>
  <c r="AH517" i="1" s="1"/>
  <c r="AO517" i="1" s="1"/>
  <c r="AP517" i="1" s="1"/>
  <c r="AK271" i="1"/>
  <c r="BE271" i="1" s="1"/>
  <c r="BF271" i="1" s="1"/>
  <c r="BG271" i="1" s="1"/>
  <c r="AK283" i="1"/>
  <c r="BE283" i="1" s="1"/>
  <c r="BF283" i="1" s="1"/>
  <c r="BG283" i="1" s="1"/>
  <c r="AK349" i="1"/>
  <c r="AJ571" i="1"/>
  <c r="AL219" i="1"/>
  <c r="AL148" i="1"/>
  <c r="AL453" i="1"/>
  <c r="BH453" i="1" s="1"/>
  <c r="BI453" i="1" s="1"/>
  <c r="AK561" i="1"/>
  <c r="AG396" i="1"/>
  <c r="AH396" i="1" s="1"/>
  <c r="AO396" i="1" s="1"/>
  <c r="AP396" i="1" s="1"/>
  <c r="AJ358" i="1"/>
  <c r="AL458" i="1"/>
  <c r="BW236" i="1"/>
  <c r="BW396" i="1"/>
  <c r="AL102" i="1"/>
  <c r="AL45" i="1"/>
  <c r="AL325" i="1"/>
  <c r="AG571" i="1"/>
  <c r="AH571" i="1" s="1"/>
  <c r="AO571" i="1" s="1"/>
  <c r="AP571" i="1" s="1"/>
  <c r="BW468" i="1"/>
  <c r="AK578" i="1"/>
  <c r="AK577" i="1"/>
  <c r="BE577" i="1" s="1"/>
  <c r="BF577" i="1" s="1"/>
  <c r="BG577" i="1" s="1"/>
  <c r="AG80" i="1"/>
  <c r="AH80" i="1" s="1"/>
  <c r="AO80" i="1" s="1"/>
  <c r="AP80" i="1" s="1"/>
  <c r="AL577" i="1"/>
  <c r="AL302" i="1"/>
  <c r="AK326" i="1"/>
  <c r="AK471" i="1"/>
  <c r="AJ606" i="1"/>
  <c r="AG611" i="1"/>
  <c r="AH611" i="1" s="1"/>
  <c r="AO611" i="1" s="1"/>
  <c r="AP611" i="1" s="1"/>
  <c r="AL611" i="1"/>
  <c r="AG519" i="1"/>
  <c r="AH519" i="1" s="1"/>
  <c r="AO519" i="1" s="1"/>
  <c r="AP519" i="1" s="1"/>
  <c r="AL370" i="1"/>
  <c r="BH370" i="1" s="1"/>
  <c r="BI370" i="1" s="1"/>
  <c r="AG187" i="1"/>
  <c r="AH187" i="1" s="1"/>
  <c r="AO187" i="1" s="1"/>
  <c r="AP187" i="1" s="1"/>
  <c r="AL549" i="1"/>
  <c r="AJ370" i="1"/>
  <c r="AL87" i="1"/>
  <c r="AJ453" i="1"/>
  <c r="AG453" i="1"/>
  <c r="AH453" i="1" s="1"/>
  <c r="AO453" i="1" s="1"/>
  <c r="AP453" i="1" s="1"/>
  <c r="AG349" i="1"/>
  <c r="AH349" i="1" s="1"/>
  <c r="AO349" i="1" s="1"/>
  <c r="AP349" i="1" s="1"/>
  <c r="AL517" i="1"/>
  <c r="AJ102" i="1"/>
  <c r="AK48" i="1"/>
  <c r="AJ519" i="1"/>
  <c r="AJ183" i="1"/>
  <c r="AK147" i="1"/>
  <c r="AJ501" i="1"/>
  <c r="AL168" i="1"/>
  <c r="AG302" i="1"/>
  <c r="AH302" i="1" s="1"/>
  <c r="AO302" i="1" s="1"/>
  <c r="AP302" i="1" s="1"/>
  <c r="AG368" i="1"/>
  <c r="AH368" i="1" s="1"/>
  <c r="AO368" i="1" s="1"/>
  <c r="AP368" i="1" s="1"/>
  <c r="AK375" i="1"/>
  <c r="AK396" i="1"/>
  <c r="BY396" i="1" s="1"/>
  <c r="BZ396" i="1" s="1"/>
  <c r="AK509" i="1"/>
  <c r="AL183" i="1"/>
  <c r="AJ222" i="1"/>
  <c r="AL281" i="1"/>
  <c r="AG471" i="1"/>
  <c r="AH471" i="1" s="1"/>
  <c r="AO471" i="1" s="1"/>
  <c r="AP471" i="1" s="1"/>
  <c r="AL606" i="1"/>
  <c r="AJ578" i="1"/>
  <c r="AJ361" i="1"/>
  <c r="AK519" i="1"/>
  <c r="AK302" i="1"/>
  <c r="AG509" i="1"/>
  <c r="AH509" i="1" s="1"/>
  <c r="AO509" i="1" s="1"/>
  <c r="AP509" i="1" s="1"/>
  <c r="AG69" i="1"/>
  <c r="AH69" i="1" s="1"/>
  <c r="AO69" i="1" s="1"/>
  <c r="AP69" i="1" s="1"/>
  <c r="AJ458" i="1"/>
  <c r="BY247" i="1"/>
  <c r="BZ247" i="1" s="1"/>
  <c r="AG472" i="1"/>
  <c r="AH472" i="1" s="1"/>
  <c r="AO472" i="1" s="1"/>
  <c r="AP472" i="1" s="1"/>
  <c r="AK222" i="1"/>
  <c r="BE222" i="1" s="1"/>
  <c r="BF222" i="1" s="1"/>
  <c r="BG222" i="1" s="1"/>
  <c r="AJ605" i="1"/>
  <c r="AK201" i="1"/>
  <c r="AJ48" i="1"/>
  <c r="AK501" i="1"/>
  <c r="AJ31" i="1"/>
  <c r="AL375" i="1"/>
  <c r="AJ396" i="1"/>
  <c r="AL536" i="1"/>
  <c r="AK35" i="1"/>
  <c r="AL501" i="1"/>
  <c r="AL368" i="1"/>
  <c r="AL509" i="1"/>
  <c r="AG102" i="1"/>
  <c r="AH102" i="1" s="1"/>
  <c r="AO102" i="1" s="1"/>
  <c r="AP102" i="1" s="1"/>
  <c r="AL222" i="1"/>
  <c r="AG326" i="1"/>
  <c r="AH326" i="1" s="1"/>
  <c r="AO326" i="1" s="1"/>
  <c r="AP326" i="1" s="1"/>
  <c r="AK458" i="1"/>
  <c r="BE458" i="1" s="1"/>
  <c r="BF458" i="1" s="1"/>
  <c r="BG458" i="1" s="1"/>
  <c r="AL242" i="1"/>
  <c r="AK368" i="1"/>
  <c r="BE368" i="1" s="1"/>
  <c r="BF368" i="1" s="1"/>
  <c r="BG368" i="1" s="1"/>
  <c r="AG338" i="1"/>
  <c r="AH338" i="1" s="1"/>
  <c r="AO338" i="1" s="1"/>
  <c r="AP338" i="1" s="1"/>
  <c r="AJ349" i="1"/>
  <c r="AG219" i="1"/>
  <c r="AH219" i="1" s="1"/>
  <c r="AO219" i="1" s="1"/>
  <c r="AP219" i="1" s="1"/>
  <c r="AL338" i="1"/>
  <c r="BH128" i="1"/>
  <c r="BI128" i="1" s="1"/>
  <c r="AJ244" i="1"/>
  <c r="AL69" i="1"/>
  <c r="BH69" i="1" s="1"/>
  <c r="BI69" i="1" s="1"/>
  <c r="AK549" i="1"/>
  <c r="AJ657" i="1"/>
  <c r="AJ123" i="1"/>
  <c r="BW274" i="1"/>
  <c r="AK657" i="1"/>
  <c r="AJ187" i="1"/>
  <c r="AL274" i="1"/>
  <c r="AL195" i="1"/>
  <c r="AK99" i="1"/>
  <c r="AO434" i="1"/>
  <c r="AP434" i="1" s="1"/>
  <c r="BW645" i="1"/>
  <c r="AG244" i="1"/>
  <c r="AH244" i="1" s="1"/>
  <c r="AO244" i="1" s="1"/>
  <c r="AP244" i="1" s="1"/>
  <c r="AL79" i="1"/>
  <c r="AG79" i="1"/>
  <c r="AH79" i="1" s="1"/>
  <c r="AO79" i="1" s="1"/>
  <c r="AP79" i="1" s="1"/>
  <c r="AJ69" i="1"/>
  <c r="AG123" i="1"/>
  <c r="AH123" i="1" s="1"/>
  <c r="AO123" i="1" s="1"/>
  <c r="AP123" i="1" s="1"/>
  <c r="AJ413" i="1"/>
  <c r="AK413" i="1"/>
  <c r="AL599" i="1"/>
  <c r="AG45" i="1"/>
  <c r="AH45" i="1" s="1"/>
  <c r="AO45" i="1" s="1"/>
  <c r="AP45" i="1" s="1"/>
  <c r="AL326" i="1"/>
  <c r="AG99" i="1"/>
  <c r="AH99" i="1" s="1"/>
  <c r="AO99" i="1" s="1"/>
  <c r="AP99" i="1" s="1"/>
  <c r="AJ99" i="1"/>
  <c r="BW391" i="1"/>
  <c r="BL434" i="1"/>
  <c r="BH155" i="1"/>
  <c r="BI155" i="1" s="1"/>
  <c r="AK434" i="1"/>
  <c r="BE434" i="1" s="1"/>
  <c r="BF434" i="1" s="1"/>
  <c r="BG434" i="1" s="1"/>
  <c r="AK219" i="1"/>
  <c r="BE219" i="1" s="1"/>
  <c r="BF219" i="1" s="1"/>
  <c r="BG219" i="1" s="1"/>
  <c r="AK367" i="1"/>
  <c r="BE367" i="1" s="1"/>
  <c r="BF367" i="1" s="1"/>
  <c r="BG367" i="1" s="1"/>
  <c r="AG580" i="1"/>
  <c r="AH580" i="1" s="1"/>
  <c r="AO580" i="1" s="1"/>
  <c r="AP580" i="1" s="1"/>
  <c r="AJ654" i="1"/>
  <c r="AG498" i="1"/>
  <c r="AH498" i="1" s="1"/>
  <c r="AO498" i="1" s="1"/>
  <c r="AP498" i="1" s="1"/>
  <c r="BY12" i="1"/>
  <c r="BZ12" i="1" s="1"/>
  <c r="AK39" i="1"/>
  <c r="BE39" i="1" s="1"/>
  <c r="BF39" i="1" s="1"/>
  <c r="BG39" i="1" s="1"/>
  <c r="AJ79" i="1"/>
  <c r="AL565" i="1"/>
  <c r="AL20" i="1"/>
  <c r="AJ599" i="1"/>
  <c r="AJ195" i="1"/>
  <c r="AK274" i="1"/>
  <c r="BY274" i="1" s="1"/>
  <c r="BZ274" i="1" s="1"/>
  <c r="AJ434" i="1"/>
  <c r="AL657" i="1"/>
  <c r="AK259" i="1"/>
  <c r="AG195" i="1"/>
  <c r="AH195" i="1" s="1"/>
  <c r="AO195" i="1" s="1"/>
  <c r="AP195" i="1" s="1"/>
  <c r="AJ263" i="1"/>
  <c r="AG367" i="1"/>
  <c r="AH367" i="1" s="1"/>
  <c r="AO367" i="1" s="1"/>
  <c r="AP367" i="1" s="1"/>
  <c r="AL645" i="1"/>
  <c r="AG631" i="1"/>
  <c r="AH631" i="1" s="1"/>
  <c r="AO631" i="1" s="1"/>
  <c r="AP631" i="1" s="1"/>
  <c r="AJ565" i="1"/>
  <c r="AK565" i="1"/>
  <c r="AK20" i="1"/>
  <c r="AL80" i="1"/>
  <c r="AL434" i="1"/>
  <c r="AJ259" i="1"/>
  <c r="AK599" i="1"/>
  <c r="BE599" i="1" s="1"/>
  <c r="BF599" i="1" s="1"/>
  <c r="BG599" i="1" s="1"/>
  <c r="AL367" i="1"/>
  <c r="AL259" i="1"/>
  <c r="AJ274" i="1"/>
  <c r="AJ179" i="1"/>
  <c r="AL441" i="1"/>
  <c r="AJ536" i="1"/>
  <c r="AL609" i="1"/>
  <c r="BH609" i="1" s="1"/>
  <c r="BI609" i="1" s="1"/>
  <c r="AG609" i="1"/>
  <c r="AH609" i="1" s="1"/>
  <c r="AO609" i="1" s="1"/>
  <c r="AP609" i="1" s="1"/>
  <c r="AJ271" i="1"/>
  <c r="AJ362" i="1"/>
  <c r="AL545" i="1"/>
  <c r="AK354" i="1"/>
  <c r="BE354" i="1" s="1"/>
  <c r="BF354" i="1" s="1"/>
  <c r="BG354" i="1" s="1"/>
  <c r="BH354" i="1" s="1"/>
  <c r="AJ147" i="1"/>
  <c r="AL331" i="1"/>
  <c r="BY84" i="1"/>
  <c r="BZ84" i="1" s="1"/>
  <c r="AK545" i="1"/>
  <c r="AL207" i="1"/>
  <c r="BW441" i="1"/>
  <c r="AG255" i="1"/>
  <c r="AH255" i="1" s="1"/>
  <c r="AO255" i="1" s="1"/>
  <c r="AP255" i="1" s="1"/>
  <c r="AG231" i="1"/>
  <c r="AH231" i="1" s="1"/>
  <c r="AO231" i="1" s="1"/>
  <c r="AP231" i="1" s="1"/>
  <c r="AG497" i="1"/>
  <c r="AH497" i="1" s="1"/>
  <c r="AO497" i="1" s="1"/>
  <c r="AP497" i="1" s="1"/>
  <c r="AG572" i="1"/>
  <c r="AH572" i="1" s="1"/>
  <c r="AO572" i="1" s="1"/>
  <c r="AP572" i="1" s="1"/>
  <c r="AJ572" i="1"/>
  <c r="AL125" i="1"/>
  <c r="AL147" i="1"/>
  <c r="AJ609" i="1"/>
  <c r="AJ514" i="1"/>
  <c r="AL118" i="1"/>
  <c r="AJ153" i="1"/>
  <c r="AK441" i="1"/>
  <c r="BY441" i="1" s="1"/>
  <c r="BZ441" i="1" s="1"/>
  <c r="AG577" i="1"/>
  <c r="AH577" i="1" s="1"/>
  <c r="AO577" i="1" s="1"/>
  <c r="AP577" i="1" s="1"/>
  <c r="AL189" i="1"/>
  <c r="BW153" i="1"/>
  <c r="AJ231" i="1"/>
  <c r="AK536" i="1"/>
  <c r="AK331" i="1"/>
  <c r="AL580" i="1"/>
  <c r="AJ255" i="1"/>
  <c r="AJ441" i="1"/>
  <c r="AL153" i="1"/>
  <c r="AL271" i="1"/>
  <c r="AK497" i="1"/>
  <c r="BM457" i="1"/>
  <c r="AK255" i="1"/>
  <c r="AK466" i="1"/>
  <c r="AL318" i="1"/>
  <c r="AK318" i="1"/>
  <c r="AK605" i="1"/>
  <c r="AG38" i="1"/>
  <c r="AH38" i="1" s="1"/>
  <c r="AO38" i="1" s="1"/>
  <c r="AP38" i="1" s="1"/>
  <c r="BL289" i="1"/>
  <c r="AJ616" i="1"/>
  <c r="BY330" i="1"/>
  <c r="BZ330" i="1" s="1"/>
  <c r="AJ523" i="1"/>
  <c r="AL166" i="1"/>
  <c r="AG169" i="1"/>
  <c r="AH169" i="1" s="1"/>
  <c r="AO169" i="1" s="1"/>
  <c r="AP169" i="1" s="1"/>
  <c r="AG362" i="1"/>
  <c r="AH362" i="1" s="1"/>
  <c r="AO362" i="1" s="1"/>
  <c r="AP362" i="1" s="1"/>
  <c r="AK213" i="1"/>
  <c r="AJ629" i="1"/>
  <c r="AG616" i="1"/>
  <c r="AH616" i="1" s="1"/>
  <c r="AO616" i="1" s="1"/>
  <c r="AP616" i="1" s="1"/>
  <c r="BW102" i="1"/>
  <c r="BX128" i="1"/>
  <c r="BY128" i="1" s="1"/>
  <c r="BZ128" i="1" s="1"/>
  <c r="AL498" i="1"/>
  <c r="BH498" i="1" s="1"/>
  <c r="BI498" i="1" s="1"/>
  <c r="BH339" i="1"/>
  <c r="BI339" i="1" s="1"/>
  <c r="AG198" i="1"/>
  <c r="AH198" i="1" s="1"/>
  <c r="AO198" i="1" s="1"/>
  <c r="AP198" i="1" s="1"/>
  <c r="AG94" i="1"/>
  <c r="AH94" i="1" s="1"/>
  <c r="AO94" i="1" s="1"/>
  <c r="AP94" i="1" s="1"/>
  <c r="AL213" i="1"/>
  <c r="AJ530" i="1"/>
  <c r="AK253" i="1"/>
  <c r="AG160" i="1"/>
  <c r="AH160" i="1" s="1"/>
  <c r="AO160" i="1" s="1"/>
  <c r="AP160" i="1" s="1"/>
  <c r="AL378" i="1"/>
  <c r="AK166" i="1"/>
  <c r="AG470" i="1"/>
  <c r="AH470" i="1" s="1"/>
  <c r="AO470" i="1" s="1"/>
  <c r="AP470" i="1" s="1"/>
  <c r="AK314" i="1"/>
  <c r="BY314" i="1" s="1"/>
  <c r="BZ314" i="1" s="1"/>
  <c r="AG299" i="1"/>
  <c r="AH299" i="1" s="1"/>
  <c r="AO299" i="1" s="1"/>
  <c r="AP299" i="1" s="1"/>
  <c r="BL140" i="1"/>
  <c r="AK606" i="1"/>
  <c r="BE606" i="1" s="1"/>
  <c r="BF606" i="1" s="1"/>
  <c r="BG606" i="1" s="1"/>
  <c r="AJ330" i="1"/>
  <c r="AL298" i="1"/>
  <c r="AK298" i="1"/>
  <c r="BY298" i="1" s="1"/>
  <c r="BZ298" i="1" s="1"/>
  <c r="AL672" i="1"/>
  <c r="AJ449" i="1"/>
  <c r="AK153" i="1"/>
  <c r="BE153" i="1" s="1"/>
  <c r="BF153" i="1" s="1"/>
  <c r="BG153" i="1" s="1"/>
  <c r="AK94" i="1"/>
  <c r="AK335" i="1"/>
  <c r="AK449" i="1"/>
  <c r="BE449" i="1" s="1"/>
  <c r="BF449" i="1" s="1"/>
  <c r="BG449" i="1" s="1"/>
  <c r="AL39" i="1"/>
  <c r="AK514" i="1"/>
  <c r="AG660" i="1"/>
  <c r="AH660" i="1" s="1"/>
  <c r="AO660" i="1" s="1"/>
  <c r="AP660" i="1" s="1"/>
  <c r="AL471" i="1"/>
  <c r="AL160" i="1"/>
  <c r="AK611" i="1"/>
  <c r="BE611" i="1" s="1"/>
  <c r="BF611" i="1" s="1"/>
  <c r="BG611" i="1" s="1"/>
  <c r="AJ470" i="1"/>
  <c r="AL314" i="1"/>
  <c r="AL444" i="1"/>
  <c r="AL413" i="1"/>
  <c r="AG263" i="1"/>
  <c r="AH263" i="1" s="1"/>
  <c r="AO263" i="1" s="1"/>
  <c r="AP263" i="1" s="1"/>
  <c r="AJ142" i="1"/>
  <c r="AJ298" i="1"/>
  <c r="AL294" i="1"/>
  <c r="AG199" i="1"/>
  <c r="AH199" i="1" s="1"/>
  <c r="AO199" i="1" s="1"/>
  <c r="AP199" i="1" s="1"/>
  <c r="AL199" i="1"/>
  <c r="AL590" i="1"/>
  <c r="AO289" i="1"/>
  <c r="AP289" i="1" s="1"/>
  <c r="AG476" i="1"/>
  <c r="AH476" i="1" s="1"/>
  <c r="AO476" i="1" s="1"/>
  <c r="AP476" i="1" s="1"/>
  <c r="AJ672" i="1"/>
  <c r="AJ235" i="1"/>
  <c r="AG235" i="1"/>
  <c r="AH235" i="1" s="1"/>
  <c r="AO235" i="1" s="1"/>
  <c r="AP235" i="1" s="1"/>
  <c r="AL191" i="1"/>
  <c r="AG191" i="1"/>
  <c r="AH191" i="1" s="1"/>
  <c r="AO191" i="1" s="1"/>
  <c r="AP191" i="1" s="1"/>
  <c r="AJ391" i="1"/>
  <c r="AG330" i="1"/>
  <c r="AH330" i="1" s="1"/>
  <c r="AO330" i="1" s="1"/>
  <c r="AP330" i="1" s="1"/>
  <c r="AJ466" i="1"/>
  <c r="AL466" i="1"/>
  <c r="AL358" i="1"/>
  <c r="AK235" i="1"/>
  <c r="BY235" i="1" s="1"/>
  <c r="BZ235" i="1" s="1"/>
  <c r="AJ299" i="1"/>
  <c r="AL515" i="1"/>
  <c r="BW235" i="1"/>
  <c r="AL94" i="1"/>
  <c r="AG590" i="1"/>
  <c r="AH590" i="1" s="1"/>
  <c r="AO590" i="1" s="1"/>
  <c r="AP590" i="1" s="1"/>
  <c r="AJ331" i="1"/>
  <c r="AK590" i="1"/>
  <c r="BE590" i="1" s="1"/>
  <c r="BF590" i="1" s="1"/>
  <c r="BG590" i="1" s="1"/>
  <c r="AL514" i="1"/>
  <c r="AK580" i="1"/>
  <c r="BE580" i="1" s="1"/>
  <c r="BF580" i="1" s="1"/>
  <c r="BG580" i="1" s="1"/>
  <c r="AJ432" i="1"/>
  <c r="AG432" i="1"/>
  <c r="AH432" i="1" s="1"/>
  <c r="AO432" i="1" s="1"/>
  <c r="AP432" i="1" s="1"/>
  <c r="AJ314" i="1"/>
  <c r="AK444" i="1"/>
  <c r="AG298" i="1"/>
  <c r="AH298" i="1" s="1"/>
  <c r="AL50" i="1"/>
  <c r="AL330" i="1"/>
  <c r="BL153" i="1"/>
  <c r="AJ660" i="1"/>
  <c r="AG39" i="1"/>
  <c r="AH39" i="1" s="1"/>
  <c r="AO39" i="1" s="1"/>
  <c r="AP39" i="1" s="1"/>
  <c r="AG166" i="1"/>
  <c r="AH166" i="1" s="1"/>
  <c r="AO166" i="1" s="1"/>
  <c r="AP166" i="1" s="1"/>
  <c r="AG444" i="1"/>
  <c r="AH444" i="1" s="1"/>
  <c r="AO444" i="1" s="1"/>
  <c r="AP444" i="1" s="1"/>
  <c r="AK38" i="1"/>
  <c r="BE38" i="1" s="1"/>
  <c r="BF38" i="1" s="1"/>
  <c r="BG38" i="1" s="1"/>
  <c r="AK391" i="1"/>
  <c r="BY391" i="1" s="1"/>
  <c r="BZ391" i="1" s="1"/>
  <c r="AK223" i="1"/>
  <c r="BE223" i="1" s="1"/>
  <c r="BF223" i="1" s="1"/>
  <c r="BG223" i="1" s="1"/>
  <c r="BH223" i="1" s="1"/>
  <c r="AJ50" i="1"/>
  <c r="AL613" i="1"/>
  <c r="AL299" i="1"/>
  <c r="AG318" i="1"/>
  <c r="AH318" i="1" s="1"/>
  <c r="AO318" i="1" s="1"/>
  <c r="AP318" i="1" s="1"/>
  <c r="AJ294" i="1"/>
  <c r="AL497" i="1"/>
  <c r="AL179" i="1"/>
  <c r="AG179" i="1"/>
  <c r="AH179" i="1" s="1"/>
  <c r="AO179" i="1" s="1"/>
  <c r="AP179" i="1" s="1"/>
  <c r="AL279" i="1"/>
  <c r="AK279" i="1"/>
  <c r="AJ279" i="1"/>
  <c r="AO153" i="1"/>
  <c r="AP153" i="1" s="1"/>
  <c r="AJ223" i="1"/>
  <c r="AK324" i="1"/>
  <c r="AK243" i="1"/>
  <c r="AK378" i="1"/>
  <c r="AL616" i="1"/>
  <c r="AG613" i="1"/>
  <c r="AH613" i="1" s="1"/>
  <c r="AO613" i="1" s="1"/>
  <c r="AP613" i="1" s="1"/>
  <c r="AK613" i="1"/>
  <c r="BE613" i="1" s="1"/>
  <c r="BF613" i="1" s="1"/>
  <c r="BG613" i="1" s="1"/>
  <c r="AK470" i="1"/>
  <c r="AK207" i="1"/>
  <c r="AJ286" i="1"/>
  <c r="AK286" i="1"/>
  <c r="AL286" i="1"/>
  <c r="AL253" i="1"/>
  <c r="AG223" i="1"/>
  <c r="AH223" i="1" s="1"/>
  <c r="AO223" i="1" s="1"/>
  <c r="AP223" i="1" s="1"/>
  <c r="AL243" i="1"/>
  <c r="AG243" i="1"/>
  <c r="AH243" i="1" s="1"/>
  <c r="AO243" i="1" s="1"/>
  <c r="AP243" i="1" s="1"/>
  <c r="AG373" i="1"/>
  <c r="AH373" i="1" s="1"/>
  <c r="AO373" i="1" s="1"/>
  <c r="AP373" i="1" s="1"/>
  <c r="AL449" i="1"/>
  <c r="AK530" i="1"/>
  <c r="AJ191" i="1"/>
  <c r="AK294" i="1"/>
  <c r="AG207" i="1"/>
  <c r="AH207" i="1" s="1"/>
  <c r="AO207" i="1" s="1"/>
  <c r="AP207" i="1" s="1"/>
  <c r="AJ447" i="1"/>
  <c r="AK447" i="1"/>
  <c r="AL278" i="1"/>
  <c r="AJ278" i="1"/>
  <c r="AK278" i="1"/>
  <c r="AG278" i="1"/>
  <c r="AH278" i="1" s="1"/>
  <c r="AO278" i="1" s="1"/>
  <c r="AP278" i="1" s="1"/>
  <c r="AL561" i="1"/>
  <c r="AG523" i="1"/>
  <c r="AH523" i="1" s="1"/>
  <c r="AO523" i="1" s="1"/>
  <c r="AP523" i="1" s="1"/>
  <c r="AL660" i="1"/>
  <c r="AG578" i="1"/>
  <c r="AH578" i="1" s="1"/>
  <c r="AO578" i="1" s="1"/>
  <c r="AP578" i="1" s="1"/>
  <c r="AL263" i="1"/>
  <c r="AG672" i="1"/>
  <c r="AH672" i="1" s="1"/>
  <c r="AO672" i="1" s="1"/>
  <c r="AP672" i="1" s="1"/>
  <c r="AG142" i="1"/>
  <c r="AH142" i="1" s="1"/>
  <c r="AO142" i="1" s="1"/>
  <c r="AP142" i="1" s="1"/>
  <c r="AG50" i="1"/>
  <c r="AH50" i="1" s="1"/>
  <c r="AO50" i="1" s="1"/>
  <c r="AP50" i="1" s="1"/>
  <c r="AJ275" i="1"/>
  <c r="AK275" i="1"/>
  <c r="AL275" i="1"/>
  <c r="AG275" i="1"/>
  <c r="AH275" i="1" s="1"/>
  <c r="AO275" i="1" s="1"/>
  <c r="AP275" i="1" s="1"/>
  <c r="AL605" i="1"/>
  <c r="AG213" i="1"/>
  <c r="AH213" i="1" s="1"/>
  <c r="AO213" i="1" s="1"/>
  <c r="AP213" i="1" s="1"/>
  <c r="AL530" i="1"/>
  <c r="AL523" i="1"/>
  <c r="AJ378" i="1"/>
  <c r="AL391" i="1"/>
  <c r="AK160" i="1"/>
  <c r="AL38" i="1"/>
  <c r="AG461" i="1"/>
  <c r="AH461" i="1" s="1"/>
  <c r="AO461" i="1" s="1"/>
  <c r="AP461" i="1" s="1"/>
  <c r="AJ461" i="1"/>
  <c r="AL461" i="1"/>
  <c r="BH662" i="1"/>
  <c r="AK189" i="1"/>
  <c r="AG249" i="1"/>
  <c r="AH249" i="1" s="1"/>
  <c r="AO249" i="1" s="1"/>
  <c r="AP249" i="1" s="1"/>
  <c r="AK36" i="1"/>
  <c r="BE36" i="1" s="1"/>
  <c r="BF36" i="1" s="1"/>
  <c r="BG36" i="1" s="1"/>
  <c r="BH345" i="1"/>
  <c r="BI345" i="1" s="1"/>
  <c r="AL106" i="1"/>
  <c r="AK106" i="1"/>
  <c r="AG479" i="1"/>
  <c r="AH479" i="1" s="1"/>
  <c r="AO479" i="1" s="1"/>
  <c r="AP479" i="1" s="1"/>
  <c r="BY184" i="1"/>
  <c r="BZ184" i="1" s="1"/>
  <c r="AJ551" i="1"/>
  <c r="AL667" i="1"/>
  <c r="AG165" i="1"/>
  <c r="AH165" i="1" s="1"/>
  <c r="AO165" i="1" s="1"/>
  <c r="AP165" i="1" s="1"/>
  <c r="AJ253" i="1"/>
  <c r="BH527" i="1"/>
  <c r="BI527" i="1" s="1"/>
  <c r="AG106" i="1"/>
  <c r="AH106" i="1" s="1"/>
  <c r="AO106" i="1" s="1"/>
  <c r="AP106" i="1" s="1"/>
  <c r="AL112" i="1"/>
  <c r="AJ82" i="1"/>
  <c r="AK82" i="1"/>
  <c r="AL82" i="1"/>
  <c r="AG485" i="1"/>
  <c r="AH485" i="1" s="1"/>
  <c r="AO485" i="1" s="1"/>
  <c r="AP485" i="1" s="1"/>
  <c r="AK461" i="1"/>
  <c r="BE461" i="1" s="1"/>
  <c r="BF461" i="1" s="1"/>
  <c r="BG461" i="1" s="1"/>
  <c r="AK625" i="1"/>
  <c r="AG354" i="1"/>
  <c r="AH354" i="1" s="1"/>
  <c r="BH407" i="1"/>
  <c r="BI407" i="1" s="1"/>
  <c r="AJ479" i="1"/>
  <c r="AG189" i="1"/>
  <c r="AH189" i="1" s="1"/>
  <c r="AO189" i="1" s="1"/>
  <c r="AP189" i="1" s="1"/>
  <c r="AJ249" i="1"/>
  <c r="AL654" i="1"/>
  <c r="AJ498" i="1"/>
  <c r="AK343" i="1"/>
  <c r="BE343" i="1" s="1"/>
  <c r="BF343" i="1" s="1"/>
  <c r="BG343" i="1" s="1"/>
  <c r="BM140" i="1"/>
  <c r="AJ130" i="1"/>
  <c r="AL130" i="1"/>
  <c r="AG130" i="1"/>
  <c r="AH130" i="1" s="1"/>
  <c r="AL559" i="1"/>
  <c r="AK249" i="1"/>
  <c r="AK654" i="1"/>
  <c r="AK54" i="1"/>
  <c r="BE54" i="1" s="1"/>
  <c r="BF54" i="1" s="1"/>
  <c r="BG54" i="1" s="1"/>
  <c r="AJ559" i="1"/>
  <c r="AG343" i="1"/>
  <c r="AH343" i="1" s="1"/>
  <c r="AO343" i="1" s="1"/>
  <c r="AP343" i="1" s="1"/>
  <c r="AG54" i="1"/>
  <c r="AH54" i="1" s="1"/>
  <c r="AO54" i="1" s="1"/>
  <c r="AP54" i="1" s="1"/>
  <c r="AG559" i="1"/>
  <c r="AH559" i="1" s="1"/>
  <c r="AO559" i="1" s="1"/>
  <c r="AP559" i="1" s="1"/>
  <c r="AJ106" i="1"/>
  <c r="AK165" i="1"/>
  <c r="AK387" i="1"/>
  <c r="AJ630" i="1"/>
  <c r="AK630" i="1"/>
  <c r="AK513" i="1"/>
  <c r="AJ513" i="1"/>
  <c r="AG513" i="1"/>
  <c r="AH513" i="1" s="1"/>
  <c r="AL54" i="1"/>
  <c r="AK112" i="1"/>
  <c r="AJ354" i="1"/>
  <c r="AJ343" i="1"/>
  <c r="AK118" i="1"/>
  <c r="AJ118" i="1"/>
  <c r="AG112" i="1"/>
  <c r="AH112" i="1" s="1"/>
  <c r="AO112" i="1" s="1"/>
  <c r="AP112" i="1" s="1"/>
  <c r="AG423" i="1"/>
  <c r="AH423" i="1" s="1"/>
  <c r="AO423" i="1" s="1"/>
  <c r="AP423" i="1" s="1"/>
  <c r="AJ423" i="1"/>
  <c r="AJ670" i="1"/>
  <c r="AL427" i="1"/>
  <c r="AK154" i="1"/>
  <c r="BW601" i="1"/>
  <c r="AG11" i="1"/>
  <c r="AH11" i="1" s="1"/>
  <c r="AO11" i="1" s="1"/>
  <c r="AP11" i="1" s="1"/>
  <c r="AJ210" i="1"/>
  <c r="AG176" i="1"/>
  <c r="AH176" i="1" s="1"/>
  <c r="AO176" i="1" s="1"/>
  <c r="AP176" i="1" s="1"/>
  <c r="AL403" i="1"/>
  <c r="AG403" i="1"/>
  <c r="AH403" i="1" s="1"/>
  <c r="AO403" i="1" s="1"/>
  <c r="AP403" i="1" s="1"/>
  <c r="AK403" i="1"/>
  <c r="AJ403" i="1"/>
  <c r="AK653" i="1"/>
  <c r="AG653" i="1"/>
  <c r="AH653" i="1" s="1"/>
  <c r="AO653" i="1" s="1"/>
  <c r="AP653" i="1" s="1"/>
  <c r="AJ653" i="1"/>
  <c r="AL653" i="1"/>
  <c r="AG386" i="1"/>
  <c r="AH386" i="1" s="1"/>
  <c r="AO386" i="1" s="1"/>
  <c r="AP386" i="1" s="1"/>
  <c r="AJ194" i="1"/>
  <c r="AL385" i="1"/>
  <c r="AJ489" i="1"/>
  <c r="AG489" i="1"/>
  <c r="AH489" i="1" s="1"/>
  <c r="AO489" i="1" s="1"/>
  <c r="AP489" i="1" s="1"/>
  <c r="AK489" i="1"/>
  <c r="AJ168" i="1"/>
  <c r="AJ387" i="1"/>
  <c r="AK423" i="1"/>
  <c r="AL232" i="1"/>
  <c r="AL387" i="1"/>
  <c r="AL194" i="1"/>
  <c r="AK484" i="1"/>
  <c r="BH602" i="1"/>
  <c r="BI602" i="1" s="1"/>
  <c r="AL626" i="1"/>
  <c r="AL88" i="1"/>
  <c r="AL670" i="1"/>
  <c r="AK427" i="1"/>
  <c r="AL644" i="1"/>
  <c r="AJ176" i="1"/>
  <c r="AJ667" i="1"/>
  <c r="AG615" i="1"/>
  <c r="AH615" i="1" s="1"/>
  <c r="AO615" i="1" s="1"/>
  <c r="AP615" i="1" s="1"/>
  <c r="AK439" i="1"/>
  <c r="AL551" i="1"/>
  <c r="AG644" i="1"/>
  <c r="AH644" i="1" s="1"/>
  <c r="AO644" i="1" s="1"/>
  <c r="AP644" i="1" s="1"/>
  <c r="AL176" i="1"/>
  <c r="AK617" i="1"/>
  <c r="AG647" i="1"/>
  <c r="AH647" i="1" s="1"/>
  <c r="AO647" i="1" s="1"/>
  <c r="AP647" i="1" s="1"/>
  <c r="AJ647" i="1"/>
  <c r="AK647" i="1"/>
  <c r="AL647" i="1"/>
  <c r="AG439" i="1"/>
  <c r="AH439" i="1" s="1"/>
  <c r="AO439" i="1" s="1"/>
  <c r="AP439" i="1" s="1"/>
  <c r="BH344" i="1"/>
  <c r="BI344" i="1" s="1"/>
  <c r="BY551" i="1"/>
  <c r="BZ551" i="1" s="1"/>
  <c r="AJ617" i="1"/>
  <c r="AK631" i="1"/>
  <c r="AG161" i="1"/>
  <c r="AH161" i="1" s="1"/>
  <c r="AO161" i="1" s="1"/>
  <c r="AP161" i="1" s="1"/>
  <c r="AK644" i="1"/>
  <c r="AK615" i="1"/>
  <c r="AL661" i="1"/>
  <c r="AG625" i="1"/>
  <c r="AH625" i="1" s="1"/>
  <c r="AO625" i="1" s="1"/>
  <c r="AP625" i="1" s="1"/>
  <c r="AL625" i="1"/>
  <c r="AG601" i="1"/>
  <c r="AH601" i="1" s="1"/>
  <c r="AO601" i="1" s="1"/>
  <c r="AP601" i="1" s="1"/>
  <c r="AL439" i="1"/>
  <c r="BW330" i="1"/>
  <c r="AJ573" i="1"/>
  <c r="AJ427" i="1"/>
  <c r="AL479" i="1"/>
  <c r="AK661" i="1"/>
  <c r="BE661" i="1" s="1"/>
  <c r="BF661" i="1" s="1"/>
  <c r="BG661" i="1" s="1"/>
  <c r="AG154" i="1"/>
  <c r="AH154" i="1" s="1"/>
  <c r="AO154" i="1" s="1"/>
  <c r="AP154" i="1" s="1"/>
  <c r="AL154" i="1"/>
  <c r="AG551" i="1"/>
  <c r="AH551" i="1" s="1"/>
  <c r="AO551" i="1" s="1"/>
  <c r="AP551" i="1" s="1"/>
  <c r="BH665" i="1"/>
  <c r="AL210" i="1"/>
  <c r="AG88" i="1"/>
  <c r="AH88" i="1" s="1"/>
  <c r="AO88" i="1" s="1"/>
  <c r="AP88" i="1" s="1"/>
  <c r="AJ375" i="1"/>
  <c r="AK11" i="1"/>
  <c r="BE11" i="1" s="1"/>
  <c r="BF11" i="1" s="1"/>
  <c r="BG11" i="1" s="1"/>
  <c r="AG8" i="1"/>
  <c r="AH8" i="1" s="1"/>
  <c r="AO8" i="1" s="1"/>
  <c r="AP8" i="1" s="1"/>
  <c r="AJ8" i="1"/>
  <c r="AK8" i="1"/>
  <c r="AL8" i="1"/>
  <c r="AG617" i="1"/>
  <c r="AH617" i="1" s="1"/>
  <c r="AO617" i="1" s="1"/>
  <c r="AP617" i="1" s="1"/>
  <c r="AG661" i="1"/>
  <c r="AH661" i="1" s="1"/>
  <c r="AO661" i="1" s="1"/>
  <c r="AP661" i="1" s="1"/>
  <c r="AK666" i="1"/>
  <c r="BE666" i="1" s="1"/>
  <c r="BF666" i="1" s="1"/>
  <c r="BG666" i="1" s="1"/>
  <c r="AG666" i="1"/>
  <c r="AH666" i="1" s="1"/>
  <c r="AO666" i="1" s="1"/>
  <c r="AP666" i="1" s="1"/>
  <c r="AJ666" i="1"/>
  <c r="AK328" i="1"/>
  <c r="AK194" i="1"/>
  <c r="AK667" i="1"/>
  <c r="AJ88" i="1"/>
  <c r="AL666" i="1"/>
  <c r="AG342" i="1"/>
  <c r="AH342" i="1" s="1"/>
  <c r="AO342" i="1" s="1"/>
  <c r="AP342" i="1" s="1"/>
  <c r="AJ342" i="1"/>
  <c r="AK342" i="1"/>
  <c r="BE342" i="1" s="1"/>
  <c r="BF342" i="1" s="1"/>
  <c r="BG342" i="1" s="1"/>
  <c r="AL342" i="1"/>
  <c r="AG328" i="1"/>
  <c r="AH328" i="1" s="1"/>
  <c r="AO328" i="1" s="1"/>
  <c r="AP328" i="1" s="1"/>
  <c r="AG55" i="1"/>
  <c r="AH55" i="1" s="1"/>
  <c r="AO55" i="1" s="1"/>
  <c r="AP55" i="1" s="1"/>
  <c r="AL11" i="1"/>
  <c r="AK670" i="1"/>
  <c r="AL631" i="1"/>
  <c r="BG457" i="1"/>
  <c r="BH457" i="1" s="1"/>
  <c r="BI457" i="1" s="1"/>
  <c r="AG248" i="1"/>
  <c r="AH248" i="1" s="1"/>
  <c r="AO248" i="1" s="1"/>
  <c r="AP248" i="1" s="1"/>
  <c r="AL248" i="1"/>
  <c r="AJ588" i="1"/>
  <c r="AK156" i="1"/>
  <c r="BY156" i="1" s="1"/>
  <c r="BZ156" i="1" s="1"/>
  <c r="BE173" i="1"/>
  <c r="BF173" i="1" s="1"/>
  <c r="BG173" i="1" s="1"/>
  <c r="BL514" i="1"/>
  <c r="AL421" i="1"/>
  <c r="AG579" i="1"/>
  <c r="AH579" i="1" s="1"/>
  <c r="AO579" i="1" s="1"/>
  <c r="AP579" i="1" s="1"/>
  <c r="AL522" i="1"/>
  <c r="AG522" i="1"/>
  <c r="AH522" i="1" s="1"/>
  <c r="AO522" i="1" s="1"/>
  <c r="AP522" i="1" s="1"/>
  <c r="AK522" i="1"/>
  <c r="AJ522" i="1"/>
  <c r="AJ156" i="1"/>
  <c r="AJ421" i="1"/>
  <c r="AJ148" i="1"/>
  <c r="AK148" i="1"/>
  <c r="AJ373" i="1"/>
  <c r="AL373" i="1"/>
  <c r="AJ456" i="1"/>
  <c r="AL456" i="1"/>
  <c r="AG456" i="1"/>
  <c r="AH456" i="1" s="1"/>
  <c r="AK456" i="1"/>
  <c r="BE456" i="1" s="1"/>
  <c r="BF456" i="1" s="1"/>
  <c r="BG456" i="1" s="1"/>
  <c r="AG515" i="1"/>
  <c r="AH515" i="1" s="1"/>
  <c r="BM515" i="1" s="1"/>
  <c r="BN515" i="1" s="1"/>
  <c r="AJ515" i="1"/>
  <c r="AG421" i="1"/>
  <c r="AH421" i="1" s="1"/>
  <c r="AO421" i="1" s="1"/>
  <c r="AP421" i="1" s="1"/>
  <c r="BY144" i="1"/>
  <c r="BZ144" i="1" s="1"/>
  <c r="BW248" i="1"/>
  <c r="AK248" i="1"/>
  <c r="BY248" i="1" s="1"/>
  <c r="BZ248" i="1" s="1"/>
  <c r="AL172" i="1"/>
  <c r="AJ172" i="1"/>
  <c r="AG172" i="1"/>
  <c r="AH172" i="1" s="1"/>
  <c r="AO172" i="1" s="1"/>
  <c r="AP172" i="1" s="1"/>
  <c r="AK172" i="1"/>
  <c r="AK24" i="1"/>
  <c r="BE24" i="1" s="1"/>
  <c r="BF24" i="1" s="1"/>
  <c r="BG24" i="1" s="1"/>
  <c r="AG24" i="1"/>
  <c r="AH24" i="1" s="1"/>
  <c r="AJ24" i="1"/>
  <c r="BW84" i="1"/>
  <c r="AL397" i="1"/>
  <c r="BE526" i="1"/>
  <c r="BF526" i="1" s="1"/>
  <c r="BG526" i="1" s="1"/>
  <c r="BH526" i="1" s="1"/>
  <c r="BE190" i="1"/>
  <c r="BF190" i="1" s="1"/>
  <c r="BG190" i="1" s="1"/>
  <c r="BH190" i="1" s="1"/>
  <c r="AJ397" i="1"/>
  <c r="AG236" i="1"/>
  <c r="AH236" i="1" s="1"/>
  <c r="AO236" i="1" s="1"/>
  <c r="AP236" i="1" s="1"/>
  <c r="AL236" i="1"/>
  <c r="AJ236" i="1"/>
  <c r="BH145" i="1"/>
  <c r="BI145" i="1" s="1"/>
  <c r="AL588" i="1"/>
  <c r="AG397" i="1"/>
  <c r="AH397" i="1" s="1"/>
  <c r="AO397" i="1" s="1"/>
  <c r="AP397" i="1" s="1"/>
  <c r="BW522" i="1"/>
  <c r="AG232" i="1"/>
  <c r="AH232" i="1" s="1"/>
  <c r="AO232" i="1" s="1"/>
  <c r="AP232" i="1" s="1"/>
  <c r="AL161" i="1"/>
  <c r="AJ506" i="1"/>
  <c r="AL206" i="1"/>
  <c r="AK136" i="1"/>
  <c r="BE136" i="1" s="1"/>
  <c r="BF136" i="1" s="1"/>
  <c r="BG136" i="1" s="1"/>
  <c r="AK232" i="1"/>
  <c r="BE232" i="1" s="1"/>
  <c r="BF232" i="1" s="1"/>
  <c r="BG232" i="1" s="1"/>
  <c r="AL165" i="1"/>
  <c r="AK506" i="1"/>
  <c r="BW364" i="1"/>
  <c r="BY216" i="1"/>
  <c r="BZ216" i="1" s="1"/>
  <c r="AG196" i="1"/>
  <c r="AH196" i="1" s="1"/>
  <c r="AO196" i="1" s="1"/>
  <c r="AP196" i="1" s="1"/>
  <c r="AL477" i="1"/>
  <c r="AL62" i="1"/>
  <c r="AK62" i="1"/>
  <c r="BE62" i="1" s="1"/>
  <c r="BF62" i="1" s="1"/>
  <c r="BG62" i="1" s="1"/>
  <c r="AJ62" i="1"/>
  <c r="AG62" i="1"/>
  <c r="AH62" i="1" s="1"/>
  <c r="AL49" i="1"/>
  <c r="AJ49" i="1"/>
  <c r="BY563" i="1"/>
  <c r="BZ563" i="1" s="1"/>
  <c r="AJ70" i="1"/>
  <c r="AG506" i="1"/>
  <c r="AH506" i="1" s="1"/>
  <c r="AO506" i="1" s="1"/>
  <c r="AP506" i="1" s="1"/>
  <c r="AK196" i="1"/>
  <c r="BE196" i="1" s="1"/>
  <c r="BF196" i="1" s="1"/>
  <c r="BG196" i="1" s="1"/>
  <c r="BW415" i="1"/>
  <c r="AK636" i="1"/>
  <c r="BY636" i="1" s="1"/>
  <c r="BZ636" i="1" s="1"/>
  <c r="AG636" i="1"/>
  <c r="AH636" i="1" s="1"/>
  <c r="AO636" i="1" s="1"/>
  <c r="AP636" i="1" s="1"/>
  <c r="AL636" i="1"/>
  <c r="AJ636" i="1"/>
  <c r="AJ164" i="1"/>
  <c r="AK164" i="1"/>
  <c r="AL164" i="1"/>
  <c r="AG164" i="1"/>
  <c r="AH164" i="1" s="1"/>
  <c r="AO164" i="1" s="1"/>
  <c r="AP164" i="1" s="1"/>
  <c r="BY415" i="1"/>
  <c r="BZ415" i="1" s="1"/>
  <c r="AG70" i="1"/>
  <c r="AH70" i="1" s="1"/>
  <c r="AO70" i="1" s="1"/>
  <c r="AP70" i="1" s="1"/>
  <c r="AL460" i="1"/>
  <c r="BW120" i="1"/>
  <c r="AL196" i="1"/>
  <c r="AG201" i="1"/>
  <c r="AH201" i="1" s="1"/>
  <c r="AO201" i="1" s="1"/>
  <c r="AP201" i="1" s="1"/>
  <c r="AL201" i="1"/>
  <c r="AK477" i="1"/>
  <c r="BE477" i="1" s="1"/>
  <c r="BF477" i="1" s="1"/>
  <c r="BG477" i="1" s="1"/>
  <c r="AJ248" i="1"/>
  <c r="AL601" i="1"/>
  <c r="AJ601" i="1"/>
  <c r="AJ485" i="1"/>
  <c r="AK485" i="1"/>
  <c r="BH46" i="1"/>
  <c r="BI46" i="1" s="1"/>
  <c r="AK460" i="1"/>
  <c r="BE460" i="1" s="1"/>
  <c r="BF460" i="1" s="1"/>
  <c r="AL584" i="1"/>
  <c r="AK584" i="1"/>
  <c r="AG584" i="1"/>
  <c r="AH584" i="1" s="1"/>
  <c r="AO584" i="1" s="1"/>
  <c r="AP584" i="1" s="1"/>
  <c r="AJ584" i="1"/>
  <c r="AK169" i="1"/>
  <c r="BE169" i="1" s="1"/>
  <c r="BF169" i="1" s="1"/>
  <c r="BG169" i="1" s="1"/>
  <c r="AL169" i="1"/>
  <c r="AG512" i="1"/>
  <c r="AH512" i="1" s="1"/>
  <c r="BM512" i="1" s="1"/>
  <c r="BN512" i="1" s="1"/>
  <c r="AJ512" i="1"/>
  <c r="AL512" i="1"/>
  <c r="AK512" i="1"/>
  <c r="BE512" i="1" s="1"/>
  <c r="BF512" i="1" s="1"/>
  <c r="BG512" i="1" s="1"/>
  <c r="BE214" i="1"/>
  <c r="BF214" i="1" s="1"/>
  <c r="BG214" i="1" s="1"/>
  <c r="BH214" i="1" s="1"/>
  <c r="BY399" i="1"/>
  <c r="BZ399" i="1" s="1"/>
  <c r="AG460" i="1"/>
  <c r="AH460" i="1" s="1"/>
  <c r="AO460" i="1" s="1"/>
  <c r="AP460" i="1" s="1"/>
  <c r="AK588" i="1"/>
  <c r="BE588" i="1" s="1"/>
  <c r="BF588" i="1" s="1"/>
  <c r="BG588" i="1" s="1"/>
  <c r="AJ477" i="1"/>
  <c r="AL24" i="1"/>
  <c r="AJ161" i="1"/>
  <c r="AK649" i="1"/>
  <c r="AG649" i="1"/>
  <c r="AH649" i="1" s="1"/>
  <c r="AO649" i="1" s="1"/>
  <c r="AP649" i="1" s="1"/>
  <c r="AJ649" i="1"/>
  <c r="AL649" i="1"/>
  <c r="AL459" i="1"/>
  <c r="BW551" i="1"/>
  <c r="BW184" i="1"/>
  <c r="AJ545" i="1"/>
  <c r="AL472" i="1"/>
  <c r="AJ472" i="1"/>
  <c r="AG484" i="1"/>
  <c r="AH484" i="1" s="1"/>
  <c r="AO484" i="1" s="1"/>
  <c r="AP484" i="1" s="1"/>
  <c r="AL484" i="1"/>
  <c r="AJ546" i="1"/>
  <c r="AL98" i="1"/>
  <c r="BE464" i="1"/>
  <c r="BF464" i="1" s="1"/>
  <c r="BG464" i="1" s="1"/>
  <c r="BH464" i="1" s="1"/>
  <c r="AK662" i="1"/>
  <c r="BY662" i="1" s="1"/>
  <c r="BZ662" i="1" s="1"/>
  <c r="AL21" i="1"/>
  <c r="BW662" i="1"/>
  <c r="AK21" i="1"/>
  <c r="AJ26" i="1"/>
  <c r="BY140" i="1"/>
  <c r="BZ140" i="1" s="1"/>
  <c r="AK212" i="1"/>
  <c r="AJ212" i="1"/>
  <c r="AG212" i="1"/>
  <c r="AH212" i="1" s="1"/>
  <c r="AO212" i="1" s="1"/>
  <c r="AP212" i="1" s="1"/>
  <c r="AG136" i="1"/>
  <c r="AH136" i="1" s="1"/>
  <c r="AL136" i="1"/>
  <c r="BN492" i="1"/>
  <c r="BP492" i="1"/>
  <c r="AL26" i="1"/>
  <c r="AJ21" i="1"/>
  <c r="AL417" i="1"/>
  <c r="AK579" i="1"/>
  <c r="BE579" i="1" s="1"/>
  <c r="BF579" i="1" s="1"/>
  <c r="BG579" i="1" s="1"/>
  <c r="BH579" i="1" s="1"/>
  <c r="AJ579" i="1"/>
  <c r="AJ417" i="1"/>
  <c r="AL186" i="1"/>
  <c r="AL68" i="1"/>
  <c r="AK9" i="1"/>
  <c r="BE9" i="1" s="1"/>
  <c r="BF9" i="1" s="1"/>
  <c r="BG9" i="1" s="1"/>
  <c r="AJ385" i="1"/>
  <c r="AJ480" i="1"/>
  <c r="AG480" i="1"/>
  <c r="AH480" i="1" s="1"/>
  <c r="AO480" i="1" s="1"/>
  <c r="AP480" i="1" s="1"/>
  <c r="AK480" i="1"/>
  <c r="AL480" i="1"/>
  <c r="AJ476" i="1"/>
  <c r="AK476" i="1"/>
  <c r="BE476" i="1" s="1"/>
  <c r="BF476" i="1" s="1"/>
  <c r="BG476" i="1" s="1"/>
  <c r="AG442" i="1"/>
  <c r="AH442" i="1" s="1"/>
  <c r="AO442" i="1" s="1"/>
  <c r="AP442" i="1" s="1"/>
  <c r="AJ442" i="1"/>
  <c r="AK442" i="1"/>
  <c r="BE442" i="1" s="1"/>
  <c r="BF442" i="1" s="1"/>
  <c r="AL442" i="1"/>
  <c r="AG417" i="1"/>
  <c r="AH417" i="1" s="1"/>
  <c r="AO417" i="1" s="1"/>
  <c r="AP417" i="1" s="1"/>
  <c r="AJ186" i="1"/>
  <c r="AK385" i="1"/>
  <c r="BY385" i="1" s="1"/>
  <c r="BZ385" i="1" s="1"/>
  <c r="AL212" i="1"/>
  <c r="AJ184" i="1"/>
  <c r="AK573" i="1"/>
  <c r="AL573" i="1"/>
  <c r="AG186" i="1"/>
  <c r="AH186" i="1" s="1"/>
  <c r="AO186" i="1" s="1"/>
  <c r="AP186" i="1" s="1"/>
  <c r="AG184" i="1"/>
  <c r="AH184" i="1" s="1"/>
  <c r="AO184" i="1" s="1"/>
  <c r="AP184" i="1" s="1"/>
  <c r="BE29" i="1"/>
  <c r="BF29" i="1" s="1"/>
  <c r="BG29" i="1" s="1"/>
  <c r="AJ7" i="1"/>
  <c r="BX153" i="1"/>
  <c r="AG26" i="1"/>
  <c r="AH26" i="1" s="1"/>
  <c r="AO26" i="1" s="1"/>
  <c r="AP26" i="1" s="1"/>
  <c r="BH401" i="1"/>
  <c r="BI401" i="1" s="1"/>
  <c r="AK210" i="1"/>
  <c r="AL184" i="1"/>
  <c r="AG36" i="1"/>
  <c r="AH36" i="1" s="1"/>
  <c r="AO36" i="1" s="1"/>
  <c r="AP36" i="1" s="1"/>
  <c r="AL36" i="1"/>
  <c r="AK594" i="1"/>
  <c r="AG594" i="1"/>
  <c r="AH594" i="1" s="1"/>
  <c r="AO594" i="1" s="1"/>
  <c r="AP594" i="1" s="1"/>
  <c r="AL594" i="1"/>
  <c r="AJ594" i="1"/>
  <c r="AL55" i="1"/>
  <c r="AG495" i="1"/>
  <c r="AH495" i="1" s="1"/>
  <c r="AO495" i="1" s="1"/>
  <c r="AP495" i="1" s="1"/>
  <c r="AJ335" i="1"/>
  <c r="AG335" i="1"/>
  <c r="AH335" i="1" s="1"/>
  <c r="AO335" i="1" s="1"/>
  <c r="AP335" i="1" s="1"/>
  <c r="AJ200" i="1"/>
  <c r="AL200" i="1"/>
  <c r="AG200" i="1"/>
  <c r="AH200" i="1" s="1"/>
  <c r="AO200" i="1" s="1"/>
  <c r="AP200" i="1" s="1"/>
  <c r="AJ55" i="1"/>
  <c r="BE475" i="1"/>
  <c r="BF475" i="1" s="1"/>
  <c r="BG475" i="1" s="1"/>
  <c r="AK626" i="1"/>
  <c r="AJ626" i="1"/>
  <c r="BG59" i="1"/>
  <c r="BH59" i="1" s="1"/>
  <c r="BI59" i="1" s="1"/>
  <c r="AL558" i="1"/>
  <c r="AJ558" i="1"/>
  <c r="AG558" i="1"/>
  <c r="AH558" i="1" s="1"/>
  <c r="AO558" i="1" s="1"/>
  <c r="AP558" i="1" s="1"/>
  <c r="AK558" i="1"/>
  <c r="BH101" i="1"/>
  <c r="AK206" i="1"/>
  <c r="AJ645" i="1"/>
  <c r="AG645" i="1"/>
  <c r="AH645" i="1" s="1"/>
  <c r="AO645" i="1" s="1"/>
  <c r="AP645" i="1" s="1"/>
  <c r="AL566" i="1"/>
  <c r="AG566" i="1"/>
  <c r="AH566" i="1" s="1"/>
  <c r="AO566" i="1" s="1"/>
  <c r="AP566" i="1" s="1"/>
  <c r="AJ566" i="1"/>
  <c r="AK566" i="1"/>
  <c r="AG109" i="1"/>
  <c r="AH109" i="1" s="1"/>
  <c r="AO109" i="1" s="1"/>
  <c r="AP109" i="1" s="1"/>
  <c r="AL109" i="1"/>
  <c r="AJ109" i="1"/>
  <c r="AK109" i="1"/>
  <c r="BH150" i="1"/>
  <c r="BI150" i="1" s="1"/>
  <c r="BG668" i="1"/>
  <c r="BI668" i="1" s="1"/>
  <c r="AK72" i="1"/>
  <c r="AL72" i="1"/>
  <c r="AG72" i="1"/>
  <c r="AH72" i="1" s="1"/>
  <c r="AO72" i="1" s="1"/>
  <c r="AP72" i="1" s="1"/>
  <c r="AJ72" i="1"/>
  <c r="AG414" i="1"/>
  <c r="AH414" i="1" s="1"/>
  <c r="AO414" i="1" s="1"/>
  <c r="AP414" i="1" s="1"/>
  <c r="AJ414" i="1"/>
  <c r="AK414" i="1"/>
  <c r="AL414" i="1"/>
  <c r="AJ126" i="1"/>
  <c r="AL126" i="1"/>
  <c r="AK126" i="1"/>
  <c r="AG126" i="1"/>
  <c r="AH126" i="1" s="1"/>
  <c r="AO126" i="1" s="1"/>
  <c r="AP126" i="1" s="1"/>
  <c r="AL637" i="1"/>
  <c r="AJ637" i="1"/>
  <c r="BW314" i="1"/>
  <c r="BH585" i="1"/>
  <c r="BI585" i="1" s="1"/>
  <c r="AG168" i="1"/>
  <c r="AH168" i="1" s="1"/>
  <c r="AO168" i="1" s="1"/>
  <c r="AP168" i="1" s="1"/>
  <c r="BW637" i="1"/>
  <c r="AG133" i="1"/>
  <c r="AH133" i="1" s="1"/>
  <c r="AO133" i="1" s="1"/>
  <c r="AP133" i="1" s="1"/>
  <c r="AK133" i="1"/>
  <c r="BE133" i="1" s="1"/>
  <c r="BF133" i="1" s="1"/>
  <c r="AL133" i="1"/>
  <c r="AJ133" i="1"/>
  <c r="AK125" i="1"/>
  <c r="AG125" i="1"/>
  <c r="AH125" i="1" s="1"/>
  <c r="AO125" i="1" s="1"/>
  <c r="AP125" i="1" s="1"/>
  <c r="AL10" i="1"/>
  <c r="AK10" i="1"/>
  <c r="BE10" i="1" s="1"/>
  <c r="BF10" i="1" s="1"/>
  <c r="BG10" i="1" s="1"/>
  <c r="AG41" i="1"/>
  <c r="AH41" i="1" s="1"/>
  <c r="AO41" i="1" s="1"/>
  <c r="AP41" i="1" s="1"/>
  <c r="AK41" i="1"/>
  <c r="BY41" i="1" s="1"/>
  <c r="BZ41" i="1" s="1"/>
  <c r="AJ41" i="1"/>
  <c r="AL41" i="1"/>
  <c r="AK537" i="1"/>
  <c r="AJ537" i="1"/>
  <c r="AL537" i="1"/>
  <c r="AG537" i="1"/>
  <c r="AH537" i="1" s="1"/>
  <c r="AO537" i="1" s="1"/>
  <c r="AP537" i="1" s="1"/>
  <c r="AJ525" i="1"/>
  <c r="AL525" i="1"/>
  <c r="AK628" i="1"/>
  <c r="AL628" i="1"/>
  <c r="AJ628" i="1"/>
  <c r="AG628" i="1"/>
  <c r="AH628" i="1" s="1"/>
  <c r="AL593" i="1"/>
  <c r="AK593" i="1"/>
  <c r="AG593" i="1"/>
  <c r="AH593" i="1" s="1"/>
  <c r="AO593" i="1" s="1"/>
  <c r="AP593" i="1" s="1"/>
  <c r="AJ593" i="1"/>
  <c r="AJ117" i="1"/>
  <c r="AK117" i="1"/>
  <c r="AJ328" i="1"/>
  <c r="AL495" i="1"/>
  <c r="AK495" i="1"/>
  <c r="AK97" i="1"/>
  <c r="AL97" i="1"/>
  <c r="AJ97" i="1"/>
  <c r="AG97" i="1"/>
  <c r="AH97" i="1" s="1"/>
  <c r="AO97" i="1" s="1"/>
  <c r="AP97" i="1" s="1"/>
  <c r="AG98" i="1"/>
  <c r="AH98" i="1" s="1"/>
  <c r="AO98" i="1" s="1"/>
  <c r="AP98" i="1" s="1"/>
  <c r="AJ98" i="1"/>
  <c r="BX138" i="1"/>
  <c r="BY138" i="1" s="1"/>
  <c r="BZ138" i="1" s="1"/>
  <c r="BW138" i="1"/>
  <c r="AG332" i="1"/>
  <c r="AH332" i="1" s="1"/>
  <c r="AO332" i="1" s="1"/>
  <c r="AP332" i="1" s="1"/>
  <c r="AL332" i="1"/>
  <c r="AJ332" i="1"/>
  <c r="AK332" i="1"/>
  <c r="AJ450" i="1"/>
  <c r="AK450" i="1"/>
  <c r="BE450" i="1" s="1"/>
  <c r="BF450" i="1" s="1"/>
  <c r="BG450" i="1" s="1"/>
  <c r="AL450" i="1"/>
  <c r="AG450" i="1"/>
  <c r="AH450" i="1" s="1"/>
  <c r="AO450" i="1" s="1"/>
  <c r="AP450" i="1" s="1"/>
  <c r="AL167" i="1"/>
  <c r="BW59" i="1"/>
  <c r="AG624" i="1"/>
  <c r="AH624" i="1" s="1"/>
  <c r="AO624" i="1" s="1"/>
  <c r="AP624" i="1" s="1"/>
  <c r="AL624" i="1"/>
  <c r="AJ624" i="1"/>
  <c r="AK624" i="1"/>
  <c r="AL122" i="1"/>
  <c r="AJ382" i="1"/>
  <c r="AG382" i="1"/>
  <c r="AH382" i="1" s="1"/>
  <c r="AO382" i="1" s="1"/>
  <c r="AP382" i="1" s="1"/>
  <c r="AK382" i="1"/>
  <c r="AG129" i="1"/>
  <c r="AH129" i="1" s="1"/>
  <c r="AO129" i="1" s="1"/>
  <c r="AP129" i="1" s="1"/>
  <c r="AK129" i="1"/>
  <c r="AL129" i="1"/>
  <c r="AJ129" i="1"/>
  <c r="AK488" i="1"/>
  <c r="AL488" i="1"/>
  <c r="AG488" i="1"/>
  <c r="AH488" i="1" s="1"/>
  <c r="AO488" i="1" s="1"/>
  <c r="AP488" i="1" s="1"/>
  <c r="AJ488" i="1"/>
  <c r="AG632" i="1"/>
  <c r="AH632" i="1" s="1"/>
  <c r="AK632" i="1"/>
  <c r="BE632" i="1" s="1"/>
  <c r="BF632" i="1" s="1"/>
  <c r="BG632" i="1" s="1"/>
  <c r="AJ632" i="1"/>
  <c r="AL632" i="1"/>
  <c r="AJ122" i="1"/>
  <c r="AJ206" i="1"/>
  <c r="AG641" i="1"/>
  <c r="AH641" i="1" s="1"/>
  <c r="AO641" i="1" s="1"/>
  <c r="AP641" i="1" s="1"/>
  <c r="AK641" i="1"/>
  <c r="AL641" i="1"/>
  <c r="AJ641" i="1"/>
  <c r="AK438" i="1"/>
  <c r="AL438" i="1"/>
  <c r="AG438" i="1"/>
  <c r="AH438" i="1" s="1"/>
  <c r="AO438" i="1" s="1"/>
  <c r="AP438" i="1" s="1"/>
  <c r="AJ438" i="1"/>
  <c r="AL554" i="1"/>
  <c r="AG554" i="1"/>
  <c r="AH554" i="1" s="1"/>
  <c r="AO554" i="1" s="1"/>
  <c r="AP554" i="1" s="1"/>
  <c r="AJ554" i="1"/>
  <c r="AK554" i="1"/>
  <c r="AL117" i="1"/>
  <c r="AK89" i="1"/>
  <c r="BE89" i="1" s="1"/>
  <c r="BF89" i="1" s="1"/>
  <c r="BG89" i="1" s="1"/>
  <c r="AL89" i="1"/>
  <c r="AG89" i="1"/>
  <c r="AH89" i="1" s="1"/>
  <c r="AO89" i="1" s="1"/>
  <c r="AP89" i="1" s="1"/>
  <c r="AJ89" i="1"/>
  <c r="AK198" i="1"/>
  <c r="AL198" i="1"/>
  <c r="BM464" i="1"/>
  <c r="BN464" i="1" s="1"/>
  <c r="AO464" i="1"/>
  <c r="AP464" i="1" s="1"/>
  <c r="BL464" i="1"/>
  <c r="AK122" i="1"/>
  <c r="AK446" i="1"/>
  <c r="BE446" i="1" s="1"/>
  <c r="BF446" i="1" s="1"/>
  <c r="BG446" i="1" s="1"/>
  <c r="BH43" i="1"/>
  <c r="BI43" i="1" s="1"/>
  <c r="AG93" i="1"/>
  <c r="AH93" i="1" s="1"/>
  <c r="AO93" i="1" s="1"/>
  <c r="AP93" i="1" s="1"/>
  <c r="AL93" i="1"/>
  <c r="AK93" i="1"/>
  <c r="AJ93" i="1"/>
  <c r="AK502" i="1"/>
  <c r="AL502" i="1"/>
  <c r="AG502" i="1"/>
  <c r="AH502" i="1" s="1"/>
  <c r="AO502" i="1" s="1"/>
  <c r="AP502" i="1" s="1"/>
  <c r="AJ502" i="1"/>
  <c r="AK134" i="1"/>
  <c r="BY134" i="1" s="1"/>
  <c r="BZ134" i="1" s="1"/>
  <c r="AL134" i="1"/>
  <c r="BW134" i="1"/>
  <c r="AL402" i="1"/>
  <c r="AJ402" i="1"/>
  <c r="AG402" i="1"/>
  <c r="AH402" i="1" s="1"/>
  <c r="AO402" i="1" s="1"/>
  <c r="AP402" i="1" s="1"/>
  <c r="AJ134" i="1"/>
  <c r="AG546" i="1"/>
  <c r="AH546" i="1" s="1"/>
  <c r="AO546" i="1" s="1"/>
  <c r="AP546" i="1" s="1"/>
  <c r="AK546" i="1"/>
  <c r="AJ446" i="1"/>
  <c r="AG446" i="1"/>
  <c r="AH446" i="1" s="1"/>
  <c r="AO446" i="1" s="1"/>
  <c r="AP446" i="1" s="1"/>
  <c r="AG385" i="1"/>
  <c r="AH385" i="1" s="1"/>
  <c r="AO385" i="1" s="1"/>
  <c r="AP385" i="1" s="1"/>
  <c r="AJ533" i="1"/>
  <c r="AL533" i="1"/>
  <c r="AK533" i="1"/>
  <c r="AG533" i="1"/>
  <c r="AH533" i="1" s="1"/>
  <c r="AO533" i="1" s="1"/>
  <c r="AP533" i="1" s="1"/>
  <c r="AJ662" i="1"/>
  <c r="AL662" i="1"/>
  <c r="AG629" i="1"/>
  <c r="AH629" i="1" s="1"/>
  <c r="AK629" i="1"/>
  <c r="AG221" i="1"/>
  <c r="AH221" i="1" s="1"/>
  <c r="AO221" i="1" s="1"/>
  <c r="AP221" i="1" s="1"/>
  <c r="AJ221" i="1"/>
  <c r="AK221" i="1"/>
  <c r="AL221" i="1"/>
  <c r="AL30" i="1"/>
  <c r="AG30" i="1"/>
  <c r="AH30" i="1" s="1"/>
  <c r="AO30" i="1" s="1"/>
  <c r="AP30" i="1" s="1"/>
  <c r="AK491" i="1"/>
  <c r="BE491" i="1" s="1"/>
  <c r="BF491" i="1" s="1"/>
  <c r="BG491" i="1" s="1"/>
  <c r="AL491" i="1"/>
  <c r="AG491" i="1"/>
  <c r="AH491" i="1" s="1"/>
  <c r="AJ491" i="1"/>
  <c r="AG181" i="1"/>
  <c r="AH181" i="1" s="1"/>
  <c r="AO181" i="1" s="1"/>
  <c r="AP181" i="1" s="1"/>
  <c r="AJ181" i="1"/>
  <c r="AL181" i="1"/>
  <c r="BH37" i="1"/>
  <c r="BI37" i="1" s="1"/>
  <c r="AJ115" i="1"/>
  <c r="AL115" i="1"/>
  <c r="BP145" i="1"/>
  <c r="AO514" i="1"/>
  <c r="AP514" i="1" s="1"/>
  <c r="BY157" i="1"/>
  <c r="BZ157" i="1" s="1"/>
  <c r="AL386" i="1"/>
  <c r="AJ386" i="1"/>
  <c r="AK141" i="1"/>
  <c r="AL141" i="1"/>
  <c r="AG141" i="1"/>
  <c r="AH141" i="1" s="1"/>
  <c r="AO141" i="1" s="1"/>
  <c r="AP141" i="1" s="1"/>
  <c r="AJ141" i="1"/>
  <c r="AG525" i="1"/>
  <c r="AH525" i="1" s="1"/>
  <c r="AO525" i="1" s="1"/>
  <c r="AP525" i="1" s="1"/>
  <c r="AK115" i="1"/>
  <c r="BE71" i="1"/>
  <c r="BF71" i="1" s="1"/>
  <c r="BG71" i="1" s="1"/>
  <c r="BH71" i="1" s="1"/>
  <c r="AG637" i="1"/>
  <c r="AH637" i="1" s="1"/>
  <c r="AO637" i="1" s="1"/>
  <c r="AP637" i="1" s="1"/>
  <c r="AL570" i="1"/>
  <c r="AG570" i="1"/>
  <c r="AH570" i="1" s="1"/>
  <c r="AO570" i="1" s="1"/>
  <c r="AP570" i="1" s="1"/>
  <c r="AK570" i="1"/>
  <c r="AJ570" i="1"/>
  <c r="AK525" i="1"/>
  <c r="AK637" i="1"/>
  <c r="BY637" i="1" s="1"/>
  <c r="BZ637" i="1" s="1"/>
  <c r="AK181" i="1"/>
  <c r="BW41" i="1"/>
  <c r="AG390" i="1"/>
  <c r="AH390" i="1" s="1"/>
  <c r="AO390" i="1" s="1"/>
  <c r="AP390" i="1" s="1"/>
  <c r="AK390" i="1"/>
  <c r="AL390" i="1"/>
  <c r="AJ390" i="1"/>
  <c r="AK640" i="1"/>
  <c r="AG640" i="1"/>
  <c r="AH640" i="1" s="1"/>
  <c r="AO640" i="1" s="1"/>
  <c r="AP640" i="1" s="1"/>
  <c r="AL640" i="1"/>
  <c r="AJ640" i="1"/>
  <c r="AJ324" i="1"/>
  <c r="AL324" i="1"/>
  <c r="AJ524" i="1"/>
  <c r="AK524" i="1"/>
  <c r="AG524" i="1"/>
  <c r="AH524" i="1" s="1"/>
  <c r="AO524" i="1" s="1"/>
  <c r="AP524" i="1" s="1"/>
  <c r="AL524" i="1"/>
  <c r="BG142" i="1"/>
  <c r="BH142" i="1" s="1"/>
  <c r="BI142" i="1" s="1"/>
  <c r="BG402" i="1"/>
  <c r="BG353" i="1"/>
  <c r="AJ574" i="1"/>
  <c r="AK574" i="1"/>
  <c r="AG574" i="1"/>
  <c r="AH574" i="1" s="1"/>
  <c r="AO574" i="1" s="1"/>
  <c r="AP574" i="1" s="1"/>
  <c r="AL574" i="1"/>
  <c r="AJ296" i="1"/>
  <c r="AK296" i="1"/>
  <c r="AG296" i="1"/>
  <c r="AH296" i="1" s="1"/>
  <c r="AO296" i="1" s="1"/>
  <c r="AP296" i="1" s="1"/>
  <c r="AL296" i="1"/>
  <c r="AJ555" i="1"/>
  <c r="AG555" i="1"/>
  <c r="AH555" i="1" s="1"/>
  <c r="AO555" i="1" s="1"/>
  <c r="AP555" i="1" s="1"/>
  <c r="AL555" i="1"/>
  <c r="AK555" i="1"/>
  <c r="AK567" i="1"/>
  <c r="AJ567" i="1"/>
  <c r="AL567" i="1"/>
  <c r="AG567" i="1"/>
  <c r="AH567" i="1" s="1"/>
  <c r="AO567" i="1" s="1"/>
  <c r="AP567" i="1" s="1"/>
  <c r="AG582" i="1"/>
  <c r="AH582" i="1" s="1"/>
  <c r="AO582" i="1" s="1"/>
  <c r="AP582" i="1" s="1"/>
  <c r="AL582" i="1"/>
  <c r="AK582" i="1"/>
  <c r="AJ582" i="1"/>
  <c r="AG312" i="1"/>
  <c r="AH312" i="1" s="1"/>
  <c r="AO312" i="1" s="1"/>
  <c r="AP312" i="1" s="1"/>
  <c r="AJ312" i="1"/>
  <c r="AL312" i="1"/>
  <c r="AK312" i="1"/>
  <c r="BW80" i="1"/>
  <c r="BX80" i="1"/>
  <c r="AJ269" i="1"/>
  <c r="AK269" i="1"/>
  <c r="AL269" i="1"/>
  <c r="AG269" i="1"/>
  <c r="AH269" i="1" s="1"/>
  <c r="AO269" i="1" s="1"/>
  <c r="AP269" i="1" s="1"/>
  <c r="AJ9" i="1"/>
  <c r="AL9" i="1"/>
  <c r="BX577" i="1"/>
  <c r="BW577" i="1"/>
  <c r="BE601" i="1"/>
  <c r="BF601" i="1" s="1"/>
  <c r="BG601" i="1" s="1"/>
  <c r="AG319" i="1"/>
  <c r="AH319" i="1" s="1"/>
  <c r="AO319" i="1" s="1"/>
  <c r="AP319" i="1" s="1"/>
  <c r="AJ319" i="1"/>
  <c r="AK319" i="1"/>
  <c r="BY319" i="1" s="1"/>
  <c r="BZ319" i="1" s="1"/>
  <c r="AL319" i="1"/>
  <c r="BH664" i="1"/>
  <c r="BG664" i="1"/>
  <c r="BI664" i="1" s="1"/>
  <c r="AG478" i="1"/>
  <c r="AH478" i="1" s="1"/>
  <c r="AL478" i="1"/>
  <c r="AK478" i="1"/>
  <c r="AJ478" i="1"/>
  <c r="AJ436" i="1"/>
  <c r="AK436" i="1"/>
  <c r="BE436" i="1" s="1"/>
  <c r="BF436" i="1" s="1"/>
  <c r="BG436" i="1" s="1"/>
  <c r="AL436" i="1"/>
  <c r="AG436" i="1"/>
  <c r="AH436" i="1" s="1"/>
  <c r="AL131" i="1"/>
  <c r="AG131" i="1"/>
  <c r="AH131" i="1" s="1"/>
  <c r="AO131" i="1" s="1"/>
  <c r="AP131" i="1" s="1"/>
  <c r="AK131" i="1"/>
  <c r="AJ131" i="1"/>
  <c r="AG369" i="1"/>
  <c r="AH369" i="1" s="1"/>
  <c r="AO369" i="1" s="1"/>
  <c r="AP369" i="1" s="1"/>
  <c r="AK369" i="1"/>
  <c r="BE369" i="1" s="1"/>
  <c r="BF369" i="1" s="1"/>
  <c r="BG369" i="1" s="1"/>
  <c r="AL369" i="1"/>
  <c r="AJ369" i="1"/>
  <c r="AL535" i="1"/>
  <c r="AK535" i="1"/>
  <c r="AB486" i="1"/>
  <c r="BH663" i="1"/>
  <c r="AK462" i="1"/>
  <c r="BE462" i="1" s="1"/>
  <c r="BF462" i="1" s="1"/>
  <c r="BG462" i="1" s="1"/>
  <c r="AL462" i="1"/>
  <c r="AG462" i="1"/>
  <c r="AH462" i="1" s="1"/>
  <c r="AJ462" i="1"/>
  <c r="AK68" i="1"/>
  <c r="BE68" i="1" s="1"/>
  <c r="BF68" i="1" s="1"/>
  <c r="BG68" i="1" s="1"/>
  <c r="AJ68" i="1"/>
  <c r="AJ182" i="1"/>
  <c r="AK182" i="1"/>
  <c r="AL182" i="1"/>
  <c r="AG182" i="1"/>
  <c r="AH182" i="1" s="1"/>
  <c r="AO182" i="1" s="1"/>
  <c r="AP182" i="1" s="1"/>
  <c r="BG669" i="1"/>
  <c r="BI669" i="1" s="1"/>
  <c r="BH669" i="1"/>
  <c r="AJ448" i="1"/>
  <c r="AK448" i="1"/>
  <c r="BE448" i="1" s="1"/>
  <c r="BF448" i="1" s="1"/>
  <c r="AL448" i="1"/>
  <c r="AG448" i="1"/>
  <c r="AH448" i="1" s="1"/>
  <c r="AO448" i="1" s="1"/>
  <c r="AP448" i="1" s="1"/>
  <c r="AO214" i="1"/>
  <c r="AP214" i="1" s="1"/>
  <c r="BL214" i="1"/>
  <c r="BM214" i="1"/>
  <c r="AK508" i="1"/>
  <c r="AL508" i="1"/>
  <c r="AG508" i="1"/>
  <c r="AH508" i="1" s="1"/>
  <c r="AO508" i="1" s="1"/>
  <c r="AP508" i="1" s="1"/>
  <c r="AJ508" i="1"/>
  <c r="AJ412" i="1"/>
  <c r="AK412" i="1"/>
  <c r="AL412" i="1"/>
  <c r="AG412" i="1"/>
  <c r="AH412" i="1" s="1"/>
  <c r="AO412" i="1" s="1"/>
  <c r="AP412" i="1" s="1"/>
  <c r="AK167" i="1"/>
  <c r="AJ167" i="1"/>
  <c r="BH463" i="1"/>
  <c r="BI463" i="1" s="1"/>
  <c r="AJ474" i="1"/>
  <c r="AL474" i="1"/>
  <c r="AK474" i="1"/>
  <c r="BE474" i="1" s="1"/>
  <c r="BF474" i="1" s="1"/>
  <c r="BG474" i="1" s="1"/>
  <c r="AG474" i="1"/>
  <c r="AH474" i="1" s="1"/>
  <c r="AO474" i="1" s="1"/>
  <c r="AP474" i="1" s="1"/>
  <c r="AG272" i="1"/>
  <c r="AH272" i="1" s="1"/>
  <c r="AO272" i="1" s="1"/>
  <c r="AP272" i="1" s="1"/>
  <c r="AK272" i="1"/>
  <c r="BE272" i="1" s="1"/>
  <c r="BF272" i="1" s="1"/>
  <c r="BG272" i="1" s="1"/>
  <c r="AL272" i="1"/>
  <c r="AJ272" i="1"/>
  <c r="AG265" i="1"/>
  <c r="AH265" i="1" s="1"/>
  <c r="AO265" i="1" s="1"/>
  <c r="AP265" i="1" s="1"/>
  <c r="AJ265" i="1"/>
  <c r="AK265" i="1"/>
  <c r="AL265" i="1"/>
  <c r="BX460" i="1"/>
  <c r="BW460" i="1"/>
  <c r="AJ608" i="1"/>
  <c r="AK608" i="1"/>
  <c r="BE608" i="1" s="1"/>
  <c r="BF608" i="1" s="1"/>
  <c r="AG608" i="1"/>
  <c r="AH608" i="1" s="1"/>
  <c r="AO608" i="1" s="1"/>
  <c r="AP608" i="1" s="1"/>
  <c r="AL608" i="1"/>
  <c r="AK420" i="1"/>
  <c r="AL420" i="1"/>
  <c r="AG420" i="1"/>
  <c r="AH420" i="1" s="1"/>
  <c r="AO420" i="1" s="1"/>
  <c r="AP420" i="1" s="1"/>
  <c r="AJ420" i="1"/>
  <c r="AL193" i="1"/>
  <c r="AJ193" i="1"/>
  <c r="BH493" i="1"/>
  <c r="BI493" i="1" s="1"/>
  <c r="AG431" i="1"/>
  <c r="AH431" i="1" s="1"/>
  <c r="AO431" i="1" s="1"/>
  <c r="AP431" i="1" s="1"/>
  <c r="AK431" i="1"/>
  <c r="AL431" i="1"/>
  <c r="AJ431" i="1"/>
  <c r="AK621" i="1"/>
  <c r="AJ621" i="1"/>
  <c r="AG621" i="1"/>
  <c r="AH621" i="1" s="1"/>
  <c r="AO621" i="1" s="1"/>
  <c r="AP621" i="1" s="1"/>
  <c r="AL621" i="1"/>
  <c r="AG323" i="1"/>
  <c r="AH323" i="1" s="1"/>
  <c r="AO323" i="1" s="1"/>
  <c r="AP323" i="1" s="1"/>
  <c r="AL323" i="1"/>
  <c r="AK323" i="1"/>
  <c r="BY323" i="1" s="1"/>
  <c r="BZ323" i="1" s="1"/>
  <c r="AJ323" i="1"/>
  <c r="AG193" i="1"/>
  <c r="AH193" i="1" s="1"/>
  <c r="AO193" i="1" s="1"/>
  <c r="AP193" i="1" s="1"/>
  <c r="BW247" i="1"/>
  <c r="AG612" i="1"/>
  <c r="AH612" i="1" s="1"/>
  <c r="AO612" i="1" s="1"/>
  <c r="AP612" i="1" s="1"/>
  <c r="AL612" i="1"/>
  <c r="AK612" i="1"/>
  <c r="BE612" i="1" s="1"/>
  <c r="BF612" i="1" s="1"/>
  <c r="BG612" i="1" s="1"/>
  <c r="AJ612" i="1"/>
  <c r="AJ535" i="1"/>
  <c r="AJ107" i="1"/>
  <c r="AK107" i="1"/>
  <c r="AG107" i="1"/>
  <c r="AH107" i="1" s="1"/>
  <c r="AO107" i="1" s="1"/>
  <c r="AP107" i="1" s="1"/>
  <c r="AJ85" i="1"/>
  <c r="AL85" i="1"/>
  <c r="BX57" i="1"/>
  <c r="BY57" i="1" s="1"/>
  <c r="BZ57" i="1" s="1"/>
  <c r="BW57" i="1"/>
  <c r="AK638" i="1"/>
  <c r="AJ638" i="1"/>
  <c r="AG638" i="1"/>
  <c r="AH638" i="1" s="1"/>
  <c r="AO638" i="1" s="1"/>
  <c r="AP638" i="1" s="1"/>
  <c r="AL638" i="1"/>
  <c r="BW12" i="1"/>
  <c r="AG531" i="1"/>
  <c r="AH531" i="1" s="1"/>
  <c r="AO531" i="1" s="1"/>
  <c r="AP531" i="1" s="1"/>
  <c r="AJ531" i="1"/>
  <c r="AK531" i="1"/>
  <c r="AL531" i="1"/>
  <c r="AL245" i="1"/>
  <c r="AJ245" i="1"/>
  <c r="AG245" i="1"/>
  <c r="AH245" i="1" s="1"/>
  <c r="AO245" i="1" s="1"/>
  <c r="AP245" i="1" s="1"/>
  <c r="AK245" i="1"/>
  <c r="AK111" i="1"/>
  <c r="AL111" i="1"/>
  <c r="AG111" i="1"/>
  <c r="AH111" i="1" s="1"/>
  <c r="AO111" i="1" s="1"/>
  <c r="AP111" i="1" s="1"/>
  <c r="AJ111" i="1"/>
  <c r="BX404" i="1"/>
  <c r="BY404" i="1" s="1"/>
  <c r="BZ404" i="1" s="1"/>
  <c r="BW404" i="1"/>
  <c r="AG288" i="1"/>
  <c r="AH288" i="1" s="1"/>
  <c r="AO288" i="1" s="1"/>
  <c r="AP288" i="1" s="1"/>
  <c r="AJ288" i="1"/>
  <c r="AL288" i="1"/>
  <c r="AK288" i="1"/>
  <c r="AL237" i="1"/>
  <c r="AG237" i="1"/>
  <c r="AH237" i="1" s="1"/>
  <c r="AO237" i="1" s="1"/>
  <c r="AP237" i="1" s="1"/>
  <c r="AK237" i="1"/>
  <c r="AJ237" i="1"/>
  <c r="BH65" i="1"/>
  <c r="BI65" i="1" s="1"/>
  <c r="BG91" i="1"/>
  <c r="BH91" i="1" s="1"/>
  <c r="BI91" i="1" s="1"/>
  <c r="BG364" i="1"/>
  <c r="BH364" i="1" s="1"/>
  <c r="BI364" i="1" s="1"/>
  <c r="BH32" i="1"/>
  <c r="BI32" i="1" s="1"/>
  <c r="BH586" i="1"/>
  <c r="BI586" i="1" s="1"/>
  <c r="AG347" i="1"/>
  <c r="AH347" i="1" s="1"/>
  <c r="AO347" i="1" s="1"/>
  <c r="AP347" i="1" s="1"/>
  <c r="AJ347" i="1"/>
  <c r="AK347" i="1"/>
  <c r="AL347" i="1"/>
  <c r="AL264" i="1"/>
  <c r="AK264" i="1"/>
  <c r="AJ264" i="1"/>
  <c r="AG264" i="1"/>
  <c r="AH264" i="1" s="1"/>
  <c r="AO264" i="1" s="1"/>
  <c r="AP264" i="1" s="1"/>
  <c r="BW613" i="1"/>
  <c r="BX613" i="1"/>
  <c r="BW70" i="1"/>
  <c r="AK70" i="1"/>
  <c r="BY70" i="1" s="1"/>
  <c r="BZ70" i="1" s="1"/>
  <c r="AJ494" i="1"/>
  <c r="AK494" i="1"/>
  <c r="BE494" i="1" s="1"/>
  <c r="BF494" i="1" s="1"/>
  <c r="AL494" i="1"/>
  <c r="AG494" i="1"/>
  <c r="AH494" i="1" s="1"/>
  <c r="AO494" i="1" s="1"/>
  <c r="AP494" i="1" s="1"/>
  <c r="BY468" i="1"/>
  <c r="BZ468" i="1" s="1"/>
  <c r="AK411" i="1"/>
  <c r="AJ411" i="1"/>
  <c r="AL411" i="1"/>
  <c r="AG411" i="1"/>
  <c r="AH411" i="1" s="1"/>
  <c r="AO411" i="1" s="1"/>
  <c r="AP411" i="1" s="1"/>
  <c r="AG648" i="1"/>
  <c r="AH648" i="1" s="1"/>
  <c r="AO648" i="1" s="1"/>
  <c r="AP648" i="1" s="1"/>
  <c r="AL648" i="1"/>
  <c r="AJ648" i="1"/>
  <c r="AK648" i="1"/>
  <c r="BE648" i="1" s="1"/>
  <c r="BF648" i="1" s="1"/>
  <c r="BG648" i="1" s="1"/>
  <c r="AG659" i="1"/>
  <c r="AH659" i="1" s="1"/>
  <c r="AO659" i="1" s="1"/>
  <c r="AP659" i="1" s="1"/>
  <c r="AJ459" i="1"/>
  <c r="AG459" i="1"/>
  <c r="AH459" i="1" s="1"/>
  <c r="AG250" i="1"/>
  <c r="AH250" i="1" s="1"/>
  <c r="AO250" i="1" s="1"/>
  <c r="AP250" i="1" s="1"/>
  <c r="AJ250" i="1"/>
  <c r="AK250" i="1"/>
  <c r="AL250" i="1"/>
  <c r="BE26" i="1"/>
  <c r="BF26" i="1" s="1"/>
  <c r="BG26" i="1" s="1"/>
  <c r="AJ603" i="1"/>
  <c r="AK603" i="1"/>
  <c r="BE603" i="1" s="1"/>
  <c r="BF603" i="1" s="1"/>
  <c r="BG603" i="1" s="1"/>
  <c r="AL603" i="1"/>
  <c r="AG603" i="1"/>
  <c r="AH603" i="1" s="1"/>
  <c r="AO603" i="1" s="1"/>
  <c r="AP603" i="1" s="1"/>
  <c r="AG443" i="1"/>
  <c r="AH443" i="1" s="1"/>
  <c r="AO443" i="1" s="1"/>
  <c r="AP443" i="1" s="1"/>
  <c r="AL443" i="1"/>
  <c r="AJ443" i="1"/>
  <c r="AK443" i="1"/>
  <c r="AK440" i="1"/>
  <c r="AG440" i="1"/>
  <c r="AH440" i="1" s="1"/>
  <c r="AO440" i="1" s="1"/>
  <c r="AP440" i="1" s="1"/>
  <c r="AL440" i="1"/>
  <c r="AJ440" i="1"/>
  <c r="AL482" i="1"/>
  <c r="AG482" i="1"/>
  <c r="AH482" i="1" s="1"/>
  <c r="AO482" i="1" s="1"/>
  <c r="AP482" i="1" s="1"/>
  <c r="AJ482" i="1"/>
  <c r="AK482" i="1"/>
  <c r="AK113" i="1"/>
  <c r="AJ113" i="1"/>
  <c r="AG113" i="1"/>
  <c r="AH113" i="1" s="1"/>
  <c r="AO113" i="1" s="1"/>
  <c r="AP113" i="1" s="1"/>
  <c r="AL113" i="1"/>
  <c r="BX188" i="1"/>
  <c r="BY188" i="1" s="1"/>
  <c r="BZ188" i="1" s="1"/>
  <c r="BW188" i="1"/>
  <c r="AL86" i="1"/>
  <c r="AG86" i="1"/>
  <c r="AH86" i="1" s="1"/>
  <c r="AO86" i="1" s="1"/>
  <c r="AP86" i="1" s="1"/>
  <c r="BW86" i="1"/>
  <c r="AJ86" i="1"/>
  <c r="AK86" i="1"/>
  <c r="BY86" i="1" s="1"/>
  <c r="BZ86" i="1" s="1"/>
  <c r="AG548" i="1"/>
  <c r="AH548" i="1" s="1"/>
  <c r="AO548" i="1" s="1"/>
  <c r="AP548" i="1" s="1"/>
  <c r="AK548" i="1"/>
  <c r="AJ548" i="1"/>
  <c r="AL548" i="1"/>
  <c r="AL208" i="1"/>
  <c r="AJ208" i="1"/>
  <c r="AG208" i="1"/>
  <c r="AH208" i="1" s="1"/>
  <c r="AO208" i="1" s="1"/>
  <c r="AP208" i="1" s="1"/>
  <c r="AK208" i="1"/>
  <c r="BX610" i="1"/>
  <c r="BW610" i="1"/>
  <c r="AG465" i="1"/>
  <c r="AH465" i="1" s="1"/>
  <c r="AO465" i="1" s="1"/>
  <c r="AP465" i="1" s="1"/>
  <c r="AJ465" i="1"/>
  <c r="AK465" i="1"/>
  <c r="BE465" i="1" s="1"/>
  <c r="BF465" i="1" s="1"/>
  <c r="BG465" i="1" s="1"/>
  <c r="AL465" i="1"/>
  <c r="AJ83" i="1"/>
  <c r="AK83" i="1"/>
  <c r="AG83" i="1"/>
  <c r="AH83" i="1" s="1"/>
  <c r="AO83" i="1" s="1"/>
  <c r="AP83" i="1" s="1"/>
  <c r="AL83" i="1"/>
  <c r="AK607" i="1"/>
  <c r="BE607" i="1" s="1"/>
  <c r="BF607" i="1" s="1"/>
  <c r="AL607" i="1"/>
  <c r="AG607" i="1"/>
  <c r="AH607" i="1" s="1"/>
  <c r="AO607" i="1" s="1"/>
  <c r="AP607" i="1" s="1"/>
  <c r="AJ607" i="1"/>
  <c r="AJ659" i="1"/>
  <c r="AJ655" i="1"/>
  <c r="AG655" i="1"/>
  <c r="AH655" i="1" s="1"/>
  <c r="AO655" i="1" s="1"/>
  <c r="AP655" i="1" s="1"/>
  <c r="AK655" i="1"/>
  <c r="AL655" i="1"/>
  <c r="BX276" i="1"/>
  <c r="BY276" i="1" s="1"/>
  <c r="BZ276" i="1" s="1"/>
  <c r="BW276" i="1"/>
  <c r="BX332" i="1"/>
  <c r="BW332" i="1"/>
  <c r="AG233" i="1"/>
  <c r="AH233" i="1" s="1"/>
  <c r="AO233" i="1" s="1"/>
  <c r="AP233" i="1" s="1"/>
  <c r="AJ233" i="1"/>
  <c r="AK233" i="1"/>
  <c r="AL233" i="1"/>
  <c r="BY364" i="1"/>
  <c r="BZ364" i="1" s="1"/>
  <c r="AO155" i="1"/>
  <c r="AP155" i="1" s="1"/>
  <c r="BM155" i="1"/>
  <c r="BL155" i="1"/>
  <c r="BE399" i="1"/>
  <c r="BF399" i="1" s="1"/>
  <c r="BG399" i="1" s="1"/>
  <c r="BH670" i="1"/>
  <c r="AL668" i="1"/>
  <c r="AK668" i="1"/>
  <c r="AG668" i="1"/>
  <c r="AH668" i="1" s="1"/>
  <c r="AO668" i="1" s="1"/>
  <c r="AP668" i="1" s="1"/>
  <c r="AJ668" i="1"/>
  <c r="AL356" i="1"/>
  <c r="AG356" i="1"/>
  <c r="AH356" i="1" s="1"/>
  <c r="AO356" i="1" s="1"/>
  <c r="AP356" i="1" s="1"/>
  <c r="AK356" i="1"/>
  <c r="AJ356" i="1"/>
  <c r="AK261" i="1"/>
  <c r="AL261" i="1"/>
  <c r="AJ261" i="1"/>
  <c r="AG261" i="1"/>
  <c r="AH261" i="1" s="1"/>
  <c r="AO261" i="1" s="1"/>
  <c r="AP261" i="1" s="1"/>
  <c r="AG67" i="1"/>
  <c r="AH67" i="1" s="1"/>
  <c r="AO67" i="1" s="1"/>
  <c r="AP67" i="1" s="1"/>
  <c r="AJ67" i="1"/>
  <c r="AK67" i="1"/>
  <c r="BE67" i="1" s="1"/>
  <c r="BF67" i="1" s="1"/>
  <c r="BG67" i="1" s="1"/>
  <c r="AL67" i="1"/>
  <c r="AJ651" i="1"/>
  <c r="AK651" i="1"/>
  <c r="AL651" i="1"/>
  <c r="AG651" i="1"/>
  <c r="AH651" i="1" s="1"/>
  <c r="AO651" i="1" s="1"/>
  <c r="AP651" i="1" s="1"/>
  <c r="AG422" i="1"/>
  <c r="AH422" i="1" s="1"/>
  <c r="AO422" i="1" s="1"/>
  <c r="AP422" i="1" s="1"/>
  <c r="AJ422" i="1"/>
  <c r="AK422" i="1"/>
  <c r="AL422" i="1"/>
  <c r="AJ633" i="1"/>
  <c r="AL633" i="1"/>
  <c r="AK633" i="1"/>
  <c r="BE633" i="1" s="1"/>
  <c r="BF633" i="1" s="1"/>
  <c r="AG633" i="1"/>
  <c r="AH633" i="1" s="1"/>
  <c r="AK18" i="1"/>
  <c r="BE18" i="1" s="1"/>
  <c r="BF18" i="1" s="1"/>
  <c r="BG18" i="1" s="1"/>
  <c r="AG18" i="1"/>
  <c r="AH18" i="1" s="1"/>
  <c r="AO18" i="1" s="1"/>
  <c r="AP18" i="1" s="1"/>
  <c r="AJ18" i="1"/>
  <c r="AL18" i="1"/>
  <c r="BW514" i="1"/>
  <c r="BX514" i="1"/>
  <c r="AL327" i="1"/>
  <c r="AJ327" i="1"/>
  <c r="AK327" i="1"/>
  <c r="AG327" i="1"/>
  <c r="AH327" i="1" s="1"/>
  <c r="AO327" i="1" s="1"/>
  <c r="AP327" i="1" s="1"/>
  <c r="AG619" i="1"/>
  <c r="AH619" i="1" s="1"/>
  <c r="AO619" i="1" s="1"/>
  <c r="AP619" i="1" s="1"/>
  <c r="AK619" i="1"/>
  <c r="AL619" i="1"/>
  <c r="AJ619" i="1"/>
  <c r="BG178" i="1"/>
  <c r="BH178" i="1" s="1"/>
  <c r="BI178" i="1" s="1"/>
  <c r="BG520" i="1"/>
  <c r="BH520" i="1" s="1"/>
  <c r="BI520" i="1" s="1"/>
  <c r="BG252" i="1"/>
  <c r="AK313" i="1"/>
  <c r="AL313" i="1"/>
  <c r="AG313" i="1"/>
  <c r="AH313" i="1" s="1"/>
  <c r="AO313" i="1" s="1"/>
  <c r="AP313" i="1" s="1"/>
  <c r="AJ313" i="1"/>
  <c r="AG51" i="1"/>
  <c r="AH51" i="1" s="1"/>
  <c r="AO51" i="1" s="1"/>
  <c r="AP51" i="1" s="1"/>
  <c r="AJ51" i="1"/>
  <c r="AK51" i="1"/>
  <c r="AL51" i="1"/>
  <c r="AK175" i="1"/>
  <c r="AL175" i="1"/>
  <c r="AJ175" i="1"/>
  <c r="AG175" i="1"/>
  <c r="AH175" i="1" s="1"/>
  <c r="AO175" i="1" s="1"/>
  <c r="AP175" i="1" s="1"/>
  <c r="AJ311" i="1"/>
  <c r="AK311" i="1"/>
  <c r="BE311" i="1" s="1"/>
  <c r="BF311" i="1" s="1"/>
  <c r="AL311" i="1"/>
  <c r="AG311" i="1"/>
  <c r="AH311" i="1" s="1"/>
  <c r="AO311" i="1" s="1"/>
  <c r="AP311" i="1" s="1"/>
  <c r="AK435" i="1"/>
  <c r="AJ435" i="1"/>
  <c r="AG435" i="1"/>
  <c r="AH435" i="1" s="1"/>
  <c r="AO435" i="1" s="1"/>
  <c r="AP435" i="1" s="1"/>
  <c r="AL435" i="1"/>
  <c r="AG284" i="1"/>
  <c r="AH284" i="1" s="1"/>
  <c r="AO284" i="1" s="1"/>
  <c r="AP284" i="1" s="1"/>
  <c r="AK284" i="1"/>
  <c r="AL284" i="1"/>
  <c r="AJ284" i="1"/>
  <c r="AK542" i="1"/>
  <c r="AJ542" i="1"/>
  <c r="AG542" i="1"/>
  <c r="AH542" i="1" s="1"/>
  <c r="AO542" i="1" s="1"/>
  <c r="AP542" i="1" s="1"/>
  <c r="AL542" i="1"/>
  <c r="AL365" i="1"/>
  <c r="AK365" i="1"/>
  <c r="BE365" i="1" s="1"/>
  <c r="BF365" i="1" s="1"/>
  <c r="AG365" i="1"/>
  <c r="AH365" i="1" s="1"/>
  <c r="AO365" i="1" s="1"/>
  <c r="AP365" i="1" s="1"/>
  <c r="AJ365" i="1"/>
  <c r="AL159" i="1"/>
  <c r="AK159" i="1"/>
  <c r="AJ159" i="1"/>
  <c r="AG159" i="1"/>
  <c r="AH159" i="1" s="1"/>
  <c r="AO159" i="1" s="1"/>
  <c r="AP159" i="1" s="1"/>
  <c r="BX122" i="1"/>
  <c r="BW122" i="1"/>
  <c r="AK562" i="1"/>
  <c r="AJ562" i="1"/>
  <c r="AG562" i="1"/>
  <c r="AH562" i="1" s="1"/>
  <c r="AO562" i="1" s="1"/>
  <c r="AP562" i="1" s="1"/>
  <c r="AL562" i="1"/>
  <c r="AL209" i="1"/>
  <c r="AG209" i="1"/>
  <c r="AH209" i="1" s="1"/>
  <c r="AO209" i="1" s="1"/>
  <c r="AP209" i="1" s="1"/>
  <c r="AK209" i="1"/>
  <c r="AJ209" i="1"/>
  <c r="AG429" i="1"/>
  <c r="AH429" i="1" s="1"/>
  <c r="AO429" i="1" s="1"/>
  <c r="AP429" i="1" s="1"/>
  <c r="AJ429" i="1"/>
  <c r="AL429" i="1"/>
  <c r="AK429" i="1"/>
  <c r="AL7" i="1"/>
  <c r="AG7" i="1"/>
  <c r="AH7" i="1" s="1"/>
  <c r="AO7" i="1" s="1"/>
  <c r="AP7" i="1" s="1"/>
  <c r="BP289" i="1"/>
  <c r="BN289" i="1"/>
  <c r="BG384" i="1"/>
  <c r="BH384" i="1" s="1"/>
  <c r="BG139" i="1"/>
  <c r="AL511" i="1"/>
  <c r="AG511" i="1"/>
  <c r="AH511" i="1" s="1"/>
  <c r="AO511" i="1" s="1"/>
  <c r="AP511" i="1" s="1"/>
  <c r="AJ511" i="1"/>
  <c r="AK511" i="1"/>
  <c r="BE511" i="1" s="1"/>
  <c r="BF511" i="1" s="1"/>
  <c r="AG620" i="1"/>
  <c r="AH620" i="1" s="1"/>
  <c r="AO620" i="1" s="1"/>
  <c r="AP620" i="1" s="1"/>
  <c r="AJ620" i="1"/>
  <c r="AL620" i="1"/>
  <c r="AK620" i="1"/>
  <c r="AL103" i="1"/>
  <c r="AG103" i="1"/>
  <c r="AH103" i="1" s="1"/>
  <c r="AO103" i="1" s="1"/>
  <c r="AP103" i="1" s="1"/>
  <c r="AJ103" i="1"/>
  <c r="AK103" i="1"/>
  <c r="AG371" i="1"/>
  <c r="AH371" i="1" s="1"/>
  <c r="AO371" i="1" s="1"/>
  <c r="AP371" i="1" s="1"/>
  <c r="AK371" i="1"/>
  <c r="AJ371" i="1"/>
  <c r="BW371" i="1"/>
  <c r="AL371" i="1"/>
  <c r="AJ540" i="1"/>
  <c r="AO139" i="1"/>
  <c r="AP139" i="1" s="1"/>
  <c r="BM139" i="1"/>
  <c r="BL139" i="1"/>
  <c r="AL658" i="1"/>
  <c r="AG658" i="1"/>
  <c r="AH658" i="1" s="1"/>
  <c r="AO658" i="1" s="1"/>
  <c r="AP658" i="1" s="1"/>
  <c r="AJ658" i="1"/>
  <c r="AK658" i="1"/>
  <c r="AJ505" i="1"/>
  <c r="AK505" i="1"/>
  <c r="AG505" i="1"/>
  <c r="AH505" i="1" s="1"/>
  <c r="AO505" i="1" s="1"/>
  <c r="AP505" i="1" s="1"/>
  <c r="AL505" i="1"/>
  <c r="AG13" i="1"/>
  <c r="AH13" i="1" s="1"/>
  <c r="AO13" i="1" s="1"/>
  <c r="AP13" i="1" s="1"/>
  <c r="AK13" i="1"/>
  <c r="BY13" i="1" s="1"/>
  <c r="BZ13" i="1" s="1"/>
  <c r="AL13" i="1"/>
  <c r="AJ13" i="1"/>
  <c r="BW13" i="1"/>
  <c r="AJ268" i="1"/>
  <c r="AK268" i="1"/>
  <c r="AL268" i="1"/>
  <c r="AG268" i="1"/>
  <c r="AH268" i="1" s="1"/>
  <c r="AO268" i="1" s="1"/>
  <c r="AP268" i="1" s="1"/>
  <c r="AG295" i="1"/>
  <c r="AH295" i="1" s="1"/>
  <c r="AO295" i="1" s="1"/>
  <c r="AP295" i="1" s="1"/>
  <c r="AJ295" i="1"/>
  <c r="AL295" i="1"/>
  <c r="AK295" i="1"/>
  <c r="AG547" i="1"/>
  <c r="AH547" i="1" s="1"/>
  <c r="AO547" i="1" s="1"/>
  <c r="AP547" i="1" s="1"/>
  <c r="AL547" i="1"/>
  <c r="AJ547" i="1"/>
  <c r="AK547" i="1"/>
  <c r="BG55" i="1"/>
  <c r="AO190" i="1"/>
  <c r="AP190" i="1" s="1"/>
  <c r="BL190" i="1"/>
  <c r="BM190" i="1"/>
  <c r="AK110" i="1"/>
  <c r="AG110" i="1"/>
  <c r="AH110" i="1" s="1"/>
  <c r="AO110" i="1" s="1"/>
  <c r="AP110" i="1" s="1"/>
  <c r="AL110" i="1"/>
  <c r="AJ110" i="1"/>
  <c r="AG400" i="1"/>
  <c r="AH400" i="1" s="1"/>
  <c r="AO400" i="1" s="1"/>
  <c r="AP400" i="1" s="1"/>
  <c r="AJ400" i="1"/>
  <c r="AL400" i="1"/>
  <c r="AK400" i="1"/>
  <c r="BE400" i="1" s="1"/>
  <c r="BF400" i="1" s="1"/>
  <c r="BG362" i="1"/>
  <c r="BX232" i="1"/>
  <c r="BW232" i="1"/>
  <c r="AJ376" i="1"/>
  <c r="AG376" i="1"/>
  <c r="AH376" i="1" s="1"/>
  <c r="AO376" i="1" s="1"/>
  <c r="AP376" i="1" s="1"/>
  <c r="AK376" i="1"/>
  <c r="AL376" i="1"/>
  <c r="AG540" i="1"/>
  <c r="AH540" i="1" s="1"/>
  <c r="AO540" i="1" s="1"/>
  <c r="AP540" i="1" s="1"/>
  <c r="AK220" i="1"/>
  <c r="BY220" i="1" s="1"/>
  <c r="BZ220" i="1" s="1"/>
  <c r="AJ220" i="1"/>
  <c r="AL220" i="1"/>
  <c r="AG220" i="1"/>
  <c r="AH220" i="1" s="1"/>
  <c r="AO220" i="1" s="1"/>
  <c r="AP220" i="1" s="1"/>
  <c r="BW220" i="1"/>
  <c r="AJ334" i="1"/>
  <c r="AL334" i="1"/>
  <c r="AG334" i="1"/>
  <c r="AH334" i="1" s="1"/>
  <c r="AO334" i="1" s="1"/>
  <c r="AP334" i="1" s="1"/>
  <c r="AK334" i="1"/>
  <c r="AG451" i="1"/>
  <c r="AH451" i="1" s="1"/>
  <c r="AO451" i="1" s="1"/>
  <c r="AP451" i="1" s="1"/>
  <c r="AK451" i="1"/>
  <c r="AJ451" i="1"/>
  <c r="BW451" i="1"/>
  <c r="AL451" i="1"/>
  <c r="AJ63" i="1"/>
  <c r="AG63" i="1"/>
  <c r="AH63" i="1" s="1"/>
  <c r="AO63" i="1" s="1"/>
  <c r="AP63" i="1" s="1"/>
  <c r="AK63" i="1"/>
  <c r="BY63" i="1" s="1"/>
  <c r="BZ63" i="1" s="1"/>
  <c r="AL63" i="1"/>
  <c r="BW63" i="1"/>
  <c r="AJ424" i="1"/>
  <c r="AK424" i="1"/>
  <c r="AG424" i="1"/>
  <c r="AH424" i="1" s="1"/>
  <c r="AO424" i="1" s="1"/>
  <c r="AP424" i="1" s="1"/>
  <c r="AL424" i="1"/>
  <c r="AK6" i="1"/>
  <c r="AL6" i="1"/>
  <c r="AJ6" i="1"/>
  <c r="AG6" i="1"/>
  <c r="AH6" i="1" s="1"/>
  <c r="AO6" i="1" s="1"/>
  <c r="AP6" i="1" s="1"/>
  <c r="BW267" i="1"/>
  <c r="BX267" i="1"/>
  <c r="BY267" i="1" s="1"/>
  <c r="BZ267" i="1" s="1"/>
  <c r="AJ316" i="1"/>
  <c r="AG316" i="1"/>
  <c r="AH316" i="1" s="1"/>
  <c r="AO316" i="1" s="1"/>
  <c r="AP316" i="1" s="1"/>
  <c r="AK316" i="1"/>
  <c r="AL316" i="1"/>
  <c r="AK351" i="1"/>
  <c r="AG351" i="1"/>
  <c r="AH351" i="1" s="1"/>
  <c r="AO351" i="1" s="1"/>
  <c r="AP351" i="1" s="1"/>
  <c r="AJ351" i="1"/>
  <c r="AL351" i="1"/>
  <c r="BX14" i="1"/>
  <c r="BW14" i="1"/>
  <c r="AG553" i="1"/>
  <c r="AH553" i="1" s="1"/>
  <c r="AO553" i="1" s="1"/>
  <c r="AP553" i="1" s="1"/>
  <c r="AJ553" i="1"/>
  <c r="AK553" i="1"/>
  <c r="AL553" i="1"/>
  <c r="BX607" i="1"/>
  <c r="BW607" i="1"/>
  <c r="AL540" i="1"/>
  <c r="AK516" i="1"/>
  <c r="AJ516" i="1"/>
  <c r="AL516" i="1"/>
  <c r="AG516" i="1"/>
  <c r="AH516" i="1" s="1"/>
  <c r="AO516" i="1" s="1"/>
  <c r="AP516" i="1" s="1"/>
  <c r="AL143" i="1"/>
  <c r="AK143" i="1"/>
  <c r="BE143" i="1" s="1"/>
  <c r="BF143" i="1" s="1"/>
  <c r="BG143" i="1" s="1"/>
  <c r="AJ143" i="1"/>
  <c r="AG143" i="1"/>
  <c r="AH143" i="1" s="1"/>
  <c r="AO143" i="1" s="1"/>
  <c r="AP143" i="1" s="1"/>
  <c r="AK592" i="1"/>
  <c r="AJ592" i="1"/>
  <c r="AG592" i="1"/>
  <c r="AH592" i="1" s="1"/>
  <c r="AO592" i="1" s="1"/>
  <c r="AP592" i="1" s="1"/>
  <c r="AL592" i="1"/>
  <c r="AG587" i="1"/>
  <c r="AH587" i="1" s="1"/>
  <c r="AO587" i="1" s="1"/>
  <c r="AP587" i="1" s="1"/>
  <c r="AJ587" i="1"/>
  <c r="AL587" i="1"/>
  <c r="AK587" i="1"/>
  <c r="BE587" i="1" s="1"/>
  <c r="BF587" i="1" s="1"/>
  <c r="AJ650" i="1"/>
  <c r="AK650" i="1"/>
  <c r="BE650" i="1" s="1"/>
  <c r="BF650" i="1" s="1"/>
  <c r="AL650" i="1"/>
  <c r="AG650" i="1"/>
  <c r="AH650" i="1" s="1"/>
  <c r="AO650" i="1" s="1"/>
  <c r="AP650" i="1" s="1"/>
  <c r="AK481" i="1"/>
  <c r="AL481" i="1"/>
  <c r="AG481" i="1"/>
  <c r="AH481" i="1" s="1"/>
  <c r="AO481" i="1" s="1"/>
  <c r="AP481" i="1" s="1"/>
  <c r="AJ481" i="1"/>
  <c r="BX667" i="1"/>
  <c r="BW667" i="1"/>
  <c r="AG490" i="1"/>
  <c r="AH490" i="1" s="1"/>
  <c r="AO490" i="1" s="1"/>
  <c r="AP490" i="1" s="1"/>
  <c r="AJ490" i="1"/>
  <c r="AL490" i="1"/>
  <c r="AK490" i="1"/>
  <c r="BE490" i="1" s="1"/>
  <c r="BF490" i="1" s="1"/>
  <c r="AG300" i="1"/>
  <c r="AH300" i="1" s="1"/>
  <c r="AO300" i="1" s="1"/>
  <c r="AP300" i="1" s="1"/>
  <c r="AL300" i="1"/>
  <c r="AK300" i="1"/>
  <c r="AJ300" i="1"/>
  <c r="BX197" i="1"/>
  <c r="BY197" i="1" s="1"/>
  <c r="BZ197" i="1" s="1"/>
  <c r="BW197" i="1"/>
  <c r="BE404" i="1"/>
  <c r="BF404" i="1" s="1"/>
  <c r="BG404" i="1" s="1"/>
  <c r="BH404" i="1" s="1"/>
  <c r="AJ634" i="1"/>
  <c r="AK634" i="1"/>
  <c r="AL634" i="1"/>
  <c r="AG634" i="1"/>
  <c r="AH634" i="1" s="1"/>
  <c r="AO634" i="1" s="1"/>
  <c r="AP634" i="1" s="1"/>
  <c r="AG25" i="1"/>
  <c r="AH25" i="1" s="1"/>
  <c r="AO25" i="1" s="1"/>
  <c r="AP25" i="1" s="1"/>
  <c r="AJ25" i="1"/>
  <c r="AL25" i="1"/>
  <c r="AK25" i="1"/>
  <c r="AJ19" i="1"/>
  <c r="AK19" i="1"/>
  <c r="AL19" i="1"/>
  <c r="AG19" i="1"/>
  <c r="AH19" i="1" s="1"/>
  <c r="AO19" i="1" s="1"/>
  <c r="AP19" i="1" s="1"/>
  <c r="AJ392" i="1"/>
  <c r="AK392" i="1"/>
  <c r="BE392" i="1" s="1"/>
  <c r="BF392" i="1" s="1"/>
  <c r="BG392" i="1" s="1"/>
  <c r="AG392" i="1"/>
  <c r="AH392" i="1" s="1"/>
  <c r="AO392" i="1" s="1"/>
  <c r="AP392" i="1" s="1"/>
  <c r="AL392" i="1"/>
  <c r="AJ643" i="1"/>
  <c r="AG643" i="1"/>
  <c r="AH643" i="1" s="1"/>
  <c r="AO643" i="1" s="1"/>
  <c r="AP643" i="1" s="1"/>
  <c r="AK643" i="1"/>
  <c r="BY643" i="1" s="1"/>
  <c r="BZ643" i="1" s="1"/>
  <c r="BW643" i="1"/>
  <c r="AL643" i="1"/>
  <c r="AG405" i="1"/>
  <c r="AH405" i="1" s="1"/>
  <c r="AO405" i="1" s="1"/>
  <c r="AP405" i="1" s="1"/>
  <c r="AJ405" i="1"/>
  <c r="AK405" i="1"/>
  <c r="AL405" i="1"/>
  <c r="AG618" i="1"/>
  <c r="AH618" i="1" s="1"/>
  <c r="AO618" i="1" s="1"/>
  <c r="AP618" i="1" s="1"/>
  <c r="AL618" i="1"/>
  <c r="AJ618" i="1"/>
  <c r="AK618" i="1"/>
  <c r="BE618" i="1" s="1"/>
  <c r="BF618" i="1" s="1"/>
  <c r="AG60" i="1"/>
  <c r="AH60" i="1" s="1"/>
  <c r="AO60" i="1" s="1"/>
  <c r="AP60" i="1" s="1"/>
  <c r="AJ60" i="1"/>
  <c r="AK60" i="1"/>
  <c r="BE60" i="1" s="1"/>
  <c r="BF60" i="1" s="1"/>
  <c r="AL60" i="1"/>
  <c r="AG75" i="1"/>
  <c r="AH75" i="1" s="1"/>
  <c r="AO75" i="1" s="1"/>
  <c r="AP75" i="1" s="1"/>
  <c r="AJ75" i="1"/>
  <c r="AK75" i="1"/>
  <c r="AL75" i="1"/>
  <c r="BX611" i="1"/>
  <c r="BW611" i="1"/>
  <c r="AG419" i="1"/>
  <c r="AH419" i="1" s="1"/>
  <c r="AO419" i="1" s="1"/>
  <c r="AP419" i="1" s="1"/>
  <c r="AL419" i="1"/>
  <c r="AK419" i="1"/>
  <c r="BE419" i="1" s="1"/>
  <c r="BF419" i="1" s="1"/>
  <c r="AJ419" i="1"/>
  <c r="AJ146" i="1"/>
  <c r="AG146" i="1"/>
  <c r="AH146" i="1" s="1"/>
  <c r="AL146" i="1"/>
  <c r="AK146" i="1"/>
  <c r="BE146" i="1" s="1"/>
  <c r="BF146" i="1" s="1"/>
  <c r="AG282" i="1"/>
  <c r="AH282" i="1" s="1"/>
  <c r="AO282" i="1" s="1"/>
  <c r="AP282" i="1" s="1"/>
  <c r="AK282" i="1"/>
  <c r="BE282" i="1" s="1"/>
  <c r="BF282" i="1" s="1"/>
  <c r="BG282" i="1" s="1"/>
  <c r="AL282" i="1"/>
  <c r="AJ282" i="1"/>
  <c r="AJ81" i="1"/>
  <c r="AK81" i="1"/>
  <c r="AG81" i="1"/>
  <c r="AH81" i="1" s="1"/>
  <c r="AO81" i="1" s="1"/>
  <c r="AP81" i="1" s="1"/>
  <c r="AL81" i="1"/>
  <c r="AL308" i="1"/>
  <c r="AJ308" i="1"/>
  <c r="AK308" i="1"/>
  <c r="AG308" i="1"/>
  <c r="AH308" i="1" s="1"/>
  <c r="AO308" i="1" s="1"/>
  <c r="AP308" i="1" s="1"/>
  <c r="BX97" i="1"/>
  <c r="BW97" i="1"/>
  <c r="AG257" i="1"/>
  <c r="AH257" i="1" s="1"/>
  <c r="AO257" i="1" s="1"/>
  <c r="AP257" i="1" s="1"/>
  <c r="AK257" i="1"/>
  <c r="AJ257" i="1"/>
  <c r="AL257" i="1"/>
  <c r="BX222" i="1"/>
  <c r="BW222" i="1"/>
  <c r="AK180" i="1"/>
  <c r="AJ180" i="1"/>
  <c r="AL180" i="1"/>
  <c r="AG180" i="1"/>
  <c r="AH180" i="1" s="1"/>
  <c r="AO180" i="1" s="1"/>
  <c r="AP180" i="1" s="1"/>
  <c r="BX461" i="1"/>
  <c r="BW461" i="1"/>
  <c r="AK597" i="1"/>
  <c r="AJ597" i="1"/>
  <c r="AG597" i="1"/>
  <c r="AH597" i="1" s="1"/>
  <c r="AO597" i="1" s="1"/>
  <c r="AP597" i="1" s="1"/>
  <c r="AL597" i="1"/>
  <c r="AK583" i="1"/>
  <c r="BE583" i="1" s="1"/>
  <c r="BF583" i="1" s="1"/>
  <c r="BG583" i="1" s="1"/>
  <c r="AL583" i="1"/>
  <c r="AG583" i="1"/>
  <c r="AH583" i="1" s="1"/>
  <c r="AO583" i="1" s="1"/>
  <c r="AP583" i="1" s="1"/>
  <c r="AJ583" i="1"/>
  <c r="AG44" i="1"/>
  <c r="AH44" i="1" s="1"/>
  <c r="AO44" i="1" s="1"/>
  <c r="AP44" i="1" s="1"/>
  <c r="AK44" i="1"/>
  <c r="BE44" i="1" s="1"/>
  <c r="BF44" i="1" s="1"/>
  <c r="AJ44" i="1"/>
  <c r="AL44" i="1"/>
  <c r="AK90" i="1"/>
  <c r="BY90" i="1" s="1"/>
  <c r="BZ90" i="1" s="1"/>
  <c r="AJ90" i="1"/>
  <c r="AG90" i="1"/>
  <c r="AH90" i="1" s="1"/>
  <c r="AO90" i="1" s="1"/>
  <c r="AP90" i="1" s="1"/>
  <c r="AL90" i="1"/>
  <c r="BW90" i="1"/>
  <c r="AL614" i="1"/>
  <c r="AJ614" i="1"/>
  <c r="AG614" i="1"/>
  <c r="AH614" i="1" s="1"/>
  <c r="AO614" i="1" s="1"/>
  <c r="AP614" i="1" s="1"/>
  <c r="AK614" i="1"/>
  <c r="AL124" i="1"/>
  <c r="AJ124" i="1"/>
  <c r="AG124" i="1"/>
  <c r="AH124" i="1" s="1"/>
  <c r="AO124" i="1" s="1"/>
  <c r="AP124" i="1" s="1"/>
  <c r="AK124" i="1"/>
  <c r="AO473" i="1"/>
  <c r="AP473" i="1" s="1"/>
  <c r="BL473" i="1"/>
  <c r="BM473" i="1"/>
  <c r="BX654" i="1"/>
  <c r="BW654" i="1"/>
  <c r="AJ544" i="1"/>
  <c r="AK544" i="1"/>
  <c r="AL544" i="1"/>
  <c r="AG544" i="1"/>
  <c r="AH544" i="1" s="1"/>
  <c r="AO544" i="1" s="1"/>
  <c r="AP544" i="1" s="1"/>
  <c r="AK66" i="1"/>
  <c r="BE66" i="1" s="1"/>
  <c r="BF66" i="1" s="1"/>
  <c r="AG66" i="1"/>
  <c r="AH66" i="1" s="1"/>
  <c r="AO66" i="1" s="1"/>
  <c r="AP66" i="1" s="1"/>
  <c r="AL66" i="1"/>
  <c r="AJ66" i="1"/>
  <c r="AG529" i="1"/>
  <c r="AH529" i="1" s="1"/>
  <c r="AO529" i="1" s="1"/>
  <c r="AP529" i="1" s="1"/>
  <c r="AK529" i="1"/>
  <c r="AL529" i="1"/>
  <c r="AJ529" i="1"/>
  <c r="BX179" i="1"/>
  <c r="BY179" i="1" s="1"/>
  <c r="BZ179" i="1" s="1"/>
  <c r="BW179" i="1"/>
  <c r="AL374" i="1"/>
  <c r="AK374" i="1"/>
  <c r="BE374" i="1" s="1"/>
  <c r="BF374" i="1" s="1"/>
  <c r="AJ374" i="1"/>
  <c r="AG374" i="1"/>
  <c r="AH374" i="1" s="1"/>
  <c r="AO374" i="1" s="1"/>
  <c r="AP374" i="1" s="1"/>
  <c r="AK239" i="1"/>
  <c r="AJ239" i="1"/>
  <c r="AG239" i="1"/>
  <c r="AH239" i="1" s="1"/>
  <c r="AO239" i="1" s="1"/>
  <c r="AP239" i="1" s="1"/>
  <c r="AL239" i="1"/>
  <c r="AL33" i="1"/>
  <c r="AJ33" i="1"/>
  <c r="AK33" i="1"/>
  <c r="BE33" i="1" s="1"/>
  <c r="BF33" i="1" s="1"/>
  <c r="AG33" i="1"/>
  <c r="AH33" i="1" s="1"/>
  <c r="AO33" i="1" s="1"/>
  <c r="AP33" i="1" s="1"/>
  <c r="AK149" i="1"/>
  <c r="BY149" i="1" s="1"/>
  <c r="BZ149" i="1" s="1"/>
  <c r="AL149" i="1"/>
  <c r="AG149" i="1"/>
  <c r="AH149" i="1" s="1"/>
  <c r="AO149" i="1" s="1"/>
  <c r="AP149" i="1" s="1"/>
  <c r="BW149" i="1"/>
  <c r="AJ149" i="1"/>
  <c r="AL499" i="1"/>
  <c r="AJ499" i="1"/>
  <c r="AG499" i="1"/>
  <c r="AH499" i="1" s="1"/>
  <c r="AO499" i="1" s="1"/>
  <c r="AP499" i="1" s="1"/>
  <c r="AK499" i="1"/>
  <c r="BE499" i="1" s="1"/>
  <c r="BF499" i="1" s="1"/>
  <c r="BX249" i="1"/>
  <c r="BW249" i="1"/>
  <c r="AK646" i="1"/>
  <c r="AL646" i="1"/>
  <c r="AG646" i="1"/>
  <c r="AH646" i="1" s="1"/>
  <c r="AO646" i="1" s="1"/>
  <c r="AP646" i="1" s="1"/>
  <c r="AJ646" i="1"/>
  <c r="BG473" i="1"/>
  <c r="BH473" i="1" s="1"/>
  <c r="BX238" i="1"/>
  <c r="BY238" i="1" s="1"/>
  <c r="BZ238" i="1" s="1"/>
  <c r="BW238" i="1"/>
  <c r="BN153" i="1"/>
  <c r="BP153" i="1"/>
  <c r="BG659" i="1"/>
  <c r="BI659" i="1" s="1"/>
  <c r="BH659" i="1"/>
  <c r="AK78" i="1"/>
  <c r="AL78" i="1"/>
  <c r="AG78" i="1"/>
  <c r="AH78" i="1" s="1"/>
  <c r="AO78" i="1" s="1"/>
  <c r="AP78" i="1" s="1"/>
  <c r="AJ78" i="1"/>
  <c r="AL156" i="1"/>
  <c r="BW156" i="1"/>
  <c r="BG656" i="1"/>
  <c r="BG291" i="1"/>
  <c r="BH291" i="1" s="1"/>
  <c r="BG492" i="1"/>
  <c r="BH492" i="1" s="1"/>
  <c r="BG140" i="1"/>
  <c r="BH140" i="1" s="1"/>
  <c r="BX287" i="1"/>
  <c r="BY287" i="1" s="1"/>
  <c r="BZ287" i="1" s="1"/>
  <c r="BW287" i="1"/>
  <c r="AG262" i="1"/>
  <c r="AH262" i="1" s="1"/>
  <c r="AO262" i="1" s="1"/>
  <c r="AP262" i="1" s="1"/>
  <c r="AL262" i="1"/>
  <c r="AJ262" i="1"/>
  <c r="AK262" i="1"/>
  <c r="AK151" i="1"/>
  <c r="BE151" i="1" s="1"/>
  <c r="BF151" i="1" s="1"/>
  <c r="AL151" i="1"/>
  <c r="AG151" i="1"/>
  <c r="AH151" i="1" s="1"/>
  <c r="AJ151" i="1"/>
  <c r="BX531" i="1"/>
  <c r="BW531" i="1"/>
  <c r="BX361" i="1"/>
  <c r="BY361" i="1" s="1"/>
  <c r="BZ361" i="1" s="1"/>
  <c r="BW361" i="1"/>
  <c r="BX350" i="1"/>
  <c r="BY350" i="1" s="1"/>
  <c r="BZ350" i="1" s="1"/>
  <c r="BW350" i="1"/>
  <c r="AJ639" i="1"/>
  <c r="AK639" i="1"/>
  <c r="AG639" i="1"/>
  <c r="AH639" i="1" s="1"/>
  <c r="AO639" i="1" s="1"/>
  <c r="AP639" i="1" s="1"/>
  <c r="AL639" i="1"/>
  <c r="BW536" i="1"/>
  <c r="BX536" i="1"/>
  <c r="BW572" i="1"/>
  <c r="BX572" i="1"/>
  <c r="AJ575" i="1"/>
  <c r="AG575" i="1"/>
  <c r="AH575" i="1" s="1"/>
  <c r="AO575" i="1" s="1"/>
  <c r="AP575" i="1" s="1"/>
  <c r="AK575" i="1"/>
  <c r="AL575" i="1"/>
  <c r="AL596" i="1"/>
  <c r="AG596" i="1"/>
  <c r="AH596" i="1" s="1"/>
  <c r="AO596" i="1" s="1"/>
  <c r="AP596" i="1" s="1"/>
  <c r="AJ596" i="1"/>
  <c r="AK596" i="1"/>
  <c r="AL241" i="1"/>
  <c r="AJ241" i="1"/>
  <c r="AG241" i="1"/>
  <c r="AH241" i="1" s="1"/>
  <c r="AO241" i="1" s="1"/>
  <c r="AP241" i="1" s="1"/>
  <c r="AK241" i="1"/>
  <c r="BG350" i="1"/>
  <c r="BH350" i="1" s="1"/>
  <c r="BX227" i="1"/>
  <c r="BY227" i="1" s="1"/>
  <c r="BZ227" i="1" s="1"/>
  <c r="BW227" i="1"/>
  <c r="BX27" i="1"/>
  <c r="BY27" i="1" s="1"/>
  <c r="BZ27" i="1" s="1"/>
  <c r="BW27" i="1"/>
  <c r="AJ73" i="1"/>
  <c r="AK73" i="1"/>
  <c r="BE73" i="1" s="1"/>
  <c r="BF73" i="1" s="1"/>
  <c r="AL73" i="1"/>
  <c r="AG73" i="1"/>
  <c r="AH73" i="1" s="1"/>
  <c r="AO73" i="1" s="1"/>
  <c r="AP73" i="1" s="1"/>
  <c r="AG539" i="1"/>
  <c r="AH539" i="1" s="1"/>
  <c r="AO539" i="1" s="1"/>
  <c r="AP539" i="1" s="1"/>
  <c r="AL539" i="1"/>
  <c r="AK539" i="1"/>
  <c r="AJ539" i="1"/>
  <c r="BG600" i="1"/>
  <c r="BH600" i="1" s="1"/>
  <c r="BG486" i="1"/>
  <c r="BX211" i="1"/>
  <c r="BY211" i="1" s="1"/>
  <c r="BZ211" i="1" s="1"/>
  <c r="BW211" i="1"/>
  <c r="BG289" i="1"/>
  <c r="BH289" i="1" s="1"/>
  <c r="BG518" i="1"/>
  <c r="BH518" i="1" s="1"/>
  <c r="AJ292" i="1"/>
  <c r="AL292" i="1"/>
  <c r="AG292" i="1"/>
  <c r="AH292" i="1" s="1"/>
  <c r="AO292" i="1" s="1"/>
  <c r="AP292" i="1" s="1"/>
  <c r="AK292" i="1"/>
  <c r="AJ23" i="1"/>
  <c r="AK23" i="1"/>
  <c r="BE23" i="1" s="1"/>
  <c r="BF23" i="1" s="1"/>
  <c r="AL23" i="1"/>
  <c r="AG23" i="1"/>
  <c r="AH23" i="1" s="1"/>
  <c r="AJ581" i="1"/>
  <c r="AL581" i="1"/>
  <c r="AG581" i="1"/>
  <c r="AH581" i="1" s="1"/>
  <c r="AO581" i="1" s="1"/>
  <c r="AP581" i="1" s="1"/>
  <c r="AK581" i="1"/>
  <c r="BG455" i="1"/>
  <c r="BH455" i="1" s="1"/>
  <c r="AG521" i="1"/>
  <c r="AH521" i="1" s="1"/>
  <c r="AO521" i="1" s="1"/>
  <c r="AP521" i="1" s="1"/>
  <c r="AJ521" i="1"/>
  <c r="AL521" i="1"/>
  <c r="AK521" i="1"/>
  <c r="BE521" i="1" s="1"/>
  <c r="BF521" i="1" s="1"/>
  <c r="BW521" i="1"/>
  <c r="AK671" i="1"/>
  <c r="BY671" i="1" s="1"/>
  <c r="BZ671" i="1" s="1"/>
  <c r="AL671" i="1"/>
  <c r="AG671" i="1"/>
  <c r="AH671" i="1" s="1"/>
  <c r="AO671" i="1" s="1"/>
  <c r="AP671" i="1" s="1"/>
  <c r="AJ671" i="1"/>
  <c r="BW671" i="1"/>
  <c r="AJ254" i="1"/>
  <c r="AK254" i="1"/>
  <c r="AG254" i="1"/>
  <c r="AH254" i="1" s="1"/>
  <c r="AO254" i="1" s="1"/>
  <c r="AP254" i="1" s="1"/>
  <c r="AL254" i="1"/>
  <c r="AJ92" i="1"/>
  <c r="AK92" i="1"/>
  <c r="BY92" i="1" s="1"/>
  <c r="BZ92" i="1" s="1"/>
  <c r="AL92" i="1"/>
  <c r="AG92" i="1"/>
  <c r="AH92" i="1" s="1"/>
  <c r="AO92" i="1" s="1"/>
  <c r="AP92" i="1" s="1"/>
  <c r="BW92" i="1"/>
  <c r="BG267" i="1"/>
  <c r="BH267" i="1" s="1"/>
  <c r="BX219" i="1"/>
  <c r="BW219" i="1"/>
  <c r="BG510" i="1"/>
  <c r="BH510" i="1" s="1"/>
  <c r="BW616" i="1"/>
  <c r="BX616" i="1"/>
  <c r="BY616" i="1" s="1"/>
  <c r="BZ616" i="1" s="1"/>
  <c r="AL604" i="1"/>
  <c r="AJ604" i="1"/>
  <c r="AK604" i="1"/>
  <c r="BE604" i="1" s="1"/>
  <c r="BF604" i="1" s="1"/>
  <c r="AG604" i="1"/>
  <c r="AH604" i="1" s="1"/>
  <c r="AO604" i="1" s="1"/>
  <c r="AP604" i="1" s="1"/>
  <c r="AL16" i="1"/>
  <c r="AJ16" i="1"/>
  <c r="AG16" i="1"/>
  <c r="AH16" i="1" s="1"/>
  <c r="AO16" i="1" s="1"/>
  <c r="AP16" i="1" s="1"/>
  <c r="AK16" i="1"/>
  <c r="BI277" i="1"/>
  <c r="BX629" i="1"/>
  <c r="BW629" i="1"/>
  <c r="AJ437" i="1"/>
  <c r="AL437" i="1"/>
  <c r="AK437" i="1"/>
  <c r="AG437" i="1"/>
  <c r="AH437" i="1" s="1"/>
  <c r="AO437" i="1" s="1"/>
  <c r="AP437" i="1" s="1"/>
  <c r="BX204" i="1"/>
  <c r="BY204" i="1" s="1"/>
  <c r="BZ204" i="1" s="1"/>
  <c r="BW204" i="1"/>
  <c r="BX85" i="1"/>
  <c r="BY85" i="1" s="1"/>
  <c r="BZ85" i="1" s="1"/>
  <c r="BW85" i="1"/>
  <c r="AO455" i="1"/>
  <c r="AP455" i="1" s="1"/>
  <c r="BL455" i="1"/>
  <c r="BM455" i="1"/>
  <c r="AK77" i="1"/>
  <c r="AG77" i="1"/>
  <c r="AH77" i="1" s="1"/>
  <c r="AO77" i="1" s="1"/>
  <c r="AP77" i="1" s="1"/>
  <c r="AJ77" i="1"/>
  <c r="AL77" i="1"/>
  <c r="BX260" i="1"/>
  <c r="BY260" i="1" s="1"/>
  <c r="BZ260" i="1" s="1"/>
  <c r="BW260" i="1"/>
  <c r="BI363" i="1"/>
  <c r="AJ352" i="1"/>
  <c r="AK352" i="1"/>
  <c r="AG352" i="1"/>
  <c r="AH352" i="1" s="1"/>
  <c r="AO352" i="1" s="1"/>
  <c r="AP352" i="1" s="1"/>
  <c r="AL352" i="1"/>
  <c r="AG504" i="1"/>
  <c r="AH504" i="1" s="1"/>
  <c r="AO504" i="1" s="1"/>
  <c r="AP504" i="1" s="1"/>
  <c r="AJ504" i="1"/>
  <c r="AK504" i="1"/>
  <c r="AL504" i="1"/>
  <c r="AG217" i="1"/>
  <c r="AH217" i="1" s="1"/>
  <c r="AO217" i="1" s="1"/>
  <c r="AP217" i="1" s="1"/>
  <c r="AK217" i="1"/>
  <c r="BE217" i="1" s="1"/>
  <c r="BF217" i="1" s="1"/>
  <c r="AL217" i="1"/>
  <c r="AJ217" i="1"/>
  <c r="AK305" i="1"/>
  <c r="BE305" i="1" s="1"/>
  <c r="BF305" i="1" s="1"/>
  <c r="AG305" i="1"/>
  <c r="AH305" i="1" s="1"/>
  <c r="AO305" i="1" s="1"/>
  <c r="AP305" i="1" s="1"/>
  <c r="AL305" i="1"/>
  <c r="AJ305" i="1"/>
  <c r="BG130" i="1"/>
  <c r="BG88" i="1"/>
  <c r="BX606" i="1"/>
  <c r="BW606" i="1"/>
  <c r="BX359" i="1"/>
  <c r="BY359" i="1" s="1"/>
  <c r="BZ359" i="1" s="1"/>
  <c r="BW359" i="1"/>
  <c r="BW615" i="1"/>
  <c r="BX615" i="1"/>
  <c r="BH452" i="1"/>
  <c r="BI452" i="1" s="1"/>
  <c r="BI341" i="1"/>
  <c r="BG144" i="1"/>
  <c r="BH144" i="1" s="1"/>
  <c r="BG216" i="1"/>
  <c r="BH157" i="1"/>
  <c r="BI157" i="1" s="1"/>
  <c r="BX452" i="1"/>
  <c r="BY452" i="1" s="1"/>
  <c r="BZ452" i="1" s="1"/>
  <c r="BW452" i="1"/>
  <c r="BG188" i="1"/>
  <c r="BH188" i="1" s="1"/>
  <c r="BX491" i="1"/>
  <c r="BW491" i="1"/>
  <c r="AG61" i="1"/>
  <c r="AH61" i="1" s="1"/>
  <c r="AO61" i="1" s="1"/>
  <c r="AP61" i="1" s="1"/>
  <c r="AK61" i="1"/>
  <c r="AL61" i="1"/>
  <c r="AJ61" i="1"/>
  <c r="BW61" i="1"/>
  <c r="AK538" i="1"/>
  <c r="AG538" i="1"/>
  <c r="AH538" i="1" s="1"/>
  <c r="AO538" i="1" s="1"/>
  <c r="AP538" i="1" s="1"/>
  <c r="AJ538" i="1"/>
  <c r="AL538" i="1"/>
  <c r="BL626" i="1"/>
  <c r="AO626" i="1"/>
  <c r="AP626" i="1" s="1"/>
  <c r="BM626" i="1"/>
  <c r="BN626" i="1" s="1"/>
  <c r="BX159" i="1"/>
  <c r="BW159" i="1"/>
  <c r="BG58" i="1"/>
  <c r="BX405" i="1"/>
  <c r="BW405" i="1"/>
  <c r="BX266" i="1"/>
  <c r="BY266" i="1" s="1"/>
  <c r="BZ266" i="1" s="1"/>
  <c r="BW266" i="1"/>
  <c r="BW627" i="1"/>
  <c r="BX627" i="1"/>
  <c r="AK552" i="1"/>
  <c r="AG552" i="1"/>
  <c r="AH552" i="1" s="1"/>
  <c r="AO552" i="1" s="1"/>
  <c r="AP552" i="1" s="1"/>
  <c r="AJ552" i="1"/>
  <c r="AL552" i="1"/>
  <c r="AG56" i="1"/>
  <c r="AH56" i="1" s="1"/>
  <c r="AO56" i="1" s="1"/>
  <c r="AP56" i="1" s="1"/>
  <c r="AK56" i="1"/>
  <c r="AJ56" i="1"/>
  <c r="AL56" i="1"/>
  <c r="BW56" i="1"/>
  <c r="BX88" i="1"/>
  <c r="BY88" i="1" s="1"/>
  <c r="BZ88" i="1" s="1"/>
  <c r="BW88" i="1"/>
  <c r="BG459" i="1"/>
  <c r="AJ185" i="1"/>
  <c r="AL185" i="1"/>
  <c r="AG185" i="1"/>
  <c r="AH185" i="1" s="1"/>
  <c r="AO185" i="1" s="1"/>
  <c r="AP185" i="1" s="1"/>
  <c r="AK185" i="1"/>
  <c r="BE185" i="1" s="1"/>
  <c r="BF185" i="1" s="1"/>
  <c r="AG137" i="1"/>
  <c r="AH137" i="1" s="1"/>
  <c r="AJ137" i="1"/>
  <c r="AL137" i="1"/>
  <c r="AK137" i="1"/>
  <c r="BE137" i="1" s="1"/>
  <c r="BF137" i="1" s="1"/>
  <c r="AG348" i="1"/>
  <c r="AH348" i="1" s="1"/>
  <c r="AO348" i="1" s="1"/>
  <c r="AP348" i="1" s="1"/>
  <c r="AK348" i="1"/>
  <c r="AL348" i="1"/>
  <c r="AJ348" i="1"/>
  <c r="BX436" i="1"/>
  <c r="BW436" i="1"/>
  <c r="BH361" i="1"/>
  <c r="BG361" i="1"/>
  <c r="BI361" i="1" s="1"/>
  <c r="BL283" i="1" l="1"/>
  <c r="BI340" i="1"/>
  <c r="BY159" i="1"/>
  <c r="BZ159" i="1" s="1"/>
  <c r="BH30" i="1"/>
  <c r="BI30" i="1" s="1"/>
  <c r="BM283" i="1"/>
  <c r="BP283" i="1" s="1"/>
  <c r="BH31" i="1"/>
  <c r="BI31" i="1" s="1"/>
  <c r="BH418" i="1"/>
  <c r="BI418" i="1" s="1"/>
  <c r="BY461" i="1"/>
  <c r="BZ461" i="1" s="1"/>
  <c r="BY80" i="1"/>
  <c r="BZ80" i="1" s="1"/>
  <c r="BH337" i="1"/>
  <c r="BI337" i="1" s="1"/>
  <c r="BH222" i="1"/>
  <c r="BI222" i="1" s="1"/>
  <c r="BH362" i="1"/>
  <c r="BI362" i="1" s="1"/>
  <c r="BY610" i="1"/>
  <c r="BZ610" i="1" s="1"/>
  <c r="BH130" i="1"/>
  <c r="BI130" i="1" s="1"/>
  <c r="BY14" i="1"/>
  <c r="BZ14" i="1" s="1"/>
  <c r="BH80" i="1"/>
  <c r="BI80" i="1" s="1"/>
  <c r="BI589" i="1"/>
  <c r="BH458" i="1"/>
  <c r="BI458" i="1" s="1"/>
  <c r="BH45" i="1"/>
  <c r="BI45" i="1" s="1"/>
  <c r="BH283" i="1"/>
  <c r="BI283" i="1" s="1"/>
  <c r="BY606" i="1"/>
  <c r="BZ606" i="1" s="1"/>
  <c r="BM627" i="1"/>
  <c r="BP627" i="1" s="1"/>
  <c r="BL627" i="1"/>
  <c r="BH301" i="1"/>
  <c r="BI301" i="1" s="1"/>
  <c r="BH577" i="1"/>
  <c r="BI577" i="1" s="1"/>
  <c r="BL187" i="1"/>
  <c r="BL368" i="1"/>
  <c r="BM187" i="1"/>
  <c r="BP187" i="1" s="1"/>
  <c r="BM368" i="1"/>
  <c r="BN368" i="1" s="1"/>
  <c r="BH434" i="1"/>
  <c r="BI434" i="1" s="1"/>
  <c r="BY572" i="1"/>
  <c r="BZ572" i="1" s="1"/>
  <c r="BH580" i="1"/>
  <c r="BI580" i="1" s="1"/>
  <c r="BH611" i="1"/>
  <c r="BI611" i="1" s="1"/>
  <c r="BE441" i="1"/>
  <c r="BF441" i="1" s="1"/>
  <c r="BG441" i="1" s="1"/>
  <c r="BL515" i="1"/>
  <c r="BY613" i="1"/>
  <c r="BZ613" i="1" s="1"/>
  <c r="BY577" i="1"/>
  <c r="BZ577" i="1" s="1"/>
  <c r="BM611" i="1"/>
  <c r="BN611" i="1" s="1"/>
  <c r="BH271" i="1"/>
  <c r="BI271" i="1" s="1"/>
  <c r="BH590" i="1"/>
  <c r="BI590" i="1" s="1"/>
  <c r="BH153" i="1"/>
  <c r="BI153" i="1" s="1"/>
  <c r="BH219" i="1"/>
  <c r="BI219" i="1" s="1"/>
  <c r="BY514" i="1"/>
  <c r="BZ514" i="1" s="1"/>
  <c r="BH353" i="1"/>
  <c r="BI353" i="1" s="1"/>
  <c r="BL611" i="1"/>
  <c r="BH368" i="1"/>
  <c r="BI368" i="1" s="1"/>
  <c r="BH54" i="1"/>
  <c r="BI54" i="1" s="1"/>
  <c r="BY627" i="1"/>
  <c r="BZ627" i="1" s="1"/>
  <c r="BY249" i="1"/>
  <c r="BZ249" i="1" s="1"/>
  <c r="BY222" i="1"/>
  <c r="BZ222" i="1" s="1"/>
  <c r="BH169" i="1"/>
  <c r="BI169" i="1" s="1"/>
  <c r="BH512" i="1"/>
  <c r="BI512" i="1" s="1"/>
  <c r="BH477" i="1"/>
  <c r="BI477" i="1" s="1"/>
  <c r="BE385" i="1"/>
  <c r="BF385" i="1" s="1"/>
  <c r="BG385" i="1" s="1"/>
  <c r="BH369" i="1"/>
  <c r="BI369" i="1" s="1"/>
  <c r="BH606" i="1"/>
  <c r="BI606" i="1" s="1"/>
  <c r="BY219" i="1"/>
  <c r="BZ219" i="1" s="1"/>
  <c r="BH367" i="1"/>
  <c r="BI367" i="1" s="1"/>
  <c r="BY536" i="1"/>
  <c r="BZ536" i="1" s="1"/>
  <c r="BY654" i="1"/>
  <c r="BZ654" i="1" s="1"/>
  <c r="BH343" i="1"/>
  <c r="BI343" i="1" s="1"/>
  <c r="BY153" i="1"/>
  <c r="BZ153" i="1" s="1"/>
  <c r="BH11" i="1"/>
  <c r="BI11" i="1" s="1"/>
  <c r="AO515" i="1"/>
  <c r="AP515" i="1" s="1"/>
  <c r="BY232" i="1"/>
  <c r="BZ232" i="1" s="1"/>
  <c r="BH55" i="1"/>
  <c r="BI55" i="1" s="1"/>
  <c r="BY491" i="1"/>
  <c r="BZ491" i="1" s="1"/>
  <c r="BP457" i="1"/>
  <c r="BN457" i="1"/>
  <c r="BH342" i="1"/>
  <c r="BI342" i="1" s="1"/>
  <c r="BH613" i="1"/>
  <c r="BI613" i="1" s="1"/>
  <c r="BH39" i="1"/>
  <c r="BI39" i="1" s="1"/>
  <c r="BM298" i="1"/>
  <c r="BL298" i="1"/>
  <c r="AO298" i="1"/>
  <c r="AP298" i="1" s="1"/>
  <c r="BH38" i="1"/>
  <c r="BI38" i="1" s="1"/>
  <c r="BH36" i="1"/>
  <c r="BI36" i="1" s="1"/>
  <c r="BY611" i="1"/>
  <c r="BZ611" i="1" s="1"/>
  <c r="BH588" i="1"/>
  <c r="BI588" i="1" s="1"/>
  <c r="AO354" i="1"/>
  <c r="AP354" i="1" s="1"/>
  <c r="BM354" i="1"/>
  <c r="BN354" i="1" s="1"/>
  <c r="BL354" i="1"/>
  <c r="BH461" i="1"/>
  <c r="BI461" i="1" s="1"/>
  <c r="BH402" i="1"/>
  <c r="BI402" i="1" s="1"/>
  <c r="AO513" i="1"/>
  <c r="AP513" i="1" s="1"/>
  <c r="BM513" i="1"/>
  <c r="BN513" i="1" s="1"/>
  <c r="BL513" i="1"/>
  <c r="BY122" i="1"/>
  <c r="BZ122" i="1" s="1"/>
  <c r="BL130" i="1"/>
  <c r="BM130" i="1"/>
  <c r="AO130" i="1"/>
  <c r="AP130" i="1" s="1"/>
  <c r="BY629" i="1"/>
  <c r="BZ629" i="1" s="1"/>
  <c r="BN140" i="1"/>
  <c r="BP140" i="1"/>
  <c r="BY615" i="1"/>
  <c r="BZ615" i="1" s="1"/>
  <c r="BY460" i="1"/>
  <c r="BZ460" i="1" s="1"/>
  <c r="BH666" i="1"/>
  <c r="BI666" i="1" s="1"/>
  <c r="BH661" i="1"/>
  <c r="BI661" i="1" s="1"/>
  <c r="BY667" i="1"/>
  <c r="BZ667" i="1" s="1"/>
  <c r="BH89" i="1"/>
  <c r="BI89" i="1" s="1"/>
  <c r="BH456" i="1"/>
  <c r="BI456" i="1" s="1"/>
  <c r="AO62" i="1"/>
  <c r="AP62" i="1" s="1"/>
  <c r="BM62" i="1"/>
  <c r="BL62" i="1"/>
  <c r="BM24" i="1"/>
  <c r="BL24" i="1"/>
  <c r="AO24" i="1"/>
  <c r="AP24" i="1" s="1"/>
  <c r="AO456" i="1"/>
  <c r="AP456" i="1" s="1"/>
  <c r="BL456" i="1"/>
  <c r="BM456" i="1"/>
  <c r="BH583" i="1"/>
  <c r="BI583" i="1" s="1"/>
  <c r="BH68" i="1"/>
  <c r="BI68" i="1" s="1"/>
  <c r="BH62" i="1"/>
  <c r="BI62" i="1" s="1"/>
  <c r="BH24" i="1"/>
  <c r="BI24" i="1" s="1"/>
  <c r="BH465" i="1"/>
  <c r="BI465" i="1" s="1"/>
  <c r="BH474" i="1"/>
  <c r="BI474" i="1" s="1"/>
  <c r="BL512" i="1"/>
  <c r="BH136" i="1"/>
  <c r="BI136" i="1" s="1"/>
  <c r="AO512" i="1"/>
  <c r="AP512" i="1" s="1"/>
  <c r="BI190" i="1"/>
  <c r="BH632" i="1"/>
  <c r="BI632" i="1" s="1"/>
  <c r="BY522" i="1"/>
  <c r="BZ522" i="1" s="1"/>
  <c r="BE522" i="1"/>
  <c r="BF522" i="1" s="1"/>
  <c r="BG522" i="1" s="1"/>
  <c r="BY97" i="1"/>
  <c r="BZ97" i="1" s="1"/>
  <c r="BG442" i="1"/>
  <c r="BH442" i="1" s="1"/>
  <c r="BI442" i="1" s="1"/>
  <c r="BH436" i="1"/>
  <c r="BI436" i="1" s="1"/>
  <c r="BH491" i="1"/>
  <c r="BI491" i="1" s="1"/>
  <c r="BH10" i="1"/>
  <c r="BI10" i="1" s="1"/>
  <c r="BY531" i="1"/>
  <c r="BZ531" i="1" s="1"/>
  <c r="BH9" i="1"/>
  <c r="BI9" i="1" s="1"/>
  <c r="BM136" i="1"/>
  <c r="BL136" i="1"/>
  <c r="AO136" i="1"/>
  <c r="AP136" i="1" s="1"/>
  <c r="BH272" i="1"/>
  <c r="BI272" i="1" s="1"/>
  <c r="BY332" i="1"/>
  <c r="BZ332" i="1" s="1"/>
  <c r="AO629" i="1"/>
  <c r="AP629" i="1" s="1"/>
  <c r="BL629" i="1"/>
  <c r="BM629" i="1"/>
  <c r="BY436" i="1"/>
  <c r="BZ436" i="1" s="1"/>
  <c r="BI404" i="1"/>
  <c r="BH603" i="1"/>
  <c r="BI603" i="1" s="1"/>
  <c r="BH648" i="1"/>
  <c r="BI648" i="1" s="1"/>
  <c r="BM628" i="1"/>
  <c r="AO628" i="1"/>
  <c r="AP628" i="1" s="1"/>
  <c r="BL628" i="1"/>
  <c r="BH612" i="1"/>
  <c r="BI612" i="1" s="1"/>
  <c r="BE134" i="1"/>
  <c r="BF134" i="1" s="1"/>
  <c r="BM632" i="1"/>
  <c r="BL632" i="1"/>
  <c r="AO632" i="1"/>
  <c r="AP632" i="1" s="1"/>
  <c r="BH399" i="1"/>
  <c r="BI399" i="1" s="1"/>
  <c r="BH462" i="1"/>
  <c r="BI462" i="1" s="1"/>
  <c r="AO491" i="1"/>
  <c r="AP491" i="1" s="1"/>
  <c r="BL491" i="1"/>
  <c r="BM491" i="1"/>
  <c r="BG133" i="1"/>
  <c r="BH133" i="1" s="1"/>
  <c r="BI133" i="1" s="1"/>
  <c r="BY405" i="1"/>
  <c r="BZ405" i="1" s="1"/>
  <c r="BP214" i="1"/>
  <c r="BN214" i="1"/>
  <c r="AO436" i="1"/>
  <c r="AP436" i="1" s="1"/>
  <c r="BL436" i="1"/>
  <c r="BM436" i="1"/>
  <c r="AO462" i="1"/>
  <c r="AP462" i="1" s="1"/>
  <c r="BM462" i="1"/>
  <c r="BL462" i="1"/>
  <c r="BG608" i="1"/>
  <c r="BH608" i="1" s="1"/>
  <c r="BI608" i="1" s="1"/>
  <c r="BG448" i="1"/>
  <c r="BH448" i="1" s="1"/>
  <c r="BI448" i="1" s="1"/>
  <c r="BM478" i="1"/>
  <c r="BN478" i="1" s="1"/>
  <c r="BL478" i="1"/>
  <c r="AO478" i="1"/>
  <c r="AP478" i="1" s="1"/>
  <c r="BH392" i="1"/>
  <c r="BI392" i="1" s="1"/>
  <c r="BH67" i="1"/>
  <c r="BI67" i="1" s="1"/>
  <c r="AO459" i="1"/>
  <c r="AP459" i="1" s="1"/>
  <c r="BM459" i="1"/>
  <c r="BL459" i="1"/>
  <c r="BY607" i="1"/>
  <c r="BZ607" i="1" s="1"/>
  <c r="BP155" i="1"/>
  <c r="BN155" i="1"/>
  <c r="BG607" i="1"/>
  <c r="BH607" i="1" s="1"/>
  <c r="BG494" i="1"/>
  <c r="AO633" i="1"/>
  <c r="AP633" i="1" s="1"/>
  <c r="BL633" i="1"/>
  <c r="BM633" i="1"/>
  <c r="BE70" i="1"/>
  <c r="BF70" i="1" s="1"/>
  <c r="BG70" i="1" s="1"/>
  <c r="BH70" i="1" s="1"/>
  <c r="BG633" i="1"/>
  <c r="BH633" i="1" s="1"/>
  <c r="BG490" i="1"/>
  <c r="BH490" i="1" s="1"/>
  <c r="BP473" i="1"/>
  <c r="BN473" i="1"/>
  <c r="BG146" i="1"/>
  <c r="BH146" i="1" s="1"/>
  <c r="BI146" i="1" s="1"/>
  <c r="BG650" i="1"/>
  <c r="BH650" i="1" s="1"/>
  <c r="BG511" i="1"/>
  <c r="BH511" i="1" s="1"/>
  <c r="AO146" i="1"/>
  <c r="AP146" i="1" s="1"/>
  <c r="BM146" i="1"/>
  <c r="BL146" i="1"/>
  <c r="BG587" i="1"/>
  <c r="BY371" i="1"/>
  <c r="BZ371" i="1" s="1"/>
  <c r="BE371" i="1"/>
  <c r="BF371" i="1" s="1"/>
  <c r="BG60" i="1"/>
  <c r="BH60" i="1" s="1"/>
  <c r="BG419" i="1"/>
  <c r="BH419" i="1" s="1"/>
  <c r="BG400" i="1"/>
  <c r="BH400" i="1" s="1"/>
  <c r="BG374" i="1"/>
  <c r="BH374" i="1" s="1"/>
  <c r="BI374" i="1" s="1"/>
  <c r="BH139" i="1"/>
  <c r="BI139" i="1" s="1"/>
  <c r="BH252" i="1"/>
  <c r="BI252" i="1" s="1"/>
  <c r="BG311" i="1"/>
  <c r="BH311" i="1" s="1"/>
  <c r="BG618" i="1"/>
  <c r="BH618" i="1" s="1"/>
  <c r="BI618" i="1" s="1"/>
  <c r="BG460" i="1"/>
  <c r="BP190" i="1"/>
  <c r="BN190" i="1"/>
  <c r="BI223" i="1"/>
  <c r="BG33" i="1"/>
  <c r="BH33" i="1" s="1"/>
  <c r="BI33" i="1" s="1"/>
  <c r="BG66" i="1"/>
  <c r="BH66" i="1" s="1"/>
  <c r="BP139" i="1"/>
  <c r="BN139" i="1"/>
  <c r="BG44" i="1"/>
  <c r="BH44" i="1" s="1"/>
  <c r="BE451" i="1"/>
  <c r="BF451" i="1" s="1"/>
  <c r="BY451" i="1"/>
  <c r="BZ451" i="1" s="1"/>
  <c r="BG499" i="1"/>
  <c r="BH499" i="1" s="1"/>
  <c r="BI384" i="1"/>
  <c r="BI473" i="1"/>
  <c r="BG365" i="1"/>
  <c r="BH365" i="1" s="1"/>
  <c r="BH26" i="1"/>
  <c r="BI26" i="1" s="1"/>
  <c r="BG305" i="1"/>
  <c r="BH305" i="1" s="1"/>
  <c r="BG23" i="1"/>
  <c r="BH23" i="1" s="1"/>
  <c r="BG151" i="1"/>
  <c r="AO137" i="1"/>
  <c r="AP137" i="1" s="1"/>
  <c r="BL137" i="1"/>
  <c r="BM137" i="1"/>
  <c r="BY61" i="1"/>
  <c r="BZ61" i="1" s="1"/>
  <c r="BE61" i="1"/>
  <c r="BF61" i="1" s="1"/>
  <c r="BG217" i="1"/>
  <c r="BH217" i="1" s="1"/>
  <c r="BI144" i="1"/>
  <c r="BH88" i="1"/>
  <c r="BI88" i="1" s="1"/>
  <c r="BG604" i="1"/>
  <c r="BH604" i="1" s="1"/>
  <c r="BG521" i="1"/>
  <c r="BH232" i="1"/>
  <c r="BI232" i="1" s="1"/>
  <c r="BI510" i="1"/>
  <c r="AO151" i="1"/>
  <c r="AP151" i="1" s="1"/>
  <c r="BM151" i="1"/>
  <c r="BL151" i="1"/>
  <c r="BI140" i="1"/>
  <c r="BH196" i="1"/>
  <c r="BI196" i="1" s="1"/>
  <c r="BE56" i="1"/>
  <c r="BF56" i="1" s="1"/>
  <c r="BY56" i="1"/>
  <c r="BZ56" i="1" s="1"/>
  <c r="BI214" i="1"/>
  <c r="BH610" i="1"/>
  <c r="BI610" i="1" s="1"/>
  <c r="BH446" i="1"/>
  <c r="BI446" i="1" s="1"/>
  <c r="BG185" i="1"/>
  <c r="BH185" i="1" s="1"/>
  <c r="BH459" i="1"/>
  <c r="BI459" i="1" s="1"/>
  <c r="BH282" i="1"/>
  <c r="BI282" i="1" s="1"/>
  <c r="BI455" i="1"/>
  <c r="BG73" i="1"/>
  <c r="BH73" i="1" s="1"/>
  <c r="BH398" i="1"/>
  <c r="BI398" i="1" s="1"/>
  <c r="BH599" i="1"/>
  <c r="BI599" i="1" s="1"/>
  <c r="BI354" i="1"/>
  <c r="BI188" i="1"/>
  <c r="BH476" i="1"/>
  <c r="BI476" i="1" s="1"/>
  <c r="BI267" i="1"/>
  <c r="BI518" i="1"/>
  <c r="BH486" i="1"/>
  <c r="BI486" i="1" s="1"/>
  <c r="BI579" i="1"/>
  <c r="BI350" i="1"/>
  <c r="BH173" i="1"/>
  <c r="BI173" i="1" s="1"/>
  <c r="BH475" i="1"/>
  <c r="BI475" i="1" s="1"/>
  <c r="BG137" i="1"/>
  <c r="BH216" i="1"/>
  <c r="BI216" i="1" s="1"/>
  <c r="BN455" i="1"/>
  <c r="BP455" i="1"/>
  <c r="BH449" i="1"/>
  <c r="BI449" i="1" s="1"/>
  <c r="BI71" i="1"/>
  <c r="BI526" i="1"/>
  <c r="BI289" i="1"/>
  <c r="BI600" i="1"/>
  <c r="BI492" i="1"/>
  <c r="BI291" i="1"/>
  <c r="BH58" i="1"/>
  <c r="BI58" i="1" s="1"/>
  <c r="BH450" i="1"/>
  <c r="BI450" i="1" s="1"/>
  <c r="AO23" i="1"/>
  <c r="AP23" i="1" s="1"/>
  <c r="BM23" i="1"/>
  <c r="BN23" i="1" s="1"/>
  <c r="BL23" i="1"/>
  <c r="BH18" i="1"/>
  <c r="BI18" i="1" s="1"/>
  <c r="BY521" i="1"/>
  <c r="BZ521" i="1" s="1"/>
  <c r="BH601" i="1"/>
  <c r="BI601" i="1" s="1"/>
  <c r="BH143" i="1"/>
  <c r="BI143" i="1" s="1"/>
  <c r="BI464" i="1"/>
  <c r="BH656" i="1"/>
  <c r="BI656" i="1" s="1"/>
  <c r="BH29" i="1"/>
  <c r="BI29" i="1" s="1"/>
  <c r="BN283" i="1" l="1"/>
  <c r="BH441" i="1"/>
  <c r="BI441" i="1" s="1"/>
  <c r="BN187" i="1"/>
  <c r="BN627" i="1"/>
  <c r="BP368" i="1"/>
  <c r="BP611" i="1"/>
  <c r="BH385" i="1"/>
  <c r="BI385" i="1" s="1"/>
  <c r="BN298" i="1"/>
  <c r="BP298" i="1"/>
  <c r="BP130" i="1"/>
  <c r="BN130" i="1"/>
  <c r="BH522" i="1"/>
  <c r="BI522" i="1" s="1"/>
  <c r="BP456" i="1"/>
  <c r="BN456" i="1"/>
  <c r="BN24" i="1"/>
  <c r="BP24" i="1"/>
  <c r="BN62" i="1"/>
  <c r="BP62" i="1"/>
  <c r="BN136" i="1"/>
  <c r="BP136" i="1"/>
  <c r="BG134" i="1"/>
  <c r="BN629" i="1"/>
  <c r="BP629" i="1"/>
  <c r="BP491" i="1"/>
  <c r="BN491" i="1"/>
  <c r="BN628" i="1"/>
  <c r="BP628" i="1"/>
  <c r="BN632" i="1"/>
  <c r="BP632" i="1"/>
  <c r="BI70" i="1"/>
  <c r="BN462" i="1"/>
  <c r="BP462" i="1"/>
  <c r="BN436" i="1"/>
  <c r="BP436" i="1"/>
  <c r="BI490" i="1"/>
  <c r="BH494" i="1"/>
  <c r="BI494" i="1" s="1"/>
  <c r="BI633" i="1"/>
  <c r="BI607" i="1"/>
  <c r="BN633" i="1"/>
  <c r="BP633" i="1"/>
  <c r="BP459" i="1"/>
  <c r="BN459" i="1"/>
  <c r="BN146" i="1"/>
  <c r="BP146" i="1"/>
  <c r="BI44" i="1"/>
  <c r="BI66" i="1"/>
  <c r="BI650" i="1"/>
  <c r="BI311" i="1"/>
  <c r="BI60" i="1"/>
  <c r="BI365" i="1"/>
  <c r="BG371" i="1"/>
  <c r="BI400" i="1"/>
  <c r="BI511" i="1"/>
  <c r="BH587" i="1"/>
  <c r="BI587" i="1" s="1"/>
  <c r="BI419" i="1"/>
  <c r="BI499" i="1"/>
  <c r="BG451" i="1"/>
  <c r="BH451" i="1" s="1"/>
  <c r="BH460" i="1"/>
  <c r="BI460" i="1" s="1"/>
  <c r="BP137" i="1"/>
  <c r="BN137" i="1"/>
  <c r="BI73" i="1"/>
  <c r="BH151" i="1"/>
  <c r="BI151" i="1" s="1"/>
  <c r="BG61" i="1"/>
  <c r="BH61" i="1" s="1"/>
  <c r="BG56" i="1"/>
  <c r="BI23" i="1"/>
  <c r="BI604" i="1"/>
  <c r="BP151" i="1"/>
  <c r="BN151" i="1"/>
  <c r="BH137" i="1"/>
  <c r="BI137" i="1" s="1"/>
  <c r="BI217" i="1"/>
  <c r="BI185" i="1"/>
  <c r="BH521" i="1"/>
  <c r="BI521" i="1" s="1"/>
  <c r="BI305" i="1"/>
  <c r="BH134" i="1" l="1"/>
  <c r="BI134" i="1" s="1"/>
  <c r="BH371" i="1"/>
  <c r="BI371" i="1" s="1"/>
  <c r="BI451" i="1"/>
  <c r="BI61" i="1"/>
  <c r="BH56" i="1"/>
  <c r="BI56" i="1" s="1"/>
  <c r="BI500" i="1"/>
  <c r="BG500" i="1"/>
  <c r="AP500" i="1"/>
  <c r="AO500" i="1"/>
  <c r="AH500" i="1"/>
  <c r="AG500" i="1"/>
  <c r="BD500" i="1"/>
  <c r="BE500" i="1"/>
  <c r="BC500" i="1"/>
  <c r="BF500" i="1"/>
  <c r="BH500" i="1"/>
  <c r="X500" i="1"/>
  <c r="AB500" i="1"/>
  <c r="BU500" i="1"/>
  <c r="BZ500" i="1"/>
  <c r="BY500" i="1"/>
  <c r="AK500" i="1"/>
  <c r="AL500" i="1"/>
  <c r="AJ500" i="1"/>
  <c r="Q500" i="1"/>
  <c r="AD500" i="1"/>
  <c r="AE500" i="1"/>
  <c r="BW50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Chuck Butler</author>
    <author>Butler, Chuck</author>
    <author>Weiss, Kevin</author>
    <author>Lomnitz, Stephan</author>
  </authors>
  <commentList>
    <comment ref="J5" authorId="0" shapeId="0" xr:uid="{BE87E2B0-E6F8-41A1-9B12-153E35EF8907}">
      <text>
        <r>
          <rPr>
            <b/>
            <sz val="9"/>
            <color indexed="81"/>
            <rFont val="Tahoma"/>
            <family val="2"/>
          </rPr>
          <t>Chuck Butler:</t>
        </r>
        <r>
          <rPr>
            <sz val="9"/>
            <color indexed="81"/>
            <rFont val="Tahoma"/>
            <family val="2"/>
          </rPr>
          <t xml:space="preserve">
F5 monolayer = BLU2
Acoustic = BLU2
Butacite monolayer = BLUE</t>
        </r>
      </text>
    </comment>
    <comment ref="M5" authorId="1" shapeId="0" xr:uid="{BFCE0BFE-83C3-40CF-90E7-1AD02C15AB14}">
      <text>
        <r>
          <rPr>
            <b/>
            <sz val="9"/>
            <color indexed="81"/>
            <rFont val="Tahoma"/>
            <family val="2"/>
          </rPr>
          <t>Butler, Chuck:</t>
        </r>
        <r>
          <rPr>
            <sz val="9"/>
            <color indexed="81"/>
            <rFont val="Tahoma"/>
            <family val="2"/>
          </rPr>
          <t xml:space="preserve">
L6 does use the smoothed transition, on newer SKUs.  Not on the really old ones.</t>
        </r>
      </text>
    </comment>
    <comment ref="P5" authorId="0" shapeId="0" xr:uid="{EA564C0A-1FBB-4101-8239-E55B5F82AE35}">
      <text>
        <r>
          <rPr>
            <b/>
            <sz val="9"/>
            <color indexed="81"/>
            <rFont val="Tahoma"/>
            <family val="2"/>
          </rPr>
          <t>Chuck Butler:</t>
        </r>
        <r>
          <rPr>
            <sz val="9"/>
            <color indexed="81"/>
            <rFont val="Tahoma"/>
            <family val="2"/>
          </rPr>
          <t xml:space="preserve">
</t>
        </r>
        <r>
          <rPr>
            <u/>
            <sz val="9"/>
            <color indexed="81"/>
            <rFont val="Tahoma"/>
            <family val="2"/>
          </rPr>
          <t>Line 8</t>
        </r>
        <r>
          <rPr>
            <sz val="9"/>
            <color indexed="81"/>
            <rFont val="Tahoma"/>
            <family val="2"/>
          </rPr>
          <t xml:space="preserve">:  
Embossed clear:  119cm max (But W2252AG was made at 121 cm!)
Melt fracture clear:  122cm max 
Shadeband:  110cm max
</t>
        </r>
        <r>
          <rPr>
            <u/>
            <sz val="9"/>
            <color indexed="81"/>
            <rFont val="Tahoma"/>
            <family val="2"/>
          </rPr>
          <t>Line 9</t>
        </r>
        <r>
          <rPr>
            <sz val="9"/>
            <color indexed="81"/>
            <rFont val="Tahoma"/>
            <family val="2"/>
          </rPr>
          <t xml:space="preserve">:  
Double-cut embossed:  116cm max
Double-cut melt fracture:  116cm max
124 cm and wider should have a surcharge for extra-long transition time
</t>
        </r>
        <r>
          <rPr>
            <u/>
            <sz val="9"/>
            <color indexed="81"/>
            <rFont val="Tahoma"/>
            <family val="2"/>
          </rPr>
          <t>Line 6</t>
        </r>
        <r>
          <rPr>
            <sz val="9"/>
            <color indexed="81"/>
            <rFont val="Tahoma"/>
            <family val="2"/>
          </rPr>
          <t>:  116cm max double-cut, but have made 120cm (W5063AA) double cut</t>
        </r>
      </text>
    </comment>
    <comment ref="Q5" authorId="0" shapeId="0" xr:uid="{00000000-0006-0000-0100-000002000000}">
      <text>
        <r>
          <rPr>
            <b/>
            <sz val="9"/>
            <color indexed="81"/>
            <rFont val="Tahoma"/>
            <family val="2"/>
          </rPr>
          <t>Chuck Butler:</t>
        </r>
        <r>
          <rPr>
            <sz val="9"/>
            <color indexed="81"/>
            <rFont val="Tahoma"/>
            <family val="2"/>
          </rPr>
          <t xml:space="preserve">
Typical is 30 cm</t>
        </r>
      </text>
    </comment>
    <comment ref="R5" authorId="0" shapeId="0" xr:uid="{77F77BF6-2E7B-4DC6-90C9-0347924AE5CB}">
      <text>
        <r>
          <rPr>
            <b/>
            <sz val="9"/>
            <color indexed="81"/>
            <rFont val="Tahoma"/>
            <family val="2"/>
          </rPr>
          <t>Chuck Butler:</t>
        </r>
        <r>
          <rPr>
            <sz val="9"/>
            <color indexed="81"/>
            <rFont val="Tahoma"/>
            <family val="2"/>
          </rPr>
          <t xml:space="preserve">
L6:  19cm max for double-cut operation, 33 cm for single-cut operation
L8:  20cm max
L9:  18cm max for double-cut operation, 33 cm for single-cut operation</t>
        </r>
      </text>
    </comment>
    <comment ref="S5" authorId="1" shapeId="0" xr:uid="{371C22F6-B15B-423D-9A21-C716971DC1C0}">
      <text>
        <r>
          <rPr>
            <b/>
            <sz val="9"/>
            <color indexed="81"/>
            <rFont val="Tahoma"/>
            <family val="2"/>
          </rPr>
          <t>Butler, Chuck:</t>
        </r>
        <r>
          <rPr>
            <sz val="9"/>
            <color indexed="81"/>
            <rFont val="Tahoma"/>
            <family val="2"/>
          </rPr>
          <t xml:space="preserve">
L6:  97 cm max
L8:  90 cm max
L9:  97 cm max</t>
        </r>
      </text>
    </comment>
    <comment ref="U5" authorId="0" shapeId="0" xr:uid="{00000000-0006-0000-0100-000004000000}">
      <text>
        <r>
          <rPr>
            <b/>
            <sz val="9"/>
            <color indexed="81"/>
            <rFont val="Tahoma"/>
            <family val="2"/>
          </rPr>
          <t>Chuck Butler:</t>
        </r>
        <r>
          <rPr>
            <sz val="9"/>
            <color indexed="81"/>
            <rFont val="Tahoma"/>
            <family val="2"/>
          </rPr>
          <t xml:space="preserve">
Distance from bottom of blank to start of HUD display area as requested by the customer.
Minimum desired is 50mm.</t>
        </r>
      </text>
    </comment>
    <comment ref="V5" authorId="0" shapeId="0" xr:uid="{00000000-0006-0000-0100-000005000000}">
      <text>
        <r>
          <rPr>
            <b/>
            <sz val="9"/>
            <color indexed="81"/>
            <rFont val="Tahoma"/>
            <family val="2"/>
          </rPr>
          <t>Chuck Butler:</t>
        </r>
        <r>
          <rPr>
            <sz val="9"/>
            <color indexed="81"/>
            <rFont val="Tahoma"/>
            <family val="2"/>
          </rPr>
          <t xml:space="preserve">
Distance from bottom of blank to top of HUD display area as requested by the customer</t>
        </r>
      </text>
    </comment>
    <comment ref="X5" authorId="0" shapeId="0" xr:uid="{00000000-0006-0000-0100-000006000000}">
      <text>
        <r>
          <rPr>
            <b/>
            <sz val="9"/>
            <color indexed="81"/>
            <rFont val="Tahoma"/>
            <family val="2"/>
          </rPr>
          <t>Chuck Butler:</t>
        </r>
        <r>
          <rPr>
            <sz val="9"/>
            <color indexed="81"/>
            <rFont val="Tahoma"/>
            <family val="2"/>
          </rPr>
          <t xml:space="preserve">
Must be at least 130mm for L9.
120 mm is okay for L8, if necessary.</t>
        </r>
      </text>
    </comment>
    <comment ref="Y5" authorId="0" shapeId="0" xr:uid="{C0AFA865-D9DD-490C-B271-F52C73527B30}">
      <text>
        <r>
          <rPr>
            <b/>
            <sz val="9"/>
            <color indexed="81"/>
            <rFont val="Tahoma"/>
            <family val="2"/>
          </rPr>
          <t>Chuck Butler:</t>
        </r>
        <r>
          <rPr>
            <sz val="9"/>
            <color indexed="81"/>
            <rFont val="Tahoma"/>
            <family val="2"/>
          </rPr>
          <t xml:space="preserve">
Distance from bottom of blank to start of HUD display area used for GWA calculations. 
Minimum is 50mm.
May be smaller than "LWA HUD Bot."
Can't be larger than "LWA HUD Bot."
</t>
        </r>
      </text>
    </comment>
    <comment ref="Z5" authorId="0" shapeId="0" xr:uid="{8B0EB380-95B1-4C8A-98EF-EB603EF19458}">
      <text>
        <r>
          <rPr>
            <b/>
            <sz val="9"/>
            <color indexed="81"/>
            <rFont val="Tahoma"/>
            <family val="2"/>
          </rPr>
          <t>Chuck Butler:</t>
        </r>
        <r>
          <rPr>
            <sz val="9"/>
            <color indexed="81"/>
            <rFont val="Tahoma"/>
            <family val="2"/>
          </rPr>
          <t xml:space="preserve">
Distance from bottom of blank to top of HUD display area used for GWA calculation.  
May be larger than "LWA HUD Top".  
Can't be smaller than "LWA Top".</t>
        </r>
      </text>
    </comment>
    <comment ref="AA5" authorId="0" shapeId="0" xr:uid="{454DD826-CEBE-4703-A853-6CE91EA21BB2}">
      <text>
        <r>
          <rPr>
            <b/>
            <sz val="9"/>
            <color indexed="81"/>
            <rFont val="Tahoma"/>
            <family val="2"/>
          </rPr>
          <t>Chuck Butler:</t>
        </r>
        <r>
          <rPr>
            <sz val="9"/>
            <color indexed="81"/>
            <rFont val="Tahoma"/>
            <family val="2"/>
          </rPr>
          <t xml:space="preserve">
400mm minimum is desired for GWA calculation</t>
        </r>
      </text>
    </comment>
    <comment ref="AB5" authorId="0" shapeId="0" xr:uid="{C82FF613-0FD7-4503-BD02-683D8752BABF}">
      <text>
        <r>
          <rPr>
            <b/>
            <sz val="9"/>
            <color indexed="81"/>
            <rFont val="Tahoma"/>
            <family val="2"/>
          </rPr>
          <t>Chuck Butler:</t>
        </r>
        <r>
          <rPr>
            <sz val="9"/>
            <color indexed="81"/>
            <rFont val="Tahoma"/>
            <family val="2"/>
          </rPr>
          <t xml:space="preserve">
Must be at least 86mm</t>
        </r>
      </text>
    </comment>
    <comment ref="AC5" authorId="0" shapeId="0" xr:uid="{00000000-0006-0000-0100-000003000000}">
      <text>
        <r>
          <rPr>
            <b/>
            <sz val="9"/>
            <color indexed="81"/>
            <rFont val="Tahoma"/>
            <family val="2"/>
          </rPr>
          <t>Chuck Butler:</t>
        </r>
        <r>
          <rPr>
            <sz val="9"/>
            <color indexed="81"/>
            <rFont val="Tahoma"/>
            <family val="2"/>
          </rPr>
          <t xml:space="preserve">
Need 120mm from transition to shadeband?  Check what's commercial.</t>
        </r>
      </text>
    </comment>
    <comment ref="AF5" authorId="1" shapeId="0" xr:uid="{D75680AF-DC16-4ACC-8939-1D5FC404721C}">
      <text>
        <r>
          <rPr>
            <b/>
            <sz val="9"/>
            <color indexed="81"/>
            <rFont val="Tahoma"/>
            <family val="2"/>
          </rPr>
          <t>Butler, Chuck:</t>
        </r>
        <r>
          <rPr>
            <sz val="9"/>
            <color indexed="81"/>
            <rFont val="Tahoma"/>
            <family val="2"/>
          </rPr>
          <t xml:space="preserve">
Spec is 0.48 - 0.55 mm for unshaped sheetng (originally though this was for shaped sheeting)</t>
        </r>
      </text>
    </comment>
    <comment ref="AH5" authorId="0" shapeId="0" xr:uid="{00000000-0006-0000-0100-000007000000}">
      <text>
        <r>
          <rPr>
            <b/>
            <sz val="9"/>
            <color indexed="81"/>
            <rFont val="Tahoma"/>
            <family val="2"/>
          </rPr>
          <t>Chuck Butler:</t>
        </r>
        <r>
          <rPr>
            <sz val="9"/>
            <color indexed="81"/>
            <rFont val="Tahoma"/>
            <family val="2"/>
          </rPr>
          <t xml:space="preserve">
Density varies by product type (monolayer or trilayer)</t>
        </r>
      </text>
    </comment>
    <comment ref="AJ5" authorId="0" shapeId="0" xr:uid="{00000000-0006-0000-0100-000008000000}">
      <text>
        <r>
          <rPr>
            <b/>
            <sz val="9"/>
            <color indexed="81"/>
            <rFont val="Tahoma"/>
            <family val="2"/>
          </rPr>
          <t>Chuck Butler:</t>
        </r>
        <r>
          <rPr>
            <sz val="9"/>
            <color indexed="81"/>
            <rFont val="Tahoma"/>
            <family val="2"/>
          </rPr>
          <t xml:space="preserve">
For thick-end-up packaging of short rolls.  Using 49cm as the minimum diameter for the "foot".</t>
        </r>
      </text>
    </comment>
    <comment ref="AK5" authorId="0" shapeId="0" xr:uid="{00000000-0006-0000-0100-000009000000}">
      <text>
        <r>
          <rPr>
            <b/>
            <sz val="9"/>
            <color indexed="81"/>
            <rFont val="Tahoma"/>
            <family val="2"/>
          </rPr>
          <t>Chuck Butler:</t>
        </r>
        <r>
          <rPr>
            <sz val="9"/>
            <color indexed="81"/>
            <rFont val="Tahoma"/>
            <family val="2"/>
          </rPr>
          <t xml:space="preserve">
By Holger's formula.  Using 51cm max roll diameter (short rolls), and 16.545cm core diameter.</t>
        </r>
      </text>
    </comment>
    <comment ref="AL5" authorId="0" shapeId="0" xr:uid="{00000000-0006-0000-0100-00000A000000}">
      <text>
        <r>
          <rPr>
            <b/>
            <sz val="9"/>
            <color indexed="81"/>
            <rFont val="Tahoma"/>
            <family val="2"/>
          </rPr>
          <t>Chuck Butler:</t>
        </r>
        <r>
          <rPr>
            <sz val="9"/>
            <color indexed="81"/>
            <rFont val="Tahoma"/>
            <family val="2"/>
          </rPr>
          <t xml:space="preserve">
By Holger's formula.  Using 70cm max roll diameter (long rolls), and 16.545cm core diameter.</t>
        </r>
      </text>
    </comment>
    <comment ref="AM5" authorId="0" shapeId="0" xr:uid="{00000000-0006-0000-0100-00000B000000}">
      <text>
        <r>
          <rPr>
            <b/>
            <sz val="9"/>
            <color indexed="81"/>
            <rFont val="Tahoma"/>
            <family val="2"/>
          </rPr>
          <t>Chuck Butler:</t>
        </r>
        <r>
          <rPr>
            <sz val="9"/>
            <color indexed="81"/>
            <rFont val="Tahoma"/>
            <family val="2"/>
          </rPr>
          <t xml:space="preserve">
As selected by account team.  Must be more than the minimum if packaged thick-end-up.
Minimum for Ulsan is 120m.</t>
        </r>
      </text>
    </comment>
    <comment ref="AO5" authorId="1" shapeId="0" xr:uid="{CB6D2955-3CDB-4C5E-90FC-8C88FA213A39}">
      <text>
        <r>
          <rPr>
            <b/>
            <sz val="9"/>
            <color indexed="81"/>
            <rFont val="Tahoma"/>
            <family val="2"/>
          </rPr>
          <t>Butler, Chuck:</t>
        </r>
        <r>
          <rPr>
            <sz val="9"/>
            <color indexed="81"/>
            <rFont val="Tahoma"/>
            <family val="2"/>
          </rPr>
          <t xml:space="preserve">
The weight of interleaving film is added to the Gross Packaging Weight, not the net roll weight</t>
        </r>
      </text>
    </comment>
    <comment ref="AP5" authorId="0" shapeId="0" xr:uid="{E745BE6D-B646-48F1-B7B6-58753A5FD655}">
      <text>
        <r>
          <rPr>
            <b/>
            <sz val="9"/>
            <color indexed="81"/>
            <rFont val="Tahoma"/>
            <family val="2"/>
          </rPr>
          <t>Chuck Butler:</t>
        </r>
        <r>
          <rPr>
            <sz val="9"/>
            <color indexed="81"/>
            <rFont val="Tahoma"/>
            <family val="2"/>
          </rPr>
          <t xml:space="preserve">
Takuya's estimation of kg/m
Film weight per plateau</t>
        </r>
      </text>
    </comment>
    <comment ref="AS5" authorId="0" shapeId="0" xr:uid="{00000000-0006-0000-0100-00000C000000}">
      <text>
        <r>
          <rPr>
            <b/>
            <sz val="9"/>
            <color indexed="81"/>
            <rFont val="Tahoma"/>
            <family val="2"/>
          </rPr>
          <t>Chuck Butler:</t>
        </r>
        <r>
          <rPr>
            <sz val="9"/>
            <color indexed="81"/>
            <rFont val="Tahoma"/>
            <family val="2"/>
          </rPr>
          <t xml:space="preserve">
</t>
        </r>
        <r>
          <rPr>
            <u/>
            <sz val="9"/>
            <color indexed="81"/>
            <rFont val="Tahoma"/>
            <family val="2"/>
          </rPr>
          <t>Vertically packaged</t>
        </r>
        <r>
          <rPr>
            <sz val="9"/>
            <color indexed="81"/>
            <rFont val="Tahoma"/>
            <family val="2"/>
          </rPr>
          <t xml:space="preserve"> - last letter indicates orientation:
___A = thick side down
___P = tihck side up.  (we thought about using "Y")
</t>
        </r>
        <r>
          <rPr>
            <u/>
            <sz val="9"/>
            <color indexed="81"/>
            <rFont val="Tahoma"/>
            <family val="2"/>
          </rPr>
          <t>Horizontally packaged</t>
        </r>
        <r>
          <rPr>
            <sz val="9"/>
            <color indexed="81"/>
            <rFont val="Tahoma"/>
            <family val="2"/>
          </rPr>
          <t xml:space="preserve"> - last letter indicates core type:
___P = PP core
___V = PVC core
___C = Cardboard core
___PR = PP core, interleaved</t>
        </r>
      </text>
    </comment>
    <comment ref="Q7" authorId="1" shapeId="0" xr:uid="{C89C6540-2256-4A39-911A-8BCCE7C0279C}">
      <text>
        <r>
          <rPr>
            <b/>
            <sz val="9"/>
            <color indexed="81"/>
            <rFont val="Tahoma"/>
            <family val="2"/>
          </rPr>
          <t>Butler, Chuck:</t>
        </r>
        <r>
          <rPr>
            <sz val="9"/>
            <color indexed="81"/>
            <rFont val="Tahoma"/>
            <family val="2"/>
          </rPr>
          <t xml:space="preserve">
Due to camera location</t>
        </r>
      </text>
    </comment>
    <comment ref="Q8" authorId="2" shapeId="0" xr:uid="{B9B47B26-8C8A-491F-BF56-21C14221D35F}">
      <text>
        <r>
          <rPr>
            <sz val="11"/>
            <color theme="1"/>
            <rFont val="Calibri"/>
            <family val="2"/>
            <scheme val="minor"/>
          </rPr>
          <t>Weiss, Kevin:
Due to camera location</t>
        </r>
      </text>
    </comment>
    <comment ref="AU33" authorId="3" shapeId="0" xr:uid="{00000000-0006-0000-0100-00000D000000}">
      <text>
        <r>
          <rPr>
            <b/>
            <sz val="9"/>
            <color indexed="81"/>
            <rFont val="Segoe UI"/>
            <family val="2"/>
          </rPr>
          <t>Lomnitz, Stephan:</t>
        </r>
        <r>
          <rPr>
            <sz val="9"/>
            <color indexed="81"/>
            <rFont val="Segoe UI"/>
            <family val="2"/>
          </rPr>
          <t xml:space="preserve">
made W1239 for inial test</t>
        </r>
      </text>
    </comment>
    <comment ref="R36" authorId="0" shapeId="0" xr:uid="{86692FE2-5EFB-49A8-AE18-DFFADD911C5E}">
      <text>
        <r>
          <rPr>
            <b/>
            <sz val="9"/>
            <color indexed="81"/>
            <rFont val="Tahoma"/>
            <family val="2"/>
          </rPr>
          <t>Chuck Butler:</t>
        </r>
        <r>
          <rPr>
            <sz val="9"/>
            <color indexed="81"/>
            <rFont val="Tahoma"/>
            <family val="2"/>
          </rPr>
          <t xml:space="preserve">
Must run single-cut</t>
        </r>
      </text>
    </comment>
    <comment ref="R38" authorId="0" shapeId="0" xr:uid="{EE874121-C95B-400A-8745-953D3D5C4125}">
      <text>
        <r>
          <rPr>
            <b/>
            <sz val="9"/>
            <color indexed="81"/>
            <rFont val="Tahoma"/>
            <family val="2"/>
          </rPr>
          <t>Chuck Butler:</t>
        </r>
        <r>
          <rPr>
            <sz val="9"/>
            <color indexed="81"/>
            <rFont val="Tahoma"/>
            <family val="2"/>
          </rPr>
          <t xml:space="preserve">
Must run single-cut</t>
        </r>
      </text>
    </comment>
    <comment ref="G53" authorId="1" shapeId="0" xr:uid="{5FED6238-6291-4E0C-ABA8-2EA856B615DB}">
      <text>
        <r>
          <rPr>
            <b/>
            <sz val="9"/>
            <color indexed="81"/>
            <rFont val="Tahoma"/>
            <family val="2"/>
          </rPr>
          <t>Butler, Chuck:</t>
        </r>
        <r>
          <rPr>
            <sz val="9"/>
            <color indexed="81"/>
            <rFont val="Tahoma"/>
            <family val="2"/>
          </rPr>
          <t xml:space="preserve">
H for winding direction</t>
        </r>
      </text>
    </comment>
    <comment ref="P56" authorId="0" shapeId="0" xr:uid="{6A8376AD-9932-47C9-907C-93D9C4908278}">
      <text>
        <r>
          <rPr>
            <b/>
            <sz val="9"/>
            <color indexed="81"/>
            <rFont val="Tahoma"/>
            <family val="2"/>
          </rPr>
          <t>Chuck Butler:</t>
        </r>
        <r>
          <rPr>
            <sz val="9"/>
            <color indexed="81"/>
            <rFont val="Tahoma"/>
            <family val="2"/>
          </rPr>
          <t xml:space="preserve">
Can't be made on L8.
Must be run single-cut on L9.</t>
        </r>
      </text>
    </comment>
    <comment ref="AK59" authorId="0" shapeId="0" xr:uid="{00000000-0006-0000-0100-00000E000000}">
      <text>
        <r>
          <rPr>
            <b/>
            <sz val="9"/>
            <color indexed="81"/>
            <rFont val="Tahoma"/>
            <family val="2"/>
          </rPr>
          <t>Chuck Butler:</t>
        </r>
        <r>
          <rPr>
            <sz val="9"/>
            <color indexed="81"/>
            <rFont val="Tahoma"/>
            <family val="2"/>
          </rPr>
          <t xml:space="preserve">
Max length should be a little shorter due to interleaving.  But 166m worked for FW.</t>
        </r>
      </text>
    </comment>
    <comment ref="AK61" authorId="0" shapeId="0" xr:uid="{00000000-0006-0000-0100-000010000000}">
      <text>
        <r>
          <rPr>
            <b/>
            <sz val="9"/>
            <color indexed="81"/>
            <rFont val="Tahoma"/>
            <family val="2"/>
          </rPr>
          <t>Chuck Butler:</t>
        </r>
        <r>
          <rPr>
            <sz val="9"/>
            <color indexed="81"/>
            <rFont val="Tahoma"/>
            <family val="2"/>
          </rPr>
          <t xml:space="preserve">
Max length should be a little shorter due to interleaving.  But 166m worked for FW.</t>
        </r>
      </text>
    </comment>
    <comment ref="U62" authorId="1" shapeId="0" xr:uid="{B2A0CF04-5EF9-468A-AD53-421AF5776DE5}">
      <text>
        <r>
          <rPr>
            <b/>
            <sz val="9"/>
            <color indexed="81"/>
            <rFont val="Tahoma"/>
            <family val="2"/>
          </rPr>
          <t>Butler, Chuck:</t>
        </r>
        <r>
          <rPr>
            <sz val="9"/>
            <color indexed="81"/>
            <rFont val="Tahoma"/>
            <family val="2"/>
          </rPr>
          <t xml:space="preserve">
Set by Ulsan just for monitoring</t>
        </r>
      </text>
    </comment>
    <comment ref="V62" authorId="1" shapeId="0" xr:uid="{D7B22F9F-2C1F-4618-B45D-F36B56D8402B}">
      <text>
        <r>
          <rPr>
            <b/>
            <sz val="9"/>
            <color indexed="81"/>
            <rFont val="Tahoma"/>
            <family val="2"/>
          </rPr>
          <t>Butler, Chuck:</t>
        </r>
        <r>
          <rPr>
            <sz val="9"/>
            <color indexed="81"/>
            <rFont val="Tahoma"/>
            <family val="2"/>
          </rPr>
          <t xml:space="preserve">
Set by Ulsan just for monitoring</t>
        </r>
      </text>
    </comment>
    <comment ref="Y62" authorId="1" shapeId="0" xr:uid="{94D1FA5F-A1BF-451B-BB68-116F3B460551}">
      <text>
        <r>
          <rPr>
            <b/>
            <sz val="9"/>
            <color indexed="81"/>
            <rFont val="Tahoma"/>
            <family val="2"/>
          </rPr>
          <t>Butler, Chuck:</t>
        </r>
        <r>
          <rPr>
            <sz val="9"/>
            <color indexed="81"/>
            <rFont val="Tahoma"/>
            <family val="2"/>
          </rPr>
          <t xml:space="preserve">
Set by Ulsan so they could measure GWA</t>
        </r>
      </text>
    </comment>
    <comment ref="Z62" authorId="1" shapeId="0" xr:uid="{31B7FEDE-ECC9-4E82-8099-337EE47B1DFD}">
      <text>
        <r>
          <rPr>
            <b/>
            <sz val="9"/>
            <color indexed="81"/>
            <rFont val="Tahoma"/>
            <family val="2"/>
          </rPr>
          <t>Butler, Chuck:</t>
        </r>
        <r>
          <rPr>
            <sz val="9"/>
            <color indexed="81"/>
            <rFont val="Tahoma"/>
            <family val="2"/>
          </rPr>
          <t xml:space="preserve">
Set by Ulsan so they could measure GWA</t>
        </r>
      </text>
    </comment>
    <comment ref="AK62" authorId="0" shapeId="0" xr:uid="{00000000-0006-0000-0100-00000F000000}">
      <text>
        <r>
          <rPr>
            <b/>
            <sz val="9"/>
            <color indexed="81"/>
            <rFont val="Tahoma"/>
            <family val="2"/>
          </rPr>
          <t>Chuck Butler:</t>
        </r>
        <r>
          <rPr>
            <sz val="9"/>
            <color indexed="81"/>
            <rFont val="Tahoma"/>
            <family val="2"/>
          </rPr>
          <t xml:space="preserve">
Max length should be a little shorter due to interleaving.  But 166m worked for FW.</t>
        </r>
      </text>
    </comment>
    <comment ref="G127" authorId="1" shapeId="0" xr:uid="{FAD74EE1-F6E7-4F57-8D3E-5D5876B63A3C}">
      <text>
        <r>
          <rPr>
            <b/>
            <sz val="9"/>
            <color indexed="81"/>
            <rFont val="Tahoma"/>
            <family val="2"/>
          </rPr>
          <t>Butler, Chuck:</t>
        </r>
        <r>
          <rPr>
            <sz val="9"/>
            <color indexed="81"/>
            <rFont val="Tahoma"/>
            <family val="2"/>
          </rPr>
          <t xml:space="preserve">
Also for Fuyao Zhengzhou?</t>
        </r>
      </text>
    </comment>
    <comment ref="G140" authorId="1" shapeId="0" xr:uid="{72992232-CE7B-4BAE-906A-85FF5208BCF2}">
      <text>
        <r>
          <rPr>
            <b/>
            <sz val="9"/>
            <color indexed="81"/>
            <rFont val="Tahoma"/>
            <family val="2"/>
          </rPr>
          <t>Butler, Chuck:</t>
        </r>
        <r>
          <rPr>
            <sz val="9"/>
            <color indexed="81"/>
            <rFont val="Tahoma"/>
            <family val="2"/>
          </rPr>
          <t xml:space="preserve">
T is only for the 4-roll package</t>
        </r>
      </text>
    </comment>
    <comment ref="G181" authorId="1" shapeId="0" xr:uid="{27E29474-6BF7-4DCC-AF02-36D2173708CF}">
      <text>
        <r>
          <rPr>
            <b/>
            <sz val="9"/>
            <color indexed="81"/>
            <rFont val="Tahoma"/>
            <family val="2"/>
          </rPr>
          <t>Butler, Chuck:</t>
        </r>
        <r>
          <rPr>
            <sz val="9"/>
            <color indexed="81"/>
            <rFont val="Tahoma"/>
            <family val="2"/>
          </rPr>
          <t xml:space="preserve">
T is only for th short roll</t>
        </r>
      </text>
    </comment>
    <comment ref="D183" authorId="1" shapeId="0" xr:uid="{E08FCCC2-FF37-45BD-A1B0-DCE32B0BB226}">
      <text>
        <r>
          <rPr>
            <b/>
            <sz val="9"/>
            <color indexed="81"/>
            <rFont val="Tahoma"/>
            <family val="2"/>
          </rPr>
          <t>Butler, Chuck:</t>
        </r>
        <r>
          <rPr>
            <sz val="9"/>
            <color indexed="81"/>
            <rFont val="Tahoma"/>
            <family val="2"/>
          </rPr>
          <t xml:space="preserve">
Also tested in BYD Song SA3 at Zhengzhou</t>
        </r>
      </text>
    </comment>
    <comment ref="AM204" authorId="1" shapeId="0" xr:uid="{7AA4AA26-8E36-4C65-B2AF-CB52DA61A2DB}">
      <text>
        <r>
          <rPr>
            <b/>
            <sz val="9"/>
            <color indexed="81"/>
            <rFont val="Tahoma"/>
            <family val="2"/>
          </rPr>
          <t>Butler, Chuck:</t>
        </r>
        <r>
          <rPr>
            <sz val="9"/>
            <color indexed="81"/>
            <rFont val="Tahoma"/>
            <family val="2"/>
          </rPr>
          <t xml:space="preserve">
Short length chosen sue to slippage potential with only 5 cm plateau</t>
        </r>
      </text>
    </comment>
    <comment ref="B214" authorId="1" shapeId="0" xr:uid="{A7E96ECE-FF37-4A2C-994D-FBFB3262357B}">
      <text>
        <r>
          <rPr>
            <b/>
            <sz val="9"/>
            <color indexed="81"/>
            <rFont val="Tahoma"/>
            <family val="2"/>
          </rPr>
          <t>Butler, Chuck:</t>
        </r>
        <r>
          <rPr>
            <sz val="9"/>
            <color indexed="81"/>
            <rFont val="Tahoma"/>
            <family val="2"/>
          </rPr>
          <t xml:space="preserve">
Originally for Fuyao Changchun</t>
        </r>
      </text>
    </comment>
    <comment ref="G224" authorId="1" shapeId="0" xr:uid="{81B5FEA9-D9B4-47FA-A0FC-917665C2C5D1}">
      <text>
        <r>
          <rPr>
            <b/>
            <sz val="9"/>
            <color indexed="81"/>
            <rFont val="Tahoma"/>
            <family val="2"/>
          </rPr>
          <t>Butler, Chuck:</t>
        </r>
        <r>
          <rPr>
            <sz val="9"/>
            <color indexed="81"/>
            <rFont val="Tahoma"/>
            <family val="2"/>
          </rPr>
          <t xml:space="preserve">
T is only for the 4-roll package</t>
        </r>
      </text>
    </comment>
    <comment ref="G268" authorId="1" shapeId="0" xr:uid="{86D03D3A-B2BF-4FB1-BEAA-69BFFCE74BD9}">
      <text>
        <r>
          <rPr>
            <b/>
            <sz val="9"/>
            <color indexed="81"/>
            <rFont val="Tahoma"/>
            <family val="2"/>
          </rPr>
          <t>Butler, Chuck:</t>
        </r>
        <r>
          <rPr>
            <sz val="9"/>
            <color indexed="81"/>
            <rFont val="Tahoma"/>
            <family val="2"/>
          </rPr>
          <t xml:space="preserve">
T only for BF011912</t>
        </r>
      </text>
    </comment>
    <comment ref="P301" authorId="1" shapeId="0" xr:uid="{5B830612-6BE7-411A-B59A-24BF89D738E2}">
      <text>
        <r>
          <rPr>
            <b/>
            <sz val="9"/>
            <color indexed="81"/>
            <rFont val="Tahoma"/>
            <family val="2"/>
          </rPr>
          <t>Butler, Chuck:</t>
        </r>
        <r>
          <rPr>
            <sz val="9"/>
            <color indexed="81"/>
            <rFont val="Tahoma"/>
            <family val="2"/>
          </rPr>
          <t xml:space="preserve">
Must be run single-cut on L9</t>
        </r>
      </text>
    </comment>
    <comment ref="AM339" authorId="0" shapeId="0" xr:uid="{00000000-0006-0000-0100-000011000000}">
      <text>
        <r>
          <rPr>
            <b/>
            <sz val="9"/>
            <color indexed="81"/>
            <rFont val="Tahoma"/>
            <family val="2"/>
          </rPr>
          <t>Chuck Butler:</t>
        </r>
        <r>
          <rPr>
            <sz val="9"/>
            <color indexed="81"/>
            <rFont val="Tahoma"/>
            <family val="2"/>
          </rPr>
          <t xml:space="preserve">
KAC requires 5m increments</t>
        </r>
      </text>
    </comment>
    <comment ref="AM341" authorId="0" shapeId="0" xr:uid="{00000000-0006-0000-0100-000012000000}">
      <text>
        <r>
          <rPr>
            <b/>
            <sz val="9"/>
            <color indexed="81"/>
            <rFont val="Tahoma"/>
            <family val="2"/>
          </rPr>
          <t>Chuck Butler:</t>
        </r>
        <r>
          <rPr>
            <sz val="9"/>
            <color indexed="81"/>
            <rFont val="Tahoma"/>
            <family val="2"/>
          </rPr>
          <t xml:space="preserve">
KAC requires 5m increments</t>
        </r>
      </text>
    </comment>
    <comment ref="AM342" authorId="0" shapeId="0" xr:uid="{AFC53DFC-22E0-4EA3-A498-A1BC4018FFEE}">
      <text>
        <r>
          <rPr>
            <b/>
            <sz val="9"/>
            <color indexed="81"/>
            <rFont val="Tahoma"/>
            <family val="2"/>
          </rPr>
          <t>Chuck Butler:</t>
        </r>
        <r>
          <rPr>
            <sz val="9"/>
            <color indexed="81"/>
            <rFont val="Tahoma"/>
            <family val="2"/>
          </rPr>
          <t xml:space="preserve">
KAC requires 5m increments</t>
        </r>
      </text>
    </comment>
    <comment ref="AM343" authorId="0" shapeId="0" xr:uid="{00000000-0006-0000-0100-000013000000}">
      <text>
        <r>
          <rPr>
            <b/>
            <sz val="9"/>
            <color indexed="81"/>
            <rFont val="Tahoma"/>
            <family val="2"/>
          </rPr>
          <t>Chuck Butler:</t>
        </r>
        <r>
          <rPr>
            <sz val="9"/>
            <color indexed="81"/>
            <rFont val="Tahoma"/>
            <family val="2"/>
          </rPr>
          <t xml:space="preserve">
KAC requires 5m increments</t>
        </r>
      </text>
    </comment>
    <comment ref="AM344" authorId="0" shapeId="0" xr:uid="{00000000-0006-0000-0100-000014000000}">
      <text>
        <r>
          <rPr>
            <b/>
            <sz val="9"/>
            <color indexed="81"/>
            <rFont val="Tahoma"/>
            <family val="2"/>
          </rPr>
          <t>Chuck Butler:</t>
        </r>
        <r>
          <rPr>
            <sz val="9"/>
            <color indexed="81"/>
            <rFont val="Tahoma"/>
            <family val="2"/>
          </rPr>
          <t xml:space="preserve">
KAC requires 5m increments</t>
        </r>
      </text>
    </comment>
    <comment ref="G350" authorId="1" shapeId="0" xr:uid="{5A149365-71C3-4D08-9ED4-84077CD49724}">
      <text>
        <r>
          <rPr>
            <b/>
            <sz val="9"/>
            <color indexed="81"/>
            <rFont val="Tahoma"/>
            <family val="2"/>
          </rPr>
          <t>Butler, Chuck:</t>
        </r>
        <r>
          <rPr>
            <sz val="9"/>
            <color indexed="81"/>
            <rFont val="Tahoma"/>
            <family val="2"/>
          </rPr>
          <t xml:space="preserve">
Short roll, so no "S"
Usage ending as of Oct 2024</t>
        </r>
      </text>
    </comment>
    <comment ref="D352" authorId="1" shapeId="0" xr:uid="{2F37AFC6-A13C-4320-A36A-42A414B9F48C}">
      <text>
        <r>
          <rPr>
            <b/>
            <sz val="9"/>
            <color indexed="81"/>
            <rFont val="Tahoma"/>
            <family val="2"/>
          </rPr>
          <t>Butler, Chuck:</t>
        </r>
        <r>
          <rPr>
            <sz val="9"/>
            <color indexed="81"/>
            <rFont val="Tahoma"/>
            <family val="2"/>
          </rPr>
          <t xml:space="preserve">
As of Oct 2024:
KR = NE N
KE2 = NE std HUD.  But may switch to KR in 1H2025</t>
        </r>
      </text>
    </comment>
    <comment ref="G363" authorId="0" shapeId="0" xr:uid="{00000000-0006-0000-0100-000017000000}">
      <text>
        <r>
          <rPr>
            <b/>
            <sz val="9"/>
            <color indexed="81"/>
            <rFont val="Tahoma"/>
            <family val="2"/>
          </rPr>
          <t>Chuck Butler:</t>
        </r>
        <r>
          <rPr>
            <sz val="9"/>
            <color indexed="81"/>
            <rFont val="Tahoma"/>
            <family val="2"/>
          </rPr>
          <t xml:space="preserve">
New SKU for TM shadeband</t>
        </r>
      </text>
    </comment>
    <comment ref="AM363" authorId="0" shapeId="0" xr:uid="{00000000-0006-0000-0100-000018000000}">
      <text>
        <r>
          <rPr>
            <b/>
            <sz val="9"/>
            <color indexed="81"/>
            <rFont val="Tahoma"/>
            <family val="2"/>
          </rPr>
          <t>Chuck Butler:</t>
        </r>
        <r>
          <rPr>
            <sz val="9"/>
            <color indexed="81"/>
            <rFont val="Tahoma"/>
            <family val="2"/>
          </rPr>
          <t xml:space="preserve">
KAC requires 5m increments</t>
        </r>
      </text>
    </comment>
    <comment ref="G364" authorId="0" shapeId="0" xr:uid="{00000000-0006-0000-0100-000019000000}">
      <text>
        <r>
          <rPr>
            <b/>
            <sz val="9"/>
            <color indexed="81"/>
            <rFont val="Tahoma"/>
            <family val="2"/>
          </rPr>
          <t>Chuck Butler:</t>
        </r>
        <r>
          <rPr>
            <sz val="9"/>
            <color indexed="81"/>
            <rFont val="Tahoma"/>
            <family val="2"/>
          </rPr>
          <t xml:space="preserve">
Changing to W2340AB to match W1340AB?</t>
        </r>
      </text>
    </comment>
    <comment ref="AM365" authorId="0" shapeId="0" xr:uid="{844D92CF-AC05-45D2-BC30-840AE52B9E88}">
      <text>
        <r>
          <rPr>
            <b/>
            <sz val="9"/>
            <color indexed="81"/>
            <rFont val="Tahoma"/>
            <family val="2"/>
          </rPr>
          <t>Chuck Butler:</t>
        </r>
        <r>
          <rPr>
            <sz val="9"/>
            <color indexed="81"/>
            <rFont val="Tahoma"/>
            <family val="2"/>
          </rPr>
          <t xml:space="preserve">
KAC requires 5m increments</t>
        </r>
      </text>
    </comment>
    <comment ref="G366" authorId="0" shapeId="0" xr:uid="{00000000-0006-0000-0100-00001A000000}">
      <text>
        <r>
          <rPr>
            <b/>
            <sz val="9"/>
            <color indexed="81"/>
            <rFont val="Tahoma"/>
            <family val="2"/>
          </rPr>
          <t>Chuck Butler:</t>
        </r>
        <r>
          <rPr>
            <sz val="9"/>
            <color indexed="81"/>
            <rFont val="Tahoma"/>
            <family val="2"/>
          </rPr>
          <t xml:space="preserve">
Old SKU for TM shadeband.
Being tested, but commercialization in this windshield would be the clear version and would be W1242__.</t>
        </r>
      </text>
    </comment>
    <comment ref="AM368" authorId="0" shapeId="0" xr:uid="{67E83E1A-9AFE-4F5A-8DCA-628D4FFDD00D}">
      <text>
        <r>
          <rPr>
            <b/>
            <sz val="9"/>
            <color indexed="81"/>
            <rFont val="Tahoma"/>
            <family val="2"/>
          </rPr>
          <t>Chuck Butler:</t>
        </r>
        <r>
          <rPr>
            <sz val="9"/>
            <color indexed="81"/>
            <rFont val="Tahoma"/>
            <family val="2"/>
          </rPr>
          <t xml:space="preserve">
KAC requires 5m increments</t>
        </r>
      </text>
    </comment>
    <comment ref="G369" authorId="0" shapeId="0" xr:uid="{00000000-0006-0000-0100-00001B000000}">
      <text>
        <r>
          <rPr>
            <b/>
            <sz val="9"/>
            <color indexed="81"/>
            <rFont val="Tahoma"/>
            <family val="2"/>
          </rPr>
          <t>Chuck Butler:</t>
        </r>
        <r>
          <rPr>
            <sz val="9"/>
            <color indexed="81"/>
            <rFont val="Tahoma"/>
            <family val="2"/>
          </rPr>
          <t xml:space="preserve">
Was the new SKU for TMa clear.  Was to be the first target for commercial sales.  But then the angle was changed to 0.42mrad, and then back to 0.40 mrad (W1240AB) when they decided to shape it on the Klopper line.</t>
        </r>
      </text>
    </comment>
    <comment ref="AM369" authorId="0" shapeId="0" xr:uid="{00000000-0006-0000-0100-00001C000000}">
      <text>
        <r>
          <rPr>
            <b/>
            <sz val="9"/>
            <color indexed="81"/>
            <rFont val="Tahoma"/>
            <family val="2"/>
          </rPr>
          <t>Chuck Butler:</t>
        </r>
        <r>
          <rPr>
            <sz val="9"/>
            <color indexed="81"/>
            <rFont val="Tahoma"/>
            <family val="2"/>
          </rPr>
          <t xml:space="preserve">
KAC requires 5m increments</t>
        </r>
      </text>
    </comment>
    <comment ref="V370" authorId="0" shapeId="0" xr:uid="{00000000-0006-0000-0100-00001D000000}">
      <text>
        <r>
          <rPr>
            <b/>
            <sz val="9"/>
            <color indexed="81"/>
            <rFont val="Tahoma"/>
            <family val="2"/>
          </rPr>
          <t>Chuck Butler:</t>
        </r>
        <r>
          <rPr>
            <sz val="9"/>
            <color indexed="81"/>
            <rFont val="Tahoma"/>
            <family val="2"/>
          </rPr>
          <t xml:space="preserve">
New HUD area calculation by KAC</t>
        </r>
      </text>
    </comment>
    <comment ref="AM370" authorId="0" shapeId="0" xr:uid="{00000000-0006-0000-0100-00001E000000}">
      <text>
        <r>
          <rPr>
            <b/>
            <sz val="9"/>
            <color indexed="81"/>
            <rFont val="Tahoma"/>
            <family val="2"/>
          </rPr>
          <t>Chuck Butler:</t>
        </r>
        <r>
          <rPr>
            <sz val="9"/>
            <color indexed="81"/>
            <rFont val="Tahoma"/>
            <family val="2"/>
          </rPr>
          <t xml:space="preserve">
KAC requires 5m increments</t>
        </r>
      </text>
    </comment>
    <comment ref="AM371" authorId="0" shapeId="0" xr:uid="{DBC57AA3-530F-4426-AE09-CF0A924FF79E}">
      <text>
        <r>
          <rPr>
            <b/>
            <sz val="9"/>
            <color indexed="81"/>
            <rFont val="Tahoma"/>
            <family val="2"/>
          </rPr>
          <t>Chuck Butler:</t>
        </r>
        <r>
          <rPr>
            <sz val="9"/>
            <color indexed="81"/>
            <rFont val="Tahoma"/>
            <family val="2"/>
          </rPr>
          <t xml:space="preserve">
KAC requires 5m increments</t>
        </r>
      </text>
    </comment>
    <comment ref="V372" authorId="0" shapeId="0" xr:uid="{9270CD0C-3F21-4F55-B03A-4E6677DD74F5}">
      <text>
        <r>
          <rPr>
            <b/>
            <sz val="9"/>
            <color indexed="81"/>
            <rFont val="Tahoma"/>
            <family val="2"/>
          </rPr>
          <t>Chuck Butler:</t>
        </r>
        <r>
          <rPr>
            <sz val="9"/>
            <color indexed="81"/>
            <rFont val="Tahoma"/>
            <family val="2"/>
          </rPr>
          <t xml:space="preserve">
New, wider HUD area</t>
        </r>
      </text>
    </comment>
    <comment ref="AM372" authorId="0" shapeId="0" xr:uid="{8AAB3162-A341-4EE4-89ED-94E06875D84B}">
      <text>
        <r>
          <rPr>
            <b/>
            <sz val="9"/>
            <color indexed="81"/>
            <rFont val="Tahoma"/>
            <family val="2"/>
          </rPr>
          <t>Chuck Butler:</t>
        </r>
        <r>
          <rPr>
            <sz val="9"/>
            <color indexed="81"/>
            <rFont val="Tahoma"/>
            <family val="2"/>
          </rPr>
          <t xml:space="preserve">
KAC requires 5m increments</t>
        </r>
      </text>
    </comment>
    <comment ref="AM374" authorId="0" shapeId="0" xr:uid="{00000000-0006-0000-0100-00001F000000}">
      <text>
        <r>
          <rPr>
            <b/>
            <sz val="9"/>
            <color indexed="81"/>
            <rFont val="Tahoma"/>
            <family val="2"/>
          </rPr>
          <t>Chuck Butler:</t>
        </r>
        <r>
          <rPr>
            <sz val="9"/>
            <color indexed="81"/>
            <rFont val="Tahoma"/>
            <family val="2"/>
          </rPr>
          <t xml:space="preserve">
KAC requires 5m increments</t>
        </r>
      </text>
    </comment>
    <comment ref="AM384" authorId="0" shapeId="0" xr:uid="{00000000-0006-0000-0100-000015000000}">
      <text>
        <r>
          <rPr>
            <b/>
            <sz val="9"/>
            <color indexed="81"/>
            <rFont val="Tahoma"/>
            <family val="2"/>
          </rPr>
          <t>Chuck Butler:</t>
        </r>
        <r>
          <rPr>
            <sz val="9"/>
            <color indexed="81"/>
            <rFont val="Tahoma"/>
            <family val="2"/>
          </rPr>
          <t xml:space="preserve">
KAC requires 5m increments</t>
        </r>
      </text>
    </comment>
    <comment ref="AM385" authorId="0" shapeId="0" xr:uid="{820198A3-C090-465B-AE22-1C30A5673F50}">
      <text>
        <r>
          <rPr>
            <b/>
            <sz val="9"/>
            <color indexed="81"/>
            <rFont val="Tahoma"/>
            <family val="2"/>
          </rPr>
          <t>Chuck Butler:</t>
        </r>
        <r>
          <rPr>
            <sz val="9"/>
            <color indexed="81"/>
            <rFont val="Tahoma"/>
            <family val="2"/>
          </rPr>
          <t xml:space="preserve">
KAC requires 5m increments</t>
        </r>
      </text>
    </comment>
    <comment ref="AM399" authorId="0" shapeId="0" xr:uid="{27706E67-A7A2-468C-9A1B-791E13C4C3E1}">
      <text>
        <r>
          <rPr>
            <b/>
            <sz val="9"/>
            <color indexed="81"/>
            <rFont val="Tahoma"/>
            <family val="2"/>
          </rPr>
          <t>Chuck Butler:</t>
        </r>
        <r>
          <rPr>
            <sz val="9"/>
            <color indexed="81"/>
            <rFont val="Tahoma"/>
            <family val="2"/>
          </rPr>
          <t xml:space="preserve">
KAC requires 5m increments</t>
        </r>
      </text>
    </comment>
    <comment ref="AM400" authorId="0" shapeId="0" xr:uid="{FD4EF1B1-E17C-449C-A857-84F2403AB5B9}">
      <text>
        <r>
          <rPr>
            <b/>
            <sz val="9"/>
            <color indexed="81"/>
            <rFont val="Tahoma"/>
            <family val="2"/>
          </rPr>
          <t>Chuck Butler:</t>
        </r>
        <r>
          <rPr>
            <sz val="9"/>
            <color indexed="81"/>
            <rFont val="Tahoma"/>
            <family val="2"/>
          </rPr>
          <t xml:space="preserve">
KAC requires 5m increments</t>
        </r>
      </text>
    </comment>
    <comment ref="AM401" authorId="0" shapeId="0" xr:uid="{34307EA1-75D7-4AD9-BDE4-60A3671175C8}">
      <text>
        <r>
          <rPr>
            <b/>
            <sz val="9"/>
            <color indexed="81"/>
            <rFont val="Tahoma"/>
            <family val="2"/>
          </rPr>
          <t>Chuck Butler:</t>
        </r>
        <r>
          <rPr>
            <sz val="9"/>
            <color indexed="81"/>
            <rFont val="Tahoma"/>
            <family val="2"/>
          </rPr>
          <t xml:space="preserve">
KAC requires 5m increments</t>
        </r>
      </text>
    </comment>
    <comment ref="AM402" authorId="0" shapeId="0" xr:uid="{D0DFF0EA-EB3C-47C9-AD0A-831B35A5B6B6}">
      <text>
        <r>
          <rPr>
            <b/>
            <sz val="9"/>
            <color indexed="81"/>
            <rFont val="Tahoma"/>
            <family val="2"/>
          </rPr>
          <t>Chuck Butler:</t>
        </r>
        <r>
          <rPr>
            <sz val="9"/>
            <color indexed="81"/>
            <rFont val="Tahoma"/>
            <family val="2"/>
          </rPr>
          <t xml:space="preserve">
KAC requires 5m increments</t>
        </r>
      </text>
    </comment>
    <comment ref="G414" authorId="1" shapeId="0" xr:uid="{B29BF606-C709-4AD1-BD09-BAE41B5734EF}">
      <text>
        <r>
          <rPr>
            <b/>
            <sz val="9"/>
            <color indexed="81"/>
            <rFont val="Tahoma"/>
            <family val="2"/>
          </rPr>
          <t>Butler, Chuck:</t>
        </r>
        <r>
          <rPr>
            <sz val="9"/>
            <color indexed="81"/>
            <rFont val="Tahoma"/>
            <family val="2"/>
          </rPr>
          <t xml:space="preserve">
H for winding direction</t>
        </r>
      </text>
    </comment>
    <comment ref="G417" authorId="1" shapeId="0" xr:uid="{C68C3AB3-38DE-4674-953F-9A7462296D3B}">
      <text>
        <r>
          <rPr>
            <b/>
            <sz val="9"/>
            <color indexed="81"/>
            <rFont val="Tahoma"/>
            <family val="2"/>
          </rPr>
          <t>Butler, Chuck:</t>
        </r>
        <r>
          <rPr>
            <sz val="9"/>
            <color indexed="81"/>
            <rFont val="Tahoma"/>
            <family val="2"/>
          </rPr>
          <t xml:space="preserve">
Extra "H" for winding direction</t>
        </r>
      </text>
    </comment>
    <comment ref="P417" authorId="1" shapeId="0" xr:uid="{427914FD-0AD0-46BF-A23C-537A5E0FA15E}">
      <text>
        <r>
          <rPr>
            <b/>
            <sz val="9"/>
            <color indexed="81"/>
            <rFont val="Tahoma"/>
            <family val="2"/>
          </rPr>
          <t>Butler, Chuck:</t>
        </r>
        <r>
          <rPr>
            <sz val="9"/>
            <color indexed="81"/>
            <rFont val="Tahoma"/>
            <family val="2"/>
          </rPr>
          <t xml:space="preserve">
Must be run single cut on L9</t>
        </r>
      </text>
    </comment>
    <comment ref="G418" authorId="1" shapeId="0" xr:uid="{551AEB51-770D-4FC0-920D-ADB4A8CDB7BF}">
      <text>
        <r>
          <rPr>
            <b/>
            <sz val="9"/>
            <color indexed="81"/>
            <rFont val="Tahoma"/>
            <family val="2"/>
          </rPr>
          <t>Butler, Chuck:</t>
        </r>
        <r>
          <rPr>
            <sz val="9"/>
            <color indexed="81"/>
            <rFont val="Tahoma"/>
            <family val="2"/>
          </rPr>
          <t xml:space="preserve">
Extra "H" for winding direction</t>
        </r>
      </text>
    </comment>
    <comment ref="P418" authorId="1" shapeId="0" xr:uid="{B8E15E17-2982-492F-8638-186E055FCE75}">
      <text>
        <r>
          <rPr>
            <b/>
            <sz val="9"/>
            <color indexed="81"/>
            <rFont val="Tahoma"/>
            <family val="2"/>
          </rPr>
          <t>Butler, Chuck:</t>
        </r>
        <r>
          <rPr>
            <sz val="9"/>
            <color indexed="81"/>
            <rFont val="Tahoma"/>
            <family val="2"/>
          </rPr>
          <t xml:space="preserve">
Must be run single cut on L9</t>
        </r>
      </text>
    </comment>
    <comment ref="G419" authorId="1" shapeId="0" xr:uid="{E4A4D07D-FDB2-4979-B500-C0691820DB20}">
      <text>
        <r>
          <rPr>
            <b/>
            <sz val="9"/>
            <color indexed="81"/>
            <rFont val="Tahoma"/>
            <family val="2"/>
          </rPr>
          <t>Butler, Chuck:</t>
        </r>
        <r>
          <rPr>
            <sz val="9"/>
            <color indexed="81"/>
            <rFont val="Tahoma"/>
            <family val="2"/>
          </rPr>
          <t xml:space="preserve">
Extra "H" for winding direction</t>
        </r>
      </text>
    </comment>
    <comment ref="P419" authorId="1" shapeId="0" xr:uid="{75BF8032-0940-4FD1-88CE-0868649D2A2B}">
      <text>
        <r>
          <rPr>
            <b/>
            <sz val="9"/>
            <color indexed="81"/>
            <rFont val="Tahoma"/>
            <family val="2"/>
          </rPr>
          <t>Butler, Chuck:</t>
        </r>
        <r>
          <rPr>
            <sz val="9"/>
            <color indexed="81"/>
            <rFont val="Tahoma"/>
            <family val="2"/>
          </rPr>
          <t xml:space="preserve">
Must be run single cut on L9</t>
        </r>
      </text>
    </comment>
    <comment ref="L446" authorId="0" shapeId="0" xr:uid="{7E2B87D7-4DFB-4B3B-8494-12CDF6137880}">
      <text>
        <r>
          <rPr>
            <b/>
            <sz val="9"/>
            <color indexed="81"/>
            <rFont val="Tahoma"/>
            <family val="2"/>
          </rPr>
          <t>Chuck Butler:</t>
        </r>
        <r>
          <rPr>
            <sz val="9"/>
            <color indexed="81"/>
            <rFont val="Tahoma"/>
            <family val="2"/>
          </rPr>
          <t xml:space="preserve">
0389 = 332m
0390 = 167m</t>
        </r>
      </text>
    </comment>
    <comment ref="BK456" authorId="1" shapeId="0" xr:uid="{69EE5AC1-BE85-4341-BD24-9335608AAC1B}">
      <text>
        <r>
          <rPr>
            <b/>
            <sz val="9"/>
            <color indexed="81"/>
            <rFont val="Tahoma"/>
            <family val="2"/>
          </rPr>
          <t>Butler, Chuck:</t>
        </r>
        <r>
          <rPr>
            <sz val="9"/>
            <color indexed="81"/>
            <rFont val="Tahoma"/>
            <family val="2"/>
          </rPr>
          <t xml:space="preserve">
Invoice price is €22/sqm = $24.21/sqm</t>
        </r>
      </text>
    </comment>
    <comment ref="BO456" authorId="1" shapeId="0" xr:uid="{8B1B0584-4863-4EE8-980F-AB31C8C8C076}">
      <text>
        <r>
          <rPr>
            <b/>
            <sz val="9"/>
            <color indexed="81"/>
            <rFont val="Tahoma"/>
            <family val="2"/>
          </rPr>
          <t>Butler, Chuck:</t>
        </r>
        <r>
          <rPr>
            <sz val="9"/>
            <color indexed="81"/>
            <rFont val="Tahoma"/>
            <family val="2"/>
          </rPr>
          <t xml:space="preserve">
Invoice price is €22/sqm = $24/sqm</t>
        </r>
      </text>
    </comment>
    <comment ref="AZ459" authorId="0" shapeId="0" xr:uid="{00000000-0006-0000-0100-000020000000}">
      <text>
        <r>
          <rPr>
            <b/>
            <sz val="9"/>
            <color indexed="81"/>
            <rFont val="Tahoma"/>
            <family val="2"/>
          </rPr>
          <t>Chuck Butler:</t>
        </r>
        <r>
          <rPr>
            <sz val="9"/>
            <color indexed="81"/>
            <rFont val="Tahoma"/>
            <family val="2"/>
          </rPr>
          <t xml:space="preserve">
They are estimating 15M sqm per year, and I guessed 1.5 sqm per windshield</t>
        </r>
      </text>
    </comment>
    <comment ref="T460" authorId="0" shapeId="0" xr:uid="{00000000-0006-0000-0100-000021000000}">
      <text>
        <r>
          <rPr>
            <b/>
            <sz val="9"/>
            <color indexed="81"/>
            <rFont val="Tahoma"/>
            <family val="2"/>
          </rPr>
          <t>Chuck Butler:</t>
        </r>
        <r>
          <rPr>
            <sz val="9"/>
            <color indexed="81"/>
            <rFont val="Tahoma"/>
            <family val="2"/>
          </rPr>
          <t xml:space="preserve">
0.78mm was specified in the initial request</t>
        </r>
      </text>
    </comment>
    <comment ref="E461" authorId="0" shapeId="0" xr:uid="{03D04530-3D1A-40DA-9A88-36AC6F7EC228}">
      <text>
        <r>
          <rPr>
            <b/>
            <sz val="9"/>
            <color indexed="81"/>
            <rFont val="Tahoma"/>
            <family val="2"/>
          </rPr>
          <t>Chuck Butler:</t>
        </r>
        <r>
          <rPr>
            <sz val="9"/>
            <color indexed="81"/>
            <rFont val="Tahoma"/>
            <family val="2"/>
          </rPr>
          <t xml:space="preserve">
Just </t>
        </r>
        <r>
          <rPr>
            <u/>
            <sz val="9"/>
            <color indexed="81"/>
            <rFont val="Tahoma"/>
            <family val="2"/>
          </rPr>
          <t>really</t>
        </r>
        <r>
          <rPr>
            <sz val="9"/>
            <color indexed="81"/>
            <rFont val="Tahoma"/>
            <family val="2"/>
          </rPr>
          <t xml:space="preserve"> small volume</t>
        </r>
      </text>
    </comment>
    <comment ref="AM461" authorId="0" shapeId="0" xr:uid="{00000000-0006-0000-0100-000022000000}">
      <text>
        <r>
          <rPr>
            <b/>
            <sz val="9"/>
            <color indexed="81"/>
            <rFont val="Tahoma"/>
            <family val="2"/>
          </rPr>
          <t>Chuck Butler:</t>
        </r>
        <r>
          <rPr>
            <sz val="9"/>
            <color indexed="81"/>
            <rFont val="Tahoma"/>
            <family val="2"/>
          </rPr>
          <t xml:space="preserve">
Requested by Witten</t>
        </r>
      </text>
    </comment>
    <comment ref="D509" authorId="1" shapeId="0" xr:uid="{D0E5680B-97BA-4BDA-AF6A-15EC4B2C3416}">
      <text>
        <r>
          <rPr>
            <b/>
            <sz val="9"/>
            <color indexed="81"/>
            <rFont val="Tahoma"/>
            <family val="2"/>
          </rPr>
          <t>Butler, Chuck:</t>
        </r>
        <r>
          <rPr>
            <sz val="9"/>
            <color indexed="81"/>
            <rFont val="Tahoma"/>
            <family val="2"/>
          </rPr>
          <t xml:space="preserve">
Same as LX2-W PE, according to Alex</t>
        </r>
      </text>
    </comment>
    <comment ref="R585" authorId="0" shapeId="0" xr:uid="{B75A7228-67BD-45FB-8521-D184B568D60B}">
      <text>
        <r>
          <rPr>
            <b/>
            <sz val="9"/>
            <color indexed="81"/>
            <rFont val="Tahoma"/>
            <family val="2"/>
          </rPr>
          <t>Chuck Butler:</t>
        </r>
        <r>
          <rPr>
            <sz val="9"/>
            <color indexed="81"/>
            <rFont val="Tahoma"/>
            <family val="2"/>
          </rPr>
          <t xml:space="preserve">
Must run single-cut</t>
        </r>
      </text>
    </comment>
    <comment ref="R586" authorId="0" shapeId="0" xr:uid="{E83717D4-984D-4045-A14F-856C318ACE96}">
      <text>
        <r>
          <rPr>
            <b/>
            <sz val="9"/>
            <color indexed="81"/>
            <rFont val="Tahoma"/>
            <family val="2"/>
          </rPr>
          <t>Chuck Butler:</t>
        </r>
        <r>
          <rPr>
            <sz val="9"/>
            <color indexed="81"/>
            <rFont val="Tahoma"/>
            <family val="2"/>
          </rPr>
          <t xml:space="preserve">
Must run single-cut</t>
        </r>
      </text>
    </comment>
    <comment ref="AZ587" authorId="0" shapeId="0" xr:uid="{00000000-0006-0000-0100-000023000000}">
      <text>
        <r>
          <rPr>
            <b/>
            <sz val="9"/>
            <color indexed="81"/>
            <rFont val="Tahoma"/>
            <family val="2"/>
          </rPr>
          <t>Chuck Butler:</t>
        </r>
        <r>
          <rPr>
            <sz val="9"/>
            <color indexed="81"/>
            <rFont val="Tahoma"/>
            <family val="2"/>
          </rPr>
          <t xml:space="preserve">
Assuming 5 years of vehicle production</t>
        </r>
      </text>
    </comment>
    <comment ref="AZ589" authorId="0" shapeId="0" xr:uid="{00000000-0006-0000-0100-000024000000}">
      <text>
        <r>
          <rPr>
            <b/>
            <sz val="9"/>
            <color indexed="81"/>
            <rFont val="Tahoma"/>
            <family val="2"/>
          </rPr>
          <t>Chuck Butler:</t>
        </r>
        <r>
          <rPr>
            <sz val="9"/>
            <color indexed="81"/>
            <rFont val="Tahoma"/>
            <family val="2"/>
          </rPr>
          <t xml:space="preserve">
Assuming 5 years of vehicle production</t>
        </r>
      </text>
    </comment>
    <comment ref="AM602" authorId="0" shapeId="0" xr:uid="{00000000-0006-0000-0100-00002B000000}">
      <text>
        <r>
          <rPr>
            <b/>
            <sz val="9"/>
            <color indexed="81"/>
            <rFont val="Tahoma"/>
            <family val="2"/>
          </rPr>
          <t>Chuck Butler:</t>
        </r>
        <r>
          <rPr>
            <sz val="9"/>
            <color indexed="81"/>
            <rFont val="Tahoma"/>
            <family val="2"/>
          </rPr>
          <t xml:space="preserve">
Somehow 195m was used in setting up the SKUs</t>
        </r>
      </text>
    </comment>
    <comment ref="AZ602" authorId="0" shapeId="0" xr:uid="{00000000-0006-0000-0100-00002C000000}">
      <text>
        <r>
          <rPr>
            <b/>
            <sz val="9"/>
            <color indexed="81"/>
            <rFont val="Tahoma"/>
            <family val="2"/>
          </rPr>
          <t>Chuck Butler:</t>
        </r>
        <r>
          <rPr>
            <sz val="9"/>
            <color indexed="81"/>
            <rFont val="Tahoma"/>
            <family val="2"/>
          </rPr>
          <t xml:space="preserve">
Assuming 5 years of vehicle production</t>
        </r>
      </text>
    </comment>
    <comment ref="Q603" authorId="0" shapeId="0" xr:uid="{00000000-0006-0000-0100-00002D000000}">
      <text>
        <r>
          <rPr>
            <b/>
            <sz val="9"/>
            <color indexed="81"/>
            <rFont val="Tahoma"/>
            <family val="2"/>
          </rPr>
          <t>Chuck Butler:</t>
        </r>
        <r>
          <rPr>
            <sz val="9"/>
            <color indexed="81"/>
            <rFont val="Tahoma"/>
            <family val="2"/>
          </rPr>
          <t xml:space="preserve">
Could be increased to 20cm, and roll length would increase to 177m</t>
        </r>
      </text>
    </comment>
    <comment ref="AS607" authorId="0" shapeId="0" xr:uid="{00000000-0006-0000-0100-00002E000000}">
      <text>
        <r>
          <rPr>
            <b/>
            <sz val="9"/>
            <color indexed="81"/>
            <rFont val="Tahoma"/>
            <family val="2"/>
          </rPr>
          <t>Chuck Butler:</t>
        </r>
        <r>
          <rPr>
            <sz val="9"/>
            <color indexed="81"/>
            <rFont val="Tahoma"/>
            <family val="2"/>
          </rPr>
          <t xml:space="preserve">
Changing to thick side up?  (CT1P and CT4P?)</t>
        </r>
      </text>
    </comment>
    <comment ref="AZ607" authorId="0" shapeId="0" xr:uid="{00000000-0006-0000-0100-00002F000000}">
      <text>
        <r>
          <rPr>
            <b/>
            <sz val="9"/>
            <color indexed="81"/>
            <rFont val="Tahoma"/>
            <family val="2"/>
          </rPr>
          <t>Chuck Butler:</t>
        </r>
        <r>
          <rPr>
            <sz val="9"/>
            <color indexed="81"/>
            <rFont val="Tahoma"/>
            <family val="2"/>
          </rPr>
          <t xml:space="preserve">
Assuming 5 years of vehicle production</t>
        </r>
      </text>
    </comment>
    <comment ref="AQ609" authorId="0" shapeId="0" xr:uid="{00000000-0006-0000-0100-000031000000}">
      <text>
        <r>
          <rPr>
            <b/>
            <sz val="9"/>
            <color indexed="81"/>
            <rFont val="Tahoma"/>
            <family val="2"/>
          </rPr>
          <t>Chuck Butler:</t>
        </r>
        <r>
          <rPr>
            <sz val="9"/>
            <color indexed="81"/>
            <rFont val="Tahoma"/>
            <family val="2"/>
          </rPr>
          <t xml:space="preserve">
Made for AGC Chuderice, not for Vitro</t>
        </r>
      </text>
    </comment>
    <comment ref="H638" authorId="1" shapeId="0" xr:uid="{B517931C-C366-48F7-B9AE-56502593F1FD}">
      <text>
        <r>
          <rPr>
            <b/>
            <sz val="9"/>
            <color indexed="81"/>
            <rFont val="Tahoma"/>
            <family val="2"/>
          </rPr>
          <t>Butler, Chuck:</t>
        </r>
        <r>
          <rPr>
            <sz val="9"/>
            <color indexed="81"/>
            <rFont val="Tahoma"/>
            <family val="2"/>
          </rPr>
          <t xml:space="preserve">
Originally set up as K adhesion</t>
        </r>
      </text>
    </comment>
    <comment ref="R648" authorId="0" shapeId="0" xr:uid="{FFC8BB88-0AE1-4762-89CB-0B12045AE2EB}">
      <text>
        <r>
          <rPr>
            <b/>
            <sz val="9"/>
            <color indexed="81"/>
            <rFont val="Tahoma"/>
            <family val="2"/>
          </rPr>
          <t>Chuck Butler:</t>
        </r>
        <r>
          <rPr>
            <sz val="9"/>
            <color indexed="81"/>
            <rFont val="Tahoma"/>
            <family val="2"/>
          </rPr>
          <t xml:space="preserve">
Must run single-cut</t>
        </r>
      </text>
    </comment>
    <comment ref="R649" authorId="0" shapeId="0" xr:uid="{296FCB1E-41CA-4C85-9777-FAD2BE03C6BF}">
      <text>
        <r>
          <rPr>
            <b/>
            <sz val="9"/>
            <color indexed="81"/>
            <rFont val="Tahoma"/>
            <family val="2"/>
          </rPr>
          <t>Chuck Butler:</t>
        </r>
        <r>
          <rPr>
            <sz val="9"/>
            <color indexed="81"/>
            <rFont val="Tahoma"/>
            <family val="2"/>
          </rPr>
          <t xml:space="preserve">
Must run single-cut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Chuck Butler</author>
  </authors>
  <commentList>
    <comment ref="C3" authorId="0" shapeId="0" xr:uid="{49B5BEEC-244B-4B42-8BDB-8D18018AFF7F}">
      <text>
        <r>
          <rPr>
            <b/>
            <sz val="9"/>
            <color indexed="81"/>
            <rFont val="Tahoma"/>
            <family val="2"/>
          </rPr>
          <t>Chuck Butler:</t>
        </r>
        <r>
          <rPr>
            <sz val="9"/>
            <color indexed="81"/>
            <rFont val="Tahoma"/>
            <family val="2"/>
          </rPr>
          <t xml:space="preserve">
P = thick side up
A = thick side down</t>
        </r>
      </text>
    </comment>
    <comment ref="D3" authorId="0" shapeId="0" xr:uid="{90BCB0A8-0CA3-435E-A9D6-D06FE50D86EE}">
      <text>
        <r>
          <rPr>
            <b/>
            <sz val="9"/>
            <color indexed="81"/>
            <rFont val="Tahoma"/>
            <family val="2"/>
          </rPr>
          <t>Chuck Butler:</t>
        </r>
        <r>
          <rPr>
            <sz val="9"/>
            <color indexed="81"/>
            <rFont val="Tahoma"/>
            <family val="2"/>
          </rPr>
          <t xml:space="preserve">
Short rolls have the diameter of 250m of 0.76mm sheeting.
Long rolls have the diameter of 500m of 0.76mm sheeting.</t>
        </r>
      </text>
    </comment>
  </commentList>
</comments>
</file>

<file path=xl/sharedStrings.xml><?xml version="1.0" encoding="utf-8"?>
<sst xmlns="http://schemas.openxmlformats.org/spreadsheetml/2006/main" count="13003" uniqueCount="3364">
  <si>
    <t>W Codes</t>
  </si>
  <si>
    <t>Site</t>
  </si>
  <si>
    <t>W50xx</t>
  </si>
  <si>
    <t>Butacite® resin</t>
  </si>
  <si>
    <t>Monolayer</t>
  </si>
  <si>
    <t>Clear</t>
  </si>
  <si>
    <t>FW, Ulsan L6</t>
  </si>
  <si>
    <t>W51xx</t>
  </si>
  <si>
    <t>Shadeband</t>
  </si>
  <si>
    <t>Ulsan L6</t>
  </si>
  <si>
    <t>W10xx</t>
  </si>
  <si>
    <t>F1 resin</t>
  </si>
  <si>
    <t>L8</t>
  </si>
  <si>
    <t>Obsolete</t>
  </si>
  <si>
    <t>W11xx</t>
  </si>
  <si>
    <t>Never produced, obsolete</t>
  </si>
  <si>
    <t>W12xx</t>
  </si>
  <si>
    <t>Trilayer</t>
  </si>
  <si>
    <t>L8, Ulsan for AGP</t>
  </si>
  <si>
    <t>W13xx</t>
  </si>
  <si>
    <t>W14xx</t>
  </si>
  <si>
    <t>Trilayer Gen 2</t>
  </si>
  <si>
    <t>W15xx</t>
  </si>
  <si>
    <t>W20xx</t>
  </si>
  <si>
    <t>F5 resin</t>
  </si>
  <si>
    <t>W21xx</t>
  </si>
  <si>
    <t>Never produced, but we could</t>
  </si>
  <si>
    <t>W22xx</t>
  </si>
  <si>
    <t>L8, L9</t>
  </si>
  <si>
    <t>W23xx</t>
  </si>
  <si>
    <t>Wedge Products - Commercial and Developmental</t>
  </si>
  <si>
    <t>Lines in gray font are either obsolete or have been discussed but a BPCM request has not been entered</t>
  </si>
  <si>
    <t>= copy from Wedge Template / BPCM request</t>
  </si>
  <si>
    <t>Density of PVB (kg/m3):</t>
  </si>
  <si>
    <t>$/euro</t>
  </si>
  <si>
    <t>= formula calculations</t>
  </si>
  <si>
    <t>For LWA, from customer</t>
  </si>
  <si>
    <t>For GWA calculation</t>
  </si>
  <si>
    <t>Comparison to full-wedge design (not our partial wedge design)</t>
  </si>
  <si>
    <t>Customer</t>
  </si>
  <si>
    <t>Lamination Plant</t>
  </si>
  <si>
    <t>Car Make (BMW, Ford, etc.)</t>
  </si>
  <si>
    <t>Car Model
(5 series, Focus, etc.)</t>
  </si>
  <si>
    <t>OEM or ARG?</t>
  </si>
  <si>
    <t>Developmental, Commercial, Obsolete</t>
  </si>
  <si>
    <t>Product Code</t>
  </si>
  <si>
    <t>Adh. Grade</t>
  </si>
  <si>
    <t>Pattern</t>
  </si>
  <si>
    <t>Band color</t>
  </si>
  <si>
    <t>PVB Type</t>
  </si>
  <si>
    <t>BF Code(s)</t>
  </si>
  <si>
    <t>Smoothed Transition</t>
  </si>
  <si>
    <t>Extr. Line</t>
  </si>
  <si>
    <t>Wedge Angle (mrad)</t>
  </si>
  <si>
    <t>Roll Width (cm)</t>
  </si>
  <si>
    <t>Flat Width (cm)</t>
  </si>
  <si>
    <t>Band Width (cm)</t>
  </si>
  <si>
    <t>Clear width (cm)</t>
  </si>
  <si>
    <t>Thin Edge Cal. (mm)</t>
  </si>
  <si>
    <t>HUD Bot. (mm)</t>
  </si>
  <si>
    <t>HUD Top (mm)</t>
  </si>
  <si>
    <t>HUD Span (mm)</t>
  </si>
  <si>
    <t>HUD Top to Trans'n (mm)</t>
  </si>
  <si>
    <t>GWA Bot. (mm)</t>
  </si>
  <si>
    <t>GWA Top (mm)</t>
  </si>
  <si>
    <t>GWA Span (mm)</t>
  </si>
  <si>
    <t>GWA Top to Trans'n (mm)</t>
  </si>
  <si>
    <t>Shade Band to Trans'n (mm)</t>
  </si>
  <si>
    <t>Wedge Portion (cm)</t>
  </si>
  <si>
    <t>Max/ Flat Edge Cal. (mm)</t>
  </si>
  <si>
    <t>Thickness delta</t>
  </si>
  <si>
    <t>Avg Cal. (mm)</t>
  </si>
  <si>
    <t>Overall Area Wt (kg/m2)</t>
  </si>
  <si>
    <t>Thin Edge Area Wt (g/m2)</t>
  </si>
  <si>
    <t>Min Short Roll Length (m)</t>
  </si>
  <si>
    <t>Max Short Roll Length (m)</t>
  </si>
  <si>
    <t>Max Long Roll Length (m)</t>
  </si>
  <si>
    <t>Chosen roll Length (m)</t>
  </si>
  <si>
    <t>Sqm per roll</t>
  </si>
  <si>
    <t>Roll wt. (kg)</t>
  </si>
  <si>
    <t>Core slip potential</t>
  </si>
  <si>
    <t>First Extrusion Date</t>
  </si>
  <si>
    <t>BPCM Request(s)</t>
  </si>
  <si>
    <t>Product Description(s)</t>
  </si>
  <si>
    <t>Comment</t>
  </si>
  <si>
    <t>Quantity of sample rolls sent</t>
  </si>
  <si>
    <t>Qualification status of sample rolls</t>
  </si>
  <si>
    <t>Old BE code</t>
  </si>
  <si>
    <t>First commercial sale (even small quantity)</t>
  </si>
  <si>
    <t>HUD Top % of w/s height</t>
  </si>
  <si>
    <t>Predicted Annual Volume (thou w/s)</t>
  </si>
  <si>
    <t>Resin Type</t>
  </si>
  <si>
    <t>Clear or Shadeband</t>
  </si>
  <si>
    <r>
      <rPr>
        <b/>
        <u/>
        <sz val="11"/>
        <color theme="0" tint="-0.34998626667073579"/>
        <rFont val="Calibri"/>
        <family val="2"/>
        <scheme val="minor"/>
      </rPr>
      <t>Full wedge</t>
    </r>
    <r>
      <rPr>
        <b/>
        <sz val="11"/>
        <color theme="0" tint="-0.34998626667073579"/>
        <rFont val="Calibri"/>
        <family val="2"/>
        <scheme val="minor"/>
      </rPr>
      <t xml:space="preserve"> max caliper (mm)</t>
    </r>
  </si>
  <si>
    <r>
      <rPr>
        <b/>
        <u/>
        <sz val="11"/>
        <color theme="0" tint="-0.34998626667073579"/>
        <rFont val="Calibri"/>
        <family val="2"/>
        <scheme val="minor"/>
      </rPr>
      <t>Full wedge</t>
    </r>
    <r>
      <rPr>
        <b/>
        <sz val="11"/>
        <color theme="0" tint="-0.34998626667073579"/>
        <rFont val="Calibri"/>
        <family val="2"/>
        <scheme val="minor"/>
      </rPr>
      <t xml:space="preserve"> max roll length (m) - short rolls</t>
    </r>
  </si>
  <si>
    <t>Roll Length reduction if full wedge (m) - short rolls</t>
  </si>
  <si>
    <t>Roll Length reduction if full wedge - short rolls</t>
  </si>
  <si>
    <r>
      <t xml:space="preserve">Full wedge max roll length (m) - </t>
    </r>
    <r>
      <rPr>
        <b/>
        <u/>
        <sz val="11"/>
        <color theme="0" tint="-0.34998626667073579"/>
        <rFont val="Calibri"/>
        <family val="2"/>
        <scheme val="minor"/>
      </rPr>
      <t>long</t>
    </r>
    <r>
      <rPr>
        <b/>
        <sz val="11"/>
        <color theme="0" tint="-0.34998626667073579"/>
        <rFont val="Calibri"/>
        <family val="2"/>
        <scheme val="minor"/>
      </rPr>
      <t xml:space="preserve"> rolls</t>
    </r>
  </si>
  <si>
    <r>
      <t xml:space="preserve">Roll Length reduction if full wedge (m) - </t>
    </r>
    <r>
      <rPr>
        <b/>
        <u/>
        <sz val="11"/>
        <color theme="0" tint="-0.34998626667073579"/>
        <rFont val="Calibri"/>
        <family val="2"/>
        <scheme val="minor"/>
      </rPr>
      <t>long</t>
    </r>
    <r>
      <rPr>
        <b/>
        <sz val="11"/>
        <color theme="0" tint="-0.34998626667073579"/>
        <rFont val="Calibri"/>
        <family val="2"/>
        <scheme val="minor"/>
      </rPr>
      <t xml:space="preserve"> rolls</t>
    </r>
  </si>
  <si>
    <r>
      <t xml:space="preserve">Roll Length reduction if full wedge - </t>
    </r>
    <r>
      <rPr>
        <b/>
        <u/>
        <sz val="11"/>
        <color theme="0" tint="-0.34998626667073579"/>
        <rFont val="Calibri"/>
        <family val="2"/>
        <scheme val="minor"/>
      </rPr>
      <t>long</t>
    </r>
    <r>
      <rPr>
        <b/>
        <sz val="11"/>
        <color theme="0" tint="-0.34998626667073579"/>
        <rFont val="Calibri"/>
        <family val="2"/>
        <scheme val="minor"/>
      </rPr>
      <t xml:space="preserve"> rolls</t>
    </r>
  </si>
  <si>
    <t>2022 Contract price ($/sqm)</t>
  </si>
  <si>
    <r>
      <t>2023 Contract price ($/</t>
    </r>
    <r>
      <rPr>
        <b/>
        <sz val="11"/>
        <color rgb="FF3333FF"/>
        <rFont val="Calibri"/>
        <family val="2"/>
        <scheme val="minor"/>
      </rPr>
      <t>sqm</t>
    </r>
    <r>
      <rPr>
        <b/>
        <sz val="11"/>
        <rFont val="Calibri"/>
        <family val="2"/>
        <scheme val="minor"/>
      </rPr>
      <t>)</t>
    </r>
  </si>
  <si>
    <t>Area weight (kg/sqm)</t>
  </si>
  <si>
    <t>2023 Contract Price ($/kg)</t>
  </si>
  <si>
    <t>sqm vs. kg price</t>
  </si>
  <si>
    <t>Power BI price as of 4/6/2023</t>
  </si>
  <si>
    <t>Power BI delta ($/kg)</t>
  </si>
  <si>
    <t>2022 Volume (kgs)</t>
  </si>
  <si>
    <t>Volume sold through 4/6/2023 (kgs)</t>
  </si>
  <si>
    <t>Maximum flat distance (cm)</t>
  </si>
  <si>
    <t>Possible increase in flat distance (cm)</t>
  </si>
  <si>
    <t>Possible min thickness (mm)</t>
  </si>
  <si>
    <t>Possible thickness decrease</t>
  </si>
  <si>
    <t>Possible short roll length (m)</t>
  </si>
  <si>
    <t>Possibe short roll length increase (m)</t>
  </si>
  <si>
    <t>Possible short roll length increase (%)</t>
  </si>
  <si>
    <t>AGC</t>
  </si>
  <si>
    <t>Aichi</t>
  </si>
  <si>
    <t>OEM</t>
  </si>
  <si>
    <t>D</t>
  </si>
  <si>
    <t>W2227AEH</t>
  </si>
  <si>
    <t>L</t>
  </si>
  <si>
    <t>R</t>
  </si>
  <si>
    <t>Acoustic</t>
  </si>
  <si>
    <t>BF012338</t>
  </si>
  <si>
    <t>Y</t>
  </si>
  <si>
    <t>L9</t>
  </si>
  <si>
    <t>N/A</t>
  </si>
  <si>
    <t>2024_2555_03612</t>
  </si>
  <si>
    <t>W2227AE H LR CLEAR r109x0120 CB1P</t>
  </si>
  <si>
    <t>Mitsubishi</t>
  </si>
  <si>
    <t>W2251ALH</t>
  </si>
  <si>
    <t>?</t>
  </si>
  <si>
    <t>W2251AMH</t>
  </si>
  <si>
    <t>Brazil</t>
  </si>
  <si>
    <t>Great Wall</t>
  </si>
  <si>
    <t>Haval</t>
  </si>
  <si>
    <t>ARG</t>
  </si>
  <si>
    <t>W5062AA</t>
  </si>
  <si>
    <t>R3</t>
  </si>
  <si>
    <t>Standard</t>
  </si>
  <si>
    <t>BF011484</t>
  </si>
  <si>
    <t>L6</t>
  </si>
  <si>
    <t>Dec 22?</t>
  </si>
  <si>
    <t>2022_1770_02826</t>
  </si>
  <si>
    <t>W2262AE</t>
  </si>
  <si>
    <t>K</t>
  </si>
  <si>
    <t>E2</t>
  </si>
  <si>
    <t>BF011445</t>
  </si>
  <si>
    <t>If it goes commercial, we should switch them to W2262AJ</t>
  </si>
  <si>
    <t>Chuderice</t>
  </si>
  <si>
    <t>BMW</t>
  </si>
  <si>
    <t>3-series (F30)</t>
  </si>
  <si>
    <t>W2045AB</t>
  </si>
  <si>
    <t>BF010777</t>
  </si>
  <si>
    <t>2022_1333_02389</t>
  </si>
  <si>
    <t>W2045AB KE2 CLEAR r092x0170 MT4P</t>
  </si>
  <si>
    <t>3-series (G50), 5-series (G60, 2023-)</t>
  </si>
  <si>
    <t>W2218AB</t>
  </si>
  <si>
    <t>BF012221</t>
  </si>
  <si>
    <t>2024_2443_03500</t>
  </si>
  <si>
    <t>W2218AB KE2 CLEAR r100x0385 MT2P</t>
  </si>
  <si>
    <t>5-series (G60, 2023-)</t>
  </si>
  <si>
    <t>W2227AL</t>
  </si>
  <si>
    <t>BF012858</t>
  </si>
  <si>
    <t>2025-0144-0284</t>
  </si>
  <si>
    <t>W2227AL KE2 CLEAR r098x0184 CT1P</t>
  </si>
  <si>
    <t>O</t>
  </si>
  <si>
    <t>W2218AC</t>
  </si>
  <si>
    <t>BF012222</t>
  </si>
  <si>
    <t>Never</t>
  </si>
  <si>
    <t>W2218AC KE2 CLEAR r100x0385 MT2P</t>
  </si>
  <si>
    <t>They may use W2218AB for this windshield</t>
  </si>
  <si>
    <t>i3 (NA0)</t>
  </si>
  <si>
    <t>W2214AB</t>
  </si>
  <si>
    <t>BF012223</t>
  </si>
  <si>
    <t>W2214AB KE2 CLEAR r111x0392 MT2P</t>
  </si>
  <si>
    <t>iX3 (NA5)</t>
  </si>
  <si>
    <t>W2211AA</t>
  </si>
  <si>
    <t>205, 407</t>
  </si>
  <si>
    <t>iX4 (NA7)</t>
  </si>
  <si>
    <t>W2235AH</t>
  </si>
  <si>
    <t>BF012773</t>
  </si>
  <si>
    <t>2024_2980_04038</t>
  </si>
  <si>
    <t>W2235AH KE2 CLEAR r116x0328 MT2P</t>
  </si>
  <si>
    <t>NA5 (2025 3-series electric sedan)</t>
  </si>
  <si>
    <t>C</t>
  </si>
  <si>
    <t>W2214AA</t>
  </si>
  <si>
    <t>BF011588 (CT1P), BF012379 (CT4P)</t>
  </si>
  <si>
    <t>2023_1866_02923, 2024_2609_03667</t>
  </si>
  <si>
    <t>W2214AA KE2 CLEAR r116x0200 CT1P, W2214AA KE2 CLEAR r116x0200 MT4P</t>
  </si>
  <si>
    <t>discontinued L8 supply due to patent litigation</t>
  </si>
  <si>
    <t>W2214AC</t>
  </si>
  <si>
    <t>2025-0201-0346</t>
  </si>
  <si>
    <t>W2219AD</t>
  </si>
  <si>
    <t>BF012134</t>
  </si>
  <si>
    <t>2023_2315_03372</t>
  </si>
  <si>
    <t>W2219AD KE2 CLEAR r116x0190 CT1P</t>
  </si>
  <si>
    <t>W2223AA</t>
  </si>
  <si>
    <t>BF012133</t>
  </si>
  <si>
    <t>W2223AA KE2 CLEAR r116x0183 CT1P</t>
  </si>
  <si>
    <t>W2227AD</t>
  </si>
  <si>
    <t>BF012135</t>
  </si>
  <si>
    <t>W2227AD KE2 CLEAR r116x0177 CT1P</t>
  </si>
  <si>
    <t>Mazda</t>
  </si>
  <si>
    <t>W2245AA</t>
  </si>
  <si>
    <t>BF010776</t>
  </si>
  <si>
    <t>W2245AA KE2 CLEAR r104x0160 MT4P</t>
  </si>
  <si>
    <t>Mercedes</t>
  </si>
  <si>
    <t>B-Class (W247)</t>
  </si>
  <si>
    <t>W2239AC</t>
  </si>
  <si>
    <t>BF009649</t>
  </si>
  <si>
    <t>2021_0620_01672</t>
  </si>
  <si>
    <t>W2239AC KE2 CLEAR r108x0162 MT4P</t>
  </si>
  <si>
    <t>Recorded April '21 rolls as first commercial sales, assuming previous rolls were free.
discontinued L8 supply due to patent litigation</t>
  </si>
  <si>
    <t>W2239AG</t>
  </si>
  <si>
    <t>Had to reduce flat distance for L9</t>
  </si>
  <si>
    <t>C-Class (W206)</t>
  </si>
  <si>
    <t>W2264AB</t>
  </si>
  <si>
    <t>BF009565</t>
  </si>
  <si>
    <t>2020_0529_01581</t>
  </si>
  <si>
    <t>Never extruded. Probably lost this opportunity.</t>
  </si>
  <si>
    <t>C-Class (W520)</t>
  </si>
  <si>
    <t>W2219AB</t>
  </si>
  <si>
    <t>BF012100</t>
  </si>
  <si>
    <t>2023_2272_03329</t>
  </si>
  <si>
    <t>W2219AB KE2 CLEAR r105x0386 MT2P</t>
  </si>
  <si>
    <t>W2219AF</t>
  </si>
  <si>
    <t>tbd</t>
  </si>
  <si>
    <t>2024_2930_03988</t>
  </si>
  <si>
    <t>C-class (W520)</t>
  </si>
  <si>
    <t>W2209AA</t>
  </si>
  <si>
    <t>BF011829</t>
  </si>
  <si>
    <t>2023_2037_03094</t>
  </si>
  <si>
    <t>W2209AA KE2 CLEAR r110x0210 CT1P</t>
  </si>
  <si>
    <t>GLC (X254)</t>
  </si>
  <si>
    <t>W2220</t>
  </si>
  <si>
    <t>BF008708, BF008535</t>
  </si>
  <si>
    <t>Old</t>
  </si>
  <si>
    <t>W2220 KE2 CLEAR R097X0.95X0193 CT1P, W2220 KE2 CLEAR R097X0.95X0193 CT4P</t>
  </si>
  <si>
    <t>Unshaped</t>
  </si>
  <si>
    <t>blocking issue, laminated w/ good results, F5 HST issue</t>
  </si>
  <si>
    <t>W2230</t>
  </si>
  <si>
    <t>BF008709, BF008710</t>
  </si>
  <si>
    <t>W2230 KE2 CLEAR R088X0.95X0179 CT1P, W2230 KE2 CLEAR R08X0.95X0179 CT4P</t>
  </si>
  <si>
    <t>Shaped</t>
  </si>
  <si>
    <t>no yet laminated</t>
  </si>
  <si>
    <t>Renault</t>
  </si>
  <si>
    <t>Kadjar (HHN)</t>
  </si>
  <si>
    <t>W2239AB</t>
  </si>
  <si>
    <t>BF009475 (L8), ________</t>
  </si>
  <si>
    <t>L8 &amp; L9</t>
  </si>
  <si>
    <t>2020_0459_01511</t>
  </si>
  <si>
    <t>W2239AB KE2 r115x164 MT4P</t>
  </si>
  <si>
    <t>W2239AA</t>
  </si>
  <si>
    <t>BF009228, BF009229</t>
  </si>
  <si>
    <t>2020_0241_01293</t>
  </si>
  <si>
    <t>W2239AA KE2 r110x164 CT1P, W2239AA KE2 r110x164 CT4P</t>
  </si>
  <si>
    <t>good results</t>
  </si>
  <si>
    <t>Foshang</t>
  </si>
  <si>
    <t>BYD</t>
    <phoneticPr fontId="34" type="noConversion"/>
  </si>
  <si>
    <t>BAO 7</t>
    <phoneticPr fontId="34" type="noConversion"/>
  </si>
  <si>
    <t>W2236AF</t>
  </si>
  <si>
    <t>Kentucky</t>
  </si>
  <si>
    <t>? (A2LL)</t>
  </si>
  <si>
    <t>W2244AK</t>
  </si>
  <si>
    <t>BF011809</t>
  </si>
  <si>
    <t>2023_2023_03080</t>
  </si>
  <si>
    <t>W2244AK KE2 CLEAR r097x0.95x0120 CB1P</t>
  </si>
  <si>
    <t>Buick</t>
  </si>
  <si>
    <t>Park Ave (GC10)</t>
  </si>
  <si>
    <t>W5149</t>
  </si>
  <si>
    <t>B</t>
  </si>
  <si>
    <t>R4</t>
  </si>
  <si>
    <t>Blue</t>
  </si>
  <si>
    <t>BF005525</t>
  </si>
  <si>
    <t>N</t>
  </si>
  <si>
    <t>1996</t>
  </si>
  <si>
    <t>W5149 BR4 BLUE R104/20X0.95X0335 CB2A</t>
  </si>
  <si>
    <t>BE8480B</t>
  </si>
  <si>
    <t>Cadillac</t>
  </si>
  <si>
    <t>XLR</t>
  </si>
  <si>
    <t>W5142</t>
  </si>
  <si>
    <t>BF008672</t>
  </si>
  <si>
    <t>2004</t>
  </si>
  <si>
    <t>W5142 BR3 BLUE R104/17X0.95X0335 CB2A</t>
  </si>
  <si>
    <t>BE8340B</t>
  </si>
  <si>
    <t>Chevrolet</t>
  </si>
  <si>
    <t>C5 Corvette (GY15)</t>
  </si>
  <si>
    <t>W5124</t>
  </si>
  <si>
    <t>R2</t>
  </si>
  <si>
    <t>BF005571</t>
  </si>
  <si>
    <t>BE8220B</t>
  </si>
  <si>
    <t>C6 Corvette (2005-2013)</t>
  </si>
  <si>
    <t>W5121</t>
  </si>
  <si>
    <t>BF005522</t>
  </si>
  <si>
    <t>W5121 BR3 BLUE R108/17X0.95X0335 CB2A</t>
  </si>
  <si>
    <t>Last made in Mar 2019 (only 4 rolls)</t>
  </si>
  <si>
    <t>BE8350B</t>
  </si>
  <si>
    <t>Mexico</t>
  </si>
  <si>
    <t>GLC</t>
  </si>
  <si>
    <t>W2260AI</t>
  </si>
  <si>
    <t>BF011948</t>
  </si>
  <si>
    <t>2023_2127_03184</t>
  </si>
  <si>
    <t>W2260AI LR CLEAR r093x0307 CB1P</t>
  </si>
  <si>
    <t>Air bags were inserted to make a long roll in a single package</t>
  </si>
  <si>
    <t>W2263AC</t>
  </si>
  <si>
    <t>2024_2850_03908</t>
  </si>
  <si>
    <t>NordGlass</t>
  </si>
  <si>
    <t>Skoda</t>
  </si>
  <si>
    <t>Octavia</t>
  </si>
  <si>
    <t>W2255AC</t>
  </si>
  <si>
    <t>R &amp; E2</t>
  </si>
  <si>
    <t>BF012206 (LR), BF012207 (LE2)</t>
  </si>
  <si>
    <t>2024_2427_03484</t>
  </si>
  <si>
    <t>W2255AC LR CLEAR r100x0147 CT1P, W2255AC LE2 CLEAR r100x0147 CT1P</t>
  </si>
  <si>
    <t>Initially created both R and E2 patterns</t>
  </si>
  <si>
    <t>5-series</t>
  </si>
  <si>
    <t>W1030AA</t>
  </si>
  <si>
    <t>BF009154, BF009155</t>
  </si>
  <si>
    <t>TBD</t>
  </si>
  <si>
    <t>2020_0149_01201</t>
  </si>
  <si>
    <t>W1030AA LR CLEAR R098x0190 CT4P, W1030AA LR CLEAR R098x0190 CT1P</t>
  </si>
  <si>
    <t>Program canceled/postponed in Mar '20</t>
  </si>
  <si>
    <t>Possibly</t>
  </si>
  <si>
    <t>Opel</t>
  </si>
  <si>
    <t>Insignia</t>
  </si>
  <si>
    <t>W1235</t>
  </si>
  <si>
    <t>BF007396</t>
  </si>
  <si>
    <t>150, 50</t>
  </si>
  <si>
    <t>Initial testing</t>
  </si>
  <si>
    <t>??</t>
  </si>
  <si>
    <t>W1241AA</t>
  </si>
  <si>
    <t>BF007395, BF007652</t>
  </si>
  <si>
    <t>50, 150</t>
  </si>
  <si>
    <t>W1241 LE2 CLEAR r102x0.95x0050 W18P</t>
  </si>
  <si>
    <t>W1247</t>
  </si>
  <si>
    <t>BF007397, BF007654</t>
  </si>
  <si>
    <t>W1247 LE2 CLEAR R102X0.95X0050 CT1P, W1247 LE2 CLEAR R102X0.95X0150 CT4P</t>
  </si>
  <si>
    <t>HQ - Suzhou</t>
  </si>
  <si>
    <t>G68 2027</t>
    <phoneticPr fontId="34" type="noConversion"/>
  </si>
  <si>
    <t>W2228AH</t>
  </si>
  <si>
    <t>BF012981</t>
  </si>
  <si>
    <t>2025-0253-0398</t>
  </si>
  <si>
    <t>Qinhuangdao</t>
  </si>
  <si>
    <t>NA0 2027</t>
  </si>
  <si>
    <t>W2214AD</t>
  </si>
  <si>
    <t>2025-0298-0444</t>
  </si>
  <si>
    <t>?</t>
    <phoneticPr fontId="34" type="noConversion"/>
  </si>
  <si>
    <t>W2218AD</t>
  </si>
  <si>
    <t>W2224AD</t>
  </si>
  <si>
    <t>SVHA</t>
    <phoneticPr fontId="34" type="noConversion"/>
  </si>
  <si>
    <t>W2233AC</t>
  </si>
  <si>
    <t>W2233AC LE2 CLEAR r103x0176 CB4P</t>
  </si>
  <si>
    <t>2026-0078-0677</t>
  </si>
  <si>
    <t>W2233AC LE2 CLEAR r103x0176 CB1P</t>
  </si>
  <si>
    <t>same design as Fuyao W2233ACT now used for sampling AGC QHD</t>
  </si>
  <si>
    <t>Geely</t>
  </si>
  <si>
    <t>SV</t>
  </si>
  <si>
    <t>W2233AK</t>
  </si>
  <si>
    <t>W2239AEH</t>
  </si>
  <si>
    <t>BF012347</t>
  </si>
  <si>
    <t>2024_2576_03634</t>
  </si>
  <si>
    <t>W2239AE-H LE2 CLEAR r113x0120 CB1P</t>
  </si>
  <si>
    <t>AGP</t>
  </si>
  <si>
    <t>Germany R&amp;D</t>
  </si>
  <si>
    <t>None</t>
  </si>
  <si>
    <t>W2252AA</t>
  </si>
  <si>
    <t>BF009418</t>
  </si>
  <si>
    <t>2020_0379_01431</t>
  </si>
  <si>
    <t>Ghent R&amp;D</t>
  </si>
  <si>
    <t>W2250</t>
  </si>
  <si>
    <t>BF008712</t>
  </si>
  <si>
    <t>2019_0901_01027</t>
  </si>
  <si>
    <t>W2250 KE2 CLEAR R120X0.95X0050 CT1P</t>
  </si>
  <si>
    <t>For lab testing only. Two other angles were requested, but weren't needed. Also sent to Xinyi for an initial trial.</t>
  </si>
  <si>
    <t>???</t>
  </si>
  <si>
    <t>Peru</t>
  </si>
  <si>
    <t>Canoo</t>
  </si>
  <si>
    <t>Lifestyle</t>
  </si>
  <si>
    <t>W2264AC</t>
  </si>
  <si>
    <t>BF009974</t>
  </si>
  <si>
    <t>2021_0914_01969</t>
  </si>
  <si>
    <t>W2264AC LE2 CLEAR i130x0125 C02A</t>
  </si>
  <si>
    <t>Interleaved</t>
  </si>
  <si>
    <t>~60</t>
  </si>
  <si>
    <t>Lucid</t>
  </si>
  <si>
    <t>Air</t>
  </si>
  <si>
    <t>W5025AC</t>
  </si>
  <si>
    <t>F</t>
  </si>
  <si>
    <t>BF011862</t>
  </si>
  <si>
    <t>L4</t>
  </si>
  <si>
    <t>2023_2064_03121</t>
  </si>
  <si>
    <t>W2225AA</t>
  </si>
  <si>
    <t>BF011511</t>
  </si>
  <si>
    <t>2022_1788_02844</t>
  </si>
  <si>
    <t>Tesla</t>
  </si>
  <si>
    <t>Model X</t>
  </si>
  <si>
    <t>W1260AA</t>
  </si>
  <si>
    <t>BF009010, BF009033</t>
  </si>
  <si>
    <t>Not at the start, but yes for last campaigns</t>
  </si>
  <si>
    <t>2020_0069_01120</t>
  </si>
  <si>
    <t>W1260AA LR CLEAR I183X0166 C03P, W1260AA LR CLEAR I183X0050 C03P</t>
  </si>
  <si>
    <t>Half thickness. Interleaved. Not used for HUD. Must run single-cut.</t>
  </si>
  <si>
    <t>I believe they purchased all rolls</t>
  </si>
  <si>
    <t>qualified</t>
  </si>
  <si>
    <t>W5025AA</t>
  </si>
  <si>
    <t>BF011510</t>
  </si>
  <si>
    <t>2022_1791_02847</t>
  </si>
  <si>
    <t>W5025AA FR3 CLEAR i194x0281 C03P</t>
  </si>
  <si>
    <t>Interleaved. Replaced by W5025AC</t>
  </si>
  <si>
    <t>W5060</t>
  </si>
  <si>
    <t>BF006923</t>
  </si>
  <si>
    <t>2015</t>
  </si>
  <si>
    <t>W5060 FR3 CLEAR i183x0.95x0166 C03P</t>
  </si>
  <si>
    <t>BE8320</t>
  </si>
  <si>
    <t>W2260AA</t>
  </si>
  <si>
    <t>BF009011, BF009034 (50m), __ (refrig)</t>
  </si>
  <si>
    <t>2020_0069_01120, 2021_0943_01998, 2025-0206-0351</t>
  </si>
  <si>
    <t>W2260AA LR CLEAR I183X0.95X0050 C03P, W2260AA LR CLEAR I183X0.95X0166 C03P</t>
  </si>
  <si>
    <t>Changed from R to E2 pattern with second BPCM request. Interleaved.</t>
  </si>
  <si>
    <t>Asahi India</t>
  </si>
  <si>
    <t>Chennai</t>
  </si>
  <si>
    <t>W2237AH</t>
  </si>
  <si>
    <t>BF012882</t>
  </si>
  <si>
    <t>2025-0166-0306</t>
  </si>
  <si>
    <t>W2228AF</t>
  </si>
  <si>
    <t>BF012884</t>
  </si>
  <si>
    <t>Carlex</t>
  </si>
  <si>
    <t>Grevenmacher</t>
  </si>
  <si>
    <t>Audi</t>
  </si>
  <si>
    <t>A6C8</t>
  </si>
  <si>
    <t>W1244</t>
  </si>
  <si>
    <t>BF007886</t>
  </si>
  <si>
    <t>W1244 LE2 CLEAR r099x0.95x0150 CT4P</t>
  </si>
  <si>
    <t>Being laminated with black printed</t>
  </si>
  <si>
    <t>W2244</t>
  </si>
  <si>
    <t>BF008312, BF008706</t>
  </si>
  <si>
    <t>W2244 KE2 CLEAR r099x0.95x0150 CT1P, W2244 KE2 CLEAR R099X0.95X0150 CT4P</t>
  </si>
  <si>
    <t>W2244AB</t>
  </si>
  <si>
    <t>BF009864</t>
  </si>
  <si>
    <t>2021_0782_01836</t>
  </si>
  <si>
    <t>Ligonier</t>
  </si>
  <si>
    <t>Jeep</t>
  </si>
  <si>
    <t>Grand Cherokee (WL)</t>
  </si>
  <si>
    <t>W2262AA</t>
  </si>
  <si>
    <t>BF010966</t>
  </si>
  <si>
    <t>293, 147</t>
  </si>
  <si>
    <t>2022_1543_02599 (CT2P), 2024_2585_03643 (CT1P)</t>
  </si>
  <si>
    <t>W2262AA LR CLEAR r099x0293 CT2P</t>
  </si>
  <si>
    <t>L8 since L9 wasn't ready in July 2022</t>
  </si>
  <si>
    <t>Sep 2022?</t>
  </si>
  <si>
    <t>Wagoneer (WS)</t>
  </si>
  <si>
    <t>W2272AA</t>
  </si>
  <si>
    <t>BF010967</t>
  </si>
  <si>
    <t>2022_1543_02599</t>
  </si>
  <si>
    <t>W2272AA LR CLEAR r099x0280 CT2P</t>
  </si>
  <si>
    <t>Dr. Greiche Glass</t>
  </si>
  <si>
    <t>Egypt</t>
  </si>
  <si>
    <t>Grand Cherokee (W4)</t>
  </si>
  <si>
    <t>W2264AJ</t>
  </si>
  <si>
    <t>2024_2948_04006</t>
  </si>
  <si>
    <t>Interleaved Wedge has to be tested on Line E</t>
  </si>
  <si>
    <t>n/a</t>
  </si>
  <si>
    <t>W2268AE</t>
  </si>
  <si>
    <t>2024_2960_04018</t>
  </si>
  <si>
    <t>Fuyao</t>
  </si>
  <si>
    <t>America</t>
  </si>
  <si>
    <t>X5 / X7</t>
  </si>
  <si>
    <t>W2229AL</t>
  </si>
  <si>
    <t>W2229AL KE2 CLEAR r110x0177 CB1P</t>
  </si>
  <si>
    <t>Silverado 1500</t>
  </si>
  <si>
    <t>W2251AA</t>
  </si>
  <si>
    <t>BF010856 (4 roll), BF010894 (1 roll), BF012113 (2 roll)</t>
  </si>
  <si>
    <t>2022_1406_02462, 2022_1494_02550, 2023_2299_03356</t>
  </si>
  <si>
    <t>W2251AA KE2 CLEAR r109x0152 CT4A, W2251AA KE2 CLEAR r109x0152 CT1A</t>
  </si>
  <si>
    <t>W2253AC</t>
  </si>
  <si>
    <t>BF012431</t>
  </si>
  <si>
    <t>2024_2667_03725</t>
  </si>
  <si>
    <t>W2253AC KE2 CLEAR r109x0150 CT1P</t>
  </si>
  <si>
    <t>Changchun</t>
  </si>
  <si>
    <t>EQ5L</t>
  </si>
  <si>
    <t>W2227AM</t>
  </si>
  <si>
    <t>2025-0224-0369</t>
  </si>
  <si>
    <t>W2227AM LE2 CLEAR r098x0174 CB1P</t>
  </si>
  <si>
    <t>below 10cm flat distance not possible to handle for Line 9</t>
  </si>
  <si>
    <t>W2227AOT</t>
  </si>
  <si>
    <t>2025-0242-0387</t>
  </si>
  <si>
    <t>EQ6L</t>
  </si>
  <si>
    <t>W2227AN</t>
  </si>
  <si>
    <t>W2227AN LE2 CLEAR r103x0172 CB1P</t>
  </si>
  <si>
    <t>W2227APT</t>
  </si>
  <si>
    <t>AUDI</t>
  </si>
  <si>
    <t>AU436</t>
  </si>
  <si>
    <t>W2247AIT</t>
  </si>
  <si>
    <t>W2247AIT LE2 CLEAR r092x0158 CB1P</t>
  </si>
  <si>
    <t>Ben Teng</t>
  </si>
  <si>
    <t>D511</t>
  </si>
  <si>
    <t>W2270AA</t>
  </si>
  <si>
    <t>BF011450</t>
  </si>
  <si>
    <t>2022_1741_02797</t>
  </si>
  <si>
    <t>Angle too steep for L9 today. FY didn’t want sheeting from L8.</t>
  </si>
  <si>
    <t>Hongqi</t>
  </si>
  <si>
    <t>C095</t>
  </si>
  <si>
    <t>W2246AC</t>
  </si>
  <si>
    <t>BF011636</t>
  </si>
  <si>
    <t>2023_1903_02960</t>
  </si>
  <si>
    <t>W2246AC LE2 CLEAR r130x0120 CB1P</t>
  </si>
  <si>
    <t>C100</t>
  </si>
  <si>
    <t>W2250AJ</t>
  </si>
  <si>
    <t>BF011638</t>
  </si>
  <si>
    <t>W2250AJ LE2 CLEAR r098x0120 CB1P</t>
  </si>
  <si>
    <t>W2254AD</t>
  </si>
  <si>
    <t>BF011639</t>
  </si>
  <si>
    <t>W2254AD LE2 CLEAR r100x0120 CB1P</t>
  </si>
  <si>
    <t>W2262AB from SYPKA passed validation</t>
  </si>
  <si>
    <t>Copy</t>
  </si>
  <si>
    <t>Passed validation. No order yet.</t>
  </si>
  <si>
    <t>C206</t>
  </si>
  <si>
    <t>W2220AA</t>
  </si>
  <si>
    <t>BF011633</t>
  </si>
  <si>
    <t>W2220AA LE2 CLEAR r106x0120 CB1P</t>
  </si>
  <si>
    <t>HS5</t>
  </si>
  <si>
    <t>W2254AE</t>
  </si>
  <si>
    <t>BF011707</t>
  </si>
  <si>
    <t>2023_1949_03006</t>
  </si>
  <si>
    <t>W2254AE LE2 CLEAR r105x0152 CB1P</t>
  </si>
  <si>
    <t>Obsolete if they're going to monolayer? Or they may use both.</t>
  </si>
  <si>
    <t>W5054AA</t>
  </si>
  <si>
    <t>BF011706 (CB1P), BF011875 (CB4P)</t>
  </si>
  <si>
    <t>2023_1949_03006, 2023_2076_03133</t>
  </si>
  <si>
    <t>W5054AA FR3 CLEAR r105x0157 CB1P, W5054AA FR3 CLEAR r105x0157 CB4P</t>
  </si>
  <si>
    <t>W2258AA</t>
  </si>
  <si>
    <t>BF011211</t>
  </si>
  <si>
    <t>2022_1609_02665</t>
  </si>
  <si>
    <t>W2258AA LE2 CLEAR r103x0050 CB1P</t>
  </si>
  <si>
    <t>Went to monolayer</t>
  </si>
  <si>
    <t>W5058AA</t>
  </si>
  <si>
    <t>BF011212</t>
  </si>
  <si>
    <t>W5058AA FR3 CLEAR r103x0050 CB1P</t>
  </si>
  <si>
    <t>W5060AB</t>
  </si>
  <si>
    <t>BF011649</t>
  </si>
  <si>
    <t>W5060AB FR3 CLEAR r103x0120 CB1P</t>
  </si>
  <si>
    <t>W5068AA</t>
  </si>
  <si>
    <t>BF011550</t>
  </si>
  <si>
    <t>2022_1807_02863</t>
  </si>
  <si>
    <t>W5068AA FR3 CLEAR r100x0120 CB1P</t>
  </si>
  <si>
    <t>Validation passed. No order</t>
  </si>
  <si>
    <t>VW</t>
  </si>
  <si>
    <t>416-3</t>
  </si>
  <si>
    <t>W2258AC</t>
  </si>
  <si>
    <t>BF011640</t>
  </si>
  <si>
    <t>W2258AC LE2 CLEAR r105x0120 CB1P</t>
  </si>
  <si>
    <t>4-roll package was set up as W2258AG for Shanghai. Should be obsolete once Changchun tests this code.</t>
  </si>
  <si>
    <t>Magotan B9</t>
  </si>
  <si>
    <t>W2251AJT</t>
  </si>
  <si>
    <t>BF012515 (CB1P), BF012707 (CB4P)</t>
  </si>
  <si>
    <t>2024_2743_03801, 2024_2909_03967</t>
  </si>
  <si>
    <t>W2251AJ LE2 CLEAR r094x0159 CB1P, W2251AJ LE2 CLEAR r094x0159 CB4P</t>
  </si>
  <si>
    <t>W2254AI</t>
  </si>
  <si>
    <t>BF012516 (CB1P), BF012708 (CB4P)</t>
  </si>
  <si>
    <t>W2254AI LE2 CLEAR r094x0156 CB1P, W2254AI LE2 CLEAR r094x0156 CB4P</t>
  </si>
  <si>
    <t>Chongqing</t>
  </si>
  <si>
    <t>BAG</t>
  </si>
  <si>
    <t>C385</t>
  </si>
  <si>
    <t>W5017AA</t>
  </si>
  <si>
    <t>BF011581</t>
  </si>
  <si>
    <t>2022_1831_02887, 2023_1838_02894</t>
  </si>
  <si>
    <t>W5017AA FR3 CLEAR r110x0120 CB1P</t>
  </si>
  <si>
    <t>W5020AB</t>
  </si>
  <si>
    <t>BF011855</t>
  </si>
  <si>
    <t>2023_2056_03113</t>
  </si>
  <si>
    <t>W5020AB FR3 CLEAR r108x0200 CB1P</t>
  </si>
  <si>
    <t>BYD</t>
  </si>
  <si>
    <t>HC</t>
  </si>
  <si>
    <t>W2233ADT</t>
  </si>
  <si>
    <t>BF011854</t>
  </si>
  <si>
    <t>2023_2056_03113, 2024_2777_03835</t>
  </si>
  <si>
    <t>W2233AD LE2 CLEAR r112x0171 CB4P</t>
  </si>
  <si>
    <t>W2222AGT</t>
  </si>
  <si>
    <t>W2232AHT</t>
  </si>
  <si>
    <t>HC2</t>
  </si>
  <si>
    <t>W2233AFT</t>
  </si>
  <si>
    <t>See AGP Peru section for product design (original design)</t>
  </si>
  <si>
    <t>N/A - same as AGP's</t>
  </si>
  <si>
    <t>N/A - AGP's design</t>
  </si>
  <si>
    <t>AGP's design</t>
  </si>
  <si>
    <t>See AGP section for product design details</t>
  </si>
  <si>
    <t>Chang An</t>
  </si>
  <si>
    <t>C390</t>
  </si>
  <si>
    <t>W5025AE</t>
  </si>
  <si>
    <t>2025-0128-0267</t>
  </si>
  <si>
    <t>W5025AE FR3 CLEAR r115x0187 CB1P</t>
  </si>
  <si>
    <t>W5027AD</t>
  </si>
  <si>
    <t>W5027AD FR3 CLEAR r115x0183 CB1P</t>
  </si>
  <si>
    <t>C518</t>
  </si>
  <si>
    <t>W5027AC</t>
  </si>
  <si>
    <t>W5027AC FR3 CLEAR r107x0186 CB1P</t>
  </si>
  <si>
    <t>W5029AB</t>
  </si>
  <si>
    <t>W5029AB FR3 CLEAR r107x0183 CB1P</t>
  </si>
  <si>
    <t>C857</t>
  </si>
  <si>
    <t>W5026AAT</t>
  </si>
  <si>
    <t>2024_2914_03972</t>
  </si>
  <si>
    <t>changed to T variant</t>
  </si>
  <si>
    <t>W5026ABT</t>
  </si>
  <si>
    <t>CD701</t>
  </si>
  <si>
    <t>W5025AB</t>
  </si>
  <si>
    <t>BF011852</t>
  </si>
  <si>
    <t>W5025AB FR3 CLEAR r130x0181 CB1P</t>
  </si>
  <si>
    <t>E15</t>
  </si>
  <si>
    <t>W2240AX</t>
  </si>
  <si>
    <t>E16-1</t>
  </si>
  <si>
    <t>W5023AC</t>
  </si>
  <si>
    <t>Shen Lan SL03 (C385)</t>
  </si>
  <si>
    <t>W5027AB</t>
  </si>
  <si>
    <t>BF012400</t>
  </si>
  <si>
    <t>2024_2635_03693</t>
  </si>
  <si>
    <t>W5027AB FR3 CLEAR r104x0185 CB1P</t>
  </si>
  <si>
    <t>Redesign</t>
  </si>
  <si>
    <t>W5028AB</t>
  </si>
  <si>
    <t>BF012514, BF012812</t>
  </si>
  <si>
    <t>2024_2743_03801, 2025-0065-0202</t>
  </si>
  <si>
    <t>W5028AB FR3 CLEAR r104x0181 CB1P, W5028AB FR3 CLEAR r104x0181 CB4P</t>
  </si>
  <si>
    <t>W5028AA</t>
  </si>
  <si>
    <t>BF012125</t>
  </si>
  <si>
    <t>2023_2320_03377</t>
  </si>
  <si>
    <t>W5028AA FR3 CLEAR r104x0189 CB1P</t>
  </si>
  <si>
    <t>BX1E</t>
  </si>
  <si>
    <t>W5022AA</t>
  </si>
  <si>
    <t>BF011582</t>
  </si>
  <si>
    <t>W5022AA FR3 CLEAR r115x0120 CB1P</t>
  </si>
  <si>
    <t>W5025AD</t>
  </si>
  <si>
    <t>BF011904</t>
  </si>
  <si>
    <t>2023_2077_03134</t>
  </si>
  <si>
    <t>W5071AA</t>
  </si>
  <si>
    <t>Seres (Hua Wei)</t>
  </si>
  <si>
    <t>F1, X1</t>
  </si>
  <si>
    <t>W2262AD</t>
  </si>
  <si>
    <t>BF011449</t>
  </si>
  <si>
    <t>Replaced by W2264AG</t>
  </si>
  <si>
    <t>W2264AGT</t>
  </si>
  <si>
    <t>BF011668</t>
  </si>
  <si>
    <t>2023_1920_02977, 2024_2777_03835</t>
  </si>
  <si>
    <t>W2264AG LE2 CLEAR r103x0144 CB4P</t>
  </si>
  <si>
    <t>Replacing W2262AD</t>
  </si>
  <si>
    <t>W5031AA</t>
  </si>
  <si>
    <t>BF011914</t>
  </si>
  <si>
    <t>2023_2089_03146</t>
  </si>
  <si>
    <t>W5031AA FR3 CLEAR r124x0174 CB1P</t>
  </si>
  <si>
    <t>Fuqing (Fuzhou)</t>
  </si>
  <si>
    <t>GM</t>
  </si>
  <si>
    <t>E2ZO</t>
  </si>
  <si>
    <t>W2247AA</t>
  </si>
  <si>
    <t>BF009410</t>
  </si>
  <si>
    <t>2020_0343_01395</t>
  </si>
  <si>
    <t>W2247AA LE2 CLEAR r110x0050 W18P</t>
  </si>
  <si>
    <t>Wedge angle increased due to ghosting being high</t>
  </si>
  <si>
    <t>Various</t>
  </si>
  <si>
    <t>W2220ABT</t>
  </si>
  <si>
    <t>BF011669</t>
  </si>
  <si>
    <t>W2220AB LE2 CLEAR r120x0187 CB4P</t>
  </si>
  <si>
    <t>W2230AAT</t>
  </si>
  <si>
    <t>BF011670</t>
    <phoneticPr fontId="34" type="noConversion"/>
  </si>
  <si>
    <t>W2230AA LE2 CLEAR r120x0171 CB4P</t>
  </si>
  <si>
    <t>W2235ABT</t>
  </si>
  <si>
    <t>BF011671</t>
  </si>
  <si>
    <t>W2235AB LE2 CLEAR r099x0175 CB4P</t>
  </si>
  <si>
    <t>W2235ACT</t>
  </si>
  <si>
    <t>BF011672</t>
  </si>
  <si>
    <t>W2235AC LE2 CLEAR r120x0164 CB4P</t>
  </si>
  <si>
    <t>Similar to W2235AE</t>
  </si>
  <si>
    <t>W2240AIT</t>
  </si>
  <si>
    <t>BF011673</t>
  </si>
  <si>
    <t>W2240AI LE2 CLEAR r085x0172 CB4P</t>
  </si>
  <si>
    <t>W2240AJT</t>
  </si>
  <si>
    <t>BF011674</t>
  </si>
  <si>
    <t>W2240AJ LE2 CLEAR r099x0170 CB4P</t>
  </si>
  <si>
    <t>W2240ALT</t>
  </si>
  <si>
    <t>BF011676</t>
  </si>
  <si>
    <t>W2240AL LE2 CLEAR r120x0158 CB4P</t>
  </si>
  <si>
    <t>W2244AET</t>
  </si>
  <si>
    <t>BF011519</t>
  </si>
  <si>
    <t>2022_1806_02862, 2024_2777_03835</t>
  </si>
  <si>
    <t>W2244AE LE2 CLEAR r099x0166 CB4P</t>
  </si>
  <si>
    <t>Replaced by W2244AL</t>
  </si>
  <si>
    <t>W2244AL</t>
  </si>
  <si>
    <t>BF012313</t>
  </si>
  <si>
    <t>2024_2532_03589</t>
  </si>
  <si>
    <t>W2244AL LE2 CLEAR r099x0162 CB4P</t>
  </si>
  <si>
    <t>Reduced flat distance. Replacing W2244AE</t>
  </si>
  <si>
    <t>W2244AFT</t>
  </si>
  <si>
    <t>BF011520</t>
  </si>
  <si>
    <t>W2244AF LE2 CLEAR r106x0161 CB4P</t>
  </si>
  <si>
    <t>W2244AGT</t>
  </si>
  <si>
    <t>BF011677</t>
  </si>
  <si>
    <t>W2244AG LE2 CLEAR r091x0168 CB4P</t>
  </si>
  <si>
    <t>W2244AHT</t>
  </si>
  <si>
    <t>BF011678</t>
  </si>
  <si>
    <t>W2244AH LE2 CLEAR r115x0156 CB4P</t>
  </si>
  <si>
    <t>W2244AC</t>
  </si>
  <si>
    <t>BF010674</t>
  </si>
  <si>
    <t>2022_1305_02361</t>
  </si>
  <si>
    <t>W2244AC LE2 CLEAR r099x0162 CT4P</t>
  </si>
  <si>
    <t>Straight to commercial</t>
  </si>
  <si>
    <t>W2244AD</t>
  </si>
  <si>
    <t>BF011207</t>
  </si>
  <si>
    <t>2022_1608_02664</t>
  </si>
  <si>
    <t>W2248ADT</t>
  </si>
  <si>
    <t>BF011679</t>
  </si>
  <si>
    <t>W2248AD LE2 CLEAR r100x0161 CB4P</t>
  </si>
  <si>
    <t>W2252AHT</t>
  </si>
  <si>
    <t>BF011522</t>
  </si>
  <si>
    <t>W2252AH LE2 CLEAR r090x0164 CB4P</t>
  </si>
  <si>
    <t>W2252AIT</t>
  </si>
  <si>
    <t>BF011523</t>
  </si>
  <si>
    <t>W2252AI LE2 CLEAR r100x0157 CB4P</t>
  </si>
  <si>
    <t>Replaced by W2252AR</t>
  </si>
  <si>
    <t>W2252AR</t>
  </si>
  <si>
    <t>BF012314</t>
  </si>
  <si>
    <t>W2252AR LE2 CLEAR r100x0154 CB4P</t>
  </si>
  <si>
    <t>Reduced flat distance. Replacing W2252AI</t>
  </si>
  <si>
    <t>W2252AJT</t>
  </si>
  <si>
    <t>BF011524</t>
  </si>
  <si>
    <t>W2252AJ LE2 CLEAR r103x0155 CB4P</t>
  </si>
  <si>
    <t>W2252AKT</t>
  </si>
  <si>
    <t>BF011525 (CB4P), BF012212 (CB1P)</t>
  </si>
  <si>
    <t>2022_1806_02862, 2024_2437_03494</t>
  </si>
  <si>
    <t>W2252AK LE2 CLEAR r107x0152 CB4P</t>
  </si>
  <si>
    <t>Being tested by Xinyi</t>
  </si>
  <si>
    <t>W2252AMT</t>
  </si>
  <si>
    <t>BF011680</t>
  </si>
  <si>
    <t>W2252AM LE2 CLEAR r085x0161 CB4P</t>
  </si>
  <si>
    <t>W2252AC</t>
  </si>
  <si>
    <t>BF010675</t>
  </si>
  <si>
    <t>W2252AC LE2 CLEAR r100x0154 CT4P</t>
  </si>
  <si>
    <t>W2252AD</t>
  </si>
  <si>
    <t>BF011208</t>
  </si>
  <si>
    <t>W2252AE</t>
  </si>
  <si>
    <t>BF011209</t>
  </si>
  <si>
    <t>W2259ABT</t>
  </si>
  <si>
    <t>BF011526</t>
  </si>
  <si>
    <t>W2259AB LE2 CLEAR r091x0158 CB4P</t>
  </si>
  <si>
    <t>W2259ACT</t>
  </si>
  <si>
    <t>BF011527</t>
  </si>
  <si>
    <t>W2259AC LE2 CLEAR r115x0140 CB4P</t>
  </si>
  <si>
    <t>W2259ADT</t>
  </si>
  <si>
    <t>BF011681</t>
  </si>
  <si>
    <t>W2259AD LE2 CLEAR r085x0154 CB4P</t>
  </si>
  <si>
    <t>W2259AET</t>
  </si>
  <si>
    <t>BF011682</t>
  </si>
  <si>
    <t>W2259AE LE2 CLEAR r117x0139 CB4P</t>
  </si>
  <si>
    <t>W2259AFT</t>
  </si>
  <si>
    <t>BF011806</t>
  </si>
  <si>
    <t>2023_2021_03078, 2024_2777_03835</t>
  </si>
  <si>
    <t>W2259AF LE2 CLEAR r100x0151 CB4P</t>
  </si>
  <si>
    <t>Should not have been created. W2259AA would work. Only needed a 4-roll package.</t>
  </si>
  <si>
    <t>W2259AA</t>
  </si>
  <si>
    <t>BF010676, BF011316 (L9 50m)</t>
  </si>
  <si>
    <t>2022_1305_02361, 2022_1643_02699</t>
  </si>
  <si>
    <t>W2259AA LE2 CLEAR r100x0147 CT4P, W2259AA LE2 CLEAR r100x0050 CB1P</t>
  </si>
  <si>
    <t>Straight to commercial from L8 for two campaigns. Then moved to L9, and then became W2259AF.</t>
  </si>
  <si>
    <t>W2265AAT</t>
  </si>
  <si>
    <t>BF011528</t>
  </si>
  <si>
    <t>W2265AA LE2 CLEAR r108x0140 CB4P</t>
  </si>
  <si>
    <t>W2265ABT</t>
  </si>
  <si>
    <t>BF011683</t>
  </si>
  <si>
    <t>W2265AB LE2 CLEAR r120x0132 CB4P</t>
  </si>
  <si>
    <t>W2268AAT</t>
  </si>
  <si>
    <t>BF011529</t>
  </si>
  <si>
    <t>W2268AA LE2 CLEAR r100x0143 CB4P</t>
  </si>
  <si>
    <t>Replaced by W2268AD</t>
  </si>
  <si>
    <t>W2268AD</t>
  </si>
  <si>
    <t>BF012315</t>
  </si>
  <si>
    <t>W2268AD LE2 CLEAR r100x0140 CB4P</t>
  </si>
  <si>
    <t>Reduced flat distance. Replacing W2268AA</t>
  </si>
  <si>
    <t>W2268ABT</t>
  </si>
  <si>
    <t>BF011530</t>
  </si>
  <si>
    <t>W2268AB LE2 CLEAR r115x0133 CB4P</t>
  </si>
  <si>
    <t>Nearly identical to W2268AC, but AC is K adhesion</t>
  </si>
  <si>
    <t>Guangzhou</t>
  </si>
  <si>
    <t>W5044AA</t>
  </si>
  <si>
    <t>BF011940</t>
  </si>
  <si>
    <t>2023_2120_03177</t>
  </si>
  <si>
    <t>W5044AA FR3 CLEAR r100x0171 CB1P</t>
  </si>
  <si>
    <t>ESEA</t>
  </si>
  <si>
    <t>W2222AA</t>
  </si>
  <si>
    <t>BF011537</t>
  </si>
  <si>
    <t>W2222AA LE2 CLEAR r115x0120 CB1P</t>
  </si>
  <si>
    <t>Han (HC2)</t>
  </si>
  <si>
    <t>W2230AC</t>
  </si>
  <si>
    <t>BF012344</t>
  </si>
  <si>
    <t>2024_2567_03625</t>
  </si>
  <si>
    <t>W2230AC LE2 CLEAR r115x0171 CB1P</t>
  </si>
  <si>
    <t>BF012171</t>
  </si>
  <si>
    <t>2024_2388_03445, 2024_2777_03835</t>
  </si>
  <si>
    <t>W2233AF LE2 CLEAR r116x0169 CB4P</t>
  </si>
  <si>
    <t>Nearly identical to W2233AE at KCC</t>
  </si>
  <si>
    <t>BF012569 (CB4P), BF012730 (CB1P)</t>
  </si>
  <si>
    <t>2024_2813_03871, 2024_2931_03989</t>
  </si>
  <si>
    <t>W2232AHT LE2 CLEAR r116x0170 CB4P, W2232AHT LE2 CLEAR r116x170 CB1P</t>
  </si>
  <si>
    <t>Replacing W2232AET at 2 cm narrower &amp; new HUD area</t>
  </si>
  <si>
    <t>W2235AD</t>
  </si>
  <si>
    <t>BF012172</t>
  </si>
  <si>
    <t>2024_2388_03445</t>
  </si>
  <si>
    <t>W2235AD LE2 CLEAR r116x0166 CB1P</t>
  </si>
  <si>
    <t>W2240AKT</t>
  </si>
  <si>
    <t>BF011675 (CB4P), BF012151 (CB1P)</t>
  </si>
  <si>
    <t>2023_1920_02977, 2023_2364_03421, 2024_2777_03835</t>
  </si>
  <si>
    <t>W2240AK LE2 CLEAR r110x0163 CB4P, W2240AK LE2 CLEAR r110x0163 CB1P</t>
  </si>
  <si>
    <t>Unshaped. Orig for Fuqing, but then switched to Guangzhou.</t>
  </si>
  <si>
    <t>SZ</t>
  </si>
  <si>
    <t>W2223AB</t>
  </si>
  <si>
    <t>BF012152</t>
  </si>
  <si>
    <t>2023_2362_03419</t>
  </si>
  <si>
    <t>W2223AB LE2 CLEAR r108x0187 CB1P</t>
  </si>
  <si>
    <t>GAC</t>
  </si>
  <si>
    <t>A58</t>
  </si>
  <si>
    <t>W5037AA</t>
  </si>
  <si>
    <t>BF011644, BF012813</t>
  </si>
  <si>
    <t>2023_1903_02960, 2025-0065-0202</t>
  </si>
  <si>
    <t>W5037AA FR3 CLEAR r107x0120 CB1P, W5037AA FR3 CLEAR r107x0120 CB4P</t>
  </si>
  <si>
    <t>W5039AA</t>
  </si>
  <si>
    <t>BF012859 (CB1P), ______ (CB4P)</t>
  </si>
  <si>
    <t>2025-0145-0285, 2025-0198-0343</t>
  </si>
  <si>
    <t>W2239AHT</t>
  </si>
  <si>
    <t>2025-0261-0406</t>
  </si>
  <si>
    <t>T60-M</t>
  </si>
  <si>
    <t>W2228ADT</t>
  </si>
  <si>
    <t>2024_2866_03924</t>
  </si>
  <si>
    <t>W2236ADT</t>
  </si>
  <si>
    <t>2024_2877_03935</t>
  </si>
  <si>
    <t>Straight cut</t>
  </si>
  <si>
    <t>W2237AB</t>
  </si>
  <si>
    <t>BF011539</t>
  </si>
  <si>
    <t>W2237AB LE2 CLEAR r107x0120 CB1P</t>
  </si>
  <si>
    <t>T9M</t>
  </si>
  <si>
    <t>W2221AET</t>
  </si>
  <si>
    <t>BF012568</t>
  </si>
  <si>
    <t>2024_2813_03871</t>
  </si>
  <si>
    <t>W2221AET LE2 CLEAR r131x0179 CB1P</t>
  </si>
  <si>
    <t>For shaping</t>
  </si>
  <si>
    <t>W2229AC</t>
  </si>
  <si>
    <t>BF012513</t>
  </si>
  <si>
    <t>2024_2743_03801</t>
  </si>
  <si>
    <t>W2229AC LE2 CLEAR r122x0165 CB1P</t>
  </si>
  <si>
    <t>Not for HUD. For double image at camera.</t>
  </si>
  <si>
    <t>Honda</t>
  </si>
  <si>
    <t>2ZY</t>
  </si>
  <si>
    <t>W2250AKT</t>
  </si>
  <si>
    <t>BF011701</t>
  </si>
  <si>
    <t>2023_1949_03006, 2024_2777_03835</t>
  </si>
  <si>
    <t>W2250AK LE2 CLEAR r102x0158 CB4P</t>
  </si>
  <si>
    <t>W2250AI</t>
  </si>
  <si>
    <t>BF011544</t>
  </si>
  <si>
    <t>W2250AI LE2 CLEAR r104x0120 CB1P</t>
  </si>
  <si>
    <t>3EE</t>
  </si>
  <si>
    <t>W2219AET</t>
  </si>
  <si>
    <t>BF012342 (CB1P), BF012756 (CB4P)</t>
  </si>
  <si>
    <t>2024_2567_03625, 2024_2963_04021</t>
  </si>
  <si>
    <t>W2219AE LE2 CLEAR r105x0192 CB1P, W2219AET LE2 CLEAR r105x0192 CB4P</t>
  </si>
  <si>
    <t>W2227AF</t>
  </si>
  <si>
    <t>BF012341</t>
  </si>
  <si>
    <t>W2227AF LE2 CLEAR r102x0181 CB1P</t>
  </si>
  <si>
    <t>3FS</t>
  </si>
  <si>
    <t>W2222ABT</t>
  </si>
  <si>
    <t>BF012556</t>
  </si>
  <si>
    <t>2024_2793_03851</t>
  </si>
  <si>
    <t>W2222ABT LE2 CLEAR r115x0185 CB1P</t>
  </si>
  <si>
    <t>W2230ADT</t>
  </si>
  <si>
    <t>BF012685 (CB1P), BF012757 (CB4P)</t>
  </si>
  <si>
    <t>2024_2887_03945, 2024_2963_04021</t>
  </si>
  <si>
    <t>W2230ADT LE2 CLEAR r109x0176 CB1P, W2230ADT LE2 CLEAR r109x0176 CB4P</t>
  </si>
  <si>
    <t>Accord (2QD)</t>
  </si>
  <si>
    <t>W2247AB</t>
  </si>
  <si>
    <t>BF011541</t>
  </si>
  <si>
    <t>W2247AB LE2 CLEAR r096x0120 CB1P</t>
  </si>
  <si>
    <t>Replaced by W2247AC</t>
  </si>
  <si>
    <t>W2247AC</t>
  </si>
  <si>
    <t>BF011667</t>
  </si>
  <si>
    <t>2023_1920_02977</t>
  </si>
  <si>
    <t>W2247AC LE2 CLEAR r096x0165 CB4P</t>
  </si>
  <si>
    <t>Replaced W2247AB, but then switched to 0.50 mrad.</t>
  </si>
  <si>
    <t>W2250AOT</t>
  </si>
  <si>
    <t>BF011790</t>
  </si>
  <si>
    <t>2023_2009_03066, 2025-0142-0282 (CB1P)</t>
  </si>
  <si>
    <t>W2250AO LE2 CLEAR r096x0158 CB4P</t>
  </si>
  <si>
    <t>W2252APT</t>
  </si>
  <si>
    <t>BF012261 (CB2P), BF012263 (CB4P)</t>
  </si>
  <si>
    <t>156, 311</t>
  </si>
  <si>
    <t>2024_2478_03535, 2024_2777_03835</t>
  </si>
  <si>
    <t>W2252AP LE2 CLEAR r096x0311 CB2P, W2252AP LE2 CLEAR r096x0156 CB4P</t>
  </si>
  <si>
    <t>To help Ulsan with LWA near transition</t>
  </si>
  <si>
    <t>W2252AOT</t>
  </si>
  <si>
    <t>BF011702</t>
  </si>
  <si>
    <t>W2252AO LE2 CLEAR r096x0160 CB4P</t>
  </si>
  <si>
    <t>Toyota</t>
  </si>
  <si>
    <t>313D</t>
  </si>
  <si>
    <t>W2229AB</t>
  </si>
  <si>
    <t>BF011916 (CB1P), _____ (CB4P)</t>
  </si>
  <si>
    <t>2023_2089_03146, 2024_2925_03983</t>
  </si>
  <si>
    <t>W2229AB LE2 CLEAR r110x0177 CB1P</t>
  </si>
  <si>
    <t>Also being tested by Zhengzhou</t>
  </si>
  <si>
    <t>530B</t>
  </si>
  <si>
    <t>W5048AA</t>
  </si>
  <si>
    <t>BF011645 (CB1P), BF011905 (CB4P)</t>
  </si>
  <si>
    <t>2023_1903_02960, 2023_2077_03134</t>
  </si>
  <si>
    <t>W5048AA FR3 CLEAR r106x0120 CB1P, W5048AA FR3 CLEAR r106x0163 CB4P</t>
  </si>
  <si>
    <t>W2248AB</t>
  </si>
  <si>
    <t>BF011542</t>
  </si>
  <si>
    <t>W2248AB LE2 CLEAR r106x0120 CB1P</t>
  </si>
  <si>
    <t>Switched to monolayer</t>
  </si>
  <si>
    <t>New Highlander (760B)</t>
  </si>
  <si>
    <t>W2249AHT</t>
  </si>
  <si>
    <t>BF012032</t>
  </si>
  <si>
    <t>2023_2220_03277, 2024_2777_03835</t>
  </si>
  <si>
    <t>W2249AH LE2 CLEAR r102x0159 CB4P</t>
  </si>
  <si>
    <t>W2249AB</t>
  </si>
  <si>
    <t>BF010420 (159m thick down), BF010454 (50m), BF011313 (L9 50m)</t>
  </si>
  <si>
    <t>2021_1136_02191, 2022_1643_02699</t>
  </si>
  <si>
    <t>W2249AB LE2 CLEAR r102x0159 CT4A (thick down, L8), W2249AB LE2 CLEAR r102x0050 CT1A, W2249AB LE2 CLEAR r102x0050 CB1P (L9)</t>
  </si>
  <si>
    <t>Straight to commercial on L8. Moving to L9 as W2249AH.</t>
  </si>
  <si>
    <t>W2249AC</t>
  </si>
  <si>
    <t>BF010823</t>
  </si>
  <si>
    <t>2022_1408_02464</t>
  </si>
  <si>
    <t>W2249AC LE2 CLEAR r104x0157 CT4P</t>
  </si>
  <si>
    <t>Wider roll, changed HUD. Will replace W2248AB.</t>
  </si>
  <si>
    <t>Jun 2022?</t>
  </si>
  <si>
    <t>Sienna (825B)</t>
  </si>
  <si>
    <t>W2232AET</t>
  </si>
  <si>
    <t>BF011941</t>
  </si>
  <si>
    <t>2023_2120_03177, 2024_2777_03835</t>
  </si>
  <si>
    <t>W2232AE LE2 CLEAR r118x0169 CB4P</t>
  </si>
  <si>
    <t>Replacing W2232AC</t>
  </si>
  <si>
    <t>W2232AC</t>
  </si>
  <si>
    <t>BF010824 (L8 171m), BF011310 (L9 50m), BF011580 (L9 171m)</t>
  </si>
  <si>
    <t>2022_1408_02464, 2022_1643_02699, 2022_1831_02887 (4 roll), 2023_1838_02894</t>
  </si>
  <si>
    <t>W2232AC LE2 CLEAR r115x0171 CT4P (L8), W2232AC LE2 CLEAR r 115x0050 CB1P (L9), W2232AC LE2 CLEAR r115x0171 CB4P (L9)</t>
  </si>
  <si>
    <t>Also being tested by Chongqing for the BYD HC</t>
  </si>
  <si>
    <t>W2229AFT</t>
  </si>
  <si>
    <t>W2232AFT</t>
  </si>
  <si>
    <t>BF012557</t>
  </si>
  <si>
    <t>W2232AFT LE2 CLEAR r105x0172 CB4P</t>
  </si>
  <si>
    <t>W2229AJT</t>
  </si>
  <si>
    <t>2025-0264-0410</t>
  </si>
  <si>
    <t>W5039AB</t>
  </si>
  <si>
    <t>W2240AT</t>
  </si>
  <si>
    <t>BF012343</t>
  </si>
  <si>
    <t>W2240AT LE2 CLEAR r108x0161 CB4P</t>
  </si>
  <si>
    <t>Hubei</t>
  </si>
  <si>
    <t>C301</t>
  </si>
  <si>
    <t>W5021AA</t>
  </si>
  <si>
    <t>BF011506</t>
  </si>
  <si>
    <t>2022_1781_02837</t>
  </si>
  <si>
    <t>MR</t>
  </si>
  <si>
    <t>W2250AQ</t>
  </si>
  <si>
    <t>BF011949</t>
  </si>
  <si>
    <t>2023_2136_03193</t>
  </si>
  <si>
    <t>W2250AQ LE2 CLEAR r131x0140 CB1P</t>
  </si>
  <si>
    <t>ST</t>
  </si>
  <si>
    <t>W2249AGT</t>
  </si>
  <si>
    <t>BF011703</t>
  </si>
  <si>
    <t>W2249AG LE2 CLEAR r116x0150 CB4P</t>
  </si>
  <si>
    <t>Replaced W2249AE, which then went to Suzhou. Being replaced by W2251AH.</t>
  </si>
  <si>
    <t>W2251AHT</t>
  </si>
  <si>
    <t>BF011988</t>
  </si>
  <si>
    <t>2023_2180_03237, 2024_2777_03835</t>
  </si>
  <si>
    <t>W2251AH LE2 CLEAR r116x0148 CB4P</t>
  </si>
  <si>
    <t>Replacing W2249AG</t>
  </si>
  <si>
    <t>ST Tang SUV</t>
  </si>
  <si>
    <t>W2250ART</t>
  </si>
  <si>
    <t>BF012033</t>
  </si>
  <si>
    <t>W2250AR LE2 CLEAR r116x0149 CB4P</t>
  </si>
  <si>
    <t>Will be replaced by W2250AU</t>
  </si>
  <si>
    <t>W2250AU</t>
  </si>
  <si>
    <t>BF012369</t>
  </si>
  <si>
    <t>2024_2591_03649</t>
  </si>
  <si>
    <t>W2250AU LE2 CLEAR r114x0150 CB4P</t>
  </si>
  <si>
    <t>Will replace W2250AR</t>
  </si>
  <si>
    <t>C236</t>
  </si>
  <si>
    <t>W2225AE</t>
  </si>
  <si>
    <t>BF012370</t>
  </si>
  <si>
    <t>W2225AE LE2 CLEAR r106x0182 CB1P</t>
  </si>
  <si>
    <t>W2225AFT</t>
  </si>
  <si>
    <t>BF012555</t>
  </si>
  <si>
    <t>2024_2786_03844</t>
  </si>
  <si>
    <t>W2225AFT LE2 CLEAR r106x0180 CB1P</t>
  </si>
  <si>
    <t>Larger HUD area</t>
  </si>
  <si>
    <t>W2225AHT</t>
  </si>
  <si>
    <t>2024_2986_04044</t>
  </si>
  <si>
    <t>Short roll due to very narrow plateau</t>
  </si>
  <si>
    <t>W5021AB</t>
  </si>
  <si>
    <t>BF011705</t>
  </si>
  <si>
    <t>W5021AB FR3 CLEAR r113x0196 CB4P</t>
  </si>
  <si>
    <t>Cherry</t>
  </si>
  <si>
    <t>T18FL3</t>
  </si>
  <si>
    <t>W2256AET</t>
  </si>
  <si>
    <t>BF011704</t>
  </si>
  <si>
    <t>W2256AE LE2 CLEAR r101x0153 CB4P</t>
  </si>
  <si>
    <t>W2256AC</t>
  </si>
  <si>
    <t>BF011583</t>
  </si>
  <si>
    <t>W2256AC LE2 CLEAR r100x0120 CB1P</t>
  </si>
  <si>
    <t>W2257ADT</t>
  </si>
  <si>
    <t>BF011709</t>
  </si>
  <si>
    <t>W2257AD LE2 CLEAR r102x0151 CB4P</t>
  </si>
  <si>
    <t>Chery</t>
  </si>
  <si>
    <t>Rui Hu SUV (T18)</t>
  </si>
  <si>
    <t>W2258AHT</t>
  </si>
  <si>
    <t>BF011800</t>
  </si>
  <si>
    <t>W2258AH LE2 CLEAR r100x0152 CB4P</t>
  </si>
  <si>
    <t>T19</t>
  </si>
  <si>
    <t>W5023AB</t>
  </si>
  <si>
    <t>BF012107</t>
  </si>
  <si>
    <t>2023_2288_03345</t>
  </si>
  <si>
    <t>W5023AB FR3 CLEAR r112x0193 CB4P</t>
  </si>
  <si>
    <t>W5023AA</t>
  </si>
  <si>
    <t>BF011994</t>
  </si>
  <si>
    <t>2023_2180_03237</t>
  </si>
  <si>
    <t>W5023AA FR3 CLEAR r113x0120 CB1P</t>
  </si>
  <si>
    <t>HX11</t>
  </si>
  <si>
    <t>W2255AA</t>
  </si>
  <si>
    <t>BF011799</t>
  </si>
  <si>
    <t>2023_2021_03078, 2023_2213_03270</t>
  </si>
  <si>
    <t>W2255AA LE2 CLEAR r105x0151 CB1P</t>
  </si>
  <si>
    <t>W2260AHT</t>
  </si>
  <si>
    <t>BF011937</t>
  </si>
  <si>
    <t>W2260AH LE2 CLEAR r101x0149 CB4P</t>
  </si>
  <si>
    <t>Replaced W2260AF and W2260AC</t>
  </si>
  <si>
    <t>W2260ACT</t>
  </si>
  <si>
    <t>BF011465 (CB1P, BF011849 (CB4P)</t>
  </si>
  <si>
    <t>2022_1756_02812, 2024_2777_03835</t>
  </si>
  <si>
    <t>W2260AC LE2 CLEAR r103x0148 CB1P, W2260AC LE2 CLEAR r103x0148 CB4P</t>
  </si>
  <si>
    <t>Originally set up for Fuyao Changchun for the Hongqi HS5. Replaced by W2260AH?</t>
  </si>
  <si>
    <t>Smart</t>
  </si>
  <si>
    <t>W2260AF</t>
  </si>
  <si>
    <t>BF011801</t>
  </si>
  <si>
    <t>2023_2021_03078</t>
  </si>
  <si>
    <t>W2260AF LE2 CLEAR r100x0150 CB4P</t>
  </si>
  <si>
    <t>Replaced by W2260AH</t>
  </si>
  <si>
    <t>W2260AD</t>
  </si>
  <si>
    <t>BF011547</t>
  </si>
  <si>
    <t>W2260AD LE2 CLEAR r097x0120 CB1P</t>
  </si>
  <si>
    <t>Xingyue L</t>
  </si>
  <si>
    <t>W2241AC</t>
  </si>
  <si>
    <t>BF010441 (L8 50m), BF011312 (L9 50m)</t>
  </si>
  <si>
    <t>2021_1156_02211, 2022_1610_02666, 2022_1643_02699</t>
  </si>
  <si>
    <t>W2241AC LE2 r88x0050 CT1P (L8), W2241AC LE2 CLEAR r88x0050 CB1P (L9)</t>
  </si>
  <si>
    <t>First extruded on L8, then extended to L9</t>
  </si>
  <si>
    <t>XingYue L SUV (KX11)</t>
  </si>
  <si>
    <t>W2236AC</t>
  </si>
  <si>
    <t>BF011798 (1), BF012031 (4)</t>
  </si>
  <si>
    <t>W2236AC LE2 CLEAR r095x0174 CB1P, W2236AC LE2 CLEAR R095X0174 CB4P</t>
  </si>
  <si>
    <t>5A45</t>
  </si>
  <si>
    <t>W2258AB</t>
  </si>
  <si>
    <t>BF011546</t>
  </si>
  <si>
    <t>W2258AB LE2 CLEAR r106x0120 CB1P</t>
  </si>
  <si>
    <t>Windshield being phased out?</t>
  </si>
  <si>
    <t>X-peng</t>
  </si>
  <si>
    <t>K11</t>
  </si>
  <si>
    <t>W2232AJ</t>
  </si>
  <si>
    <t>BF012737</t>
  </si>
  <si>
    <t>2024_2939_03997</t>
  </si>
  <si>
    <t>W2252AQT</t>
  </si>
  <si>
    <t>BF011939</t>
  </si>
  <si>
    <t>W2252AQ LE2 CLEAR r115x0147 CB4P</t>
  </si>
  <si>
    <t>R&amp;D</t>
  </si>
  <si>
    <t>W2244AA</t>
  </si>
  <si>
    <t>BF008989</t>
  </si>
  <si>
    <t>2020_0003_01054</t>
  </si>
  <si>
    <t>W2244AA LE2 CLEAR R110x0050 W18P</t>
  </si>
  <si>
    <t>Export market. Low volume and unstable demand.</t>
  </si>
  <si>
    <t>ghosting, image always high but they actually wanted 0.47mrad</t>
  </si>
  <si>
    <t>Shanghai</t>
  </si>
  <si>
    <t>Envision</t>
  </si>
  <si>
    <t>W2256AA</t>
  </si>
  <si>
    <t>BF010670, BF011315 (L9 50m)</t>
  </si>
  <si>
    <t>Mar 22 on L8, Nov '22 on L9</t>
  </si>
  <si>
    <t>2022_1272_02327, 2022_1643_02699</t>
  </si>
  <si>
    <t>W2256AA LE2 CLEAR r105x0050 CT1P, W2256AA LE2 CLEAR r105x0050 CB1P</t>
  </si>
  <si>
    <t>T18L</t>
  </si>
  <si>
    <t>W2256AGT</t>
  </si>
  <si>
    <t>BF011913 (CB4P), BF012401 (CB1P)</t>
  </si>
  <si>
    <t>2023_2089_03146, 2024_2777_03835</t>
  </si>
  <si>
    <t>W2256AG LE2 CLEAR r105x0150 CB4P, W2256AG LE2 CLEAR r105x0150 CB1P</t>
  </si>
  <si>
    <t>Shaped. Replacing W2258AG?</t>
  </si>
  <si>
    <t>Ford</t>
  </si>
  <si>
    <t>U625</t>
  </si>
  <si>
    <t>W2240AOT</t>
  </si>
  <si>
    <t>BF011814</t>
  </si>
  <si>
    <t>2023_2030_03087, 2024_2777_03835</t>
  </si>
  <si>
    <t>W2240AO LE2 CLEAR r105x0166 CB4P</t>
  </si>
  <si>
    <t>DCY11</t>
  </si>
  <si>
    <t>W2264AF</t>
  </si>
  <si>
    <t>BF011642</t>
  </si>
  <si>
    <t>W2264AF LE2 CLEAR r098x0120 CB1P</t>
  </si>
  <si>
    <t>EF1E</t>
  </si>
  <si>
    <t>W2235AKT</t>
  </si>
  <si>
    <t>BF012880</t>
  </si>
  <si>
    <t>2025-0161-0301</t>
  </si>
  <si>
    <t>W2235AK LE2 CLEAR r130x0159 CB1P</t>
  </si>
  <si>
    <t>FY11 (or FX11?)</t>
  </si>
  <si>
    <t>W2233ACT</t>
  </si>
  <si>
    <t>BF011815</t>
  </si>
  <si>
    <t>W2233ACT LE2 CLEAR r103x0176 CB4P</t>
  </si>
  <si>
    <t>For stretching</t>
  </si>
  <si>
    <t>W5056AA</t>
  </si>
  <si>
    <t>BF011646</t>
  </si>
  <si>
    <t>W5056AA FR3 CLEAR r093x0120 CB1P</t>
  </si>
  <si>
    <t>Switching to acoustic?</t>
  </si>
  <si>
    <t>FY11-J1</t>
  </si>
  <si>
    <t>W2256AFT</t>
  </si>
  <si>
    <t>BF011728</t>
  </si>
  <si>
    <t>2023_1957_03014, 2024_2777_03835</t>
  </si>
  <si>
    <t>W2256AF LE2 CLEAR r096x0156 CB4P</t>
  </si>
  <si>
    <t>E2QL</t>
  </si>
  <si>
    <t>W2247AET</t>
  </si>
  <si>
    <t>BF011813</t>
  </si>
  <si>
    <t>W2247AE LE2 CLEAR r105x0159 CB4P</t>
  </si>
  <si>
    <t>B01</t>
  </si>
  <si>
    <t>W2256AB</t>
  </si>
  <si>
    <t>BF011545</t>
  </si>
  <si>
    <t>W2256AB LE2 CLEAR r098x0120 CB1P</t>
  </si>
  <si>
    <t>Shaped version. (Unshaped is at Tianjin.)</t>
  </si>
  <si>
    <t>LiXiang</t>
  </si>
  <si>
    <t>L7 (X03)</t>
  </si>
  <si>
    <t>W2258AG</t>
  </si>
  <si>
    <t>BF011727</t>
  </si>
  <si>
    <t>2023_1957_03014</t>
  </si>
  <si>
    <t>W2258AG LE2 CLEAR r105x0148 CB4P</t>
  </si>
  <si>
    <t>Should never have been created. Same design as W2258AC (Changchun). But lives on since 4-roll pkg. W2258AC is obsolete.</t>
  </si>
  <si>
    <t>W2258AD</t>
  </si>
  <si>
    <t>BF011641</t>
  </si>
  <si>
    <t>W2258AD LE2 CLEAR r107x0120 CB1P</t>
  </si>
  <si>
    <t>Replaced by W2258AG</t>
  </si>
  <si>
    <t>W2260AKT</t>
  </si>
  <si>
    <t>2024_2836_03894</t>
  </si>
  <si>
    <t>W2266AA</t>
  </si>
  <si>
    <t>BF011684</t>
  </si>
  <si>
    <t>W2266AA LE2 CLEAR r099x0146 CB4P</t>
  </si>
  <si>
    <t>CC1E</t>
  </si>
  <si>
    <t>W2223ADT</t>
  </si>
  <si>
    <t>BF012892</t>
  </si>
  <si>
    <t>2025-0186-0327</t>
  </si>
  <si>
    <t>X04</t>
  </si>
  <si>
    <t>W2258AJT</t>
  </si>
  <si>
    <t>W2256AJT</t>
  </si>
  <si>
    <t>BF012891 (CB1P), _____ (CB4P)</t>
  </si>
  <si>
    <t>2025-0186-0327, 2025-0198-0343</t>
  </si>
  <si>
    <t>Zeekr</t>
  </si>
  <si>
    <t>007/007GT</t>
  </si>
  <si>
    <t>W2230AFT</t>
  </si>
  <si>
    <t>NIO</t>
  </si>
  <si>
    <t>Pegasus</t>
  </si>
  <si>
    <t>W2232AKT</t>
  </si>
  <si>
    <t>W2232AKT LE2 CLEAR r123x0157 CB1P</t>
  </si>
  <si>
    <t>W2235AI</t>
  </si>
  <si>
    <t>BF012810</t>
  </si>
  <si>
    <t>2025-0050-0186</t>
  </si>
  <si>
    <t>W2235AI LE2 CLEAR r123x0162 CB1P</t>
  </si>
  <si>
    <t>W2235AJ</t>
  </si>
  <si>
    <t>BF012879</t>
  </si>
  <si>
    <t>2025-0161-0301, 2025-019-0336</t>
  </si>
  <si>
    <t>W2235AJ LE2 CLEAR r123x0120 CB1P</t>
  </si>
  <si>
    <t>Sirius</t>
  </si>
  <si>
    <t>W2246AFT</t>
  </si>
  <si>
    <t>BF012809</t>
  </si>
  <si>
    <t>2025-0050-0186, 2025-0146-0286</t>
  </si>
  <si>
    <t>W2246AF LE2 CLEAR r108x0158 CB1P</t>
  </si>
  <si>
    <t>Shenyang</t>
  </si>
  <si>
    <t>X3</t>
  </si>
  <si>
    <t>W2246AB</t>
  </si>
  <si>
    <t>BF011540</t>
  </si>
  <si>
    <t>W2246AB LE2 CLEAR r100x0120 CB1P</t>
  </si>
  <si>
    <t>T1EJ</t>
  </si>
  <si>
    <t>W2262AHT</t>
  </si>
  <si>
    <t>BF011931</t>
  </si>
  <si>
    <t>2023_2107_03164, 2024_2777_03835</t>
  </si>
  <si>
    <t>W2262AH LE2 CLEAR r096x0147 CB4P</t>
  </si>
  <si>
    <t>T1EJ (normal w/s)</t>
  </si>
  <si>
    <t>W5062AC</t>
  </si>
  <si>
    <t>BF011995</t>
  </si>
  <si>
    <t>W5062AC FR3 CLEAR r096x0152 CB4P</t>
  </si>
  <si>
    <r>
      <t xml:space="preserve">Nearly identical to W5062AB </t>
    </r>
    <r>
      <rPr>
        <strike/>
        <sz val="11"/>
        <rFont val="Calibri"/>
        <family val="2"/>
        <scheme val="minor"/>
      </rPr>
      <t>&amp; AD</t>
    </r>
  </si>
  <si>
    <t>T1EJ (wired w/s)</t>
  </si>
  <si>
    <t>W2262AIT</t>
  </si>
  <si>
    <t>BF011989</t>
  </si>
  <si>
    <t>W2262AI LE2 CLEAR r101x0144 CB4P</t>
  </si>
  <si>
    <t>Suzhou</t>
  </si>
  <si>
    <t>Qin (EKEA)</t>
  </si>
  <si>
    <t>W2240AU</t>
  </si>
  <si>
    <t>BF012399</t>
  </si>
  <si>
    <t>W2240AU LE2 CLEAR r122x0156 CB1P</t>
  </si>
  <si>
    <t>Restart, for shaping</t>
  </si>
  <si>
    <t>W2240AG</t>
  </si>
  <si>
    <t>BF011635</t>
  </si>
  <si>
    <t>W2240AG LE2 CLEAR r123x0120 CB1P</t>
  </si>
  <si>
    <t>For shaped. Failed qualification.</t>
  </si>
  <si>
    <t>W2249ALT</t>
  </si>
  <si>
    <t>BF012777</t>
  </si>
  <si>
    <t>W2249AE</t>
  </si>
  <si>
    <t>BF011543</t>
  </si>
  <si>
    <t>W2249AE LE2 CLEAR r115x0120 CB1P</t>
  </si>
  <si>
    <t>For non-shaped. Originally set up for Hubei. Replaced by W2249AG at Hubei.</t>
  </si>
  <si>
    <t>SC3E</t>
  </si>
  <si>
    <t>W5075AA</t>
  </si>
  <si>
    <t>C673</t>
  </si>
  <si>
    <t>W5017AB</t>
  </si>
  <si>
    <t>BF011643</t>
  </si>
  <si>
    <t>W5017AB FR3 CLEAR r121x0120 CB1P</t>
  </si>
  <si>
    <t>W2229AG</t>
  </si>
  <si>
    <t>BF012738</t>
  </si>
  <si>
    <t>W2229AG LE2 CLEAR r109x0176 CB1P</t>
  </si>
  <si>
    <t>DX11</t>
  </si>
  <si>
    <t>W2221AD</t>
  </si>
  <si>
    <t>BF011851</t>
  </si>
  <si>
    <t>W2221AD LE2 CLEAR r113x0188 CB1P</t>
  </si>
  <si>
    <t>W2227AK</t>
  </si>
  <si>
    <t>BF012739</t>
  </si>
  <si>
    <t>W2227AK LE2 CLEAR r100x0178 CB1P</t>
  </si>
  <si>
    <t>FS11</t>
  </si>
  <si>
    <t>W2234AAT</t>
  </si>
  <si>
    <t>BF012778</t>
  </si>
  <si>
    <t>W2265AET</t>
  </si>
  <si>
    <t>BF012779</t>
  </si>
  <si>
    <t>P417</t>
  </si>
  <si>
    <t>W2245AB</t>
  </si>
  <si>
    <t>BF011850</t>
  </si>
  <si>
    <t>W2245AB LE2 CLEAR r107x0159 CB1P</t>
  </si>
  <si>
    <t>A01</t>
  </si>
  <si>
    <t>W5065AB</t>
  </si>
  <si>
    <t>A01/A02</t>
  </si>
  <si>
    <t>W5056AC</t>
  </si>
  <si>
    <t>BF011648</t>
  </si>
  <si>
    <t>W5056AC FR3 CLEAR r101x0120 CB1P</t>
  </si>
  <si>
    <t>Validation failed. Now what?</t>
  </si>
  <si>
    <t>Guang Shu</t>
  </si>
  <si>
    <t>EC24</t>
  </si>
  <si>
    <t>W2240AF</t>
  </si>
  <si>
    <t>BF011634</t>
  </si>
  <si>
    <t>W2240AF LE2 CLEAR r113x0120 CB1P</t>
  </si>
  <si>
    <t>Tianjin</t>
  </si>
  <si>
    <t>UF</t>
  </si>
  <si>
    <t>W2219AA</t>
  </si>
  <si>
    <t>BF011664</t>
  </si>
  <si>
    <t>2023_1919_02976</t>
  </si>
  <si>
    <t>W2219AA LE2 CLEAR r130x0120 CB1P</t>
  </si>
  <si>
    <t>Replacing W2225AB?</t>
  </si>
  <si>
    <t>UXE</t>
  </si>
  <si>
    <t>W2218AAT</t>
  </si>
  <si>
    <t>BF011911</t>
  </si>
  <si>
    <t>W2218AA LE2 CLEAR r122x0189 CB4P</t>
  </si>
  <si>
    <t>03 (CS11)</t>
  </si>
  <si>
    <t>W2225ACT</t>
  </si>
  <si>
    <t>BF012106</t>
  </si>
  <si>
    <t>2023_2288_03345, 2024_2777_03835</t>
  </si>
  <si>
    <t>W2225AC LE2 CLEAR r102x0187 CB4P</t>
  </si>
  <si>
    <t>E2UB</t>
  </si>
  <si>
    <t>W2264AE</t>
  </si>
  <si>
    <t>BF011549</t>
  </si>
  <si>
    <t>W2264AE LE2 CLEAR r110x0120 CB1P</t>
  </si>
  <si>
    <t>Replaced by W2258AE. Also tested at Chongqing for the Seres F1, X1</t>
  </si>
  <si>
    <t>Envision S (E2UB)</t>
  </si>
  <si>
    <t>W2258AET</t>
  </si>
  <si>
    <t>BF011663, BF011912</t>
  </si>
  <si>
    <t>2023_1919_02976, 2023_2089_03146, 2024_2777_03835</t>
  </si>
  <si>
    <t>W2258AE LE2 CLEAR r110x0120 CB1P, W2258AE LE2 CLEAR r110x0145 CB4P</t>
  </si>
  <si>
    <t>Replaced W2264AE</t>
  </si>
  <si>
    <t>W5048AD</t>
  </si>
  <si>
    <t>2024_2837_03895</t>
  </si>
  <si>
    <t>Longer commercial rolls, but new variant required due to GWA-to-transition distance</t>
  </si>
  <si>
    <t>W5048AB</t>
  </si>
  <si>
    <t>BF011665</t>
  </si>
  <si>
    <t>W5048AB FR3 CLEAR r098x0120 CB1P, _____</t>
  </si>
  <si>
    <t>W2260AB</t>
  </si>
  <si>
    <t>BF011448</t>
  </si>
  <si>
    <t>Unshaped version. (Shaped is at Shanghai.)</t>
  </si>
  <si>
    <t>B06</t>
  </si>
  <si>
    <t>W2236AB</t>
  </si>
  <si>
    <t>BF011447</t>
  </si>
  <si>
    <t>W5062AB</t>
  </si>
  <si>
    <t>BF011792</t>
  </si>
  <si>
    <t>2023_2009_03066</t>
  </si>
  <si>
    <t>W5062AB FR3 CLEAR r095x0153 CB4P</t>
  </si>
  <si>
    <t>Replaced by W5062AD (new HUD area)</t>
  </si>
  <si>
    <t>W5062AD</t>
  </si>
  <si>
    <t>BF012466</t>
  </si>
  <si>
    <t>2024_2710_03768</t>
  </si>
  <si>
    <t>W5062AD FR3 CLEAR r095x0153 CB4P</t>
  </si>
  <si>
    <t>Replaced W5062AB (new HUD area). Nearly identical to AC.</t>
  </si>
  <si>
    <t>W5068AB</t>
  </si>
  <si>
    <t>B06 wired</t>
  </si>
  <si>
    <t>W5072AA</t>
  </si>
  <si>
    <t>BF012546</t>
  </si>
  <si>
    <t>2024_2776_03834</t>
  </si>
  <si>
    <t>W5072AA FR3 CLEAR r086x0144 CB1P</t>
  </si>
  <si>
    <t>Unnecessarily small flat distance</t>
  </si>
  <si>
    <t>B16</t>
  </si>
  <si>
    <t>W2262AF</t>
  </si>
  <si>
    <t>BF011548</t>
  </si>
  <si>
    <t>W2262AF LE2 CLEAR r094x0120 CB1P</t>
  </si>
  <si>
    <t>Changed to W2256AC before it could be extruded. Orig. for Hubei. Later made for Guangzhou. Or was it Tianjin?</t>
  </si>
  <si>
    <t>C01 wired</t>
  </si>
  <si>
    <t>W2237AB (copy)</t>
  </si>
  <si>
    <t>y</t>
  </si>
  <si>
    <t>D03 wired</t>
  </si>
  <si>
    <t>W2266AB (copy)</t>
  </si>
  <si>
    <t>Dragon Max (B07)</t>
  </si>
  <si>
    <t>W2250APT</t>
  </si>
  <si>
    <t>BF011910</t>
  </si>
  <si>
    <t>W2250AP LE2 CLEAR r107x0154 CB4P</t>
  </si>
  <si>
    <t>LanShan DHT (C01)</t>
  </si>
  <si>
    <t>W2229AAT</t>
  </si>
  <si>
    <t>BF011908</t>
  </si>
  <si>
    <t>W2229AA LE2 CLEAR r115x0175 CB4P</t>
  </si>
  <si>
    <t>Very similar to W2229AE. Consolidate?</t>
  </si>
  <si>
    <t>WEY VV6 (V61)</t>
  </si>
  <si>
    <t>W2233AA</t>
  </si>
  <si>
    <t>BF010669 (L8), BF011311 (L9 50m)</t>
  </si>
  <si>
    <t>Mar 2022 on L8, Nov '22 on L9</t>
  </si>
  <si>
    <t>W2233AA LE2 CLEAR r091x0050 CT1P, W2233AA LE2 CLEAR r091x0050 CB1P</t>
  </si>
  <si>
    <t>W2233ABT</t>
  </si>
  <si>
    <t>BF011518</t>
  </si>
  <si>
    <t>W2233AB LE2 CLEAR r091x0183 CB4P</t>
  </si>
  <si>
    <t>Duplicate of W2233AA, just a 4-roll package. Should not have been a new W-code</t>
  </si>
  <si>
    <t>Hyundai</t>
  </si>
  <si>
    <t>NX4C</t>
  </si>
  <si>
    <t>W5040AA</t>
  </si>
  <si>
    <t>BF011666</t>
  </si>
  <si>
    <t>W5040AA FR3 CLEAR r110x0120 CB1P</t>
  </si>
  <si>
    <t>Mega e-MPV</t>
  </si>
  <si>
    <t>W2240AP</t>
  </si>
  <si>
    <t>BF011907</t>
  </si>
  <si>
    <t>W2240AP LE2 CLEAR r135x0150 CB1P</t>
  </si>
  <si>
    <t>W01</t>
  </si>
  <si>
    <t>W2242AA</t>
  </si>
  <si>
    <t>BF011708</t>
  </si>
  <si>
    <t>W2242AA LE2 CLEAR r135x0147 CB1P</t>
  </si>
  <si>
    <t>Crown Kluger (770B)</t>
  </si>
  <si>
    <t>W2248AGT</t>
  </si>
  <si>
    <t>BF011909</t>
  </si>
  <si>
    <t>W2248AG LE2 CLEAR r103x0159 CB4P</t>
  </si>
  <si>
    <t>W5048AC</t>
  </si>
  <si>
    <t>BF011791</t>
  </si>
  <si>
    <t>W5048AC FR3 CLEAR r098x0165 CB4P</t>
  </si>
  <si>
    <t>Sienna MPV (018D)</t>
  </si>
  <si>
    <t>W2232ADT</t>
  </si>
  <si>
    <t>BF011517</t>
  </si>
  <si>
    <t>W2232AD LE2 CLEAR r121x0168 CB4P</t>
  </si>
  <si>
    <t>W5027AA</t>
  </si>
  <si>
    <t>BF011793</t>
  </si>
  <si>
    <t>W5027AA FR3 CLEAR r108x0188 CB4P</t>
  </si>
  <si>
    <t>W5056AB</t>
  </si>
  <si>
    <t>BF011647</t>
  </si>
  <si>
    <t>W5056AB FR3 CLEAR r098x0120 CB1P</t>
  </si>
  <si>
    <t>Zhengzhou</t>
  </si>
  <si>
    <t>Dynasty Song Plus (SA3F)</t>
  </si>
  <si>
    <t>W2230ABT</t>
  </si>
  <si>
    <t>BF011853</t>
  </si>
  <si>
    <t>W2230AB LE2 CLEAR r105x0178 CB4P</t>
  </si>
  <si>
    <t>SA3</t>
  </si>
  <si>
    <t>W2222ACT</t>
  </si>
  <si>
    <t>BF012558 (CB1P), BF012704 (CB4P)</t>
  </si>
  <si>
    <t>2024_2793_03851, 2024_2909_03967</t>
  </si>
  <si>
    <t>W2222ACT LE2 CLEAR r112x0186 CB1P, W2222ACT LE2 CLEAR r112x0186 CB4P</t>
  </si>
  <si>
    <t>Formula Leopard Bao 5 (SFH)</t>
  </si>
  <si>
    <t>W2227AAT</t>
  </si>
  <si>
    <t>BF011803</t>
  </si>
  <si>
    <t>W2227AA LE2 CLEAR r083x0188 CB4P</t>
  </si>
  <si>
    <t>W2228AET</t>
  </si>
  <si>
    <t>BF012717</t>
  </si>
  <si>
    <t>W2228AET LE2 CLEAR r083x0185 CB1P</t>
  </si>
  <si>
    <t>Formula Leopard Bao 8 (SQ)</t>
  </si>
  <si>
    <t>W2228AC</t>
  </si>
  <si>
    <t>BF012372</t>
  </si>
  <si>
    <t>W2228AC LE2 CLEAR r092x0185 CB1P</t>
  </si>
  <si>
    <t>Needed to change the flat distance vs. W2228AA to get 130 mm</t>
  </si>
  <si>
    <t>Frigate SUV (SK2F)</t>
  </si>
  <si>
    <t>W2235AFT</t>
  </si>
  <si>
    <t>BF012545</t>
  </si>
  <si>
    <t>W2235AFT LE2 CLEAR r105x0172 CB1P</t>
  </si>
  <si>
    <t>W2251ADT</t>
  </si>
  <si>
    <t>BF011579</t>
  </si>
  <si>
    <t>2022_1831_02887, 2023_1838_02894, 2024_2777_03835</t>
  </si>
  <si>
    <t>W2251AD LE2 CLEAR r105x0155 CB4P</t>
  </si>
  <si>
    <t>W2253AB</t>
  </si>
  <si>
    <t>BF012316</t>
  </si>
  <si>
    <t>2024_2535_03592</t>
  </si>
  <si>
    <t>W2253AB LE2 CLEAR r105x0149 CB1P</t>
  </si>
  <si>
    <t>Will replace W2251AD LE2</t>
  </si>
  <si>
    <t>HB</t>
  </si>
  <si>
    <t>W2227AQT</t>
  </si>
  <si>
    <t>2025-0307-0454</t>
  </si>
  <si>
    <t>W2227AQT LE2 CLEAR r114x0178 CB1P</t>
  </si>
  <si>
    <t>HXHA</t>
  </si>
  <si>
    <t>W2225AB</t>
  </si>
  <si>
    <t>BF011538</t>
  </si>
  <si>
    <t>W2225AB LE2 CLEAR r130x0120 CB1P</t>
  </si>
  <si>
    <t>Originally set up for Tianjin. Was tested at Chonqin, but went with W5025__.</t>
  </si>
  <si>
    <t>W2244AJ</t>
  </si>
  <si>
    <t>BF011802</t>
  </si>
  <si>
    <t>W2244AJ LE2 CLEAR r107x0161 CB1P</t>
  </si>
  <si>
    <t>W2247ADT</t>
  </si>
  <si>
    <t>BF011794</t>
  </si>
  <si>
    <t>2023_2009_03066, 2024_2777_03835</t>
  </si>
  <si>
    <t>W2247AD LE2 CLEAR r106x0158 CB4P</t>
  </si>
  <si>
    <t>W2239AEH (copy)</t>
  </si>
  <si>
    <t>PAHA</t>
  </si>
  <si>
    <t>W5063AA</t>
  </si>
  <si>
    <t>BF011466</t>
  </si>
  <si>
    <t>2022_1756_02812</t>
  </si>
  <si>
    <t>W5063AA FR3 CLEAR r120x0050 CB1P</t>
  </si>
  <si>
    <t>W5048AB (copy)</t>
  </si>
  <si>
    <t>SA5/SA3</t>
  </si>
  <si>
    <t>W2229AB (copy)</t>
  </si>
  <si>
    <t>See Fuyao Guangzhou for original set-up</t>
  </si>
  <si>
    <t>SC2</t>
  </si>
  <si>
    <t>W5046AA</t>
  </si>
  <si>
    <t>2024_2887_03945</t>
  </si>
  <si>
    <t>SC2 EV</t>
  </si>
  <si>
    <t>W5044AB</t>
  </si>
  <si>
    <t>2024_2932_03990</t>
  </si>
  <si>
    <t>SK2F</t>
  </si>
  <si>
    <t>W2249AF</t>
  </si>
  <si>
    <t>BF011637</t>
  </si>
  <si>
    <t>W2249AF LE2 CLEAR r120x0120 CB1P</t>
  </si>
  <si>
    <t>Replaced by W2251AD</t>
  </si>
  <si>
    <t>W2251AB</t>
  </si>
  <si>
    <t>BF010872 (50m), BF011314 (L9 50m)</t>
  </si>
  <si>
    <t>2022_1444_02500, 2022_1610_02666, 2022_1643_02699</t>
  </si>
  <si>
    <t>W2251AB LE2 CLEAR r107x0050 CB1P</t>
  </si>
  <si>
    <t>W2251AC</t>
  </si>
  <si>
    <t>BF011521</t>
  </si>
  <si>
    <t>2022_1806_02862</t>
  </si>
  <si>
    <t>W2251AC LE2 CLEAR r107x0153 CB4P</t>
  </si>
  <si>
    <t>Changed to W2251AD before it could be extruded. Shouldn't have been set up since the same design as W2251AB.</t>
  </si>
  <si>
    <t>W2232ALT</t>
  </si>
  <si>
    <t>Song L SUV (SA5)</t>
  </si>
  <si>
    <t>W2222ADT</t>
  </si>
  <si>
    <t>BF012559 (CB1P), BF012705 (CB4P)]</t>
  </si>
  <si>
    <t>W2222ADT LE2 CLEAR r118x0184 CB1P, W2222ADT LE2 CLEAR r118x0184 CB4P</t>
  </si>
  <si>
    <t>SQ</t>
  </si>
  <si>
    <t>W2231ACT</t>
  </si>
  <si>
    <t>BF012718</t>
  </si>
  <si>
    <t>W2231ACT LE2 CLEAR r092x0179 CB1P</t>
  </si>
  <si>
    <t>SD</t>
  </si>
  <si>
    <t>W2231ADT</t>
  </si>
  <si>
    <t>W2231 LE2 CLEAR r107x0173 CB1P</t>
  </si>
  <si>
    <t>SR</t>
  </si>
  <si>
    <t>W2232AIT</t>
  </si>
  <si>
    <t>BF012732</t>
  </si>
  <si>
    <t>changed to different HUD areas 2025-0319-0466, no production run yet and therefore changed</t>
  </si>
  <si>
    <t>SFHE</t>
  </si>
  <si>
    <t>W2224ACT</t>
  </si>
  <si>
    <t>URE</t>
  </si>
  <si>
    <t>W2255AF</t>
  </si>
  <si>
    <t>BF012733</t>
  </si>
  <si>
    <t>W2255AF LE2 CLEAR r090x0154 CB1P</t>
  </si>
  <si>
    <t>W2247AHT</t>
  </si>
  <si>
    <t>BoYue L (FX11)</t>
  </si>
  <si>
    <t>W2232AGT</t>
  </si>
  <si>
    <t>BF012560 (CB1P),</t>
  </si>
  <si>
    <t>W2232AGT LE2 CLEAR r101x0178 CB1P, W2232AGT LE2 CLEAR r101x0178 CB4P</t>
  </si>
  <si>
    <t>W2238ABT</t>
  </si>
  <si>
    <t>BF012123</t>
  </si>
  <si>
    <t>2023_2320_03377, 2024_2777_03835</t>
  </si>
  <si>
    <t>W2238AB LE2 CLEAR r094x0172 CB4P</t>
  </si>
  <si>
    <t>Unstretched. W/S moved from Shanghai. Liked 0.40 better</t>
  </si>
  <si>
    <t>W2240ART</t>
  </si>
  <si>
    <t>BF011930</t>
  </si>
  <si>
    <t>W2240AR LE2 CLEAR r094x0170 CB4P</t>
  </si>
  <si>
    <t>Unstretched. W/S moved from Shanghai</t>
  </si>
  <si>
    <t>W2232AMT</t>
  </si>
  <si>
    <t>2025-0277-0423</t>
  </si>
  <si>
    <t>P181</t>
  </si>
  <si>
    <t>W5047AA</t>
  </si>
  <si>
    <t>W5047AB</t>
  </si>
  <si>
    <t>P182</t>
  </si>
  <si>
    <t>W2246AGT</t>
  </si>
  <si>
    <t>BF013004</t>
  </si>
  <si>
    <t>2025-0283-0429</t>
  </si>
  <si>
    <t>W2246 LE2 CLEAR r105x0158 CB1P</t>
  </si>
  <si>
    <t>W2225AJT</t>
  </si>
  <si>
    <t>BF012979</t>
  </si>
  <si>
    <t>W2246AIT</t>
  </si>
  <si>
    <t>W2219AC</t>
  </si>
  <si>
    <t>BF012105</t>
  </si>
  <si>
    <t>W2219AC LE2 CLEAR r098x0195 CB1P</t>
  </si>
  <si>
    <t>W2226AD</t>
  </si>
  <si>
    <t>BF012500</t>
  </si>
  <si>
    <t>2024_2723_03781</t>
  </si>
  <si>
    <t>W2226AD LE2 CLEAR r110x0181 CB1P</t>
  </si>
  <si>
    <t>W2228AAT</t>
  </si>
  <si>
    <t>BF011804</t>
  </si>
  <si>
    <t>W2228AA LE2 CLEAR r092x0185 CB4P</t>
  </si>
  <si>
    <t>HUD to transition Is too small</t>
  </si>
  <si>
    <t>W5029AA</t>
  </si>
  <si>
    <t>BF011915</t>
  </si>
  <si>
    <t>W5029AA FR3 CLEAR r110x0184 CB1P</t>
  </si>
  <si>
    <t>W2240AWT</t>
  </si>
  <si>
    <t>2025-0422-0582</t>
  </si>
  <si>
    <t>W2240AWT LE2 CLEAR r094x0167 CB1P</t>
  </si>
  <si>
    <t>W2240AS</t>
  </si>
  <si>
    <t>BF012124</t>
  </si>
  <si>
    <t>W2240AS LE2 CLEAR r118x0159 CB1P</t>
  </si>
  <si>
    <t>W5063AB</t>
  </si>
  <si>
    <t>BF011805</t>
  </si>
  <si>
    <t>W5063AB FR3 CLEAR r091x0155 CB4P</t>
  </si>
  <si>
    <t>KCC</t>
  </si>
  <si>
    <t>Jeoneui</t>
  </si>
  <si>
    <t>CE1 (IONIQ 6)</t>
  </si>
  <si>
    <t>W2239AD</t>
  </si>
  <si>
    <t>BF011451</t>
  </si>
  <si>
    <t>2022_1744_02800</t>
  </si>
  <si>
    <t>W2241AF</t>
  </si>
  <si>
    <t>BF011739</t>
  </si>
  <si>
    <t>2023_1967_03024</t>
  </si>
  <si>
    <t>W2241AF KE2 CLEAR r113x0313 CB2P</t>
  </si>
  <si>
    <t>Angle offset correction</t>
  </si>
  <si>
    <t>DN8 (Sonata, 2020-?)</t>
  </si>
  <si>
    <t>W2043</t>
  </si>
  <si>
    <t>BF008936</t>
  </si>
  <si>
    <t>2020_0064_01115</t>
  </si>
  <si>
    <t>W2043 KE2 CLEAR r101x0.95x0170 CT4P</t>
  </si>
  <si>
    <t>For embossed pattern (instead of W50xx)</t>
  </si>
  <si>
    <t xml:space="preserve">4 
2 x 0,43mrad
2 x 0,46mrad </t>
  </si>
  <si>
    <t>will be lamianted July 2020</t>
  </si>
  <si>
    <t>W2045AA</t>
  </si>
  <si>
    <t>BF009297</t>
  </si>
  <si>
    <t>2020_0244_01296</t>
  </si>
  <si>
    <t>W2045AA KE2 CLEAR r101x0165 CT4P</t>
  </si>
  <si>
    <t>New, increased wedge angle. For embossed pattern (instead of W50xx)</t>
  </si>
  <si>
    <t>Never produced?</t>
  </si>
  <si>
    <t>HI (G90)</t>
  </si>
  <si>
    <t>W1340AA</t>
  </si>
  <si>
    <t>BF008714</t>
  </si>
  <si>
    <t>W1340AA KE2 BLU2 r102/14x0165 CT4P</t>
  </si>
  <si>
    <t>Never produced</t>
  </si>
  <si>
    <t>W1342AA</t>
  </si>
  <si>
    <t>BF009293</t>
  </si>
  <si>
    <t>W1342AA KE2 BLU2 r102/14x0165 CT4P</t>
  </si>
  <si>
    <t>New, increased wedge angle</t>
  </si>
  <si>
    <t>IG F/L (Grandeur/Azera 2017-?)</t>
  </si>
  <si>
    <t>W1353</t>
  </si>
  <si>
    <t>BF008929</t>
  </si>
  <si>
    <t>W1353 KE2 BLU2 R100/13X0.95X0155 CT4P</t>
  </si>
  <si>
    <t>4 (2x 0,53mrad, 2x 0,56mrad)</t>
  </si>
  <si>
    <t>Image acceptable with 0.531 mrad but worse than competition</t>
  </si>
  <si>
    <t>W1353AA</t>
  </si>
  <si>
    <t>BF009452</t>
  </si>
  <si>
    <t>2020_0421_01473</t>
  </si>
  <si>
    <t>W1353AA KE2 BLU2 r104/14x0150 CT4P</t>
  </si>
  <si>
    <t>Wider band, wider roll, different HUD area</t>
  </si>
  <si>
    <t>2 rolls?</t>
  </si>
  <si>
    <t>W1355AA</t>
  </si>
  <si>
    <t>BF009292</t>
  </si>
  <si>
    <t>W1355AA KE2 BLU2 r100/13x0150 CT4P</t>
  </si>
  <si>
    <t>ME (IONIQ 7)</t>
  </si>
  <si>
    <t>W2246AE</t>
  </si>
  <si>
    <t>BF012305 (CB1P), BF012521 (CB2P), ___ (MB2P)</t>
  </si>
  <si>
    <t>2024_2519_03576, 2024_2752_03810, 2024_2987_04045, 2024_2996_04054</t>
  </si>
  <si>
    <t>W2246AE KR CLEAR r122x0145 CB1P, W2246AES KR CLEAR r122x0295 CB2P</t>
  </si>
  <si>
    <t>W2250AS</t>
  </si>
  <si>
    <t>BF012073</t>
  </si>
  <si>
    <t>2023_2248_03305</t>
  </si>
  <si>
    <t>W2250AS KR CLEAR r119x0290 CB2P</t>
  </si>
  <si>
    <t>MX5 (new Santa Fe)</t>
  </si>
  <si>
    <t>W2258AF</t>
  </si>
  <si>
    <t>BF011687</t>
  </si>
  <si>
    <t>2023_1935_02992</t>
  </si>
  <si>
    <t>W2258AF KE2 CLEAR r113x0141 CB1P</t>
  </si>
  <si>
    <t>Sample was actually 0.597mrad</t>
  </si>
  <si>
    <t>W2260AG</t>
  </si>
  <si>
    <t>BF011843 (277m), BF012442 (275m), ___ (MB2P)</t>
  </si>
  <si>
    <t>2023_2046_03103, 2024_2663_03721 (length change), 2024_2759_03817 (add S), 2024_2987_04045, 2024_2996_04054</t>
  </si>
  <si>
    <t>W2260AG KE2 CLEAR r113x0277 CB2P</t>
  </si>
  <si>
    <t>Original sample of W2258AF was actually 0.597mrad</t>
  </si>
  <si>
    <t>NE (IONIQ 5 AR HUD)</t>
  </si>
  <si>
    <t>W2217AB</t>
  </si>
  <si>
    <t>BF011459 (CB1P), BF012424 (CB4P)</t>
  </si>
  <si>
    <t>2022_1748_02804, 2024_2666_03724</t>
  </si>
  <si>
    <t>W2217AB KE2 CLEAR r119x0189 CB1P, W2217AB KE2 CLEAR r119x0189 CB4P</t>
  </si>
  <si>
    <t>Said they would switch to melt fracture, but then didn't</t>
  </si>
  <si>
    <t>W2217AC</t>
  </si>
  <si>
    <t>BF011710, BF011969 (375m), ___ (MB2P)</t>
  </si>
  <si>
    <t>2023_1952_03009, 2023_2171_03228, 2024_2759_03817, 2024_2987_04045, 2024_2996_04054</t>
  </si>
  <si>
    <t>W2217AC KR CLEAR r119x0189 CB1P, W2217AC KR CLEAR r119x0375 CB2P</t>
  </si>
  <si>
    <t>Nip roll version of W2217AB. We should have kept the same variant code.</t>
  </si>
  <si>
    <t>NE (IONIQ 5 std HUD)</t>
  </si>
  <si>
    <t>W2241AG</t>
  </si>
  <si>
    <t>BF011844, ___</t>
  </si>
  <si>
    <t>2023_2046_03103, 2023_2140_03197, 2024_2759_03817, 2024_2987_04045, 2024_2996_04054</t>
  </si>
  <si>
    <r>
      <t xml:space="preserve">W2241AG </t>
    </r>
    <r>
      <rPr>
        <u/>
        <sz val="11"/>
        <rFont val="Calibri"/>
        <family val="2"/>
        <scheme val="minor"/>
      </rPr>
      <t>KE2</t>
    </r>
    <r>
      <rPr>
        <sz val="11"/>
        <rFont val="Calibri"/>
        <family val="2"/>
        <scheme val="minor"/>
      </rPr>
      <t xml:space="preserve"> CLEAR r119x0310 CB2P, W2241AG </t>
    </r>
    <r>
      <rPr>
        <u/>
        <sz val="11"/>
        <rFont val="Calibri"/>
        <family val="2"/>
        <scheme val="minor"/>
      </rPr>
      <t>KR</t>
    </r>
    <r>
      <rPr>
        <sz val="11"/>
        <rFont val="Calibri"/>
        <family val="2"/>
        <scheme val="minor"/>
      </rPr>
      <t xml:space="preserve"> CLEAR r119x0310 CB2P</t>
    </r>
  </si>
  <si>
    <t>NE (IONIQ 5)</t>
  </si>
  <si>
    <t>W2212AB</t>
  </si>
  <si>
    <t>BF010630</t>
  </si>
  <si>
    <t>2022_1259_02314</t>
  </si>
  <si>
    <t>W2212AB KE2 CLEAR r119x0150 CB1P</t>
  </si>
  <si>
    <t>W2217AA</t>
  </si>
  <si>
    <t>BF010191 (CT4P), BF010270 (CB4P = L9)</t>
  </si>
  <si>
    <t>2021_1050_02105</t>
  </si>
  <si>
    <t>W2217AA KE2 CLEAR r119x0189 CT4P (error and originally set up CT4A), W2217AA KE2 CLEAR r119x0189 CB4P = L9</t>
  </si>
  <si>
    <t>Moved to L9</t>
  </si>
  <si>
    <t>4?</t>
  </si>
  <si>
    <t>NX5 (Tucson)</t>
  </si>
  <si>
    <t>W2245AF</t>
  </si>
  <si>
    <t>2025-0299-0445</t>
  </si>
  <si>
    <t>NE N</t>
  </si>
  <si>
    <t>BF011950, ____</t>
  </si>
  <si>
    <t>NE N (IONIQ 5 N)</t>
  </si>
  <si>
    <t>W2240AH</t>
  </si>
  <si>
    <t>BF011658 (L9, CB1P), BF012367 (CB4P)</t>
  </si>
  <si>
    <t>2023_1918_02975, 2024_2498_03555 (extension to China), 2024_2598_03656 (CB4P)</t>
  </si>
  <si>
    <t>W2240AH KE2 CLEAR r113x0148 CB1P. No L8 set up? W2240AH KE2 CLEAR r113x0148 CB4P</t>
  </si>
  <si>
    <t>Wanted for initial trial. Will be replaced by W2240AN. Later tested at SGS Meizhou.</t>
  </si>
  <si>
    <t>W2240AN</t>
  </si>
  <si>
    <t>BF011725</t>
  </si>
  <si>
    <t>2023_1955_03012</t>
  </si>
  <si>
    <t>W2240AN KE2 CLEAR r119x0145 CB1P</t>
  </si>
  <si>
    <t>Wider versions</t>
  </si>
  <si>
    <t>W2251AF</t>
  </si>
  <si>
    <t>BF011659 (L9)</t>
  </si>
  <si>
    <t>2023_1918_02975</t>
  </si>
  <si>
    <t>W2251AF KE2 CLEAR r113x0148 CB1P. No L8 set up?</t>
  </si>
  <si>
    <t>Wanted for initial trial. Will be replaced by W2251AG.</t>
  </si>
  <si>
    <t>W2251AG</t>
  </si>
  <si>
    <t>BF011726</t>
  </si>
  <si>
    <t>W2251AG KE2 CLEAR r119x0145 CB1P</t>
  </si>
  <si>
    <t>Santa Fe</t>
  </si>
  <si>
    <t>W1240AA</t>
  </si>
  <si>
    <t>BF007143, BF007142</t>
  </si>
  <si>
    <t>150, 300</t>
  </si>
  <si>
    <t>W1240AA KE2 CLEAR r107x0150 CT4P, W1240AA KE2 CLEAR r107x0300 CT2P</t>
  </si>
  <si>
    <t>Old SKU</t>
  </si>
  <si>
    <t>Sonata</t>
  </si>
  <si>
    <t>W5043</t>
  </si>
  <si>
    <t>BF007248</t>
  </si>
  <si>
    <t>W5043 BR3 CLEAR r108x0.95x0100 CB1P</t>
  </si>
  <si>
    <t>TM (Korea market Santa Fe, 2018-?)</t>
  </si>
  <si>
    <t>W1340AB</t>
  </si>
  <si>
    <t>BF008914</t>
  </si>
  <si>
    <t>W1340AB KE2 BLU2 R105/14X0160 CT4P</t>
  </si>
  <si>
    <t>New SKU for TM shadeband</t>
  </si>
  <si>
    <t>W2340</t>
  </si>
  <si>
    <t>BF008932</t>
  </si>
  <si>
    <t>2020_0018_01069</t>
  </si>
  <si>
    <t>W2340 KE2 BLU2 R105/14X0.95X0150 CT4P</t>
  </si>
  <si>
    <t>BPCM summary section was incorrect so this was created</t>
  </si>
  <si>
    <t>W1342AB</t>
  </si>
  <si>
    <t>BF009295</t>
  </si>
  <si>
    <t>W1342AB KE2 BLU2 r105/14x0160 CT4P</t>
  </si>
  <si>
    <t>TM [Korea market Santa Fe (old)]</t>
  </si>
  <si>
    <t>W1340</t>
  </si>
  <si>
    <t>BF007129, BF008309, BF007128</t>
  </si>
  <si>
    <t>W1340 KE2 BLU2 R107/15X0.95X0150 CT1P, W1340 KE2 BLU2 r107/15x0.95x0150 CT4P, W1340 KE2 BLU2 r107/15x0.95x0300 CT2P</t>
  </si>
  <si>
    <t>Old SKU for TM shadeband. Being tested, but commercialization in this windshield would be the new clear version (W1240).</t>
  </si>
  <si>
    <t>2x (Sept. 2018)
12 (Oct 2019)
4 (Jan 2020)2x 0,40mrad, 2x0,42mrad</t>
  </si>
  <si>
    <t>??
??
ghosting with 0,42mrad ok</t>
  </si>
  <si>
    <t>TMa (Export Santa Fe, 2018-?)</t>
  </si>
  <si>
    <t>W2240AC</t>
  </si>
  <si>
    <t>BF009969</t>
  </si>
  <si>
    <t>2021_0795_01849</t>
  </si>
  <si>
    <t>F5 version of W1240AB (Klopper). Single roll pallet set up initially at shorter roll length.</t>
  </si>
  <si>
    <t>W2240AD</t>
  </si>
  <si>
    <t>BF009971 (160m, L8), BF010584 (321m, L9)</t>
  </si>
  <si>
    <t>2021_0906_01961 (L8), 2022_1219_02274 (L9)</t>
  </si>
  <si>
    <t>W2240AD KE2 CLEAR r108x0160 CT4P (L8), W2240AD KE2 CLEAR r108x0321 CB2P (L9)</t>
  </si>
  <si>
    <t>F5 version of W1240AD (new wider HUD area, Klopper). Initially only set up for L8. Replaced by W2242AB.</t>
  </si>
  <si>
    <t>W1240</t>
  </si>
  <si>
    <t>BF008928</t>
  </si>
  <si>
    <t>N/A</t>
    <phoneticPr fontId="12" type="noConversion"/>
  </si>
  <si>
    <t>2020_0064_01115, 2019_0904_01030</t>
  </si>
  <si>
    <t>W1240 KE2 CLEAR R104X0.95X0160 CT4P</t>
  </si>
  <si>
    <t>Was the new SKU for TMa clear. But then the angle was increased.</t>
  </si>
  <si>
    <t>W1240AB</t>
  </si>
  <si>
    <t>BF009411</t>
  </si>
  <si>
    <t>2020_0341_01393</t>
  </si>
  <si>
    <t>Reduced angle and increased width due to the move to shape on Klopper line</t>
  </si>
  <si>
    <t>W1240AC</t>
  </si>
  <si>
    <t>BF009661</t>
  </si>
  <si>
    <t>2020_0607_01659, 2021_0744_01798</t>
  </si>
  <si>
    <t>W1240AC KE2 CLEAR r106x0150 CT4P</t>
  </si>
  <si>
    <t>Ford Type B shaper</t>
  </si>
  <si>
    <t>W1240AD</t>
  </si>
  <si>
    <t>BF009985</t>
  </si>
  <si>
    <t>2021_0929_01984</t>
  </si>
  <si>
    <t>Wider HUD area, for Klopper shaper</t>
  </si>
  <si>
    <t>W2242AB</t>
  </si>
  <si>
    <t>BF011740, BF012440 (315m)</t>
  </si>
  <si>
    <t>2023_1967_03024, 2024_2663_03721, 2024_2759_03817, 2024_2987_04045</t>
  </si>
  <si>
    <t>W2242AB KE2 CLEAR r108x0316 CB2P</t>
  </si>
  <si>
    <t>Angle offset correction. Replaced W2240AD</t>
  </si>
  <si>
    <t>W1242AA</t>
  </si>
  <si>
    <t>BF009217</t>
  </si>
  <si>
    <t>2020_0215_01267</t>
  </si>
  <si>
    <t>W1242AA KE2 CLEAR r104x0160 CT4P</t>
  </si>
  <si>
    <t>New, increased wedge angle. KAC changed process conditions so the increase was no longer needed.</t>
  </si>
  <si>
    <t>slippage at heating cone</t>
  </si>
  <si>
    <t>Kia</t>
  </si>
  <si>
    <t>CT1 (EV4)</t>
  </si>
  <si>
    <t>W2245AC</t>
  </si>
  <si>
    <t>BF012208</t>
  </si>
  <si>
    <t>2024_2431_03488</t>
  </si>
  <si>
    <t>W2245AC KE2 CLEAR r111x0145 CB1P</t>
  </si>
  <si>
    <t>W2249AK</t>
  </si>
  <si>
    <t>BF012714 (CB1P), ____</t>
  </si>
  <si>
    <t>2024_2912_03970, 2024_2992_04050</t>
  </si>
  <si>
    <t>W2249AK KE2 CLEAR r111x0150 CB1P</t>
  </si>
  <si>
    <t>W2251AI</t>
  </si>
  <si>
    <t>BF012209</t>
  </si>
  <si>
    <t>W2251AI KE2 CLEAR r111x0145 CB1P</t>
  </si>
  <si>
    <t>W2256AI</t>
  </si>
  <si>
    <t>BF012210</t>
  </si>
  <si>
    <t>W2256AI KE2 CLEAR r111x0145 CB1P</t>
  </si>
  <si>
    <t>CVa (EV6)</t>
  </si>
  <si>
    <t>W2233AH</t>
  </si>
  <si>
    <t>BF012527, ___ (MB2P)</t>
  </si>
  <si>
    <t>2024_2761_03819, 2024_2987_04045, 2024_2996_04054</t>
  </si>
  <si>
    <t>W2233AG</t>
  </si>
  <si>
    <t>BF012306, BF012511 (CB2P)</t>
  </si>
  <si>
    <t>2024_2519_03576, 2024_2741_03799 (CB2P), 2024_2759_03817 (xxS), 2024_2987_04045</t>
  </si>
  <si>
    <t>W2233AG KE2 CLEAR r120x0165 CB1P, W2233AG KE2 CLEAR r120x0330 CB2P</t>
  </si>
  <si>
    <t>W2233AE</t>
  </si>
  <si>
    <t>BF012141</t>
  </si>
  <si>
    <t>2023_2338_03395</t>
  </si>
  <si>
    <t>W2233AE KE2 CLEAR r116x0155 CB1P</t>
  </si>
  <si>
    <t>Nearly identical to W2233AF at Guangzhou</t>
  </si>
  <si>
    <t>W2238AA</t>
  </si>
  <si>
    <t>BF012142</t>
  </si>
  <si>
    <t>W2238AA KE2 CLEAR r116x0155 CB1P</t>
  </si>
  <si>
    <t>W2243AB</t>
  </si>
  <si>
    <t>BF012143</t>
  </si>
  <si>
    <t>W2243AB KE2 CLEAR r115x0155 CB1P</t>
  </si>
  <si>
    <t>JX1, UM (Sorento III, 2015-2020)</t>
  </si>
  <si>
    <t>W1338</t>
  </si>
  <si>
    <t>BF008930</t>
  </si>
  <si>
    <t>W1338 KE2 BLU2 R104/15X0.95X0165 CT4P</t>
  </si>
  <si>
    <t>W1340AC</t>
  </si>
  <si>
    <t>BF009294</t>
  </si>
  <si>
    <t>W1340AC KE2 BLU2 r104/15x0165 CT4P</t>
  </si>
  <si>
    <t>KA4 PE (Grand Carnival)</t>
  </si>
  <si>
    <t>W2252AL</t>
  </si>
  <si>
    <t>BF011660 (L9), BF012029 (285m), ___(MB2P)</t>
  </si>
  <si>
    <t>2023_1918_02975 (short), 2023_2194_03251 (long), 2024_2663_03721 (length change), 2024_2759_03817 (add S), 2024_2987_04045 (remove S), 2024_2996_04054</t>
  </si>
  <si>
    <t>W2252AL KE2 CLEAR r119x0134 CB1P, W2252AL KE2 CLEAR r119x0288 CB2P. No L8 set up.</t>
  </si>
  <si>
    <t>W2254AG</t>
  </si>
  <si>
    <t>BF011918</t>
  </si>
  <si>
    <t>2023_2091_03148</t>
  </si>
  <si>
    <t>W2254AG KE2 CLEAR r119x0134 CB1P</t>
  </si>
  <si>
    <t>Decided to stay with W2252AL</t>
  </si>
  <si>
    <t>W2263AA</t>
  </si>
  <si>
    <t>BF011661 (L9)</t>
  </si>
  <si>
    <t>W2263AA KE2 CLEAR r119x0134 CB1P. No L8 set up?</t>
  </si>
  <si>
    <t>Will shape</t>
  </si>
  <si>
    <t>LQ2 (Telluride)</t>
  </si>
  <si>
    <t>W2257AF</t>
  </si>
  <si>
    <t>BF012199</t>
  </si>
  <si>
    <t>2024_2424_03481</t>
  </si>
  <si>
    <t>W2257AF KE2 CLEAR r107x0140 CB1P</t>
  </si>
  <si>
    <t>W2260AL</t>
  </si>
  <si>
    <t>BF012719 (LR), BF012816 (KE2 140m), _______ (KE2 285m)</t>
  </si>
  <si>
    <t>2024_2916_03974 (KR), 2024_2916_03975 (KE2), 2025-0255-0400 (285 m). 2025-0284-0430 (285 m KR)</t>
  </si>
  <si>
    <t>W2260AL KR CLEAR r107x0140 CB1P, W2260AL KE2 CLEAR r107x0140 CB1P</t>
  </si>
  <si>
    <t>W2263AB</t>
  </si>
  <si>
    <t>BF012200</t>
  </si>
  <si>
    <t>W2263AB KE2 CLEAR r107x0140 CB1P</t>
  </si>
  <si>
    <t>MQ4 (Sorento)</t>
  </si>
  <si>
    <t>W2249AA</t>
  </si>
  <si>
    <t>BF010192 (CT4P), BF010439</t>
  </si>
  <si>
    <t>W2249AA KE2 CLEAR r109x0154 CT4P, W2249AA KE2 CLEAR r109x0154 CB4P</t>
  </si>
  <si>
    <t>MVa (EV7)</t>
  </si>
  <si>
    <t>W2255AB</t>
  </si>
  <si>
    <t>BF012072, ____</t>
  </si>
  <si>
    <t>2023_2248_03305, 2024_2759_03817, 2024_2987_04045, 2024_2996_04054</t>
  </si>
  <si>
    <t>W2255AB KE2 CLEAR r104x0300 CB2P</t>
  </si>
  <si>
    <t>W2257AE</t>
  </si>
  <si>
    <t>BF011780</t>
  </si>
  <si>
    <t>2023_1983_03040</t>
  </si>
  <si>
    <t>W2257AE KE2 CLEAR r104x0140 CB1P</t>
  </si>
  <si>
    <t>W2262AG</t>
  </si>
  <si>
    <t>BF011781</t>
  </si>
  <si>
    <t>W2262AG KE2 CLEAR r104x0140 CB1P</t>
  </si>
  <si>
    <t>W2267AB</t>
  </si>
  <si>
    <t>BF011782</t>
  </si>
  <si>
    <t>W2267AB KE2 CLEAR r104x0140 CB1P</t>
  </si>
  <si>
    <t>NQ5 (Sportage)</t>
  </si>
  <si>
    <t>W2255AG</t>
  </si>
  <si>
    <t>2025-0213-0358</t>
  </si>
  <si>
    <t>W2255 KE2 CLEAR r115x0285 MB2P</t>
  </si>
  <si>
    <t>ON (Telluride)</t>
  </si>
  <si>
    <t>W2243AA</t>
  </si>
  <si>
    <t>BF010193 (CT4P), BF010440</t>
  </si>
  <si>
    <t>W2243AA KE2 CLEAR r109x0160 CT4P, W2243AA KE2 CLEAR r109x0160 CB4P</t>
  </si>
  <si>
    <t>F5 version of W1243AB. Never produced on L8. Stopped usage after W1243AB.</t>
  </si>
  <si>
    <t>W1243AB</t>
  </si>
  <si>
    <t>BF009986</t>
  </si>
  <si>
    <t>Wider HUD area, wider roll for Klopper shaper</t>
  </si>
  <si>
    <t>W1243</t>
  </si>
  <si>
    <t>BF008931</t>
  </si>
  <si>
    <t>W1243 KE2 CLEAR R105X0.95X0160 CT4P</t>
  </si>
  <si>
    <t>W1243AA</t>
  </si>
  <si>
    <t>BF009673</t>
  </si>
  <si>
    <t>2021_0613_01665</t>
  </si>
  <si>
    <t>Wider width. Back to original angle.</t>
  </si>
  <si>
    <t>W1245AA</t>
  </si>
  <si>
    <t>BF009296</t>
  </si>
  <si>
    <t>W1245AA KE2 CLEAR r105x0160 CT4P</t>
  </si>
  <si>
    <t>SV1 (EV3)</t>
  </si>
  <si>
    <t>W2249AI</t>
  </si>
  <si>
    <t>BF012302</t>
  </si>
  <si>
    <t>2024_2510_03567</t>
  </si>
  <si>
    <t>W2249AI KE2 CLEAR r106x0150 CB1P</t>
  </si>
  <si>
    <t>NSG</t>
  </si>
  <si>
    <t>Chmielow</t>
  </si>
  <si>
    <t>Q3</t>
  </si>
  <si>
    <t>W2248AC</t>
  </si>
  <si>
    <t>BF011557</t>
  </si>
  <si>
    <t>2022_1819_02875</t>
  </si>
  <si>
    <t>W2248AC KE2 CLEAR r106x0154 CT1P</t>
  </si>
  <si>
    <t>Q3 (or A3?)</t>
  </si>
  <si>
    <t>W2248AI</t>
  </si>
  <si>
    <t>BF012076</t>
  </si>
  <si>
    <t>2023_2249_03306</t>
  </si>
  <si>
    <t>W2248AI KE2 CLEAR r108x0303 MT2P</t>
  </si>
  <si>
    <t>Collingwood</t>
  </si>
  <si>
    <t>Highlander (220D)</t>
  </si>
  <si>
    <t>W2257AB</t>
  </si>
  <si>
    <t>BF011512</t>
  </si>
  <si>
    <t>2022_1793_02849</t>
  </si>
  <si>
    <t>W2257AB LE2 CLEAR r111x0145 CB1P</t>
  </si>
  <si>
    <t>Highlander (ZZ03-200D)</t>
  </si>
  <si>
    <t>W2254AC</t>
  </si>
  <si>
    <t>BF011507</t>
  </si>
  <si>
    <t>2022_1790_02846</t>
  </si>
  <si>
    <t>W2254AC LE2 CLEAR r111x0148 CB1P</t>
  </si>
  <si>
    <t>CRV 34A</t>
  </si>
  <si>
    <t>W2220AF</t>
  </si>
  <si>
    <t>W2220AF LE2 CLEAR r110x0190 CB1P</t>
  </si>
  <si>
    <t>Toyota/Lexus</t>
  </si>
  <si>
    <t>Grand Highlander/TX (220/220D)</t>
  </si>
  <si>
    <t>W2248AF</t>
  </si>
  <si>
    <t>BF011812</t>
  </si>
  <si>
    <t>2023_2028_03085</t>
  </si>
  <si>
    <t>W2248AF LE2 CLEAR r111x0120 C01P</t>
  </si>
  <si>
    <t>Maizuru</t>
  </si>
  <si>
    <t>6 (J69)</t>
  </si>
  <si>
    <t>W2239AF</t>
  </si>
  <si>
    <t>BF012392 (50m), BF012393 (163m)</t>
  </si>
  <si>
    <t>2024_2621_03679</t>
  </si>
  <si>
    <t>W2239AF LE2 CLEAR r112x0050 CB1P, W2239AF LE2 CLEAR r112x0163 CB1P</t>
  </si>
  <si>
    <t>6 (J69P)</t>
  </si>
  <si>
    <t>W2238AC</t>
  </si>
  <si>
    <t>BF012814 (120 m), ___ (300 m)</t>
  </si>
  <si>
    <t>2025-0064-0201, 2025-0214-0359</t>
  </si>
  <si>
    <t>W2238AC LE2 CLEAR r112x0120 CB1P</t>
  </si>
  <si>
    <t>CX-5, CX-8, M6</t>
  </si>
  <si>
    <t>W2243AC</t>
  </si>
  <si>
    <t>BF012191 (E2), BF012617 (LR)</t>
  </si>
  <si>
    <t>300, 120</t>
  </si>
  <si>
    <t>2024_2405_03462, 2024_2829_03887</t>
  </si>
  <si>
    <t>W2243AC LE2 CLEAR r112x0300 CB2P, W2243AC LR CLEAR r112x0120 CB1P</t>
  </si>
  <si>
    <t>Eliminated the "H"</t>
  </si>
  <si>
    <t>CX-5, CX-8, M7</t>
  </si>
  <si>
    <t>W2243ACH</t>
  </si>
  <si>
    <t>BF012173</t>
  </si>
  <si>
    <t>2024_2389_03446</t>
  </si>
  <si>
    <t>W2243AC-H LE2 CLEAR r112x0300 CB2P</t>
  </si>
  <si>
    <t>Extra "H" on code for winding direction</t>
  </si>
  <si>
    <t>CX-60 (J30)</t>
  </si>
  <si>
    <t>W2248AHH</t>
  </si>
  <si>
    <t>BF011951</t>
  </si>
  <si>
    <t>2023_2146_03203</t>
  </si>
  <si>
    <t>W2248AH-H LE2 CLEAR r112x0150 CB2P</t>
  </si>
  <si>
    <t>Alphard</t>
  </si>
  <si>
    <t>W2237AF</t>
  </si>
  <si>
    <t>BF012217</t>
  </si>
  <si>
    <t>2024_2444_03501</t>
  </si>
  <si>
    <t>W2237AF LE2 CLEAR r136x0141 CB2P</t>
  </si>
  <si>
    <t>Why short rolls in a 2-roll package?</t>
  </si>
  <si>
    <t>Increased thin edge caliper</t>
  </si>
  <si>
    <t>W2237AG</t>
  </si>
  <si>
    <t>BF012505</t>
  </si>
  <si>
    <t>2024_2730_03788</t>
  </si>
  <si>
    <t>W2237AG LE2 CLEAR r136x0120 CB1P</t>
  </si>
  <si>
    <t>W2237ADH</t>
  </si>
  <si>
    <t>BF011968</t>
  </si>
  <si>
    <t>2023_2159_03216</t>
  </si>
  <si>
    <t>W2237ADH LE2 CLEAR r136x0149 CB1P</t>
  </si>
  <si>
    <t>W2237AAH</t>
  </si>
  <si>
    <t>BF011335</t>
  </si>
  <si>
    <t>2022_1650_02706</t>
  </si>
  <si>
    <t>W2237AAH r139x0050 CB1P</t>
  </si>
  <si>
    <t>W2237ACH</t>
  </si>
  <si>
    <t>BF011586</t>
  </si>
  <si>
    <t>2023_1863_02920</t>
  </si>
  <si>
    <t>W2237ACH LE2 CLEAR r136x0153 CB4P</t>
  </si>
  <si>
    <t>W2237AEH</t>
  </si>
  <si>
    <t>BF012188 (142m), BF012189 (283m)</t>
  </si>
  <si>
    <t>142, 283</t>
  </si>
  <si>
    <t>2024_2401_03458</t>
  </si>
  <si>
    <t>W2237AEH LE2 CLEAR r136x0142 CB1P, W2237AEH LE2 CLEAR r136x0283 CB2P</t>
  </si>
  <si>
    <t>Too much slippage to be packed vertically</t>
  </si>
  <si>
    <t>Mexicali</t>
  </si>
  <si>
    <t>W2256AH</t>
  </si>
  <si>
    <t>BF012248</t>
  </si>
  <si>
    <t>2024_2462_03519</t>
  </si>
  <si>
    <t>W2256AH LR CLEAR r105x0139 CT1P</t>
  </si>
  <si>
    <t>Replacing W2256AD. But being replaced with W2252AN</t>
  </si>
  <si>
    <t>W2265AC</t>
  </si>
  <si>
    <t>BF012345 (WT4P), _____ (L8 i)</t>
  </si>
  <si>
    <t>2024_2564_03622, 2024_2827_03885 (L8 i)</t>
  </si>
  <si>
    <r>
      <rPr>
        <strike/>
        <sz val="11"/>
        <rFont val="Calibri"/>
        <family val="2"/>
        <scheme val="minor"/>
      </rPr>
      <t>W2265AC LR CLEAR r118x0130 CT1P</t>
    </r>
    <r>
      <rPr>
        <sz val="11"/>
        <rFont val="Calibri"/>
        <family val="2"/>
        <scheme val="minor"/>
      </rPr>
      <t>, W2265AC LR CLEAR r118x0130 WT4P</t>
    </r>
  </si>
  <si>
    <t>Envision (2016-2017)</t>
  </si>
  <si>
    <t>W2240AM</t>
  </si>
  <si>
    <t>BF011653 (L9), BF012355 (L8 WT4P), _____ (L8 i)</t>
  </si>
  <si>
    <t>May 2024 (L8)</t>
  </si>
  <si>
    <t>2023_1916_02973 (L9), 2024_2577_03635 (L8, deleted??), 2024_2581_03639 (L8 WT4P), 2024_2827_03885 (L8 i)</t>
  </si>
  <si>
    <r>
      <t xml:space="preserve">W2240AM LR CLEAR r115x0156 CB1P (L9), </t>
    </r>
    <r>
      <rPr>
        <strike/>
        <sz val="11"/>
        <rFont val="Calibri"/>
        <family val="2"/>
        <scheme val="minor"/>
      </rPr>
      <t>W2240AM LR CLEAR r115x0156 CT1P (L8)</t>
    </r>
    <r>
      <rPr>
        <sz val="11"/>
        <rFont val="Calibri"/>
        <family val="2"/>
        <scheme val="minor"/>
      </rPr>
      <t>, W2240AM LR CLEAR r115x0156WT4P (L8)</t>
    </r>
  </si>
  <si>
    <t>Allowed 120 mm on move to L8 since the restriction is L9</t>
  </si>
  <si>
    <t>W2240AV</t>
  </si>
  <si>
    <t>Lacrosse (2010-2014)</t>
  </si>
  <si>
    <t>W2256AD</t>
  </si>
  <si>
    <t>BF011655 (L9), BF012350 (L8 CT1P), BF012388 (L8 WT4P), ________ (L8 i)</t>
  </si>
  <si>
    <t>2023_1916_02973, 2024_2573_03631 (L8), 2024_2827_03885 (L8 i)</t>
  </si>
  <si>
    <t>W2256AD LR CLEAR r115x0139 CB1P (L9), W2256AD LR CLEAR r115x0139 CT1P (L8)</t>
  </si>
  <si>
    <t>W2256AK</t>
  </si>
  <si>
    <t>CT6 (2016-2017)</t>
  </si>
  <si>
    <t>W2244AI</t>
  </si>
  <si>
    <t>BF011654 (L9), BF012349 (L8, CT1P), BF012499 (L8 WT4P), ____ (L8 i)</t>
  </si>
  <si>
    <t>2023_1916_02973, 2024_2573_03631 (L8), 2024_2722_03780 (WT4P), 2024_2827_03885 (L8 i)</t>
  </si>
  <si>
    <t>W2244AI LR CLEAR r115x0152 CB1P (L9), W2244AI LR CLEAR r115x0152 CT1P (L8), W2244AI LR CLEAR r115x0152 WT4P, W2244AI LR CLEAR r115x0152 WT4P</t>
  </si>
  <si>
    <t>W2244AO</t>
  </si>
  <si>
    <t>XT5 (2017)</t>
  </si>
  <si>
    <t>W2248AE</t>
  </si>
  <si>
    <t>BF011656</t>
  </si>
  <si>
    <t>2023_1916_02973</t>
  </si>
  <si>
    <t>W2248AE LR CLEAR r115x0147 CB1P</t>
  </si>
  <si>
    <t>Replaced by W2248AJ</t>
  </si>
  <si>
    <t>W2248AJ</t>
  </si>
  <si>
    <t>BF012249 (CT1P), BF012377 (WT4P), _____ (L8 i)</t>
  </si>
  <si>
    <t>2024_2462_03519, 2024_2827_03885 (L8 i)</t>
  </si>
  <si>
    <t>W2248AJ LR CLEAR r117x0152 CT1P, W2248AJ LR CLEAR r117x0152 WT4P</t>
  </si>
  <si>
    <t>Replacing W2248AE, which was never extruded</t>
  </si>
  <si>
    <t>W2248AL</t>
  </si>
  <si>
    <t>W2248AM</t>
  </si>
  <si>
    <t>W2348AA LR BLU2 i118/12x0150 CB1P</t>
  </si>
  <si>
    <t>W2348AA</t>
  </si>
  <si>
    <t>W2248AM LR CLEAR i118x0150 CB1P</t>
  </si>
  <si>
    <t>GMC</t>
  </si>
  <si>
    <t>Yukon (2015-2018)</t>
  </si>
  <si>
    <t>W2362AA</t>
  </si>
  <si>
    <t>BF010269 (L8), BF010571 (CB1A), BF012030 (CB2P)</t>
  </si>
  <si>
    <t>2021_1090_02145, 2022_1198_02253, 2023_2210_03267</t>
  </si>
  <si>
    <t>W2362AA LR BLU2 r092/18X0150 CB1A from Ulsan, W2362AA LR BLU2 r092/18x0250 CB2P, W2362AA LR BLU2 r092/18x0150 WT2A from Troisdorf but never made</t>
  </si>
  <si>
    <t>Lincoln</t>
  </si>
  <si>
    <t>Navigator (2020-2021)</t>
  </si>
  <si>
    <t>W2264AH</t>
  </si>
  <si>
    <t>BF011657</t>
  </si>
  <si>
    <t>W2264AH LR CLEAR r115x0132 CB1P</t>
  </si>
  <si>
    <t>Multiple</t>
  </si>
  <si>
    <t>Multiple ARG</t>
  </si>
  <si>
    <t>W2252AF</t>
  </si>
  <si>
    <t>BF011442</t>
  </si>
  <si>
    <t>2022_1703_02759</t>
  </si>
  <si>
    <t>W2252AF LR CLEAR r113x0143 CB1A</t>
  </si>
  <si>
    <t>Changed width, so replaced with W2252AN</t>
  </si>
  <si>
    <t>W2252AN</t>
  </si>
  <si>
    <t>BF011652 (L9), BF012348 (L8, CT1P), BF012498 (L8 WT4P), _________ (L8 i)</t>
  </si>
  <si>
    <t>W2252AN LR CLEAR r115x0143 CB1P (L9), W2252AN LR CLEAR r115x0143 CT1P (L8), W2252AN LR CLEAR r115x0143 WT4P, ____________</t>
  </si>
  <si>
    <t>Replacing W2256AH, also</t>
  </si>
  <si>
    <t>W2252AS</t>
  </si>
  <si>
    <t>FW3152</t>
  </si>
  <si>
    <t>W2342AB</t>
  </si>
  <si>
    <t>2025-0155-0295</t>
  </si>
  <si>
    <t>W2344AA</t>
  </si>
  <si>
    <t>2025-0114-0253</t>
  </si>
  <si>
    <t>San Salvo</t>
  </si>
  <si>
    <t>W2050AA</t>
  </si>
  <si>
    <t>BF010865</t>
  </si>
  <si>
    <t>2022_1436_02492</t>
  </si>
  <si>
    <t>W2050AA LE2 CLEAR r110x0305 MT2P</t>
  </si>
  <si>
    <t>Incorrectly specified by San Salvo. Replaced by W2045AC.</t>
  </si>
  <si>
    <t>C-Hatch</t>
  </si>
  <si>
    <t>W2045AC</t>
  </si>
  <si>
    <t>BF010905</t>
  </si>
  <si>
    <t>318, 160</t>
  </si>
  <si>
    <t>2022_1509_02565, 2024_2414_03471</t>
  </si>
  <si>
    <t>W2045AC LE2 CLEAR r110x0318 LE2 MT2P, W2045AC LE2 CLEAR r110x0160 LE2 MT4P</t>
  </si>
  <si>
    <t>Explorer</t>
  </si>
  <si>
    <t>W2045AD</t>
  </si>
  <si>
    <t>Versailles</t>
  </si>
  <si>
    <t>Chevy, GMC</t>
  </si>
  <si>
    <t>Silverado, Sierra (T1XX-2PU)</t>
  </si>
  <si>
    <t>W2241AI</t>
  </si>
  <si>
    <t>BF012526</t>
  </si>
  <si>
    <t>2024_2755_03813</t>
  </si>
  <si>
    <t>Highlander</t>
  </si>
  <si>
    <t>W2249AJ</t>
  </si>
  <si>
    <t>BF012339 (CB2A), BF012384 (CB1A)</t>
  </si>
  <si>
    <t>2024_2556_03613, 2024_2617_03675</t>
  </si>
  <si>
    <t>W2249AJ LR CLEAR r110x0305 CB2A, W2249AJ LR CLEAR r110x0130 CB1A</t>
  </si>
  <si>
    <t>Witten</t>
  </si>
  <si>
    <t>Q7</t>
  </si>
  <si>
    <t>W2241AB</t>
  </si>
  <si>
    <t>BF010389 (332m), BF010390 (167m)</t>
  </si>
  <si>
    <t>2021_1127_02182</t>
  </si>
  <si>
    <t>W2241AB LR CLEAR r102x0167 CT1P, W2241AB LR CLEAR r102x0332 MT2P</t>
  </si>
  <si>
    <t>4-series Gran Coupe (G26)</t>
  </si>
  <si>
    <t>W2245AD</t>
  </si>
  <si>
    <t>BF012438</t>
  </si>
  <si>
    <t>2024_2673_03731</t>
  </si>
  <si>
    <t>W2245AD LR CLEAR r092x0337 MT2P</t>
  </si>
  <si>
    <t>F10 (5 Series)</t>
  </si>
  <si>
    <t>W2034AA</t>
  </si>
  <si>
    <t>BF009716, BF011572 (MT2P)</t>
  </si>
  <si>
    <t>2021_0688_01741, 2023_1861_02918</t>
  </si>
  <si>
    <t>W2034AA LR CLEAR r098x0362 MT2P</t>
  </si>
  <si>
    <t>F5 version of W1034AA (with some slight modifications)</t>
  </si>
  <si>
    <t>W1034AA</t>
  </si>
  <si>
    <t>BF009487</t>
  </si>
  <si>
    <t>2020_0457_01509</t>
  </si>
  <si>
    <t>W1034AA LR CLEAR R098X0181 MT4P</t>
  </si>
  <si>
    <t>2010-2017 5 Series (F10, 6th gen)</t>
  </si>
  <si>
    <t>Nov 2020?</t>
  </si>
  <si>
    <t>29M kg</t>
  </si>
  <si>
    <t>F12 6-series Conv. Coupe</t>
  </si>
  <si>
    <t>W2030AA</t>
  </si>
  <si>
    <t>BF009724, BF011571 (MT2P)</t>
  </si>
  <si>
    <t>2021_0702_01756, 2023_1861_02918</t>
  </si>
  <si>
    <t>W2030AA LR CLEAR r098x0372 MT2P</t>
  </si>
  <si>
    <t>F30 (3 Series, F32 Limo Coupe)</t>
  </si>
  <si>
    <t>W2040AA</t>
  </si>
  <si>
    <t>BF009717, BF011574 (MT2P)</t>
  </si>
  <si>
    <t>W2040AA LR CLEAR r092x0352 MT2P</t>
  </si>
  <si>
    <t>F5 version of W1040AA (with some slight modifications)</t>
  </si>
  <si>
    <t>W1040AA</t>
  </si>
  <si>
    <t>BF009103, BF009104</t>
  </si>
  <si>
    <t>2020_0041_01092</t>
  </si>
  <si>
    <t>2011-2019 3 Series (F30, 6th gen)</t>
  </si>
  <si>
    <t>50M kg</t>
  </si>
  <si>
    <t>€</t>
  </si>
  <si>
    <t>F33, F34 3-series Conv. GT</t>
  </si>
  <si>
    <t>W2040AB</t>
  </si>
  <si>
    <t>BF009718, BF011570 (MT2P)</t>
  </si>
  <si>
    <t>W2040AB LR CLEAR r098x0347 MT2P</t>
  </si>
  <si>
    <t>F39 X2</t>
  </si>
  <si>
    <t>W2240AQ</t>
  </si>
  <si>
    <t>BF011924</t>
  </si>
  <si>
    <t>2023_2104_03161</t>
  </si>
  <si>
    <t>W2240AQ LR CLEAR r090x0339 MT2P</t>
  </si>
  <si>
    <t>Replaced W2240AB. But never bought any. Fuyao took this windshield.</t>
  </si>
  <si>
    <t>W2240AB</t>
  </si>
  <si>
    <t>BF009713, BF011577 (MT2P)</t>
  </si>
  <si>
    <t>2021_0688_01741</t>
  </si>
  <si>
    <t>W2240AB LR CLEAR r092x0339 MT2P</t>
  </si>
  <si>
    <t>Switched to W2240AQ</t>
  </si>
  <si>
    <t>G11 7-series</t>
  </si>
  <si>
    <t>W2240AA</t>
  </si>
  <si>
    <t>BF009714 (171m), BF010190 (339m), BF010216 (300m)</t>
  </si>
  <si>
    <t>2021_0688_01741, 2021_1041_02096, 2021_1081_02136</t>
  </si>
  <si>
    <t>_02096 set up long rolls thick end up (MT2Y)</t>
  </si>
  <si>
    <t>G14-15-16 8-series Grande Coupe</t>
  </si>
  <si>
    <t>W2232AB</t>
  </si>
  <si>
    <t>BF009715, BF011575 (MT2P)</t>
  </si>
  <si>
    <t>W2232AB LR CLEAR r092x0357 MT2P</t>
  </si>
  <si>
    <t>BMW/Toyota</t>
  </si>
  <si>
    <t>G29 Z4, Toyota Supra</t>
  </si>
  <si>
    <t>W2038AA</t>
  </si>
  <si>
    <t>BF009725, BF011576 (MT2P)</t>
  </si>
  <si>
    <t>W2038AA LR CLEAR r086x0365 MT2P</t>
  </si>
  <si>
    <t>R323SL Roadster, C192 AMG GT</t>
  </si>
  <si>
    <t>W2248AA</t>
  </si>
  <si>
    <t>BF009261 (CT1P), BF009262 (MT4P), BF011573 (MT2P)</t>
  </si>
  <si>
    <t>2020_0294_01346, 2023_1861_02918</t>
  </si>
  <si>
    <t>W2248AA LR CLEAR r82x0163 CT1P, W2248AA LR CLEAR r82x0163 MT4P, W2248AA LR CLEAR r082x0324 MT2P</t>
  </si>
  <si>
    <t>Should run 2x or even 1x per year since very small volume</t>
  </si>
  <si>
    <t>4 from Sept '20, plus 4 more from Feb '21</t>
  </si>
  <si>
    <t>Yaris</t>
  </si>
  <si>
    <t>W5036</t>
  </si>
  <si>
    <t>R1</t>
  </si>
  <si>
    <t>BF007714</t>
  </si>
  <si>
    <t>W5036 FR1 CLEAR r096x0.95x0150 CB1P</t>
  </si>
  <si>
    <t>Development work was done with this W-code</t>
  </si>
  <si>
    <t>went with different roll width</t>
  </si>
  <si>
    <t>W5036AB</t>
  </si>
  <si>
    <t>Oct '20?</t>
  </si>
  <si>
    <t>2020_0389_01441</t>
  </si>
  <si>
    <t>W5036AB FR1 CLEAR R098X0150 CB1P</t>
  </si>
  <si>
    <t>Commercial purchases needed to be 2cm wider</t>
  </si>
  <si>
    <t>Yaris Cross TSS3 (369D)</t>
  </si>
  <si>
    <t>W2260AE</t>
  </si>
  <si>
    <t>BF011558 (CT1P), BF012192 (MT2P)</t>
  </si>
  <si>
    <t>2022_1824_02880, 2024_2406_03463</t>
  </si>
  <si>
    <t>W2260AE LR CLEAR r098x0148 CT1P, MT2P</t>
  </si>
  <si>
    <t>Yaris TW402</t>
  </si>
  <si>
    <t>W2036AA</t>
  </si>
  <si>
    <t>BF009727, BF011578 (MT2P)</t>
  </si>
  <si>
    <t>W2036AA LR CLEAR r098x0362 MT2P</t>
  </si>
  <si>
    <t>W2236AA</t>
  </si>
  <si>
    <t>BF010178</t>
  </si>
  <si>
    <t>2021_1019_02074</t>
  </si>
  <si>
    <t>MT4Y</t>
  </si>
  <si>
    <t>Acoustic version of W2036AA LR</t>
  </si>
  <si>
    <t>Yaris TW412 Cross</t>
  </si>
  <si>
    <t>W2252AB</t>
  </si>
  <si>
    <t>BF009801</t>
  </si>
  <si>
    <t>2021_0736_01790</t>
  </si>
  <si>
    <t>Witten &amp; Maizuru</t>
  </si>
  <si>
    <t>W5045AA</t>
  </si>
  <si>
    <t>BF007094, BF007095</t>
  </si>
  <si>
    <t>30, 150</t>
  </si>
  <si>
    <t>Was only for initial testing. Not for a specific vehicle. Same code as SGS</t>
  </si>
  <si>
    <t>SGS</t>
  </si>
  <si>
    <t>Cuautla</t>
  </si>
  <si>
    <t>W5022AB</t>
  </si>
  <si>
    <t>2023_2090_03147</t>
  </si>
  <si>
    <t>BPCM was canceled</t>
  </si>
  <si>
    <t>W2272AD</t>
  </si>
  <si>
    <t>BF012148</t>
  </si>
  <si>
    <t>2023_2348_03405</t>
  </si>
  <si>
    <t>W2272AD KE2 CLEAR r118x0253 WT2A</t>
  </si>
  <si>
    <t>Opportunity was canceled before we could extrude a sample</t>
  </si>
  <si>
    <t>2-series (G42)</t>
  </si>
  <si>
    <t>W2244AM</t>
  </si>
  <si>
    <t>BF012405</t>
  </si>
  <si>
    <t>2024_2643_03701</t>
  </si>
  <si>
    <t>W2244AM KE2 CLEAR r092x0163 CT1P</t>
  </si>
  <si>
    <t>W2250AV</t>
  </si>
  <si>
    <t>BF012381</t>
  </si>
  <si>
    <t>W2250AV KE2 CLEAR r087x0157 CT1P</t>
  </si>
  <si>
    <t>2-series (G42) &amp; 3-series (G20)</t>
  </si>
  <si>
    <t>W2241AK</t>
  </si>
  <si>
    <t>2025-0078-0215</t>
  </si>
  <si>
    <t>W2245AG</t>
  </si>
  <si>
    <t>Nissan/Infinity</t>
  </si>
  <si>
    <t>Pathfinder/QX60 (P42R? R53?)</t>
  </si>
  <si>
    <t>W2264AA</t>
  </si>
  <si>
    <t>BF009451 (269m), BF010781 (135m)</t>
  </si>
  <si>
    <t>2020_0406_01458 (269m), 2022_1358_02414 (135m)</t>
  </si>
  <si>
    <t>W2264AA KE2 CLEAR r116x0269 WT2A, W2264AA KE2 CLEAR r116x0135 CT4P</t>
  </si>
  <si>
    <t>6 from Sept '20, plus 6 from Nov '20</t>
  </si>
  <si>
    <t>W2267AA</t>
  </si>
  <si>
    <t>BF010875</t>
  </si>
  <si>
    <t>2022_1455_02511</t>
  </si>
  <si>
    <t>W2267AA KE2 CLEAR r116x0133 CT4P</t>
  </si>
  <si>
    <t>Increased wedge angle due to ghosting, but never tested</t>
  </si>
  <si>
    <t>Atlas (P416PA)</t>
  </si>
  <si>
    <t>W2262AC</t>
  </si>
  <si>
    <t>Wasted W-code. Canceled before it was ever extruded.</t>
  </si>
  <si>
    <r>
      <t>2022_1656_02712</t>
    </r>
    <r>
      <rPr>
        <sz val="11"/>
        <rFont val="Calibri"/>
        <family val="2"/>
        <scheme val="minor"/>
      </rPr>
      <t xml:space="preserve">, </t>
    </r>
    <r>
      <rPr>
        <strike/>
        <sz val="11"/>
        <rFont val="Calibri"/>
        <family val="2"/>
        <scheme val="minor"/>
      </rPr>
      <t>2022_1668_02724, 2022_1707_02763</t>
    </r>
  </si>
  <si>
    <t>, Thick down</t>
  </si>
  <si>
    <t>W2264AD</t>
  </si>
  <si>
    <t>BF011508 (single), BF011686 (4-roll)</t>
  </si>
  <si>
    <t>2022_1789_02845, 2023_1929_02986</t>
  </si>
  <si>
    <t>W2264AD KE2 CLEAR r096x0150 CB1P, W2264AD KE2 CLEAR r096x0150 CB4P</t>
  </si>
  <si>
    <t>Went with 0.72mrad</t>
  </si>
  <si>
    <t>W2272AB</t>
  </si>
  <si>
    <t>BF011509 (L9)</t>
  </si>
  <si>
    <t>2022_1789_02845 (L9)</t>
  </si>
  <si>
    <t>W2272AB KE2 CLEAR R096X0143 CB1P</t>
  </si>
  <si>
    <t>Not made on L9 due to steep wedge angle</t>
  </si>
  <si>
    <t>W2272AC</t>
  </si>
  <si>
    <t>BF011560 (single), BF011685 (4-roll), BF012715 (CT2A)</t>
  </si>
  <si>
    <t>2022_1810_02866, 2023_1928_02985, 2024_2920_03978</t>
  </si>
  <si>
    <t>W2272AC KE2 CLEAR r096x0143 CT1P, W2272AC KE2 CLEAR r096x0143 WT4A, W2272AC KE2 CLEAR r096x0285 CT2A</t>
  </si>
  <si>
    <t>New W-code since difficult to extend codes from Ulsan to TDF</t>
  </si>
  <si>
    <t>W2272AE</t>
  </si>
  <si>
    <t>Tayron (VW336)</t>
  </si>
  <si>
    <t>W2254AF</t>
  </si>
  <si>
    <t>BF01179 (CT1P)7, BF012196 (WT4A)</t>
  </si>
  <si>
    <t>2023_2016_03073, 2024_2413_03470</t>
  </si>
  <si>
    <t>W2254AF KE2 CLEAR r099x0154 CT1P, W2254AF KE2 CLEAR r099x0154 WT4A</t>
  </si>
  <si>
    <t>W2254AK</t>
  </si>
  <si>
    <t>Herzogenrath</t>
  </si>
  <si>
    <t>Porsche</t>
  </si>
  <si>
    <t>EV (PO426)</t>
  </si>
  <si>
    <t>W2220AE</t>
  </si>
  <si>
    <t>BF012681</t>
  </si>
  <si>
    <t>2024_2876_03934</t>
  </si>
  <si>
    <t>lab validation</t>
  </si>
  <si>
    <t>W2222AF</t>
  </si>
  <si>
    <t>2025-0178-0319</t>
  </si>
  <si>
    <t>Idx (VW413)</t>
  </si>
  <si>
    <t>W2225AG</t>
  </si>
  <si>
    <t>BF012680</t>
  </si>
  <si>
    <t>Tiguan (VW336)</t>
  </si>
  <si>
    <t>W2254AJ</t>
  </si>
  <si>
    <t>BF012679</t>
  </si>
  <si>
    <t>Horovice</t>
  </si>
  <si>
    <t>e-tron (513-2)</t>
  </si>
  <si>
    <t>W2240AE</t>
  </si>
  <si>
    <t>BF010388</t>
  </si>
  <si>
    <t>2021_1128_02183</t>
  </si>
  <si>
    <t>For comparison with Sekisui</t>
  </si>
  <si>
    <t>F01(7-er 2008-2015) &amp; E70 (X5 2007-2010)</t>
  </si>
  <si>
    <t>W2041AA</t>
  </si>
  <si>
    <t>2025-0102-0239</t>
  </si>
  <si>
    <t>Land Rover</t>
  </si>
  <si>
    <t>Range Rover (L460)</t>
  </si>
  <si>
    <t>W2267AC</t>
  </si>
  <si>
    <t>BF012121</t>
  </si>
  <si>
    <t>2023_2314_03371</t>
  </si>
  <si>
    <t>W2267AC KE2 CLEAR r110x0272 MT2P</t>
  </si>
  <si>
    <t>Range Rover Sport (L461)</t>
  </si>
  <si>
    <t>W2260AJ</t>
  </si>
  <si>
    <t>BF012120</t>
  </si>
  <si>
    <t>W2260AJ KE2 CLEAR r110x0284 MT2P</t>
  </si>
  <si>
    <t>Cayenne (536)</t>
  </si>
  <si>
    <t>W2235AA</t>
  </si>
  <si>
    <t>BF010217</t>
  </si>
  <si>
    <t>2021_1082_02137</t>
  </si>
  <si>
    <t>To compare with Sekisui's straight-line wedge, but we never produced this SKU</t>
  </si>
  <si>
    <t>Octavia (SK381)</t>
  </si>
  <si>
    <t>W2251AE</t>
  </si>
  <si>
    <t>BF011589</t>
  </si>
  <si>
    <t>2023_1873_02930</t>
  </si>
  <si>
    <t>Volvo</t>
  </si>
  <si>
    <t>XC60 (V426)</t>
  </si>
  <si>
    <t>W2241AA</t>
  </si>
  <si>
    <t>BF009793 (164m), BF011210 (326m)</t>
  </si>
  <si>
    <t>2021_0745_01799, 2022_1628_02684</t>
  </si>
  <si>
    <t>W2241AA KE2 CLEAR r111x0164 MT4, W2241AA KE2 CLEAR r111x0326 MT2P</t>
  </si>
  <si>
    <t>F5 version of W1241AC</t>
  </si>
  <si>
    <t>W1241</t>
  </si>
  <si>
    <t>BF007855, BF009161</t>
  </si>
  <si>
    <t>2020_0153_01205</t>
  </si>
  <si>
    <t>W1241 KE2 Clear r107x0.95x0164 MT4P, W1241 KE2 CLEAR r107x0.95x0150 MT4P</t>
  </si>
  <si>
    <t>June 2020?</t>
  </si>
  <si>
    <t>W1241AC</t>
  </si>
  <si>
    <t>BF009488</t>
  </si>
  <si>
    <t>2020_0458_01510</t>
  </si>
  <si>
    <t>W1241AC KE2 r111x0164 MT4P</t>
  </si>
  <si>
    <t>None.  Went straight to commercial production.</t>
  </si>
  <si>
    <t>Tiguan? (VW316)</t>
  </si>
  <si>
    <t>W2231AA</t>
  </si>
  <si>
    <t>BF012662 (CT1P), BF012663 (MT2P)</t>
  </si>
  <si>
    <t>167, 333</t>
  </si>
  <si>
    <t>2024_2856_03914</t>
  </si>
  <si>
    <t>W2231AA KE2 CLEAR r110x0167 CT1P, W2231AA KE2 CLEAR r110x0333 MT2P</t>
  </si>
  <si>
    <t>316-6</t>
  </si>
  <si>
    <t>W2231AE</t>
  </si>
  <si>
    <t>W2231AE KE2 CLEAR r114x0167 CB1P</t>
  </si>
  <si>
    <t>HRDC</t>
  </si>
  <si>
    <t>W5045</t>
  </si>
  <si>
    <t>BF007093</t>
  </si>
  <si>
    <t>Produced</t>
  </si>
  <si>
    <t>W5045 BR1 CLEAR i098x0.95x0030 CB1P</t>
  </si>
  <si>
    <t>For initial testing only</t>
  </si>
  <si>
    <t>W2340AB</t>
  </si>
  <si>
    <t>BF008373</t>
  </si>
  <si>
    <t>W2340AB KE2 BLU2 R107/15X0015 CT1P</t>
  </si>
  <si>
    <t>Initial F5 validation testing. Extruded in 2019 as W2340 KR?</t>
  </si>
  <si>
    <t>HRDC &amp; Horovice</t>
  </si>
  <si>
    <t>W2241</t>
  </si>
  <si>
    <t>BF008311, BF008707</t>
  </si>
  <si>
    <t>W2241 KE2 CLEAR r107x0.95x0150 CT1P, W2241 KE2 CLEAR R107X0.95X0150 CT4P</t>
  </si>
  <si>
    <t>Initial F5 validation testing</t>
  </si>
  <si>
    <t>Never tested?</t>
  </si>
  <si>
    <t>HRDC &amp; Stolberg</t>
  </si>
  <si>
    <t>Mini (or Mercedes?)</t>
  </si>
  <si>
    <t>Mercedes C-Class</t>
  </si>
  <si>
    <t>W1264</t>
  </si>
  <si>
    <t>BF007147, BF007146</t>
  </si>
  <si>
    <t>W1264 KE2 CLEAR r100x0.95x0150 MT4P, W1264 KE2 CLEAR R100X0.95X0300 CT2P</t>
  </si>
  <si>
    <t>With MgNeo, delivered week 44. Just scouting. Won't change vinyl supply in mid-stream.</t>
  </si>
  <si>
    <t>1
(four more rolls from Feb '19 were still in our inventory in May '21)</t>
  </si>
  <si>
    <t>good results comparable to competition</t>
  </si>
  <si>
    <t>Kenitra</t>
  </si>
  <si>
    <t>Nissan</t>
  </si>
  <si>
    <t>P33</t>
  </si>
  <si>
    <t>W2253AD</t>
  </si>
  <si>
    <t>W2253AD KE2 CLEAR r115x0146 CT1P</t>
  </si>
  <si>
    <t>Kunsan</t>
  </si>
  <si>
    <t>Genesis G80 (RG3 PE)</t>
  </si>
  <si>
    <t>W2339AA</t>
  </si>
  <si>
    <t>BF012318</t>
  </si>
  <si>
    <t>2024_2538_03595</t>
  </si>
  <si>
    <t>W2339AA KR BLU2 r099/12x0150 CB1P</t>
  </si>
  <si>
    <t>Nexo (NH2)</t>
  </si>
  <si>
    <t>W2241AJ</t>
  </si>
  <si>
    <t>BF012811, ____, _____</t>
  </si>
  <si>
    <t>2025-0068-0205, 2025-0141-0281</t>
  </si>
  <si>
    <t>W2241AJ KR CLEAR r112x0150 CB1P, W2241AJ KR CLEAR r112x0250 CB2P, W2241AJ KR CLEAR r112x0250 MB2P</t>
  </si>
  <si>
    <t>W2241AL</t>
  </si>
  <si>
    <t>BF012917</t>
  </si>
  <si>
    <t>2025-0215-0360, 2025-0312-0459</t>
  </si>
  <si>
    <t>W2241AL KR CLEAR r114x0150 CB1P</t>
  </si>
  <si>
    <t>Width and HUZ zone changes, considering more sheet stretching (SOP: 2025/05)</t>
  </si>
  <si>
    <t>W2241AM</t>
  </si>
  <si>
    <t>BF012918 (CB2P), BF012919 (MB2P)</t>
  </si>
  <si>
    <t>2025-0221-0366</t>
  </si>
  <si>
    <t>W2241AM KR CLEAR r113x0250 CB2P, W2241AM KR CLEAR r113x0250 MB2P</t>
  </si>
  <si>
    <t>W2243AD</t>
  </si>
  <si>
    <t>BF012735</t>
  </si>
  <si>
    <t>2024_2937_03995</t>
  </si>
  <si>
    <t>W2243AD KR CLEAR r113x0150 CB1P</t>
  </si>
  <si>
    <t>W2244AN</t>
  </si>
  <si>
    <t>2024_2900_03958, 2024_2987_04045</t>
  </si>
  <si>
    <t>Palisade (LX2 PE)</t>
  </si>
  <si>
    <t>W2265AD</t>
  </si>
  <si>
    <t>BF012734</t>
  </si>
  <si>
    <t>2024_2936_03994</t>
  </si>
  <si>
    <t>W2265AD KR CLEAR r099x0145 CB1P</t>
  </si>
  <si>
    <t>W2261AA</t>
  </si>
  <si>
    <t>BF012317, ___ (MB2P)</t>
  </si>
  <si>
    <t>2024_2538_03595, 2024_2678_03736, 2024_2759_03817, 2024_2987_04045, 2024_2996_04054</t>
  </si>
  <si>
    <t>W2261AA KR CLEAR r099x0150 CB1P, W2261AA KR CLEAR r099x0290 CB2P</t>
  </si>
  <si>
    <t>Palisade (LX2-W PE)</t>
  </si>
  <si>
    <t>W2351AA</t>
  </si>
  <si>
    <t>BF010040</t>
  </si>
  <si>
    <t>2021_0963_02018</t>
  </si>
  <si>
    <t>W2351AA KR BLU2 r098/12x0159 CT1P</t>
  </si>
  <si>
    <t>Sekisui's angle</t>
  </si>
  <si>
    <t>W2354AA</t>
  </si>
  <si>
    <t>BF010775</t>
  </si>
  <si>
    <t>2022_1345_02401</t>
  </si>
  <si>
    <t>W2354AA KR BLU2 r098/12x0150 CB1P</t>
  </si>
  <si>
    <t>Our higher angle</t>
  </si>
  <si>
    <t>W2354AB</t>
  </si>
  <si>
    <t>BF010925 (310m),</t>
  </si>
  <si>
    <t>310, 156</t>
  </si>
  <si>
    <t>2022_1512_02568, 2022_1799_02855</t>
  </si>
  <si>
    <t>W2354AB KR BLU2 r099x0310 CB2P, W2354AB KR BLU2 r099/12x0156 CB4P</t>
  </si>
  <si>
    <t>Wanted 1 cm wider</t>
  </si>
  <si>
    <t>W2254AB</t>
  </si>
  <si>
    <t>BF011425</t>
  </si>
  <si>
    <t>2022_1689_02745</t>
  </si>
  <si>
    <t>Clear version of previous SKUs for this w/s</t>
  </si>
  <si>
    <t>W2357AA</t>
  </si>
  <si>
    <t>BF011607 (153m), BF011608 (304m)</t>
  </si>
  <si>
    <t>153, 304, 300</t>
  </si>
  <si>
    <t>2023_1892_02949, 2023_1961_03018</t>
  </si>
  <si>
    <t>W2357AA KR BLU2 r099/12x0153 CB4P, W2357AA KR BLU2 r099/12x0304 CB2P</t>
  </si>
  <si>
    <t>W2257AC</t>
  </si>
  <si>
    <t>BF011609 (153m), BF011610 (304m), BF011729 (300m)</t>
  </si>
  <si>
    <t>153, 304,300</t>
  </si>
  <si>
    <t>W2257AC KR CLEAR r099x0153 CB4P, W2257AC KR CLEAR r099x0304 CB2P</t>
  </si>
  <si>
    <t>Switched to W2258AI</t>
  </si>
  <si>
    <t>W2358AA</t>
  </si>
  <si>
    <t>BF011827</t>
  </si>
  <si>
    <t>2023_2040_03097</t>
  </si>
  <si>
    <t>W2358AA KR BLU2 r099/12x0300 CB2P</t>
  </si>
  <si>
    <t>W2258AI</t>
  </si>
  <si>
    <t>BF011828</t>
  </si>
  <si>
    <t>W2258AI KR CLEAR r099x0300 CB2P</t>
  </si>
  <si>
    <t>Palisade (LX2-W)</t>
  </si>
  <si>
    <t>W2346AA</t>
  </si>
  <si>
    <t>BF009672, BF009901</t>
  </si>
  <si>
    <t>2021_0635_01687, 2021_0815_01869, 2021_0861_01915</t>
  </si>
  <si>
    <t>W2346AA KR BLU2 r098/12x0164 CT4P, W2346AA KR BLU2 R98/12X0164 CT1P</t>
  </si>
  <si>
    <t>L8 inventory used up in late 2023</t>
  </si>
  <si>
    <t>Palisade (LX3)</t>
  </si>
  <si>
    <t>W2255AE</t>
  </si>
  <si>
    <t>BF012422</t>
  </si>
  <si>
    <t>2024_2652_03710</t>
  </si>
  <si>
    <t>W2255AE KR CLEAR r104x0150 CB1P</t>
  </si>
  <si>
    <t>EV6 (CV)</t>
  </si>
  <si>
    <t>W2212AA</t>
  </si>
  <si>
    <t>BF010240 (L8, 100m), BF010774 (L9, 150m), BF010822? (L8 201m), BF010924 (CB2P)</t>
  </si>
  <si>
    <t>Nov-2021 on L8. Jun-2022 on L9.</t>
  </si>
  <si>
    <t>2021_1076_02131 (L8), 2022_1345_02401 (L9), 2022_1407_02463 (L8 commercial), 2022_1511_02567 (L9 longer)</t>
  </si>
  <si>
    <t>W2212AA KR CLEAR r122x0100 CT1P (L8), W2212AA KR CLEAR r122x0150 CB1P (L9)</t>
  </si>
  <si>
    <t>Originally only set up for one 100m roll</t>
  </si>
  <si>
    <t>EV7 (MV)</t>
  </si>
  <si>
    <t>W2249AD</t>
  </si>
  <si>
    <t>BF011001</t>
  </si>
  <si>
    <t>2022_1557_02613</t>
  </si>
  <si>
    <t>W2253AA</t>
  </si>
  <si>
    <t>BF011551</t>
  </si>
  <si>
    <t>2022_1815_02871</t>
  </si>
  <si>
    <t>W2253AA KR CLEAR r102x0155 CB1P</t>
  </si>
  <si>
    <t>K9 sedan (RJ PE)</t>
  </si>
  <si>
    <t>W2343AA</t>
  </si>
  <si>
    <t>BF011424</t>
  </si>
  <si>
    <t>W2349AA</t>
  </si>
  <si>
    <t>BF011494</t>
  </si>
  <si>
    <t>2022_1780_02836</t>
  </si>
  <si>
    <t>W2349AA KR BLU2 r101/16x0150 CB1P</t>
  </si>
  <si>
    <t>Niro HEV SUV (SG2)</t>
  </si>
  <si>
    <t>W2241AE</t>
  </si>
  <si>
    <t>BF011426</t>
  </si>
  <si>
    <t>Stinger (CK)</t>
  </si>
  <si>
    <t>W2338</t>
  </si>
  <si>
    <t>BF008534</t>
  </si>
  <si>
    <t>W2338 KR BLU2 R104/16X0.95X0168 CT1P</t>
  </si>
  <si>
    <t>ghosting mostly high</t>
  </si>
  <si>
    <t>W2341AA</t>
  </si>
  <si>
    <t>BF009415</t>
  </si>
  <si>
    <t>2020_0340_01392</t>
  </si>
  <si>
    <t>Increased wedge angle due to ghosting being high</t>
  </si>
  <si>
    <t>2-4 rolls</t>
  </si>
  <si>
    <t>Meizhou</t>
  </si>
  <si>
    <t>Mahindra</t>
  </si>
  <si>
    <t>M110</t>
  </si>
  <si>
    <t>W2216AA</t>
  </si>
  <si>
    <t>BF012459</t>
  </si>
  <si>
    <t>2024_2704_03762</t>
  </si>
  <si>
    <t>W2216AA KE2 CLEAR r138x0188 CB1P</t>
  </si>
  <si>
    <t>M310</t>
  </si>
  <si>
    <t>W2227AJ</t>
  </si>
  <si>
    <t>2024_2890_03948</t>
  </si>
  <si>
    <t>W2227AG</t>
  </si>
  <si>
    <t>BF012460</t>
  </si>
  <si>
    <t>W2227AG KE2 CLEAR r111x0175 CB1P</t>
  </si>
  <si>
    <t>W2227AI</t>
  </si>
  <si>
    <t>BF012551</t>
  </si>
  <si>
    <t>2024_2789_03847</t>
  </si>
  <si>
    <t>W2227AI KE2 CLEAR r109x0173 CB1P</t>
  </si>
  <si>
    <t>W2216AE</t>
  </si>
  <si>
    <t>M610</t>
  </si>
  <si>
    <t>W2216AB</t>
  </si>
  <si>
    <t>BF012461</t>
  </si>
  <si>
    <t>W2216AB KE2 CLEAR r111x0193 CB1P</t>
  </si>
  <si>
    <t>W2216AD</t>
  </si>
  <si>
    <t>BF012553 (CB1P), BF012554 (CB4P)</t>
  </si>
  <si>
    <t>W2216AD KE2 CLEAR r109x0194 CB1P, W2216AD KE2 CLEAR r109x0194 CB4P</t>
  </si>
  <si>
    <t>J59K</t>
  </si>
  <si>
    <t>W2241AH</t>
  </si>
  <si>
    <t>BF012303 (CB1P), BF012366 (CB4P)</t>
  </si>
  <si>
    <t>2024_2515_03572, 2024_2598_03656</t>
  </si>
  <si>
    <t>W2241AH KE2 CLEAR r108x0160 CB1P, W2241AH KE2 CLEAR r108x0160 CB4P</t>
  </si>
  <si>
    <t>E29</t>
  </si>
  <si>
    <t>W2222AE</t>
  </si>
  <si>
    <t>Calice asked for tighter LWA specs</t>
  </si>
  <si>
    <t>W2228AG</t>
  </si>
  <si>
    <t>BF012899 (CB1P), BF012900 (CB4P), ____ (L8)</t>
  </si>
  <si>
    <t>2025-0190-0331, ___ (L8)</t>
  </si>
  <si>
    <t>W2228AG KE2 CLEAR r105x0176 CB1P, W2228AG KE2 CLEAR r105x0176 CB4P, ____ (L8)</t>
  </si>
  <si>
    <t>F05</t>
  </si>
  <si>
    <t>W2225AM</t>
  </si>
  <si>
    <t>ADAS application, no LWA needed. Test made at L9 for 36 rolls, no issues with winding of the rolls</t>
  </si>
  <si>
    <t>W2225AN</t>
  </si>
  <si>
    <t>W2239AI</t>
  </si>
  <si>
    <t>ADAS application, no LWA needed</t>
  </si>
  <si>
    <t>W2242AC</t>
  </si>
  <si>
    <t>F57</t>
  </si>
  <si>
    <t>W2224AB</t>
  </si>
  <si>
    <t>2025-0282-0428</t>
  </si>
  <si>
    <t>W2224 KE2 CLEAR r130x0176 CB1P</t>
  </si>
  <si>
    <t>H93</t>
  </si>
  <si>
    <t>W2223AC</t>
  </si>
  <si>
    <t>BF012789</t>
  </si>
  <si>
    <t>2024_2994_04052</t>
  </si>
  <si>
    <t>W2229AH</t>
  </si>
  <si>
    <t>BF012791</t>
  </si>
  <si>
    <t>W2229AK</t>
  </si>
  <si>
    <t>2025-0297-0443</t>
  </si>
  <si>
    <t>W2232AN</t>
  </si>
  <si>
    <t>CX1E</t>
  </si>
  <si>
    <t>W2225AD</t>
  </si>
  <si>
    <t>BF012128 (CB1P), BF012371 (CB4P)</t>
  </si>
  <si>
    <t>2023_2320_03377, 2024_2592_03650</t>
  </si>
  <si>
    <t>W2225AD KE2 CLEAR r110x0183 CB1P, W2225AD KE2 CLEAR r110x0183 CB4P</t>
  </si>
  <si>
    <t>W2227AH</t>
  </si>
  <si>
    <t>BF012540</t>
  </si>
  <si>
    <t>2024_2768_03826</t>
  </si>
  <si>
    <t>W2227AH KE2 CLEAR r110x0180 CB4P</t>
  </si>
  <si>
    <t>W2233AI</t>
  </si>
  <si>
    <t>BF012541</t>
  </si>
  <si>
    <t>W2233AI KE2 CLEAR r106x0174 CB4P</t>
  </si>
  <si>
    <t>EHY</t>
  </si>
  <si>
    <t>W2232AO</t>
  </si>
  <si>
    <t>W2232AO KE2 CLEAR r124x0162 CB1P</t>
  </si>
  <si>
    <t>Poland</t>
  </si>
  <si>
    <t>1 series (F70)</t>
  </si>
  <si>
    <t>W2247AG</t>
  </si>
  <si>
    <t>BF012589</t>
  </si>
  <si>
    <t>2024_2819_03877</t>
  </si>
  <si>
    <t>W2247AG KE2 CLEAR r098x0163 CT1P</t>
  </si>
  <si>
    <t>W2251AK</t>
  </si>
  <si>
    <t>BF012590</t>
  </si>
  <si>
    <t>W2251AK KE2 CLEAR r098x0159 CT1P</t>
  </si>
  <si>
    <t>W2254AH</t>
  </si>
  <si>
    <t>BF012357</t>
  </si>
  <si>
    <t>2024_2579_03637</t>
  </si>
  <si>
    <t>W2254AH KE2 CLEAR r098x0152 CT1P</t>
  </si>
  <si>
    <t>W2257AG</t>
  </si>
  <si>
    <t>BF012591</t>
  </si>
  <si>
    <t>W2257AG KE2 CLEAR r098x0153 CT1P</t>
  </si>
  <si>
    <t>3 series (G20)</t>
  </si>
  <si>
    <t>W2250AW</t>
  </si>
  <si>
    <t>BF012865</t>
  </si>
  <si>
    <t>2025-0163-0303</t>
  </si>
  <si>
    <t>5 series (G60)</t>
  </si>
  <si>
    <t>W2243AE</t>
  </si>
  <si>
    <t>BF012866</t>
  </si>
  <si>
    <t>NX5e</t>
  </si>
  <si>
    <t>W2246AH</t>
  </si>
  <si>
    <t>W2246AH KE2 CLEAR r105x0317 MT2P</t>
  </si>
  <si>
    <t>QingDao</t>
  </si>
  <si>
    <t>Lotus</t>
  </si>
  <si>
    <t>W2221AC</t>
  </si>
  <si>
    <t>BF011816</t>
  </si>
  <si>
    <t>2023_2030_03087</t>
  </si>
  <si>
    <t>W2221AC KE2 CLEAR r107x0190 CB1P</t>
  </si>
  <si>
    <t>DC1E A2</t>
  </si>
  <si>
    <t>W2220AC</t>
  </si>
  <si>
    <t>BF012126 (CB1P), BF012403 (CB4P), ___ (L8)</t>
  </si>
  <si>
    <t>2023_2320_03377, 2024_2638_03696, 2024_2957_04015 (L8 test)</t>
  </si>
  <si>
    <t>W2220AC KE2 CLEAR r105x0192 CB1P, W2220AC KE2 CLEAR r105x0192 CB4P</t>
  </si>
  <si>
    <t>DC1E A3</t>
  </si>
  <si>
    <t>W2225AK</t>
  </si>
  <si>
    <t>BF012999</t>
  </si>
  <si>
    <t>2025-0281-0427</t>
  </si>
  <si>
    <t>W2225AL</t>
  </si>
  <si>
    <t>W2228AI</t>
  </si>
  <si>
    <t>DX1H</t>
  </si>
  <si>
    <t>W2221AF</t>
  </si>
  <si>
    <t>CB1P), BF012786 (CB4P)</t>
  </si>
  <si>
    <t>2024_2993_04051</t>
  </si>
  <si>
    <t>Suggested using W2221AD for initial testing, but nope</t>
  </si>
  <si>
    <t>W2221AG</t>
  </si>
  <si>
    <t>2025-0191-0332</t>
  </si>
  <si>
    <t>sold a couple rolls in 2025, no continued business</t>
  </si>
  <si>
    <t>EX1H</t>
  </si>
  <si>
    <t>W2229AD</t>
  </si>
  <si>
    <t>BF012519 (CB1P), BF012520 (CB4P)</t>
  </si>
  <si>
    <t>2024_2751_03809</t>
  </si>
  <si>
    <t>W2229AE</t>
  </si>
  <si>
    <t>BF012622</t>
  </si>
  <si>
    <t>2024_2838_03896</t>
  </si>
  <si>
    <t>Very similar to W2229AAT. Consolidate?</t>
  </si>
  <si>
    <t>W2229AI</t>
  </si>
  <si>
    <t>BF012896</t>
  </si>
  <si>
    <t>2025-0190-0335</t>
  </si>
  <si>
    <t>W2229AI KE2 CLEAR r111x0177 CB4P</t>
  </si>
  <si>
    <t>Saltillo</t>
  </si>
  <si>
    <t>3 (J59)</t>
  </si>
  <si>
    <t>W2250AT</t>
  </si>
  <si>
    <t>BF012103</t>
  </si>
  <si>
    <t>2023_2283_03340</t>
  </si>
  <si>
    <t>W2250AT KE2 CLEAR r105x0156 CT1P</t>
  </si>
  <si>
    <t>J59J</t>
  </si>
  <si>
    <t>W2245AE</t>
  </si>
  <si>
    <t>2025-0169-0309</t>
  </si>
  <si>
    <t>Savigliano</t>
  </si>
  <si>
    <t>Stellantis (DS? Renault?)</t>
  </si>
  <si>
    <t>D-cross</t>
  </si>
  <si>
    <t>W2221AB</t>
  </si>
  <si>
    <t>BF011651</t>
  </si>
  <si>
    <t>2023_1915_02972</t>
  </si>
  <si>
    <t>DS</t>
  </si>
  <si>
    <t>DS8</t>
  </si>
  <si>
    <t>W2225AI</t>
  </si>
  <si>
    <t>2025-0256-0401</t>
  </si>
  <si>
    <t>X01</t>
  </si>
  <si>
    <t>W2266AB</t>
  </si>
  <si>
    <t>BF012127</t>
  </si>
  <si>
    <t>W2266AB KE2 CLEAR r108x0139 CB1P</t>
  </si>
  <si>
    <t>W2231AB</t>
  </si>
  <si>
    <t>2024_2904_03962</t>
  </si>
  <si>
    <t>Horizontal refrigerated!</t>
  </si>
  <si>
    <t>W2235AG</t>
  </si>
  <si>
    <t>Draft template received, but never requested via BPCM</t>
  </si>
  <si>
    <t>Thailand</t>
  </si>
  <si>
    <t>Vinfast</t>
  </si>
  <si>
    <t>VF6</t>
  </si>
  <si>
    <t>W2230AE</t>
  </si>
  <si>
    <t>BF012549</t>
  </si>
  <si>
    <t>2024_2787_03845</t>
  </si>
  <si>
    <t>W2230AE KE2 CLEAR i110x0120 C02P</t>
  </si>
  <si>
    <t>Interleaved!</t>
  </si>
  <si>
    <t>W2233AJ</t>
  </si>
  <si>
    <t>BF012550</t>
  </si>
  <si>
    <t>W2233AJ KE2 CLEAR i110x0120 C02P</t>
  </si>
  <si>
    <t>Thourotte</t>
  </si>
  <si>
    <t>PSA group</t>
  </si>
  <si>
    <t>Citroen Picasso</t>
  </si>
  <si>
    <t>W2226AA</t>
  </si>
  <si>
    <t>BF009505</t>
  </si>
  <si>
    <t>2020_0497_01549</t>
  </si>
  <si>
    <t>XC90 II (V522/V526)</t>
  </si>
  <si>
    <t>W2248AK</t>
  </si>
  <si>
    <t>2024_2885_03943</t>
  </si>
  <si>
    <t>W2255AD</t>
  </si>
  <si>
    <t>BF012335</t>
  </si>
  <si>
    <t>2024_2546_03603</t>
  </si>
  <si>
    <t>W2255AD KE2 CLEAR r107x0304 MT2P</t>
  </si>
  <si>
    <t>SVOS</t>
  </si>
  <si>
    <t>Prelouc</t>
  </si>
  <si>
    <t>Army</t>
  </si>
  <si>
    <t>BRG</t>
  </si>
  <si>
    <t>W2241AD</t>
  </si>
  <si>
    <t>BF010734</t>
  </si>
  <si>
    <t>2022_1324_02380</t>
  </si>
  <si>
    <t>W2241AD KE2 CLEAR r111x0050 CT1P</t>
  </si>
  <si>
    <t>SYP</t>
  </si>
  <si>
    <t>China</t>
  </si>
  <si>
    <t>Leapmotor</t>
  </si>
  <si>
    <t>W2223AE</t>
  </si>
  <si>
    <t>2025-0231-0376</t>
  </si>
  <si>
    <t>W2223AE LE2 CLEAR r138x0174 CB1P</t>
  </si>
  <si>
    <t>SOP 2026</t>
  </si>
  <si>
    <t>Wuhan</t>
  </si>
  <si>
    <t>W2222AH</t>
  </si>
  <si>
    <t>W2222AH LE2 CLEAR r138x0176 CB1P</t>
  </si>
  <si>
    <t>produced commercially in Feb 2026</t>
  </si>
  <si>
    <t>VF12</t>
  </si>
  <si>
    <t>W2262AB</t>
  </si>
  <si>
    <t>BF011309</t>
  </si>
  <si>
    <t>2022_1625_02681</t>
  </si>
  <si>
    <t>W2262AB LE2 CLEAR r100x0050 CB1P</t>
  </si>
  <si>
    <t>W5054AB</t>
  </si>
  <si>
    <t>BF012337</t>
  </si>
  <si>
    <t>2024_2554_03611</t>
  </si>
  <si>
    <t>W5054AB FR3 CLEAR r098x0158 CB1P</t>
  </si>
  <si>
    <t>Vitro</t>
  </si>
  <si>
    <t>Berea</t>
  </si>
  <si>
    <t>Chevy, Pontiac, Buick</t>
  </si>
  <si>
    <t>Lumina ARG (FI-2702 / 04), Bonneville OEM (FI-3273), LeSabre ARG (FI-3274)</t>
  </si>
  <si>
    <t>W5145</t>
  </si>
  <si>
    <t>BF005673</t>
  </si>
  <si>
    <t>1996?</t>
  </si>
  <si>
    <t>W5145 FR2 BLUE R118/23X0.95X0335 CB2A</t>
  </si>
  <si>
    <t>BE8240F</t>
  </si>
  <si>
    <t>Pontiac</t>
  </si>
  <si>
    <t>Grand Prix (FI-3424)</t>
  </si>
  <si>
    <t>W5130</t>
  </si>
  <si>
    <t>BF005773</t>
  </si>
  <si>
    <t>W5130 FR3 BLUE R117/26X0.95X0335 CB2A</t>
  </si>
  <si>
    <t>BE8290F</t>
  </si>
  <si>
    <t>Elkin</t>
  </si>
  <si>
    <t>Ram</t>
  </si>
  <si>
    <t>2019 Truck (DT = CH4815))</t>
  </si>
  <si>
    <t>W2248</t>
  </si>
  <si>
    <t>BF008994, BF008995</t>
  </si>
  <si>
    <t>2020_0027_01078</t>
  </si>
  <si>
    <t>W2248 LE2 CLEAR R107X0.95X0150 CT1A, W2248 LE2 CLEAR R107X0.95X0150 CT4A</t>
  </si>
  <si>
    <t>Lower angle because it will be shaped. DT platform, CH4815. Will want big rolls commercially.</t>
  </si>
  <si>
    <t>W1260</t>
  </si>
  <si>
    <t>BF007858</t>
  </si>
  <si>
    <t>W1260 LE2 CLEAR r104x0.95x0150 CT4P</t>
  </si>
  <si>
    <t>DT platform, CH4815 - not shaped</t>
  </si>
  <si>
    <t>2021 Sienna (500B = TOY4954)</t>
  </si>
  <si>
    <t>W2228</t>
  </si>
  <si>
    <t>BF008992, BF008993</t>
  </si>
  <si>
    <t>W2228 LE2 CLEAR R121X0.95X0150 CT1A, W2228 LE2 CLEAR R121X0.95X0150 CT4A</t>
  </si>
  <si>
    <t>Tweaked angle. 500B platform, TOY4954. Will want big rolls commercially.</t>
  </si>
  <si>
    <t>W1230</t>
  </si>
  <si>
    <t>BF007856</t>
  </si>
  <si>
    <t>W1230 LE2 CLEAR r121x0.95x0150 CT4P</t>
  </si>
  <si>
    <t>500B platform, TOY4954</t>
  </si>
  <si>
    <t>Monterrey</t>
  </si>
  <si>
    <t>Tacoma</t>
  </si>
  <si>
    <t>W2064AA</t>
  </si>
  <si>
    <t>BF012676 (refrig), ____ (intlvd)</t>
  </si>
  <si>
    <t>2024_2873_03931, 2025-0237-0382</t>
  </si>
  <si>
    <t>W2064AA KE2 CLEAR r115x0140 CT1P</t>
  </si>
  <si>
    <t>Originally wanted interleaved, but switched to refrigerated. Then asked for interleaved.</t>
  </si>
  <si>
    <t>W2052AA</t>
  </si>
  <si>
    <t>2025-0293-0439</t>
  </si>
  <si>
    <t>W2052AA KE2 CLEAR i115x0152 CT1A</t>
  </si>
  <si>
    <t>W2056AA</t>
  </si>
  <si>
    <t>W2056AA KE2 CLEAR i115x0148 CT1A</t>
  </si>
  <si>
    <t>W2057AA</t>
  </si>
  <si>
    <t>W2072AA</t>
  </si>
  <si>
    <t>W2072AA KE2 CLEAR i115x0133 CT1A</t>
  </si>
  <si>
    <t>W2252AT</t>
  </si>
  <si>
    <t>W2257AH</t>
  </si>
  <si>
    <t>W2272AF</t>
  </si>
  <si>
    <t>W2252AG</t>
  </si>
  <si>
    <t>BF011467</t>
  </si>
  <si>
    <t>2022_1726_02782</t>
  </si>
  <si>
    <t>W2252AG KE2 CLEAR r120x0144 CT1P</t>
  </si>
  <si>
    <t>W2353AA</t>
  </si>
  <si>
    <t>BF011436</t>
  </si>
  <si>
    <t>2022_1719_02775</t>
  </si>
  <si>
    <t>W2353AA KE2 BLU2 r094/18x0158 CB1P</t>
  </si>
  <si>
    <t>W2257AA</t>
  </si>
  <si>
    <t>BF011435</t>
  </si>
  <si>
    <t>W2257AA KE2 CLEAR r110x0146 CB1P</t>
  </si>
  <si>
    <t>C-class (W206)</t>
  </si>
  <si>
    <t>W2221AA</t>
  </si>
  <si>
    <t>BF009219, BF009220</t>
  </si>
  <si>
    <t>2020_0220_01272</t>
  </si>
  <si>
    <t>W2221AA LE2 CLEAR R101X0195 CT1P, W2221AA LE2 CLEAR R101X0195 MT4P</t>
  </si>
  <si>
    <t>MRC4802. Version for shaping</t>
  </si>
  <si>
    <t>W2232AA</t>
  </si>
  <si>
    <t>BF009170, BF009171</t>
  </si>
  <si>
    <t>2020_0219_01271, 2020_0142_01193</t>
  </si>
  <si>
    <t>W2232AA LE2 CLEAR R093X0175 CT1P, W2232AA LE2 CLEAR R093X0175 MT4P</t>
  </si>
  <si>
    <t>MRC4802. CT1P and MT4P packages were originally requested, both for 177m. But then the width changed to 93cm before we extruded.</t>
  </si>
  <si>
    <t>Not used</t>
  </si>
  <si>
    <t>S-class</t>
  </si>
  <si>
    <t>W2254AA</t>
  </si>
  <si>
    <t>BF010978</t>
  </si>
  <si>
    <t>2022_1566_02622</t>
  </si>
  <si>
    <t>W2254AA KE2 r108x146 KE2 CT1P</t>
  </si>
  <si>
    <t>W2236AE</t>
  </si>
  <si>
    <t>2025-0240-0385</t>
  </si>
  <si>
    <t>S60 (VO4170)</t>
  </si>
  <si>
    <t>W1236</t>
  </si>
  <si>
    <t>BF007859</t>
  </si>
  <si>
    <t>W1236 LE2 CLEAR r109x0.95x0150 CT4P</t>
  </si>
  <si>
    <t>VO4170, 2018 V43x</t>
  </si>
  <si>
    <t>W2236</t>
  </si>
  <si>
    <t>BF008996, BF008997</t>
  </si>
  <si>
    <t>W2236 LE2 CLEAR R109X0.95X0150 CT1A, W2236 LE2 CLEAR R109X0.95X0150 CT4A</t>
  </si>
  <si>
    <t>VO4170, 2018 V43x. Will want big rolls commercially.</t>
  </si>
  <si>
    <t>Vitroflex</t>
  </si>
  <si>
    <t>CT4 (A2SL, FI4137)</t>
  </si>
  <si>
    <t>W2246AA</t>
  </si>
  <si>
    <t>BF009289, BF009298?</t>
  </si>
  <si>
    <t>2020_0303_01355</t>
  </si>
  <si>
    <t>W2246AA LE2 CLEAR r099x0150 CT1A, W2246AA LE2 CLEAR r099x0325 WT2A</t>
  </si>
  <si>
    <t>Vitro part FI4137</t>
  </si>
  <si>
    <t>Rogue</t>
  </si>
  <si>
    <t>W1239</t>
  </si>
  <si>
    <t>BF007857</t>
  </si>
  <si>
    <t>W1239 LE2 CLEAR R115X0.95X0150 CT4P</t>
  </si>
  <si>
    <t>Never made for Vitroflex. Was made for an initial scouting for W2229AA for AGC Chuderice.</t>
  </si>
  <si>
    <t>Never made for Vitroflex.  Was made for AGC Chuderice.</t>
  </si>
  <si>
    <t>Webasto</t>
  </si>
  <si>
    <t>A6</t>
  </si>
  <si>
    <t>W2220AD</t>
  </si>
  <si>
    <t>BF012394</t>
  </si>
  <si>
    <t>2024_2610_03668</t>
  </si>
  <si>
    <t>W2220AD KR CLEAR r110x0186 CT1P</t>
  </si>
  <si>
    <t>Originally requested ±0.10 mrad for LWA, but then changed to the standard ±0.15 mrad</t>
  </si>
  <si>
    <t>Xinyi</t>
  </si>
  <si>
    <t>W2250AC</t>
  </si>
  <si>
    <t>BF010863</t>
  </si>
  <si>
    <t>2022_1429_02485</t>
  </si>
  <si>
    <t>W2250AC KE2 CLEAR r100x0158 CB4A</t>
  </si>
  <si>
    <t>Straight to commercial. Replaced by W2250AM</t>
  </si>
  <si>
    <t>W5050AB</t>
  </si>
  <si>
    <t>BF010859</t>
  </si>
  <si>
    <t>W5050AB DR3 CLEAR r096x0165 CB4A</t>
  </si>
  <si>
    <t>Straight to commercial. Replaced by W5050AI</t>
  </si>
  <si>
    <t>W5050AC</t>
  </si>
  <si>
    <t>BF010860</t>
  </si>
  <si>
    <t>W5050AC DR3 CLEAR r105x0161 CB4A</t>
  </si>
  <si>
    <t>Straight to commercial. Replaced by W5050AJ</t>
  </si>
  <si>
    <t>W5150AB</t>
  </si>
  <si>
    <t>BF010861</t>
  </si>
  <si>
    <t>W5150AB DR3 BLUE r086/14x0169 CB4A</t>
  </si>
  <si>
    <t>Straight to commercial. Replaced by W5150AE.</t>
  </si>
  <si>
    <t>Dongguan</t>
  </si>
  <si>
    <t>W5140AA</t>
  </si>
  <si>
    <t>BF011627</t>
  </si>
  <si>
    <t>2023_1902_02959</t>
  </si>
  <si>
    <t>W5140AA DR3 BLUE i091/15x0182 C02P</t>
  </si>
  <si>
    <t>W5065AA</t>
  </si>
  <si>
    <t>BF012254</t>
  </si>
  <si>
    <t>2024_2477_03534</t>
  </si>
  <si>
    <t>W5065AA DR3 CLEAR r081x0154 CB1P</t>
  </si>
  <si>
    <t>W5165AA</t>
  </si>
  <si>
    <t>BF012253</t>
  </si>
  <si>
    <t>W5165AA DR3 BLUE r081/10x0154 CB1P</t>
  </si>
  <si>
    <t>Shenzhen</t>
  </si>
  <si>
    <t>W2250AA</t>
  </si>
  <si>
    <t>BF009447</t>
  </si>
  <si>
    <t>2020_0394_01446</t>
  </si>
  <si>
    <t>W2250AA KE2 CLEAR r120x0050xW19P</t>
  </si>
  <si>
    <t>Initial sample</t>
  </si>
  <si>
    <t>W2350AD</t>
  </si>
  <si>
    <t>BF011720</t>
  </si>
  <si>
    <t>2023_1950_03007</t>
  </si>
  <si>
    <t>W2350AD KE2 BLU2 r115/18x0149 CB4P</t>
  </si>
  <si>
    <t>W2250AM</t>
  </si>
  <si>
    <t>BF011714</t>
  </si>
  <si>
    <t>W2250AM KE2 CLEAR r100x0159 CB4P</t>
  </si>
  <si>
    <t>Replacing W2250AC</t>
  </si>
  <si>
    <t>W2250AN</t>
  </si>
  <si>
    <t>BF011712</t>
  </si>
  <si>
    <t>W2250AN KE2 CLEAR r091x0162 CB4P</t>
  </si>
  <si>
    <t>Replacing W2250AB</t>
  </si>
  <si>
    <t>W5050AI</t>
  </si>
  <si>
    <t>BF011715</t>
  </si>
  <si>
    <t>W5050AI DR3 CLEAR r096x0168 CB4P</t>
  </si>
  <si>
    <t>Replacing W5050AB</t>
  </si>
  <si>
    <t>W5050AJ</t>
  </si>
  <si>
    <t>BF011716</t>
  </si>
  <si>
    <t>W5050AJ DR3 CLEAR r105x0161 CB4P</t>
  </si>
  <si>
    <t>Replacing W5050AC</t>
  </si>
  <si>
    <t>W5150AE</t>
  </si>
  <si>
    <t>BF011717</t>
  </si>
  <si>
    <t>W5150AE DR3 BLUE r086/14x0172 CB4P</t>
  </si>
  <si>
    <t>Replacing W5150AB</t>
  </si>
  <si>
    <t>W5150AF</t>
  </si>
  <si>
    <t>BF011719</t>
  </si>
  <si>
    <t>W5150AF DR3 BLUE r115/23x0154 CB4P</t>
  </si>
  <si>
    <t>Shenzhen &amp; Tianjin</t>
  </si>
  <si>
    <t>W2350AB</t>
  </si>
  <si>
    <t>BF011535</t>
  </si>
  <si>
    <t>2022_1808_02864</t>
  </si>
  <si>
    <t>W2350AB KE2 BLU2 r098/16x0160 CB4P</t>
  </si>
  <si>
    <t>W2250AF</t>
  </si>
  <si>
    <t>BF011532</t>
  </si>
  <si>
    <t>W2250AF KE2 CLEAR r101x0158 CB4P</t>
  </si>
  <si>
    <t>W2250AG</t>
  </si>
  <si>
    <t>BF011533</t>
  </si>
  <si>
    <t>W2250AG KE2 CLEAR r105x0156 CB4P</t>
  </si>
  <si>
    <t>W2250AH</t>
  </si>
  <si>
    <t>BF011534</t>
  </si>
  <si>
    <t>W2250AH KE2 CLEAR r110x0152 CB4P</t>
  </si>
  <si>
    <t>W2250AL</t>
  </si>
  <si>
    <t>BF011713</t>
  </si>
  <si>
    <t>W2250AL KE2 CLEAR r096x0162 CB4P</t>
  </si>
  <si>
    <t>Replacing W2250AD</t>
  </si>
  <si>
    <t>W2350AE</t>
  </si>
  <si>
    <t>BF011721</t>
  </si>
  <si>
    <t>W2350AE KE2 BLU2 r088/15x0164 CB4P</t>
  </si>
  <si>
    <t>W2250AB</t>
  </si>
  <si>
    <t>BF010862 (CB4A, then CB4P)</t>
  </si>
  <si>
    <t>2022_1429_02485, 2023_1921_02978</t>
  </si>
  <si>
    <t>W2250AB KE2 CLEAR r091x0161 CB4P. Originally set up as CB4A.</t>
  </si>
  <si>
    <t>Straight to commercial. Replaced by W2250AK</t>
  </si>
  <si>
    <t>W2250AD</t>
  </si>
  <si>
    <t>BF010864</t>
  </si>
  <si>
    <t>W2250AD KE2 CLEAR r096x0159 CB4A</t>
  </si>
  <si>
    <t>Straight to commercial. Replaced by W2250AL</t>
  </si>
  <si>
    <t>W2250AE</t>
  </si>
  <si>
    <t>BF011531</t>
  </si>
  <si>
    <t>W2250AE KE2 CLEAR r096x0162 CB4P</t>
  </si>
  <si>
    <t>Replaced by W2250AL</t>
  </si>
  <si>
    <t>Wuhu</t>
  </si>
  <si>
    <t>W2228AB</t>
  </si>
  <si>
    <t>BF012211</t>
  </si>
  <si>
    <t>2024_2432_03489</t>
  </si>
  <si>
    <t>W2228AB KE2 CLEAR r105x0181 CB1P</t>
  </si>
  <si>
    <t>M36T</t>
  </si>
  <si>
    <t>W2268AC</t>
  </si>
  <si>
    <t>BF011992</t>
  </si>
  <si>
    <t>W2268AC KE2 CLEAR r100x0120 CB1P</t>
  </si>
  <si>
    <t>Nearly identical to W2268AB, but AB is L adhesion</t>
  </si>
  <si>
    <t>T22</t>
  </si>
  <si>
    <t>W2224AA</t>
  </si>
  <si>
    <t>BF011993</t>
  </si>
  <si>
    <t>W2224AA KE2 CLEAR r105x0120 CB1P</t>
  </si>
  <si>
    <t>W2264AI</t>
  </si>
  <si>
    <t>K &amp; L</t>
  </si>
  <si>
    <t>BF011991 (K), BF012213 (L)</t>
  </si>
  <si>
    <t>2023_2180_03237, 2024_2434_03491</t>
  </si>
  <si>
    <t>W2264AI KE2 CLEAR r100x0120 CB1P, W2264AI LE2 CLEAR r100x0120 CB1P</t>
  </si>
  <si>
    <t>T26</t>
  </si>
  <si>
    <t>W2226AC</t>
  </si>
  <si>
    <t>BF012398</t>
  </si>
  <si>
    <t>2024_2626_03684</t>
  </si>
  <si>
    <t>W2226AC LE2 CLEAR r105x0181 CB1P</t>
  </si>
  <si>
    <t>T28</t>
  </si>
  <si>
    <t>W2270AB</t>
  </si>
  <si>
    <t>BF012048</t>
  </si>
  <si>
    <t>2023_2232_03289 (KE2), 2024_2834_03892 (LE2)</t>
  </si>
  <si>
    <t>W2270AB KE2 CLEAR r103x0139 CB1P</t>
  </si>
  <si>
    <t>W2227AB</t>
  </si>
  <si>
    <t>BF012050 (K), _____ (L)</t>
  </si>
  <si>
    <t>2023_2232_03289 (K), 2024_2863_03921 (L)</t>
  </si>
  <si>
    <t>W2227AB KE2 CLEAR r100x0182 CB1P</t>
  </si>
  <si>
    <t>W2227AC</t>
  </si>
  <si>
    <t>BF012051</t>
  </si>
  <si>
    <t>2023_2232_03289</t>
  </si>
  <si>
    <t>W2227AC KE2 CLEAR r105x0182 CB1P</t>
  </si>
  <si>
    <t>W2246AD</t>
  </si>
  <si>
    <t>BF012053</t>
  </si>
  <si>
    <t>W2246AD KE2 CLEAR r108x0158 CB1P</t>
  </si>
  <si>
    <t>W2247AF</t>
  </si>
  <si>
    <t>BF012052</t>
  </si>
  <si>
    <t>W2247AF KE2 CLEAR r105x0159 CB1P</t>
  </si>
  <si>
    <t>W2262AJ</t>
  </si>
  <si>
    <t>BF012049</t>
  </si>
  <si>
    <t>W2262AJ KE2 CLEAR r100x0144 CB1P</t>
  </si>
  <si>
    <t>W2340AC</t>
  </si>
  <si>
    <t>BF011470</t>
  </si>
  <si>
    <t>2022_1760_02816</t>
  </si>
  <si>
    <t>W2340AC KE2 BLU2 r101/18x0050 CB1P</t>
  </si>
  <si>
    <t>W2342AA</t>
  </si>
  <si>
    <t>BF011471</t>
  </si>
  <si>
    <t>W2342AA KE2 BLU2 r101/18x0050 CB1P</t>
  </si>
  <si>
    <t>W2350AA</t>
  </si>
  <si>
    <t>BF010611</t>
  </si>
  <si>
    <t>2022_1187_02242</t>
  </si>
  <si>
    <t>W2350AC</t>
  </si>
  <si>
    <t>BF011624</t>
  </si>
  <si>
    <t>W2350AC KE2 BLU2 r101/20x0158 CB4P</t>
  </si>
  <si>
    <t>W5050AA</t>
  </si>
  <si>
    <t>W5050AA DR3 CLEAR i100x0050 C02P</t>
  </si>
  <si>
    <t>W5050AD</t>
  </si>
  <si>
    <t>BF011628</t>
  </si>
  <si>
    <t>W5050AD DR3 CLEAR r083x0174 CB4P</t>
  </si>
  <si>
    <t>W5050AE</t>
  </si>
  <si>
    <t>BF011629</t>
  </si>
  <si>
    <t>W5050AE DR3 CLEAR r088x0174 CB4P</t>
  </si>
  <si>
    <t>W5050AF</t>
  </si>
  <si>
    <t>BF011630</t>
  </si>
  <si>
    <t>W5050AF DR3 CLEAR r091x0172 CB4P</t>
  </si>
  <si>
    <t>W5050AG</t>
  </si>
  <si>
    <t>BF011631</t>
  </si>
  <si>
    <t>W5050AG DR3 CLEAR r100x0165 CB4P</t>
  </si>
  <si>
    <t>W5050AH</t>
  </si>
  <si>
    <t>BF011632</t>
  </si>
  <si>
    <t>W5050AH DR3 CLEAR r103x0162 CB4P</t>
  </si>
  <si>
    <t>W5150AA</t>
  </si>
  <si>
    <t>BF010551</t>
  </si>
  <si>
    <t>W5150AA DR3 BLUE i098/0050 C02P</t>
  </si>
  <si>
    <t>W5150AC</t>
  </si>
  <si>
    <t>BF011625</t>
  </si>
  <si>
    <t>W5150AC DR3 BLUE r098/16x0166 CB4P</t>
  </si>
  <si>
    <t>W5150AD</t>
  </si>
  <si>
    <t>BF011626</t>
  </si>
  <si>
    <t>W5150AD DR3 BLUE r101/20x0164 CB4P</t>
  </si>
  <si>
    <t>Internal</t>
  </si>
  <si>
    <t>W5020</t>
  </si>
  <si>
    <t>BF007715, BF007083</t>
  </si>
  <si>
    <t>14, 30</t>
  </si>
  <si>
    <t>W5020 FR3 CLEAR I122X0.95X0014 C01P, W5020 FR3 CLEAR I122X0.95X0030 C01P</t>
  </si>
  <si>
    <t>Short sample rolls requested by Jim Olson in 2019. 15 rolls in FW inventory as of 6/17/2021.</t>
  </si>
  <si>
    <t>W5028</t>
  </si>
  <si>
    <t>BF007716, BF007084</t>
  </si>
  <si>
    <t>W5028 FR3 CLEAR i122x0.95x0014 C01P, W5028 FR3 CLEAR i122x0.95x0030 C01P</t>
  </si>
  <si>
    <t>Short sample rolls requested by Jim Olson. 16 rolls in FW inventory as of 6/17/2021.</t>
  </si>
  <si>
    <t>W2035</t>
  </si>
  <si>
    <t>BF009006</t>
  </si>
  <si>
    <t>2020_0023_01074</t>
  </si>
  <si>
    <t>W2035 KE2 r110x0.95x0170 CT4P</t>
  </si>
  <si>
    <t>W5036AA</t>
  </si>
  <si>
    <t>BF007717, BF007085</t>
  </si>
  <si>
    <t>W5036AA FR3 CLEAR I122X0014 C01P, W5036AA FR3 CLEAR I122X0030 C01P</t>
  </si>
  <si>
    <t>W5044</t>
  </si>
  <si>
    <t>BF007718, BF007086</t>
  </si>
  <si>
    <t>W5044 FR3 CLEAR i122x0.95x0014 C01P, W5044 FR3 CLEAR i122x0.95x0030 C01P</t>
  </si>
  <si>
    <t>W5052</t>
  </si>
  <si>
    <t>BF007719, BF007087</t>
  </si>
  <si>
    <t>W5052 FR3 CLEAR i122x0.95x0014 C01P, W5052 FR3 CLEAR i122x0.95x0030 C01P</t>
  </si>
  <si>
    <t>Short sample rolls requested by Jim Olson. 15 rolls in FW inventory as of 6/17/2021.</t>
  </si>
  <si>
    <t>W5060AA</t>
  </si>
  <si>
    <t>BF007088, BF007720</t>
  </si>
  <si>
    <t>W5060 FR3 CLEAR i122x0.95x0014 C01P, W5060 FR3 CLEAR i122x0.95x0030 C01P</t>
  </si>
  <si>
    <t>W2065</t>
  </si>
  <si>
    <t>BF009005</t>
  </si>
  <si>
    <t>W2065 KE2 r110x0.95x0130 CT4P</t>
  </si>
  <si>
    <t>W5068</t>
  </si>
  <si>
    <t>BF007721, BF007089</t>
  </si>
  <si>
    <t>W5068 FR3 CLEAR i122x0.95x0014 C01P, W5068 FR3 CLEAR i122x0.95x0030 C01P</t>
  </si>
  <si>
    <t>Short sample rolls requested by Jim Olson. 11 rolls in FW inventory as of 6/17/2021.</t>
  </si>
  <si>
    <t>HRDC?</t>
  </si>
  <si>
    <t>W2340AA</t>
  </si>
  <si>
    <t>BF008374</t>
  </si>
  <si>
    <t>W2340AA KR BLU2 R107/15X0015 CT1P</t>
  </si>
  <si>
    <t>W5020AA</t>
  </si>
  <si>
    <t>BF008259</t>
  </si>
  <si>
    <t>W5020AA FR3 CLEAR i132x0250 C02A</t>
  </si>
  <si>
    <t>W5045AB</t>
  </si>
  <si>
    <t>BF002605</t>
  </si>
  <si>
    <t>W5045AB FR3 CLEAR r110x0100 CB2A</t>
  </si>
  <si>
    <t>W1247AA</t>
  </si>
  <si>
    <t>BF007400, BF007657</t>
  </si>
  <si>
    <t>W1247AA LR CLEAR r102x0050 CT1P, W1247AA LR CLEAR r102x0150 CT4P</t>
  </si>
  <si>
    <t>W1050AA</t>
  </si>
  <si>
    <t>BF007743</t>
  </si>
  <si>
    <t>W1050 LR CLEAR R110X0.95X0150 MT4P</t>
  </si>
  <si>
    <t>W5027AE</t>
  </si>
  <si>
    <t>Wuling</t>
  </si>
  <si>
    <t>F710S</t>
  </si>
  <si>
    <t>W2231ABT</t>
  </si>
  <si>
    <t>416-6</t>
  </si>
  <si>
    <t>Xiaopeng</t>
  </si>
  <si>
    <t>W2232AP</t>
  </si>
  <si>
    <t>M2</t>
  </si>
  <si>
    <t>W5028AC</t>
  </si>
  <si>
    <t>OEM or ARG</t>
  </si>
  <si>
    <t>Adhesion Grade</t>
  </si>
  <si>
    <t>Band Color</t>
  </si>
  <si>
    <t>Thin Edge Cal.</t>
  </si>
  <si>
    <t>E2 &amp; R</t>
  </si>
  <si>
    <t>Wedge packaging codes</t>
  </si>
  <si>
    <t>Anti-blocking</t>
  </si>
  <si>
    <t>plant</t>
  </si>
  <si>
    <t>packaging code</t>
  </si>
  <si>
    <t>roll size</t>
  </si>
  <si>
    <t>thick side up / thick side down</t>
  </si>
  <si>
    <t>material</t>
  </si>
  <si>
    <t>vertical / horizontal</t>
  </si>
  <si>
    <t>order width</t>
  </si>
  <si>
    <t>rolls per package</t>
  </si>
  <si>
    <t>Column1</t>
  </si>
  <si>
    <t>packaging</t>
  </si>
  <si>
    <t>indicator</t>
  </si>
  <si>
    <t>Troisdorf</t>
  </si>
  <si>
    <t>short</t>
  </si>
  <si>
    <t>wood</t>
  </si>
  <si>
    <t>horizontal</t>
  </si>
  <si>
    <t>up to 110 cm</t>
  </si>
  <si>
    <t>1 roll</t>
  </si>
  <si>
    <t>W18</t>
  </si>
  <si>
    <t>110 cm - 160 cm</t>
  </si>
  <si>
    <t>W19</t>
  </si>
  <si>
    <t>P</t>
  </si>
  <si>
    <t>160 cm - 225 cm</t>
  </si>
  <si>
    <t>W20</t>
  </si>
  <si>
    <t>225 cm - 270 cm</t>
  </si>
  <si>
    <t>W21</t>
  </si>
  <si>
    <t>270 cm - 330 cm</t>
  </si>
  <si>
    <t>W22</t>
  </si>
  <si>
    <t>Refrigerated</t>
  </si>
  <si>
    <t>long</t>
  </si>
  <si>
    <t>thick side up</t>
  </si>
  <si>
    <t>metal</t>
  </si>
  <si>
    <t>vertical</t>
  </si>
  <si>
    <t>up to 130 cm</t>
  </si>
  <si>
    <t>2 rolls</t>
  </si>
  <si>
    <t>MT2</t>
  </si>
  <si>
    <t>thick side down</t>
  </si>
  <si>
    <t>A</t>
  </si>
  <si>
    <t>4 rolls</t>
  </si>
  <si>
    <t>MT4</t>
  </si>
  <si>
    <t>up to 133 cm</t>
  </si>
  <si>
    <t>Preferred for overseas shipiment, versus cardboard</t>
  </si>
  <si>
    <t>WT2</t>
  </si>
  <si>
    <t>WT4</t>
  </si>
  <si>
    <t>wood/corrugated</t>
  </si>
  <si>
    <t>CT1</t>
  </si>
  <si>
    <t>CT2</t>
  </si>
  <si>
    <t>CT4</t>
  </si>
  <si>
    <t>Ulsan</t>
  </si>
  <si>
    <t>90 cm - 154 cm</t>
  </si>
  <si>
    <t>Only for 14 m sample rolls</t>
  </si>
  <si>
    <t>C01</t>
  </si>
  <si>
    <t>140 cm - 165 cm</t>
  </si>
  <si>
    <t>C02</t>
  </si>
  <si>
    <t>166 cm - 218 cm</t>
  </si>
  <si>
    <t>C03</t>
  </si>
  <si>
    <t>219 cm - 247 cm</t>
  </si>
  <si>
    <t>C04</t>
  </si>
  <si>
    <t>262 cm - 321 cm</t>
  </si>
  <si>
    <t>C05</t>
  </si>
  <si>
    <t>up to 139 cm</t>
  </si>
  <si>
    <t>Or can we go to 142cm max?  (from carton sides available)</t>
  </si>
  <si>
    <t>CB1</t>
  </si>
  <si>
    <t>CB1A</t>
  </si>
  <si>
    <t>CB2</t>
  </si>
  <si>
    <t>Actually 135cm max since the foot adds height and we don't have box sides tall enough for wider rolls</t>
  </si>
  <si>
    <t>CB4</t>
  </si>
  <si>
    <t>Xinyi Sites</t>
  </si>
  <si>
    <t>Customer Number</t>
  </si>
  <si>
    <t>Tianjing</t>
  </si>
  <si>
    <t>Dongguan Benson</t>
  </si>
  <si>
    <t>Row Labels</t>
  </si>
  <si>
    <t>Count of Developmental, Commercial, Obsolete</t>
  </si>
  <si>
    <t>Grand Total</t>
  </si>
  <si>
    <t>(All)</t>
  </si>
  <si>
    <t>Count of Product Code</t>
  </si>
  <si>
    <t>Updated 3/2/2023</t>
  </si>
  <si>
    <t>Product Type</t>
  </si>
  <si>
    <t>Produced:</t>
  </si>
  <si>
    <t>Yes</t>
  </si>
  <si>
    <t>No</t>
  </si>
  <si>
    <t>Obs.</t>
  </si>
  <si>
    <t>F1</t>
  </si>
  <si>
    <t>Gen 2</t>
  </si>
  <si>
    <t>F5</t>
  </si>
  <si>
    <t>Buta</t>
  </si>
  <si>
    <t>S/B</t>
  </si>
  <si>
    <t>Column Labels</t>
  </si>
  <si>
    <t>(blank)</t>
  </si>
  <si>
    <t>W12</t>
  </si>
  <si>
    <t>W13</t>
  </si>
  <si>
    <t>W23</t>
  </si>
  <si>
    <t>Wedge Angle - Commercial and Developmental only</t>
  </si>
  <si>
    <t>Wedge PVB characteristics</t>
  </si>
  <si>
    <t>Kuraray production line</t>
  </si>
  <si>
    <t>Ulsan L9</t>
  </si>
  <si>
    <t>Troisdorf L8</t>
  </si>
  <si>
    <t>Fayetteville L4</t>
  </si>
  <si>
    <t>Wedge PVB type</t>
  </si>
  <si>
    <t>monolayer</t>
  </si>
  <si>
    <t>monolayer &amp; acoustic from 2H 2019</t>
  </si>
  <si>
    <t>acoustic from Q4 2018</t>
  </si>
  <si>
    <t>Clear / Shade band</t>
  </si>
  <si>
    <t>Clear (Shade band)</t>
  </si>
  <si>
    <t>Roughness type</t>
  </si>
  <si>
    <t>meltfracture</t>
  </si>
  <si>
    <t>meltfracture.  Embossed to be tested.</t>
  </si>
  <si>
    <t>embossed / meltfracture</t>
  </si>
  <si>
    <t>Max. roll width</t>
  </si>
  <si>
    <t>122 cm</t>
  </si>
  <si>
    <t>125 cm</t>
  </si>
  <si>
    <t>186 cm*</t>
  </si>
  <si>
    <t>current max based on customer demand, but not limited to</t>
  </si>
  <si>
    <t>Typical roll length</t>
  </si>
  <si>
    <t>335 m</t>
  </si>
  <si>
    <t>300 m , 150 m</t>
  </si>
  <si>
    <t>170 m*</t>
  </si>
  <si>
    <t>current typical based on customer demand, but not limited to</t>
  </si>
  <si>
    <t>max. Shade band width</t>
  </si>
  <si>
    <t>32 -33 cm (not more than width of flat part)</t>
  </si>
  <si>
    <t>22cm (not more than width of flat part) / 110cm</t>
  </si>
  <si>
    <t>no plan to produce SB</t>
  </si>
  <si>
    <t>Min. thickness</t>
  </si>
  <si>
    <t>0,76 mm</t>
  </si>
  <si>
    <t xml:space="preserve">0,76mm </t>
  </si>
  <si>
    <t>0.38 mm for AGP.  0.76 mm typically.</t>
  </si>
  <si>
    <t>Min. / Max. Wedge Angle</t>
  </si>
  <si>
    <t>0,15 - 0,70 mrad</t>
  </si>
  <si>
    <t>0,10 - 0,70 mrad</t>
  </si>
  <si>
    <t>Don’t know if we have established min &amp; max but recently, wedge angles range from 0.2-0.6 mrad</t>
  </si>
  <si>
    <t>Local Wedge Angle (LWA) Tolerance</t>
  </si>
  <si>
    <r>
      <t xml:space="preserve">target : </t>
    </r>
    <r>
      <rPr>
        <sz val="10"/>
        <color theme="0"/>
        <rFont val="Trebuchet MS"/>
        <family val="2"/>
        <charset val="238"/>
      </rPr>
      <t>\</t>
    </r>
    <r>
      <rPr>
        <sz val="11"/>
        <color theme="1"/>
        <rFont val="Calibri"/>
        <family val="2"/>
        <scheme val="minor"/>
      </rPr>
      <t xml:space="preserve">+/- 0,15 mrad </t>
    </r>
    <r>
      <rPr>
        <b/>
        <sz val="11"/>
        <color theme="1"/>
        <rFont val="Calibri"/>
        <family val="2"/>
        <scheme val="minor"/>
      </rPr>
      <t>- not used</t>
    </r>
  </si>
  <si>
    <r>
      <t xml:space="preserve">target : </t>
    </r>
    <r>
      <rPr>
        <sz val="10"/>
        <color theme="0"/>
        <rFont val="Trebuchet MS"/>
        <family val="2"/>
        <charset val="238"/>
      </rPr>
      <t>\</t>
    </r>
    <r>
      <rPr>
        <sz val="11"/>
        <color theme="1"/>
        <rFont val="Calibri"/>
        <family val="2"/>
        <scheme val="minor"/>
      </rPr>
      <t>+/- 0,15 mrad</t>
    </r>
  </si>
  <si>
    <t>Spoke to Larry Geren - he does not remember having a tolerance on these values but will double check</t>
  </si>
  <si>
    <t>Global Wedge Angle (GWA) Tolerance</t>
  </si>
  <si>
    <r>
      <t xml:space="preserve">target: </t>
    </r>
    <r>
      <rPr>
        <sz val="10"/>
        <color theme="0"/>
        <rFont val="Trebuchet MS"/>
        <family val="2"/>
        <charset val="238"/>
      </rPr>
      <t>\</t>
    </r>
    <r>
      <rPr>
        <sz val="11"/>
        <color theme="1"/>
        <rFont val="Calibri"/>
        <family val="2"/>
        <scheme val="minor"/>
      </rPr>
      <t xml:space="preserve">+/- 0,03 mrad </t>
    </r>
    <r>
      <rPr>
        <b/>
        <sz val="11"/>
        <color theme="1"/>
        <rFont val="Calibri"/>
        <family val="2"/>
        <scheme val="minor"/>
      </rPr>
      <t>- not used</t>
    </r>
  </si>
  <si>
    <r>
      <t xml:space="preserve">target: </t>
    </r>
    <r>
      <rPr>
        <sz val="10"/>
        <color theme="0"/>
        <rFont val="Trebuchet MS"/>
        <family val="2"/>
        <charset val="238"/>
      </rPr>
      <t>\</t>
    </r>
    <r>
      <rPr>
        <sz val="11"/>
        <color theme="1"/>
        <rFont val="Calibri"/>
        <family val="2"/>
        <scheme val="minor"/>
      </rPr>
      <t>+/- 0,03 mrad</t>
    </r>
  </si>
  <si>
    <t>Universal Wedge Angle (UWA) Tolerance</t>
  </si>
  <si>
    <r>
      <t xml:space="preserve"> </t>
    </r>
    <r>
      <rPr>
        <sz val="10"/>
        <color theme="0"/>
        <rFont val="Trebuchet MS"/>
        <family val="2"/>
        <charset val="238"/>
      </rPr>
      <t>\</t>
    </r>
    <r>
      <rPr>
        <sz val="11"/>
        <color theme="1"/>
        <rFont val="Calibri"/>
        <family val="2"/>
        <scheme val="minor"/>
      </rPr>
      <t>+/- 0,060 mrad</t>
    </r>
  </si>
  <si>
    <t>Online Wedge angle evaluation</t>
  </si>
  <si>
    <t>UWA, calculated off-line using data generated on-line. Target for LWA and GWA by mid of 2019 on L6 and end of 2019 on L9</t>
  </si>
  <si>
    <t>LWA, GWA, UWA</t>
  </si>
  <si>
    <t>UWA calculated online.  Data exists for calculation of GWA and LWA.</t>
  </si>
  <si>
    <t>*current max based on customer demand, but not limited to</t>
  </si>
  <si>
    <t>Wedge</t>
  </si>
  <si>
    <t>Extrusion Line</t>
  </si>
  <si>
    <t>Formulation</t>
  </si>
  <si>
    <t>Melt Fracture</t>
  </si>
  <si>
    <t>Wave Embossed</t>
  </si>
  <si>
    <t>Max Width</t>
  </si>
  <si>
    <t>FW L4</t>
  </si>
  <si>
    <t>Butacite®</t>
  </si>
  <si>
    <t>X</t>
  </si>
  <si>
    <t>Making 183cm for Tesla</t>
  </si>
  <si>
    <t>Not for HUD!</t>
  </si>
  <si>
    <t>F1/F4</t>
  </si>
  <si>
    <t>Make</t>
  </si>
  <si>
    <t>Model</t>
  </si>
  <si>
    <t>Model Code</t>
  </si>
  <si>
    <t>Year</t>
  </si>
  <si>
    <t>Estimated Take Rate</t>
  </si>
  <si>
    <t>Laminator</t>
  </si>
  <si>
    <t>Plant</t>
  </si>
  <si>
    <t>Process
 (nip, ring, bag)</t>
  </si>
  <si>
    <t>Source</t>
  </si>
  <si>
    <t>Cars.com article, 5/14/2020</t>
  </si>
  <si>
    <t xml:space="preserve">Acura </t>
  </si>
  <si>
    <t>RLX</t>
  </si>
  <si>
    <t>Detroit 2018</t>
  </si>
  <si>
    <t>Acura</t>
  </si>
  <si>
    <t>TLX</t>
  </si>
  <si>
    <t>A4</t>
  </si>
  <si>
    <t>Shanghai 2017</t>
  </si>
  <si>
    <t>a8</t>
  </si>
  <si>
    <t>Frankfurt 2017</t>
  </si>
  <si>
    <t>RDX</t>
  </si>
  <si>
    <t>q7</t>
  </si>
  <si>
    <t xml:space="preserve">RS3 </t>
  </si>
  <si>
    <t>A5</t>
  </si>
  <si>
    <t>rs5</t>
  </si>
  <si>
    <t>S5 coupe</t>
  </si>
  <si>
    <t>A7</t>
  </si>
  <si>
    <t>s6</t>
  </si>
  <si>
    <t>A8</t>
  </si>
  <si>
    <t>S4</t>
  </si>
  <si>
    <t>Q5</t>
  </si>
  <si>
    <t>sq5</t>
  </si>
  <si>
    <t>sq7</t>
  </si>
  <si>
    <t>Q8</t>
  </si>
  <si>
    <t>Bentley</t>
  </si>
  <si>
    <t>Bentayga</t>
  </si>
  <si>
    <t>Continental GT</t>
  </si>
  <si>
    <t>BMW</t>
    <phoneticPr fontId="0"/>
  </si>
  <si>
    <t>Flying Spur</t>
  </si>
  <si>
    <t>2 Series</t>
  </si>
  <si>
    <t>3 Series </t>
  </si>
  <si>
    <t>4 Series</t>
  </si>
  <si>
    <t>5 Series</t>
  </si>
  <si>
    <t>7 Series</t>
  </si>
  <si>
    <t>8 Series</t>
  </si>
  <si>
    <t>i8</t>
  </si>
  <si>
    <t>M2</t>
    <phoneticPr fontId="0"/>
  </si>
  <si>
    <t>X1</t>
  </si>
  <si>
    <t xml:space="preserve">M3 </t>
  </si>
  <si>
    <t>X2</t>
  </si>
  <si>
    <t>bmw</t>
  </si>
  <si>
    <t>m4</t>
  </si>
  <si>
    <t>M5</t>
  </si>
  <si>
    <t>X4</t>
  </si>
  <si>
    <t>M6</t>
  </si>
  <si>
    <t>X5</t>
  </si>
  <si>
    <t>M760</t>
  </si>
  <si>
    <t>X6</t>
  </si>
  <si>
    <t>X1</t>
    <phoneticPr fontId="0"/>
  </si>
  <si>
    <t>X7</t>
  </si>
  <si>
    <t>Z4</t>
  </si>
  <si>
    <t>Encore GX</t>
  </si>
  <si>
    <t>X4</t>
    <phoneticPr fontId="0"/>
  </si>
  <si>
    <t>Regal Sportback</t>
  </si>
  <si>
    <t>X6</t>
    <phoneticPr fontId="0"/>
  </si>
  <si>
    <t>CT5</t>
  </si>
  <si>
    <t>Lacrosse</t>
  </si>
  <si>
    <t>CT6</t>
  </si>
  <si>
    <t>ATS-V Coupe</t>
  </si>
  <si>
    <t>Escalade</t>
  </si>
  <si>
    <t>ATS-V Sedan</t>
  </si>
  <si>
    <t>XT4</t>
  </si>
  <si>
    <t>XT5</t>
  </si>
  <si>
    <t>CTS</t>
  </si>
  <si>
    <t>XT6</t>
  </si>
  <si>
    <t>Camaro</t>
  </si>
  <si>
    <t>Corvette</t>
  </si>
  <si>
    <t>XTS</t>
  </si>
  <si>
    <t>Silverado 2500/3500</t>
  </si>
  <si>
    <t>Suburban</t>
  </si>
  <si>
    <t>Tahoe</t>
  </si>
  <si>
    <t>Escape</t>
  </si>
  <si>
    <t>FAW VW</t>
    <phoneticPr fontId="0"/>
  </si>
  <si>
    <t>phideon</t>
    <phoneticPr fontId="0"/>
  </si>
  <si>
    <t>Genesis</t>
  </si>
  <si>
    <t>G70</t>
  </si>
  <si>
    <t>G80</t>
  </si>
  <si>
    <t>G80 sport</t>
  </si>
  <si>
    <t>G90</t>
  </si>
  <si>
    <t>Acadia</t>
  </si>
  <si>
    <t>Yukon XL</t>
  </si>
  <si>
    <t>Sierra 1500</t>
  </si>
  <si>
    <t>Accord</t>
  </si>
  <si>
    <t>Sierra 2500/3500</t>
  </si>
  <si>
    <t>Honda</t>
    <phoneticPr fontId="0"/>
  </si>
  <si>
    <t>Avancier</t>
    <phoneticPr fontId="0"/>
  </si>
  <si>
    <t>Yukon</t>
  </si>
  <si>
    <t>URV</t>
    <phoneticPr fontId="0"/>
  </si>
  <si>
    <t>Infinity</t>
  </si>
  <si>
    <t>QX50</t>
  </si>
  <si>
    <t>Clarity Fuel Cell</t>
  </si>
  <si>
    <t>Jaguar</t>
  </si>
  <si>
    <t>E-Pace</t>
  </si>
  <si>
    <t>Kona</t>
  </si>
  <si>
    <t>F-Pace</t>
  </si>
  <si>
    <t>Palisade</t>
  </si>
  <si>
    <t>XE</t>
  </si>
  <si>
    <t>XF</t>
  </si>
  <si>
    <t>Cadenza</t>
  </si>
  <si>
    <t>Veloster</t>
  </si>
  <si>
    <t>KIA</t>
    <phoneticPr fontId="0"/>
  </si>
  <si>
    <t>K9</t>
    <phoneticPr fontId="0"/>
  </si>
  <si>
    <t>Infiniti</t>
  </si>
  <si>
    <t>Kia</t>
    <phoneticPr fontId="0"/>
  </si>
  <si>
    <t>stinger</t>
  </si>
  <si>
    <t>Discovery</t>
  </si>
  <si>
    <t>Evoque</t>
  </si>
  <si>
    <t>I-Pace</t>
  </si>
  <si>
    <t>Range Rover Sport</t>
  </si>
  <si>
    <t>Range Rover Velar</t>
  </si>
  <si>
    <t>LandRover</t>
    <phoneticPr fontId="0"/>
  </si>
  <si>
    <t>Discovery</t>
    <phoneticPr fontId="0"/>
  </si>
  <si>
    <t>K900</t>
  </si>
  <si>
    <t>Range Rover</t>
    <phoneticPr fontId="0"/>
  </si>
  <si>
    <t>Soul</t>
  </si>
  <si>
    <t>Lexus</t>
  </si>
  <si>
    <t>GS F</t>
  </si>
  <si>
    <t>Stinger</t>
  </si>
  <si>
    <t>Lexus</t>
    <phoneticPr fontId="0"/>
  </si>
  <si>
    <t>GS450h</t>
    <phoneticPr fontId="0"/>
  </si>
  <si>
    <t>Telluride</t>
  </si>
  <si>
    <t>LC500</t>
  </si>
  <si>
    <t>Lamborghini</t>
  </si>
  <si>
    <t>Urus</t>
  </si>
  <si>
    <t>LS500</t>
  </si>
  <si>
    <t>Defender</t>
  </si>
  <si>
    <t>LX 570</t>
    <phoneticPr fontId="0"/>
  </si>
  <si>
    <t>NX300h</t>
    <phoneticPr fontId="0"/>
  </si>
  <si>
    <t>Discovery Sport</t>
  </si>
  <si>
    <t>RX200t</t>
    <phoneticPr fontId="0"/>
  </si>
  <si>
    <t>Range Rover</t>
  </si>
  <si>
    <t>RX350L</t>
  </si>
  <si>
    <t>Range Rover Evoque</t>
  </si>
  <si>
    <t>rx450</t>
  </si>
  <si>
    <t>Navigator</t>
  </si>
  <si>
    <t>Mercedes</t>
    <phoneticPr fontId="0"/>
  </si>
  <si>
    <t>S63</t>
  </si>
  <si>
    <t>ES</t>
  </si>
  <si>
    <t>C63 S Coupe</t>
  </si>
  <si>
    <t>GS</t>
  </si>
  <si>
    <t>CLS53 Edition l</t>
  </si>
  <si>
    <t>LC</t>
  </si>
  <si>
    <t>E 220d All Terrain T Modell</t>
  </si>
  <si>
    <t>LS</t>
  </si>
  <si>
    <t>E200</t>
    <phoneticPr fontId="0"/>
  </si>
  <si>
    <t>LX</t>
  </si>
  <si>
    <t>E300</t>
    <phoneticPr fontId="0"/>
  </si>
  <si>
    <t>RX</t>
  </si>
  <si>
    <t>E320L</t>
    <phoneticPr fontId="0"/>
  </si>
  <si>
    <t>UX</t>
  </si>
  <si>
    <t>E53 Cabriolet</t>
  </si>
  <si>
    <t>Aviator</t>
  </si>
  <si>
    <t>E53 Coupe</t>
  </si>
  <si>
    <t>Continental</t>
  </si>
  <si>
    <t>GLC 250 Coupe</t>
  </si>
  <si>
    <t>Corsair</t>
  </si>
  <si>
    <t>GLC 63 S</t>
  </si>
  <si>
    <t>GLC F-cell</t>
  </si>
  <si>
    <t>CX-3</t>
  </si>
  <si>
    <t>GLC63 g coupe</t>
  </si>
  <si>
    <t>CX-30</t>
  </si>
  <si>
    <t>Maybach</t>
    <phoneticPr fontId="0"/>
  </si>
  <si>
    <t>CX-5</t>
  </si>
  <si>
    <t>Maybach S 560</t>
  </si>
  <si>
    <t>CX-9</t>
  </si>
  <si>
    <t>S 500</t>
  </si>
  <si>
    <t>Mazda3</t>
  </si>
  <si>
    <t>S 560 Cabriolet</t>
  </si>
  <si>
    <t>Mazda6</t>
  </si>
  <si>
    <t>S 560e</t>
  </si>
  <si>
    <t>Mercedes-Benz</t>
  </si>
  <si>
    <t>A-Class </t>
  </si>
  <si>
    <t>S350L</t>
    <phoneticPr fontId="0"/>
  </si>
  <si>
    <t>C-Class</t>
  </si>
  <si>
    <t>S450 Coupe</t>
  </si>
  <si>
    <t>CLA-Class</t>
  </si>
  <si>
    <t>S560</t>
  </si>
  <si>
    <t>CLS-Class</t>
  </si>
  <si>
    <t xml:space="preserve">S63 </t>
  </si>
  <si>
    <t>E-Class</t>
  </si>
  <si>
    <t>S63 Coupe</t>
  </si>
  <si>
    <t>GLB-Class</t>
  </si>
  <si>
    <t>S63 Coupe 4matic</t>
  </si>
  <si>
    <t>GLC-Class</t>
  </si>
  <si>
    <t>S65 Cabriolet</t>
  </si>
  <si>
    <t>GLE-Class</t>
  </si>
  <si>
    <t>S650</t>
  </si>
  <si>
    <t>GLS-Class</t>
  </si>
  <si>
    <t>Mini</t>
    <phoneticPr fontId="0"/>
  </si>
  <si>
    <t>Cabrio</t>
    <phoneticPr fontId="0"/>
  </si>
  <si>
    <t>AMG GT</t>
  </si>
  <si>
    <t>cooper</t>
    <phoneticPr fontId="0"/>
  </si>
  <si>
    <t>S-Class</t>
  </si>
  <si>
    <t>Johncooper</t>
    <phoneticPr fontId="0"/>
  </si>
  <si>
    <t>Mini</t>
  </si>
  <si>
    <t>Hardtop</t>
  </si>
  <si>
    <t>Opel</t>
    <phoneticPr fontId="0"/>
  </si>
  <si>
    <t>insignia</t>
  </si>
  <si>
    <t>Clubman</t>
  </si>
  <si>
    <t>Peugeot</t>
    <phoneticPr fontId="0"/>
  </si>
  <si>
    <t>Convertible</t>
  </si>
  <si>
    <t>SAIC</t>
    <phoneticPr fontId="0"/>
  </si>
  <si>
    <t xml:space="preserve">Phideon </t>
    <phoneticPr fontId="0"/>
  </si>
  <si>
    <t>Countryman </t>
  </si>
  <si>
    <t>SAIC GM</t>
    <phoneticPr fontId="0"/>
  </si>
  <si>
    <t>chevrolet</t>
    <phoneticPr fontId="0"/>
  </si>
  <si>
    <t>Eclipse Cross</t>
  </si>
  <si>
    <t>Avalon</t>
  </si>
  <si>
    <t>Panamera</t>
  </si>
  <si>
    <t>Camry</t>
  </si>
  <si>
    <t>Cayenne </t>
  </si>
  <si>
    <t xml:space="preserve">Prius </t>
  </si>
  <si>
    <t>Rolls-Royce</t>
  </si>
  <si>
    <t>Cullinan</t>
  </si>
  <si>
    <t>Toyota</t>
    <phoneticPr fontId="0"/>
  </si>
  <si>
    <t>prius plug in hybrid</t>
  </si>
  <si>
    <t>Dawn</t>
  </si>
  <si>
    <t>Volvo</t>
    <phoneticPr fontId="0"/>
  </si>
  <si>
    <t>S90</t>
    <phoneticPr fontId="0"/>
  </si>
  <si>
    <t>Ghost</t>
  </si>
  <si>
    <t>XC90</t>
    <phoneticPr fontId="0"/>
  </si>
  <si>
    <t>Phantom</t>
  </si>
  <si>
    <t>vw</t>
  </si>
  <si>
    <t>i.d.</t>
  </si>
  <si>
    <t>Wraith</t>
  </si>
  <si>
    <t>Subaru</t>
  </si>
  <si>
    <t>WRX</t>
  </si>
  <si>
    <t>Prius</t>
  </si>
  <si>
    <t>Supra</t>
  </si>
  <si>
    <t>S60</t>
  </si>
  <si>
    <t>S90</t>
  </si>
  <si>
    <t>V60</t>
  </si>
  <si>
    <t>V90</t>
  </si>
  <si>
    <t>XC60</t>
  </si>
  <si>
    <t>XC90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</si>
</sst>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yyyy"/>
    <numFmt numFmtId="165" formatCode="0.000"/>
    <numFmt numFmtId="166" formatCode="0.0"/>
    <numFmt numFmtId="167" formatCode="&quot;$&quot;#,##0.00"/>
  </numFmts>
  <fonts count="63">
    <font>
      <sz val="11"/>
      <color theme="1"/>
      <name val="Calibri"/>
      <family val="2"/>
      <scheme val="minor"/>
    </font>
    <font>
      <sz val="11"/>
      <name val="Calibri"/>
      <family val="2"/>
    </font>
    <font>
      <b/>
      <sz val="11"/>
      <color theme="1"/>
      <name val="Calibri"/>
      <family val="2"/>
      <scheme val="minor"/>
    </font>
    <font>
      <b/>
      <sz val="14"/>
      <color theme="1"/>
      <name val="Calibri"/>
      <family val="2"/>
      <scheme val="minor"/>
    </font>
    <font>
      <sz val="11"/>
      <color rgb="FF3333FF"/>
      <name val="Calibri"/>
      <family val="2"/>
      <scheme val="minor"/>
    </font>
    <font>
      <sz val="10"/>
      <color theme="1"/>
      <name val="Trebuchet MS"/>
      <family val="2"/>
      <charset val="238"/>
    </font>
    <font>
      <b/>
      <sz val="11"/>
      <color theme="1"/>
      <name val="Trebuchet MS"/>
      <family val="2"/>
      <charset val="238"/>
    </font>
    <font>
      <b/>
      <sz val="10"/>
      <color theme="1"/>
      <name val="Trebuchet MS"/>
      <family val="2"/>
      <charset val="238"/>
    </font>
    <font>
      <sz val="11"/>
      <color theme="1"/>
      <name val="Trebuchet MS"/>
      <family val="2"/>
      <charset val="238"/>
    </font>
    <font>
      <sz val="10"/>
      <color theme="0"/>
      <name val="Trebuchet MS"/>
      <family val="2"/>
      <charset val="238"/>
    </font>
    <font>
      <sz val="11"/>
      <name val="Calibri"/>
      <family val="2"/>
      <scheme val="minor"/>
    </font>
    <font>
      <sz val="9"/>
      <color indexed="81"/>
      <name val="Tahoma"/>
      <family val="2"/>
    </font>
    <font>
      <b/>
      <sz val="9"/>
      <color indexed="81"/>
      <name val="Tahoma"/>
      <family val="2"/>
    </font>
    <font>
      <sz val="11"/>
      <color rgb="FF3333FF"/>
      <name val="Calibri"/>
      <family val="3"/>
      <charset val="128"/>
      <scheme val="minor"/>
    </font>
    <font>
      <sz val="11"/>
      <color rgb="FF00B050"/>
      <name val="Calibri"/>
      <family val="2"/>
      <scheme val="minor"/>
    </font>
    <font>
      <sz val="11"/>
      <color theme="0" tint="-0.499984740745262"/>
      <name val="Calibri"/>
      <family val="2"/>
      <scheme val="minor"/>
    </font>
    <font>
      <b/>
      <sz val="11"/>
      <color rgb="FF3333FF"/>
      <name val="Calibri"/>
      <family val="2"/>
      <scheme val="minor"/>
    </font>
    <font>
      <b/>
      <sz val="16"/>
      <color theme="1"/>
      <name val="Calibri"/>
      <family val="2"/>
      <scheme val="minor"/>
    </font>
    <font>
      <b/>
      <sz val="11"/>
      <color theme="0" tint="-0.499984740745262"/>
      <name val="Calibri"/>
      <family val="2"/>
      <scheme val="minor"/>
    </font>
    <font>
      <sz val="11"/>
      <color indexed="8"/>
      <name val="ＭＳ Ｐゴシック"/>
      <family val="3"/>
      <charset val="128"/>
    </font>
    <font>
      <b/>
      <sz val="11"/>
      <name val="Calibri"/>
      <family val="2"/>
      <scheme val="minor"/>
    </font>
    <font>
      <sz val="11"/>
      <color theme="0" tint="-0.34998626667073579"/>
      <name val="Calibri"/>
      <family val="2"/>
      <scheme val="minor"/>
    </font>
    <font>
      <sz val="11"/>
      <color rgb="FF000000"/>
      <name val="Calibri"/>
      <family val="2"/>
      <scheme val="minor"/>
    </font>
    <font>
      <u/>
      <sz val="11"/>
      <color theme="10"/>
      <name val="Calibri"/>
      <family val="2"/>
      <scheme val="minor"/>
    </font>
    <font>
      <b/>
      <sz val="11"/>
      <color theme="0" tint="-0.34998626667073579"/>
      <name val="Calibri"/>
      <family val="2"/>
      <scheme val="minor"/>
    </font>
    <font>
      <strike/>
      <sz val="11"/>
      <color theme="1"/>
      <name val="Calibri"/>
      <family val="2"/>
      <scheme val="minor"/>
    </font>
    <font>
      <strike/>
      <sz val="11"/>
      <color theme="0" tint="-0.34998626667073579"/>
      <name val="Calibri"/>
      <family val="2"/>
      <scheme val="minor"/>
    </font>
    <font>
      <sz val="10"/>
      <color theme="1"/>
      <name val="Calibri"/>
      <family val="2"/>
      <scheme val="minor"/>
    </font>
    <font>
      <sz val="10"/>
      <name val="Calibri"/>
      <family val="2"/>
      <scheme val="minor"/>
    </font>
    <font>
      <sz val="10"/>
      <color theme="0" tint="-0.499984740745262"/>
      <name val="Calibri"/>
      <family val="2"/>
      <scheme val="minor"/>
    </font>
    <font>
      <sz val="9"/>
      <color indexed="81"/>
      <name val="Segoe UI"/>
      <family val="2"/>
    </font>
    <font>
      <b/>
      <sz val="9"/>
      <color indexed="81"/>
      <name val="Segoe UI"/>
      <family val="2"/>
    </font>
    <font>
      <b/>
      <sz val="11"/>
      <color rgb="FF000000"/>
      <name val="Calibri"/>
      <family val="2"/>
      <scheme val="minor"/>
    </font>
    <font>
      <sz val="11"/>
      <color theme="0" tint="-0.249977111117893"/>
      <name val="Calibri"/>
      <family val="2"/>
      <scheme val="minor"/>
    </font>
    <font>
      <sz val="8"/>
      <name val="Calibri"/>
      <family val="2"/>
      <scheme val="minor"/>
    </font>
    <font>
      <sz val="11"/>
      <color theme="1"/>
      <name val="Calibri"/>
      <family val="2"/>
      <scheme val="minor"/>
    </font>
    <font>
      <b/>
      <u/>
      <sz val="11"/>
      <color theme="0" tint="-0.34998626667073579"/>
      <name val="Calibri"/>
      <family val="2"/>
      <scheme val="minor"/>
    </font>
    <font>
      <sz val="11"/>
      <color rgb="FF333333"/>
      <name val="Source Sans Pro"/>
      <family val="2"/>
    </font>
    <font>
      <u/>
      <sz val="9"/>
      <color indexed="81"/>
      <name val="Tahoma"/>
      <family val="2"/>
    </font>
    <font>
      <b/>
      <sz val="11"/>
      <color theme="0" tint="-0.249977111117893"/>
      <name val="Calibri"/>
      <family val="2"/>
      <scheme val="minor"/>
    </font>
    <font>
      <sz val="9"/>
      <name val="Malgun Gothic"/>
      <family val="2"/>
    </font>
    <font>
      <i/>
      <sz val="11"/>
      <name val="Calibri"/>
      <family val="2"/>
      <scheme val="minor"/>
    </font>
    <font>
      <sz val="11"/>
      <color theme="1"/>
      <name val="Arial"/>
      <family val="2"/>
    </font>
    <font>
      <b/>
      <sz val="18"/>
      <color theme="0"/>
      <name val="Arial"/>
      <family val="2"/>
    </font>
    <font>
      <b/>
      <sz val="11"/>
      <color theme="1"/>
      <name val="Arial"/>
      <family val="2"/>
    </font>
    <font>
      <b/>
      <sz val="12"/>
      <color theme="0"/>
      <name val="Arial"/>
      <family val="2"/>
    </font>
    <font>
      <b/>
      <sz val="12"/>
      <color theme="1"/>
      <name val="Arial"/>
      <family val="2"/>
    </font>
    <font>
      <b/>
      <strike/>
      <sz val="11"/>
      <color theme="0" tint="-0.34998626667073579"/>
      <name val="Calibri"/>
      <family val="2"/>
      <scheme val="minor"/>
    </font>
    <font>
      <sz val="11"/>
      <color theme="0"/>
      <name val="Calibri"/>
      <family val="2"/>
      <scheme val="minor"/>
    </font>
    <font>
      <strike/>
      <sz val="11"/>
      <color rgb="FF3333FF"/>
      <name val="Calibri"/>
      <family val="2"/>
      <scheme val="minor"/>
    </font>
    <font>
      <sz val="9"/>
      <name val="Calibri"/>
      <family val="3"/>
      <charset val="134"/>
      <scheme val="minor"/>
    </font>
    <font>
      <strike/>
      <sz val="11"/>
      <color theme="1"/>
      <name val="Arial"/>
      <family val="2"/>
    </font>
    <font>
      <b/>
      <sz val="11"/>
      <color theme="0"/>
      <name val="Calibri"/>
      <family val="2"/>
      <scheme val="minor"/>
    </font>
    <font>
      <b/>
      <sz val="11"/>
      <color theme="0"/>
      <name val="Calibri"/>
      <family val="2"/>
    </font>
    <font>
      <sz val="10"/>
      <color theme="0"/>
      <name val="Calibri"/>
      <family val="2"/>
      <scheme val="minor"/>
    </font>
    <font>
      <b/>
      <sz val="9"/>
      <color theme="0"/>
      <name val="Calibri"/>
      <family val="2"/>
      <scheme val="minor"/>
    </font>
    <font>
      <b/>
      <sz val="10"/>
      <color theme="0"/>
      <name val="Calibri"/>
      <family val="2"/>
      <scheme val="minor"/>
    </font>
    <font>
      <sz val="8"/>
      <name val="Calibri"/>
      <family val="3"/>
      <charset val="129"/>
      <scheme val="minor"/>
    </font>
    <font>
      <strike/>
      <sz val="11"/>
      <name val="Calibri"/>
      <family val="2"/>
      <scheme val="minor"/>
    </font>
    <font>
      <sz val="10"/>
      <name val="Arial"/>
      <family val="2"/>
    </font>
    <font>
      <u/>
      <sz val="11"/>
      <name val="Calibri"/>
      <family val="2"/>
      <scheme val="minor"/>
    </font>
    <font>
      <b/>
      <sz val="14"/>
      <color theme="0"/>
      <name val="Calibri"/>
      <family val="2"/>
      <scheme val="minor"/>
    </font>
    <font>
      <i/>
      <sz val="11"/>
      <color theme="0"/>
      <name val="Calibri"/>
      <family val="2"/>
      <scheme val="minor"/>
    </font>
  </fonts>
  <fills count="1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theme="5" tint="0.39997558519241921"/>
        <bgColor indexed="64"/>
      </patternFill>
    </fill>
    <fill>
      <patternFill patternType="solid">
        <fgColor rgb="FFFFABAB"/>
        <bgColor indexed="64"/>
      </patternFill>
    </fill>
    <fill>
      <patternFill patternType="solid">
        <fgColor theme="5" tint="0.79998168889431442"/>
        <bgColor indexed="64"/>
      </patternFill>
    </fill>
    <fill>
      <patternFill patternType="solid">
        <fgColor rgb="FF0070C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249977111117893"/>
        <bgColor indexed="64"/>
      </patternFill>
    </fill>
    <fill>
      <patternFill patternType="solid">
        <fgColor rgb="FF333F63"/>
        <bgColor indexed="64"/>
      </patternFill>
    </fill>
    <fill>
      <patternFill patternType="solid">
        <fgColor rgb="FF00B0E9"/>
        <bgColor indexed="64"/>
      </patternFill>
    </fill>
    <fill>
      <patternFill patternType="solid">
        <fgColor rgb="FFCCCFD8"/>
        <bgColor indexed="64"/>
      </patternFill>
    </fill>
    <fill>
      <patternFill patternType="solid">
        <fgColor rgb="FF00206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theme="4" tint="0.39997558519241921"/>
      </top>
      <bottom style="thin">
        <color theme="4" tint="0.39997558519241921"/>
      </bottom>
      <diagonal/>
    </border>
    <border>
      <left/>
      <right/>
      <top/>
      <bottom style="medium">
        <color indexed="64"/>
      </bottom>
      <diagonal/>
    </border>
    <border>
      <left/>
      <right/>
      <top style="thin">
        <color theme="4" tint="0.39997558519241921"/>
      </top>
      <bottom style="medium">
        <color indexed="64"/>
      </bottom>
      <diagonal/>
    </border>
    <border>
      <left style="thin">
        <color theme="4" tint="0.39997558519241921"/>
      </left>
      <right/>
      <top style="medium">
        <color indexed="64"/>
      </top>
      <bottom style="medium">
        <color indexed="64"/>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bottom style="thick">
        <color indexed="64"/>
      </bottom>
      <diagonal/>
    </border>
    <border>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s>
  <cellStyleXfs count="7">
    <xf numFmtId="0" fontId="0" fillId="0" borderId="0"/>
    <xf numFmtId="0" fontId="5" fillId="0" borderId="0"/>
    <xf numFmtId="0" fontId="19" fillId="0" borderId="0"/>
    <xf numFmtId="0" fontId="23" fillId="0" borderId="0" applyNumberFormat="0" applyFill="0" applyBorder="0" applyAlignment="0" applyProtection="0"/>
    <xf numFmtId="9" fontId="35" fillId="0" borderId="0" applyFont="0" applyFill="0" applyBorder="0" applyAlignment="0" applyProtection="0"/>
    <xf numFmtId="0" fontId="42" fillId="0" borderId="0"/>
    <xf numFmtId="0" fontId="42" fillId="0" borderId="0"/>
  </cellStyleXfs>
  <cellXfs count="481">
    <xf numFmtId="0" fontId="0" fillId="0" borderId="0" xfId="0"/>
    <xf numFmtId="0" fontId="2"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5" fillId="0" borderId="0" xfId="1"/>
    <xf numFmtId="0" fontId="5" fillId="0" borderId="4" xfId="1" applyBorder="1" applyAlignment="1">
      <alignment horizontal="left"/>
    </xf>
    <xf numFmtId="0" fontId="8" fillId="7" borderId="8" xfId="1" applyFont="1" applyFill="1" applyBorder="1" applyAlignment="1">
      <alignment horizontal="left"/>
    </xf>
    <xf numFmtId="0" fontId="6" fillId="6" borderId="1" xfId="1" applyFont="1" applyFill="1" applyBorder="1" applyAlignment="1">
      <alignment horizontal="center" wrapText="1"/>
    </xf>
    <xf numFmtId="0" fontId="5" fillId="0" borderId="0" xfId="1" applyAlignment="1">
      <alignment wrapText="1"/>
    </xf>
    <xf numFmtId="0" fontId="8" fillId="5" borderId="1" xfId="1" applyFont="1" applyFill="1" applyBorder="1" applyAlignment="1">
      <alignment horizontal="left" vertical="center"/>
    </xf>
    <xf numFmtId="0" fontId="5" fillId="0" borderId="1" xfId="1" applyBorder="1" applyAlignment="1">
      <alignment horizontal="center" vertical="center" wrapText="1"/>
    </xf>
    <xf numFmtId="0" fontId="5" fillId="7" borderId="1" xfId="1" applyFill="1" applyBorder="1" applyAlignment="1">
      <alignment horizontal="center" vertical="center" wrapText="1"/>
    </xf>
    <xf numFmtId="0" fontId="2" fillId="0" borderId="0" xfId="0" applyFont="1" applyAlignment="1">
      <alignment horizontal="center" wrapText="1"/>
    </xf>
    <xf numFmtId="0" fontId="10" fillId="0" borderId="0" xfId="0" applyFont="1" applyAlignment="1">
      <alignment horizontal="center" vertical="center"/>
    </xf>
    <xf numFmtId="0" fontId="0" fillId="0" borderId="0" xfId="0" applyAlignment="1">
      <alignment horizontal="center" vertical="center"/>
    </xf>
    <xf numFmtId="2" fontId="0" fillId="0" borderId="0" xfId="0" applyNumberFormat="1" applyAlignment="1">
      <alignment horizontal="center"/>
    </xf>
    <xf numFmtId="164" fontId="0" fillId="0" borderId="0" xfId="0" applyNumberFormat="1" applyAlignment="1">
      <alignment horizontal="center"/>
    </xf>
    <xf numFmtId="0" fontId="2" fillId="0" borderId="1" xfId="0" applyFont="1" applyBorder="1" applyAlignment="1">
      <alignment horizontal="center" wrapText="1"/>
    </xf>
    <xf numFmtId="0" fontId="10" fillId="0" borderId="0" xfId="0" applyFont="1" applyAlignment="1">
      <alignment horizontal="center"/>
    </xf>
    <xf numFmtId="0" fontId="13" fillId="0" borderId="0" xfId="0" applyFont="1" applyAlignment="1">
      <alignment horizontal="center" vertical="center"/>
    </xf>
    <xf numFmtId="0" fontId="14" fillId="0" borderId="0" xfId="0" applyFont="1" applyAlignment="1">
      <alignment horizontal="center" vertical="center"/>
    </xf>
    <xf numFmtId="0" fontId="5" fillId="0" borderId="7" xfId="1" applyBorder="1" applyAlignment="1">
      <alignment horizontal="center" vertical="center" wrapText="1"/>
    </xf>
    <xf numFmtId="0" fontId="15" fillId="0" borderId="0" xfId="0" applyFont="1" applyAlignment="1">
      <alignment horizontal="center" vertical="center"/>
    </xf>
    <xf numFmtId="0" fontId="17" fillId="0" borderId="0" xfId="0" applyFont="1"/>
    <xf numFmtId="0" fontId="18" fillId="0" borderId="0" xfId="0" applyFont="1" applyAlignment="1">
      <alignment horizontal="center"/>
    </xf>
    <xf numFmtId="0" fontId="15" fillId="0" borderId="0" xfId="0" applyFont="1" applyAlignment="1">
      <alignment horizontal="center"/>
    </xf>
    <xf numFmtId="0" fontId="15" fillId="0" borderId="0" xfId="0" applyFont="1"/>
    <xf numFmtId="165" fontId="0" fillId="0" borderId="0" xfId="0" applyNumberFormat="1" applyAlignment="1">
      <alignment horizontal="center"/>
    </xf>
    <xf numFmtId="1" fontId="0" fillId="0" borderId="0" xfId="0" applyNumberFormat="1" applyAlignment="1">
      <alignment horizontal="center"/>
    </xf>
    <xf numFmtId="165" fontId="10" fillId="0" borderId="0" xfId="0" applyNumberFormat="1" applyFont="1" applyAlignment="1">
      <alignment horizontal="center" vertical="center"/>
    </xf>
    <xf numFmtId="0" fontId="21" fillId="0" borderId="0" xfId="0" applyFont="1" applyAlignment="1">
      <alignment horizontal="center"/>
    </xf>
    <xf numFmtId="165" fontId="21" fillId="0" borderId="0" xfId="0" applyNumberFormat="1" applyFont="1" applyAlignment="1">
      <alignment horizontal="center"/>
    </xf>
    <xf numFmtId="165" fontId="21" fillId="0" borderId="0" xfId="0" applyNumberFormat="1" applyFont="1" applyAlignment="1">
      <alignment horizontal="center" vertical="center"/>
    </xf>
    <xf numFmtId="0" fontId="2" fillId="4" borderId="1" xfId="0" applyFont="1" applyFill="1" applyBorder="1" applyAlignment="1">
      <alignment horizontal="center" wrapText="1"/>
    </xf>
    <xf numFmtId="164" fontId="2" fillId="4" borderId="1" xfId="0" applyNumberFormat="1" applyFont="1" applyFill="1" applyBorder="1" applyAlignment="1">
      <alignment horizontal="center" wrapText="1"/>
    </xf>
    <xf numFmtId="0" fontId="2" fillId="0" borderId="0" xfId="0" applyFont="1" applyAlignment="1">
      <alignment horizontal="left"/>
    </xf>
    <xf numFmtId="165" fontId="27" fillId="0" borderId="0" xfId="0" applyNumberFormat="1" applyFont="1" applyAlignment="1">
      <alignment horizontal="center"/>
    </xf>
    <xf numFmtId="165" fontId="27" fillId="0" borderId="0" xfId="0" applyNumberFormat="1" applyFont="1" applyAlignment="1">
      <alignment horizontal="right"/>
    </xf>
    <xf numFmtId="0" fontId="20" fillId="0" borderId="0" xfId="0" applyFont="1" applyAlignment="1">
      <alignment horizontal="center" vertical="center"/>
    </xf>
    <xf numFmtId="0" fontId="3" fillId="0" borderId="0" xfId="0" applyFont="1" applyAlignment="1">
      <alignment horizontal="left"/>
    </xf>
    <xf numFmtId="1" fontId="29" fillId="0" borderId="0" xfId="0" applyNumberFormat="1" applyFont="1" applyAlignment="1">
      <alignment horizontal="center"/>
    </xf>
    <xf numFmtId="0" fontId="5" fillId="2" borderId="1" xfId="1" applyFill="1" applyBorder="1" applyAlignment="1">
      <alignment horizontal="center" vertical="center" wrapText="1"/>
    </xf>
    <xf numFmtId="1" fontId="10" fillId="0" borderId="0" xfId="0" applyNumberFormat="1" applyFont="1" applyAlignment="1">
      <alignment horizontal="center"/>
    </xf>
    <xf numFmtId="1" fontId="2" fillId="4" borderId="1" xfId="0" applyNumberFormat="1" applyFont="1" applyFill="1" applyBorder="1" applyAlignment="1">
      <alignment horizontal="center" wrapText="1"/>
    </xf>
    <xf numFmtId="0" fontId="0" fillId="0" borderId="0" xfId="0" pivotButton="1" applyAlignment="1">
      <alignment horizontal="center"/>
    </xf>
    <xf numFmtId="0" fontId="0" fillId="4" borderId="1" xfId="0" applyFill="1" applyBorder="1" applyAlignment="1">
      <alignment horizontal="center"/>
    </xf>
    <xf numFmtId="0" fontId="0" fillId="0" borderId="1" xfId="0" applyBorder="1" applyAlignment="1">
      <alignment horizontal="center"/>
    </xf>
    <xf numFmtId="0" fontId="0" fillId="10" borderId="1" xfId="0" applyFill="1" applyBorder="1" applyAlignment="1">
      <alignment horizontal="center"/>
    </xf>
    <xf numFmtId="0" fontId="0" fillId="8" borderId="1" xfId="0" applyFill="1" applyBorder="1" applyAlignment="1">
      <alignment horizontal="center"/>
    </xf>
    <xf numFmtId="0" fontId="0" fillId="3" borderId="1" xfId="0" applyFill="1" applyBorder="1" applyAlignment="1">
      <alignment horizontal="center"/>
    </xf>
    <xf numFmtId="0" fontId="20" fillId="0" borderId="0" xfId="0" applyFont="1" applyAlignment="1">
      <alignment horizontal="left"/>
    </xf>
    <xf numFmtId="0" fontId="2" fillId="0" borderId="9" xfId="0" applyFont="1" applyBorder="1" applyAlignment="1">
      <alignment horizontal="center"/>
    </xf>
    <xf numFmtId="0" fontId="25" fillId="0" borderId="1" xfId="0" applyFont="1" applyBorder="1" applyAlignment="1">
      <alignment horizontal="center"/>
    </xf>
    <xf numFmtId="0" fontId="33" fillId="4" borderId="1" xfId="0" applyFont="1" applyFill="1" applyBorder="1" applyAlignment="1">
      <alignment horizontal="center"/>
    </xf>
    <xf numFmtId="0" fontId="33" fillId="10" borderId="1" xfId="0" applyFont="1" applyFill="1" applyBorder="1" applyAlignment="1">
      <alignment horizontal="center"/>
    </xf>
    <xf numFmtId="0" fontId="33" fillId="3" borderId="1" xfId="0" applyFont="1" applyFill="1" applyBorder="1" applyAlignment="1">
      <alignment horizontal="center"/>
    </xf>
    <xf numFmtId="0" fontId="33" fillId="8" borderId="1" xfId="0" applyFont="1" applyFill="1" applyBorder="1" applyAlignment="1">
      <alignment horizontal="center"/>
    </xf>
    <xf numFmtId="0" fontId="0" fillId="5" borderId="0" xfId="0" applyFill="1" applyAlignment="1">
      <alignment horizontal="center"/>
    </xf>
    <xf numFmtId="0" fontId="2" fillId="0" borderId="0" xfId="0" applyFont="1" applyAlignment="1">
      <alignment horizontal="right"/>
    </xf>
    <xf numFmtId="0" fontId="0" fillId="5" borderId="11" xfId="0" applyFill="1" applyBorder="1" applyAlignment="1">
      <alignment horizontal="center"/>
    </xf>
    <xf numFmtId="0" fontId="0" fillId="0" borderId="9" xfId="0" applyBorder="1" applyAlignment="1">
      <alignment horizontal="center"/>
    </xf>
    <xf numFmtId="0" fontId="0" fillId="5" borderId="9" xfId="0" applyFill="1" applyBorder="1" applyAlignment="1">
      <alignment horizontal="center"/>
    </xf>
    <xf numFmtId="0" fontId="0" fillId="5" borderId="12" xfId="0" applyFill="1" applyBorder="1" applyAlignment="1">
      <alignment horizontal="center"/>
    </xf>
    <xf numFmtId="164" fontId="21" fillId="0" borderId="0" xfId="0" applyNumberFormat="1" applyFont="1" applyAlignment="1">
      <alignment horizontal="center"/>
    </xf>
    <xf numFmtId="0" fontId="24" fillId="0" borderId="0" xfId="0" applyFont="1" applyAlignment="1">
      <alignment horizontal="center" wrapText="1"/>
    </xf>
    <xf numFmtId="0" fontId="21" fillId="0" borderId="0" xfId="0" applyFont="1" applyAlignment="1">
      <alignment horizontal="left"/>
    </xf>
    <xf numFmtId="9" fontId="21" fillId="0" borderId="0" xfId="4" applyFont="1" applyAlignment="1">
      <alignment horizontal="center" vertical="center"/>
    </xf>
    <xf numFmtId="9" fontId="21" fillId="0" borderId="0" xfId="0" applyNumberFormat="1" applyFont="1" applyAlignment="1">
      <alignment horizontal="center"/>
    </xf>
    <xf numFmtId="0" fontId="37" fillId="0" borderId="0" xfId="0" applyFont="1" applyAlignment="1">
      <alignment vertical="center" wrapText="1"/>
    </xf>
    <xf numFmtId="0" fontId="0" fillId="0" borderId="0" xfId="0" applyAlignment="1">
      <alignment horizontal="left" vertical="center" wrapText="1" indent="1"/>
    </xf>
    <xf numFmtId="0" fontId="37" fillId="0" borderId="0" xfId="0" applyFont="1" applyAlignment="1">
      <alignment horizontal="left" vertical="center" wrapText="1" indent="1"/>
    </xf>
    <xf numFmtId="9" fontId="21" fillId="0" borderId="0" xfId="4" applyFont="1" applyBorder="1" applyAlignment="1">
      <alignment horizontal="center" vertical="center"/>
    </xf>
    <xf numFmtId="0" fontId="21" fillId="0" borderId="0" xfId="0" applyFont="1" applyAlignment="1">
      <alignment horizontal="center" vertical="center"/>
    </xf>
    <xf numFmtId="165" fontId="15" fillId="0" borderId="0" xfId="0" applyNumberFormat="1" applyFont="1" applyAlignment="1">
      <alignment horizontal="center" vertical="center"/>
    </xf>
    <xf numFmtId="0" fontId="0" fillId="4" borderId="0" xfId="0" applyFill="1" applyAlignment="1">
      <alignment horizontal="center"/>
    </xf>
    <xf numFmtId="0" fontId="21" fillId="4" borderId="0" xfId="0" applyFont="1" applyFill="1" applyAlignment="1">
      <alignment horizontal="center"/>
    </xf>
    <xf numFmtId="2" fontId="21" fillId="0" borderId="0" xfId="0" applyNumberFormat="1" applyFont="1" applyAlignment="1">
      <alignment horizontal="center" vertical="center"/>
    </xf>
    <xf numFmtId="0" fontId="24" fillId="0" borderId="0" xfId="0" applyFont="1" applyAlignment="1">
      <alignment horizontal="center" vertical="center"/>
    </xf>
    <xf numFmtId="166" fontId="21" fillId="0" borderId="0" xfId="0" applyNumberFormat="1" applyFont="1" applyAlignment="1">
      <alignment horizontal="center" vertical="center"/>
    </xf>
    <xf numFmtId="166" fontId="10" fillId="0" borderId="0" xfId="0" applyNumberFormat="1" applyFont="1" applyAlignment="1">
      <alignment horizontal="center" vertical="center"/>
    </xf>
    <xf numFmtId="9" fontId="15" fillId="0" borderId="0" xfId="4" applyFont="1" applyBorder="1" applyAlignment="1">
      <alignment horizontal="center" vertical="center"/>
    </xf>
    <xf numFmtId="167" fontId="10" fillId="0" borderId="0" xfId="0" applyNumberFormat="1" applyFont="1" applyAlignment="1">
      <alignment horizontal="center"/>
    </xf>
    <xf numFmtId="167" fontId="20" fillId="0" borderId="0" xfId="0" applyNumberFormat="1" applyFont="1" applyAlignment="1">
      <alignment horizontal="center" wrapText="1"/>
    </xf>
    <xf numFmtId="167" fontId="10" fillId="0" borderId="0" xfId="4" applyNumberFormat="1" applyFont="1" applyBorder="1" applyAlignment="1">
      <alignment horizontal="center" vertical="center"/>
    </xf>
    <xf numFmtId="167" fontId="10" fillId="0" borderId="0" xfId="0" applyNumberFormat="1" applyFont="1" applyAlignment="1">
      <alignment horizontal="right"/>
    </xf>
    <xf numFmtId="167" fontId="10" fillId="0" borderId="0" xfId="0" applyNumberFormat="1" applyFont="1" applyAlignment="1">
      <alignment horizontal="left"/>
    </xf>
    <xf numFmtId="10" fontId="10" fillId="0" borderId="0" xfId="4" applyNumberFormat="1" applyFont="1" applyBorder="1" applyAlignment="1">
      <alignment horizontal="center" vertical="center"/>
    </xf>
    <xf numFmtId="166" fontId="15" fillId="0" borderId="0" xfId="0" applyNumberFormat="1" applyFont="1" applyAlignment="1">
      <alignment horizontal="center" vertical="center"/>
    </xf>
    <xf numFmtId="167" fontId="15" fillId="0" borderId="0" xfId="4" applyNumberFormat="1" applyFont="1" applyBorder="1" applyAlignment="1">
      <alignment horizontal="center" vertical="center"/>
    </xf>
    <xf numFmtId="0" fontId="43" fillId="11" borderId="14" xfId="5" applyFont="1" applyFill="1" applyBorder="1"/>
    <xf numFmtId="0" fontId="44" fillId="11" borderId="15" xfId="5" applyFont="1" applyFill="1" applyBorder="1"/>
    <xf numFmtId="0" fontId="44" fillId="11" borderId="15" xfId="5" applyFont="1" applyFill="1" applyBorder="1" applyAlignment="1">
      <alignment horizontal="center"/>
    </xf>
    <xf numFmtId="0" fontId="42" fillId="0" borderId="0" xfId="5"/>
    <xf numFmtId="0" fontId="42" fillId="0" borderId="0" xfId="5" applyAlignment="1">
      <alignment horizontal="center"/>
    </xf>
    <xf numFmtId="0" fontId="45" fillId="12" borderId="16" xfId="5" applyFont="1" applyFill="1" applyBorder="1" applyAlignment="1">
      <alignment horizontal="center" wrapText="1"/>
    </xf>
    <xf numFmtId="0" fontId="42" fillId="13" borderId="16" xfId="5" applyFill="1" applyBorder="1" applyAlignment="1">
      <alignment horizontal="center"/>
    </xf>
    <xf numFmtId="0" fontId="42" fillId="0" borderId="16" xfId="5" applyBorder="1" applyAlignment="1">
      <alignment horizontal="center"/>
    </xf>
    <xf numFmtId="0" fontId="42" fillId="0" borderId="17" xfId="5" applyBorder="1" applyAlignment="1">
      <alignment horizontal="center"/>
    </xf>
    <xf numFmtId="0" fontId="42" fillId="13" borderId="18" xfId="5" applyFill="1" applyBorder="1" applyAlignment="1">
      <alignment horizontal="center"/>
    </xf>
    <xf numFmtId="0" fontId="46" fillId="11" borderId="15" xfId="5" applyFont="1" applyFill="1" applyBorder="1" applyAlignment="1">
      <alignment horizontal="center" wrapText="1"/>
    </xf>
    <xf numFmtId="9" fontId="24" fillId="0" borderId="0" xfId="4" applyFont="1" applyBorder="1" applyAlignment="1">
      <alignment horizontal="center" vertical="center"/>
    </xf>
    <xf numFmtId="167" fontId="20" fillId="0" borderId="0" xfId="4" applyNumberFormat="1" applyFont="1" applyBorder="1" applyAlignment="1">
      <alignment horizontal="center" vertical="center"/>
    </xf>
    <xf numFmtId="9" fontId="20" fillId="0" borderId="0" xfId="4" applyFont="1" applyBorder="1" applyAlignment="1">
      <alignment horizontal="center" vertical="center"/>
    </xf>
    <xf numFmtId="9" fontId="10" fillId="0" borderId="0" xfId="4" applyFont="1" applyBorder="1" applyAlignment="1">
      <alignment horizontal="center" vertical="center"/>
    </xf>
    <xf numFmtId="10" fontId="21" fillId="0" borderId="0" xfId="4" applyNumberFormat="1" applyFont="1" applyAlignment="1">
      <alignment horizontal="center" vertical="center"/>
    </xf>
    <xf numFmtId="167" fontId="18" fillId="0" borderId="0" xfId="4" applyNumberFormat="1" applyFont="1" applyBorder="1" applyAlignment="1">
      <alignment horizontal="center" vertical="center"/>
    </xf>
    <xf numFmtId="9" fontId="18" fillId="0" borderId="0" xfId="4" applyFont="1" applyBorder="1" applyAlignment="1">
      <alignment horizontal="center" vertical="center"/>
    </xf>
    <xf numFmtId="0" fontId="20" fillId="0" borderId="0" xfId="0" applyFont="1" applyAlignment="1">
      <alignment horizontal="center" wrapText="1"/>
    </xf>
    <xf numFmtId="167" fontId="21" fillId="0" borderId="0" xfId="4" applyNumberFormat="1" applyFont="1" applyBorder="1" applyAlignment="1">
      <alignment horizontal="center" vertical="center"/>
    </xf>
    <xf numFmtId="10" fontId="15" fillId="0" borderId="0" xfId="4" applyNumberFormat="1" applyFont="1" applyBorder="1" applyAlignment="1">
      <alignment horizontal="center" vertical="center"/>
    </xf>
    <xf numFmtId="0" fontId="10" fillId="4" borderId="0" xfId="0" applyFont="1" applyFill="1" applyAlignment="1">
      <alignment horizontal="center"/>
    </xf>
    <xf numFmtId="167" fontId="10" fillId="0" borderId="0" xfId="4" applyNumberFormat="1" applyFont="1" applyFill="1" applyBorder="1" applyAlignment="1">
      <alignment horizontal="center" vertical="center"/>
    </xf>
    <xf numFmtId="165" fontId="10" fillId="0" borderId="0" xfId="4" applyNumberFormat="1" applyFont="1" applyFill="1" applyBorder="1" applyAlignment="1">
      <alignment horizontal="center" vertical="center"/>
    </xf>
    <xf numFmtId="3" fontId="10" fillId="0" borderId="0" xfId="4" applyNumberFormat="1" applyFont="1" applyBorder="1" applyAlignment="1">
      <alignment horizontal="center" vertical="center"/>
    </xf>
    <xf numFmtId="167" fontId="15" fillId="0" borderId="0" xfId="4" applyNumberFormat="1" applyFont="1" applyFill="1" applyBorder="1" applyAlignment="1">
      <alignment horizontal="center" vertical="center"/>
    </xf>
    <xf numFmtId="3" fontId="15" fillId="0" borderId="0" xfId="4" applyNumberFormat="1" applyFont="1" applyBorder="1" applyAlignment="1">
      <alignment horizontal="center" vertical="center"/>
    </xf>
    <xf numFmtId="0" fontId="44" fillId="0" borderId="0" xfId="5" applyFont="1" applyAlignment="1">
      <alignment horizontal="center"/>
    </xf>
    <xf numFmtId="0" fontId="44" fillId="0" borderId="0" xfId="5" applyFont="1"/>
    <xf numFmtId="0" fontId="44" fillId="0" borderId="16" xfId="5" applyFont="1" applyBorder="1" applyAlignment="1">
      <alignment horizontal="center"/>
    </xf>
    <xf numFmtId="0" fontId="24" fillId="0" borderId="0" xfId="0" applyFont="1" applyAlignment="1">
      <alignment horizontal="center"/>
    </xf>
    <xf numFmtId="0" fontId="21" fillId="0" borderId="0" xfId="0" applyFont="1"/>
    <xf numFmtId="0" fontId="47" fillId="0" borderId="0" xfId="0" applyFont="1" applyAlignment="1">
      <alignment horizontal="center"/>
    </xf>
    <xf numFmtId="0" fontId="26" fillId="0" borderId="0" xfId="0" applyFont="1" applyAlignment="1">
      <alignment horizontal="center"/>
    </xf>
    <xf numFmtId="167" fontId="21" fillId="0" borderId="0" xfId="4" applyNumberFormat="1" applyFont="1" applyFill="1" applyBorder="1" applyAlignment="1">
      <alignment horizontal="center" vertical="center"/>
    </xf>
    <xf numFmtId="3" fontId="21" fillId="0" borderId="0" xfId="4" applyNumberFormat="1" applyFont="1" applyBorder="1" applyAlignment="1">
      <alignment horizontal="center" vertical="center"/>
    </xf>
    <xf numFmtId="0" fontId="42" fillId="14" borderId="0" xfId="5" applyFill="1" applyAlignment="1">
      <alignment horizontal="center"/>
    </xf>
    <xf numFmtId="165" fontId="21" fillId="0" borderId="0" xfId="4" applyNumberFormat="1" applyFont="1" applyFill="1" applyBorder="1" applyAlignment="1">
      <alignment horizontal="center" vertical="center"/>
    </xf>
    <xf numFmtId="10" fontId="21" fillId="0" borderId="0" xfId="4" applyNumberFormat="1" applyFont="1" applyBorder="1" applyAlignment="1">
      <alignment horizontal="center" vertical="center"/>
    </xf>
    <xf numFmtId="165" fontId="15" fillId="0" borderId="0" xfId="4" applyNumberFormat="1" applyFont="1" applyFill="1" applyBorder="1" applyAlignment="1">
      <alignment horizontal="center" vertical="center"/>
    </xf>
    <xf numFmtId="0" fontId="0" fillId="0" borderId="0" xfId="0" applyAlignment="1">
      <alignment horizontal="center" wrapText="1"/>
    </xf>
    <xf numFmtId="167" fontId="24" fillId="0" borderId="0" xfId="4" applyNumberFormat="1" applyFont="1" applyBorder="1" applyAlignment="1">
      <alignment horizontal="center" vertical="center"/>
    </xf>
    <xf numFmtId="0" fontId="2" fillId="0" borderId="0" xfId="0" applyFont="1"/>
    <xf numFmtId="10" fontId="18" fillId="0" borderId="0" xfId="4" applyNumberFormat="1" applyFont="1" applyBorder="1" applyAlignment="1">
      <alignment horizontal="center" vertical="center"/>
    </xf>
    <xf numFmtId="0" fontId="46" fillId="11" borderId="17" xfId="5" applyFont="1" applyFill="1" applyBorder="1" applyAlignment="1">
      <alignment horizontal="center" wrapText="1"/>
    </xf>
    <xf numFmtId="0" fontId="42" fillId="0" borderId="0" xfId="5" applyAlignment="1">
      <alignment horizontal="left"/>
    </xf>
    <xf numFmtId="0" fontId="42" fillId="2" borderId="0" xfId="5" applyFill="1" applyAlignment="1">
      <alignment horizontal="left"/>
    </xf>
    <xf numFmtId="167" fontId="10" fillId="8" borderId="0" xfId="4" applyNumberFormat="1" applyFont="1" applyFill="1" applyBorder="1" applyAlignment="1">
      <alignment horizontal="center" vertical="center"/>
    </xf>
    <xf numFmtId="167" fontId="10" fillId="5" borderId="0" xfId="4" applyNumberFormat="1" applyFont="1" applyFill="1" applyBorder="1" applyAlignment="1">
      <alignment horizontal="center" vertical="center"/>
    </xf>
    <xf numFmtId="9" fontId="24" fillId="0" borderId="0" xfId="4" applyFont="1" applyFill="1" applyBorder="1" applyAlignment="1">
      <alignment horizontal="center" vertical="center"/>
    </xf>
    <xf numFmtId="167" fontId="20" fillId="0" borderId="0" xfId="4" applyNumberFormat="1" applyFont="1" applyFill="1" applyBorder="1" applyAlignment="1">
      <alignment horizontal="center" vertical="center"/>
    </xf>
    <xf numFmtId="3" fontId="20" fillId="0" borderId="0" xfId="4" applyNumberFormat="1" applyFont="1" applyBorder="1" applyAlignment="1">
      <alignment horizontal="center" vertical="center"/>
    </xf>
    <xf numFmtId="167" fontId="4" fillId="0" borderId="0" xfId="4" applyNumberFormat="1" applyFont="1" applyBorder="1" applyAlignment="1">
      <alignment horizontal="center" vertical="center"/>
    </xf>
    <xf numFmtId="9" fontId="4" fillId="0" borderId="0" xfId="4" applyFont="1" applyBorder="1" applyAlignment="1">
      <alignment horizontal="center" vertical="center"/>
    </xf>
    <xf numFmtId="167" fontId="18" fillId="0" borderId="0" xfId="4" applyNumberFormat="1" applyFont="1" applyFill="1" applyBorder="1" applyAlignment="1">
      <alignment horizontal="center" vertical="center"/>
    </xf>
    <xf numFmtId="3" fontId="18" fillId="0" borderId="0" xfId="4" applyNumberFormat="1" applyFont="1" applyBorder="1" applyAlignment="1">
      <alignment horizontal="center" vertical="center"/>
    </xf>
    <xf numFmtId="0" fontId="0" fillId="0" borderId="0" xfId="0" pivotButton="1"/>
    <xf numFmtId="0" fontId="0" fillId="0" borderId="0" xfId="0" applyAlignment="1">
      <alignment horizontal="left" indent="1"/>
    </xf>
    <xf numFmtId="1" fontId="21" fillId="0" borderId="0" xfId="4" applyNumberFormat="1" applyFont="1" applyBorder="1" applyAlignment="1">
      <alignment horizontal="center" vertical="center"/>
    </xf>
    <xf numFmtId="3" fontId="10" fillId="0" borderId="0" xfId="0" applyNumberFormat="1" applyFont="1" applyAlignment="1">
      <alignment horizontal="center"/>
    </xf>
    <xf numFmtId="3" fontId="20" fillId="0" borderId="0" xfId="0" applyNumberFormat="1" applyFont="1" applyAlignment="1">
      <alignment horizontal="center" wrapText="1"/>
    </xf>
    <xf numFmtId="3" fontId="10" fillId="0" borderId="0" xfId="4" applyNumberFormat="1" applyFont="1" applyFill="1" applyBorder="1" applyAlignment="1">
      <alignment horizontal="center" vertical="center"/>
    </xf>
    <xf numFmtId="3" fontId="15" fillId="0" borderId="0" xfId="4" applyNumberFormat="1" applyFont="1" applyFill="1" applyBorder="1" applyAlignment="1">
      <alignment horizontal="center" vertical="center"/>
    </xf>
    <xf numFmtId="3" fontId="4" fillId="0" borderId="0" xfId="4" applyNumberFormat="1" applyFont="1" applyBorder="1" applyAlignment="1">
      <alignment horizontal="center" vertical="center"/>
    </xf>
    <xf numFmtId="3" fontId="15" fillId="0" borderId="0" xfId="0" applyNumberFormat="1" applyFont="1" applyAlignment="1">
      <alignment horizontal="center"/>
    </xf>
    <xf numFmtId="3" fontId="18" fillId="0" borderId="0" xfId="0" applyNumberFormat="1" applyFont="1" applyAlignment="1">
      <alignment horizontal="center" wrapText="1"/>
    </xf>
    <xf numFmtId="3" fontId="21" fillId="0" borderId="0" xfId="4" applyNumberFormat="1" applyFont="1" applyFill="1" applyBorder="1" applyAlignment="1">
      <alignment horizontal="center" vertical="center"/>
    </xf>
    <xf numFmtId="3" fontId="20" fillId="0" borderId="0" xfId="4" applyNumberFormat="1" applyFont="1" applyFill="1" applyBorder="1" applyAlignment="1">
      <alignment horizontal="center" vertical="center"/>
    </xf>
    <xf numFmtId="167" fontId="18" fillId="0" borderId="0" xfId="0" applyNumberFormat="1" applyFont="1" applyAlignment="1">
      <alignment horizontal="center" wrapText="1"/>
    </xf>
    <xf numFmtId="167" fontId="4" fillId="0" borderId="0" xfId="4" applyNumberFormat="1" applyFont="1" applyFill="1" applyBorder="1" applyAlignment="1">
      <alignment horizontal="center" vertical="center"/>
    </xf>
    <xf numFmtId="3" fontId="24" fillId="0" borderId="0" xfId="4" applyNumberFormat="1" applyFont="1" applyBorder="1" applyAlignment="1">
      <alignment horizontal="center" vertical="center"/>
    </xf>
    <xf numFmtId="9" fontId="15" fillId="0" borderId="0" xfId="4" applyFont="1" applyFill="1" applyBorder="1" applyAlignment="1">
      <alignment horizontal="center" vertical="center"/>
    </xf>
    <xf numFmtId="167" fontId="21" fillId="5" borderId="0" xfId="4" applyNumberFormat="1" applyFont="1" applyFill="1" applyBorder="1" applyAlignment="1">
      <alignment horizontal="center" vertical="center"/>
    </xf>
    <xf numFmtId="167" fontId="24" fillId="0" borderId="0" xfId="4" applyNumberFormat="1" applyFont="1" applyFill="1" applyBorder="1" applyAlignment="1">
      <alignment horizontal="center" vertical="center"/>
    </xf>
    <xf numFmtId="167" fontId="21" fillId="2" borderId="0" xfId="4" applyNumberFormat="1" applyFont="1" applyFill="1" applyBorder="1" applyAlignment="1">
      <alignment horizontal="center" vertical="center"/>
    </xf>
    <xf numFmtId="3" fontId="24" fillId="0" borderId="0" xfId="4" applyNumberFormat="1" applyFont="1" applyFill="1" applyBorder="1" applyAlignment="1">
      <alignment horizontal="center" vertical="center"/>
    </xf>
    <xf numFmtId="167" fontId="21" fillId="8" borderId="0" xfId="4" applyNumberFormat="1" applyFont="1" applyFill="1" applyBorder="1" applyAlignment="1">
      <alignment horizontal="center" vertical="center"/>
    </xf>
    <xf numFmtId="3" fontId="18" fillId="0" borderId="0" xfId="4" applyNumberFormat="1" applyFont="1" applyFill="1" applyBorder="1" applyAlignment="1">
      <alignment horizontal="center" vertical="center"/>
    </xf>
    <xf numFmtId="9" fontId="21" fillId="0" borderId="0" xfId="4" applyFont="1" applyFill="1" applyBorder="1" applyAlignment="1">
      <alignment horizontal="center" vertical="center"/>
    </xf>
    <xf numFmtId="165" fontId="24" fillId="0" borderId="0" xfId="4" applyNumberFormat="1" applyFont="1" applyFill="1" applyBorder="1" applyAlignment="1">
      <alignment horizontal="center" vertical="center"/>
    </xf>
    <xf numFmtId="10" fontId="24" fillId="0" borderId="0" xfId="4" applyNumberFormat="1" applyFont="1" applyBorder="1" applyAlignment="1">
      <alignment horizontal="center" vertical="center"/>
    </xf>
    <xf numFmtId="165" fontId="18" fillId="0" borderId="0" xfId="4" applyNumberFormat="1" applyFont="1" applyFill="1" applyBorder="1" applyAlignment="1">
      <alignment horizontal="center" vertical="center"/>
    </xf>
    <xf numFmtId="1" fontId="2" fillId="0" borderId="1" xfId="0" applyNumberFormat="1" applyFont="1" applyBorder="1" applyAlignment="1">
      <alignment horizontal="center"/>
    </xf>
    <xf numFmtId="0" fontId="2" fillId="0" borderId="1" xfId="0" applyFont="1" applyBorder="1" applyAlignment="1">
      <alignment horizontal="center"/>
    </xf>
    <xf numFmtId="10" fontId="20" fillId="0" borderId="0" xfId="4" applyNumberFormat="1" applyFont="1" applyBorder="1" applyAlignment="1">
      <alignment horizontal="center" vertical="center"/>
    </xf>
    <xf numFmtId="0" fontId="4" fillId="0" borderId="0" xfId="0" applyFont="1" applyAlignment="1">
      <alignment horizontal="center"/>
    </xf>
    <xf numFmtId="0" fontId="49" fillId="0" borderId="0" xfId="0" applyFont="1" applyAlignment="1">
      <alignment horizontal="center"/>
    </xf>
    <xf numFmtId="167" fontId="24" fillId="2" borderId="0" xfId="4" applyNumberFormat="1" applyFont="1" applyFill="1" applyBorder="1" applyAlignment="1">
      <alignment horizontal="center" vertical="center"/>
    </xf>
    <xf numFmtId="9" fontId="33" fillId="0" borderId="0" xfId="4" applyFont="1" applyBorder="1" applyAlignment="1">
      <alignment horizontal="center" vertical="center"/>
    </xf>
    <xf numFmtId="3" fontId="33" fillId="0" borderId="0" xfId="4" applyNumberFormat="1" applyFont="1" applyFill="1" applyBorder="1" applyAlignment="1">
      <alignment horizontal="center" vertical="center"/>
    </xf>
    <xf numFmtId="3" fontId="33" fillId="0" borderId="0" xfId="4" applyNumberFormat="1" applyFont="1" applyBorder="1" applyAlignment="1">
      <alignment horizontal="center" vertical="center"/>
    </xf>
    <xf numFmtId="10" fontId="33" fillId="0" borderId="0" xfId="4" applyNumberFormat="1" applyFont="1" applyBorder="1" applyAlignment="1">
      <alignment horizontal="center" vertical="center"/>
    </xf>
    <xf numFmtId="0" fontId="45" fillId="11" borderId="19" xfId="5" applyFont="1" applyFill="1" applyBorder="1" applyAlignment="1">
      <alignment horizontal="center" wrapText="1"/>
    </xf>
    <xf numFmtId="0" fontId="51" fillId="0" borderId="0" xfId="5" applyFont="1" applyAlignment="1">
      <alignment horizontal="center"/>
    </xf>
    <xf numFmtId="0" fontId="51" fillId="14" borderId="0" xfId="5" applyFont="1" applyFill="1" applyAlignment="1">
      <alignment horizontal="center"/>
    </xf>
    <xf numFmtId="9" fontId="4" fillId="0" borderId="0" xfId="4" applyFont="1" applyFill="1" applyBorder="1" applyAlignment="1">
      <alignment horizontal="center" vertical="center"/>
    </xf>
    <xf numFmtId="9" fontId="0" fillId="0" borderId="0" xfId="4" applyFont="1" applyBorder="1" applyAlignment="1">
      <alignment horizontal="center" vertical="center"/>
    </xf>
    <xf numFmtId="167" fontId="0" fillId="0" borderId="0" xfId="4" applyNumberFormat="1" applyFont="1" applyFill="1" applyBorder="1" applyAlignment="1">
      <alignment horizontal="center" vertical="center"/>
    </xf>
    <xf numFmtId="167" fontId="0" fillId="0" borderId="0" xfId="4" applyNumberFormat="1" applyFont="1" applyBorder="1" applyAlignment="1">
      <alignment horizontal="center" vertical="center"/>
    </xf>
    <xf numFmtId="165" fontId="0" fillId="0" borderId="0" xfId="4" applyNumberFormat="1" applyFont="1" applyFill="1" applyBorder="1" applyAlignment="1">
      <alignment horizontal="center" vertical="center"/>
    </xf>
    <xf numFmtId="10" fontId="0" fillId="0" borderId="0" xfId="4" applyNumberFormat="1" applyFont="1" applyBorder="1" applyAlignment="1">
      <alignment horizontal="center" vertical="center"/>
    </xf>
    <xf numFmtId="167" fontId="20" fillId="8" borderId="0" xfId="4" applyNumberFormat="1" applyFont="1" applyFill="1" applyBorder="1" applyAlignment="1">
      <alignment horizontal="center" vertical="center"/>
    </xf>
    <xf numFmtId="165" fontId="20" fillId="0" borderId="0" xfId="4" applyNumberFormat="1" applyFont="1" applyFill="1" applyBorder="1" applyAlignment="1">
      <alignment horizontal="center" vertical="center"/>
    </xf>
    <xf numFmtId="3" fontId="16" fillId="0" borderId="0" xfId="4" applyNumberFormat="1" applyFont="1" applyBorder="1" applyAlignment="1">
      <alignment horizontal="center" vertical="center"/>
    </xf>
    <xf numFmtId="9" fontId="10" fillId="0" borderId="0" xfId="4" applyFont="1" applyFill="1" applyBorder="1" applyAlignment="1">
      <alignment horizontal="center" vertical="center"/>
    </xf>
    <xf numFmtId="9" fontId="10" fillId="0" borderId="0" xfId="4" applyFont="1" applyFill="1" applyBorder="1" applyAlignment="1">
      <alignment horizontal="center"/>
    </xf>
    <xf numFmtId="9" fontId="21" fillId="0" borderId="0" xfId="4" applyFont="1" applyFill="1" applyBorder="1" applyAlignment="1">
      <alignment horizontal="center"/>
    </xf>
    <xf numFmtId="165" fontId="10" fillId="0" borderId="0" xfId="4" applyNumberFormat="1" applyFont="1" applyBorder="1" applyAlignment="1">
      <alignment horizontal="center" vertical="center"/>
    </xf>
    <xf numFmtId="0" fontId="0" fillId="0" borderId="13" xfId="0" applyBorder="1" applyAlignment="1">
      <alignment horizontal="center"/>
    </xf>
    <xf numFmtId="0" fontId="10" fillId="0" borderId="9" xfId="0" applyFont="1" applyBorder="1" applyAlignment="1">
      <alignment horizontal="center" vertical="center"/>
    </xf>
    <xf numFmtId="165" fontId="10" fillId="0" borderId="9" xfId="0" applyNumberFormat="1" applyFont="1" applyBorder="1" applyAlignment="1">
      <alignment horizontal="center" vertical="center"/>
    </xf>
    <xf numFmtId="1" fontId="10" fillId="0" borderId="9" xfId="0" applyNumberFormat="1" applyFont="1" applyBorder="1" applyAlignment="1">
      <alignment horizontal="center" vertical="center"/>
    </xf>
    <xf numFmtId="1" fontId="15" fillId="0" borderId="9" xfId="0" applyNumberFormat="1" applyFont="1" applyBorder="1" applyAlignment="1">
      <alignment horizontal="center" vertical="center"/>
    </xf>
    <xf numFmtId="1" fontId="21" fillId="0" borderId="9" xfId="0" applyNumberFormat="1" applyFont="1" applyBorder="1" applyAlignment="1">
      <alignment horizontal="center" vertical="center"/>
    </xf>
    <xf numFmtId="164" fontId="10" fillId="0" borderId="9" xfId="0" applyNumberFormat="1" applyFont="1" applyBorder="1" applyAlignment="1">
      <alignment horizontal="center" vertical="center"/>
    </xf>
    <xf numFmtId="9" fontId="10" fillId="0" borderId="9" xfId="4" applyFont="1" applyBorder="1" applyAlignment="1">
      <alignment horizontal="center" vertical="center"/>
    </xf>
    <xf numFmtId="0" fontId="21" fillId="0" borderId="9" xfId="0" applyFont="1" applyBorder="1" applyAlignment="1">
      <alignment horizontal="center" vertical="center"/>
    </xf>
    <xf numFmtId="165" fontId="21" fillId="0" borderId="9" xfId="0" applyNumberFormat="1" applyFont="1" applyBorder="1" applyAlignment="1">
      <alignment horizontal="center" vertical="center"/>
    </xf>
    <xf numFmtId="9" fontId="21" fillId="0" borderId="9" xfId="4" applyFont="1" applyBorder="1" applyAlignment="1">
      <alignment horizontal="center" vertical="center"/>
    </xf>
    <xf numFmtId="165" fontId="10" fillId="0" borderId="9" xfId="4" applyNumberFormat="1" applyFont="1" applyFill="1" applyBorder="1" applyAlignment="1">
      <alignment horizontal="center" vertical="center"/>
    </xf>
    <xf numFmtId="167" fontId="21" fillId="0" borderId="9" xfId="4" applyNumberFormat="1" applyFont="1" applyFill="1" applyBorder="1" applyAlignment="1">
      <alignment horizontal="center" vertical="center"/>
    </xf>
    <xf numFmtId="167" fontId="10" fillId="0" borderId="9" xfId="4" applyNumberFormat="1" applyFont="1" applyFill="1" applyBorder="1" applyAlignment="1">
      <alignment horizontal="center" vertical="center"/>
    </xf>
    <xf numFmtId="167" fontId="10" fillId="0" borderId="9" xfId="4" applyNumberFormat="1" applyFont="1" applyBorder="1" applyAlignment="1">
      <alignment horizontal="center" vertical="center"/>
    </xf>
    <xf numFmtId="9" fontId="15" fillId="0" borderId="9" xfId="4" applyFont="1" applyBorder="1" applyAlignment="1">
      <alignment horizontal="center" vertical="center"/>
    </xf>
    <xf numFmtId="0" fontId="15" fillId="0" borderId="9" xfId="0" applyFont="1" applyBorder="1" applyAlignment="1">
      <alignment horizontal="center" vertical="center"/>
    </xf>
    <xf numFmtId="166" fontId="15" fillId="0" borderId="9" xfId="0" applyNumberFormat="1" applyFont="1" applyBorder="1" applyAlignment="1">
      <alignment horizontal="center" vertical="center"/>
    </xf>
    <xf numFmtId="165" fontId="15" fillId="0" borderId="9" xfId="0" applyNumberFormat="1" applyFont="1" applyBorder="1" applyAlignment="1">
      <alignment horizontal="center" vertical="center"/>
    </xf>
    <xf numFmtId="10" fontId="15" fillId="0" borderId="9" xfId="4" applyNumberFormat="1" applyFont="1" applyBorder="1" applyAlignment="1">
      <alignment horizontal="center" vertical="center"/>
    </xf>
    <xf numFmtId="3" fontId="21" fillId="0" borderId="9" xfId="4" applyNumberFormat="1" applyFont="1" applyFill="1" applyBorder="1" applyAlignment="1">
      <alignment horizontal="center" vertical="center"/>
    </xf>
    <xf numFmtId="3" fontId="21" fillId="0" borderId="9" xfId="4" applyNumberFormat="1" applyFont="1" applyBorder="1" applyAlignment="1">
      <alignment horizontal="center" vertical="center"/>
    </xf>
    <xf numFmtId="166" fontId="21" fillId="0" borderId="9" xfId="0" applyNumberFormat="1" applyFont="1" applyBorder="1" applyAlignment="1">
      <alignment horizontal="center" vertical="center"/>
    </xf>
    <xf numFmtId="10" fontId="21" fillId="0" borderId="9" xfId="4" applyNumberFormat="1" applyFont="1" applyBorder="1" applyAlignment="1">
      <alignment horizontal="center" vertical="center"/>
    </xf>
    <xf numFmtId="164" fontId="15" fillId="0" borderId="9" xfId="0" applyNumberFormat="1" applyFont="1" applyBorder="1" applyAlignment="1">
      <alignment horizontal="center" vertical="center"/>
    </xf>
    <xf numFmtId="164" fontId="21" fillId="0" borderId="9" xfId="0" applyNumberFormat="1" applyFont="1" applyBorder="1" applyAlignment="1">
      <alignment horizontal="center" vertical="center"/>
    </xf>
    <xf numFmtId="167" fontId="15" fillId="0" borderId="9" xfId="4" applyNumberFormat="1" applyFont="1" applyFill="1" applyBorder="1" applyAlignment="1">
      <alignment horizontal="center" vertical="center"/>
    </xf>
    <xf numFmtId="167" fontId="15" fillId="0" borderId="9" xfId="4" applyNumberFormat="1" applyFont="1" applyBorder="1" applyAlignment="1">
      <alignment horizontal="center" vertical="center"/>
    </xf>
    <xf numFmtId="165" fontId="21" fillId="0" borderId="9" xfId="4" applyNumberFormat="1" applyFont="1" applyFill="1" applyBorder="1" applyAlignment="1">
      <alignment horizontal="center" vertical="center"/>
    </xf>
    <xf numFmtId="167" fontId="21" fillId="0" borderId="9" xfId="4" applyNumberFormat="1" applyFont="1" applyBorder="1" applyAlignment="1">
      <alignment horizontal="center" vertical="center"/>
    </xf>
    <xf numFmtId="9" fontId="24" fillId="0" borderId="9" xfId="4" applyFont="1" applyBorder="1" applyAlignment="1">
      <alignment horizontal="center" vertical="center"/>
    </xf>
    <xf numFmtId="165" fontId="15" fillId="0" borderId="9" xfId="4" applyNumberFormat="1" applyFont="1" applyFill="1" applyBorder="1" applyAlignment="1">
      <alignment horizontal="center" vertical="center"/>
    </xf>
    <xf numFmtId="3" fontId="39" fillId="0" borderId="0" xfId="4" applyNumberFormat="1" applyFont="1" applyFill="1" applyBorder="1" applyAlignment="1">
      <alignment horizontal="center" vertical="center"/>
    </xf>
    <xf numFmtId="3" fontId="39" fillId="0" borderId="0" xfId="4" applyNumberFormat="1" applyFont="1" applyBorder="1" applyAlignment="1">
      <alignment horizontal="center" vertical="center"/>
    </xf>
    <xf numFmtId="9" fontId="39" fillId="0" borderId="0" xfId="4" applyFont="1" applyBorder="1" applyAlignment="1">
      <alignment horizontal="center" vertical="center"/>
    </xf>
    <xf numFmtId="10" fontId="39" fillId="0" borderId="0" xfId="4" applyNumberFormat="1" applyFont="1" applyBorder="1" applyAlignment="1">
      <alignment horizontal="center" vertical="center"/>
    </xf>
    <xf numFmtId="167" fontId="24" fillId="0" borderId="9" xfId="4" applyNumberFormat="1" applyFont="1" applyBorder="1" applyAlignment="1">
      <alignment horizontal="center" vertical="center"/>
    </xf>
    <xf numFmtId="0" fontId="21" fillId="0" borderId="10" xfId="0" applyFont="1" applyBorder="1" applyAlignment="1">
      <alignment horizontal="center" vertical="center"/>
    </xf>
    <xf numFmtId="0" fontId="0" fillId="0" borderId="9" xfId="0" applyBorder="1" applyAlignment="1">
      <alignment horizontal="center" vertical="center"/>
    </xf>
    <xf numFmtId="1" fontId="21" fillId="0" borderId="9" xfId="0" applyNumberFormat="1" applyFont="1" applyBorder="1" applyAlignment="1">
      <alignment horizontal="left" vertical="center"/>
    </xf>
    <xf numFmtId="167" fontId="20" fillId="0" borderId="9" xfId="4" applyNumberFormat="1" applyFont="1" applyBorder="1" applyAlignment="1">
      <alignment horizontal="center" vertical="center"/>
    </xf>
    <xf numFmtId="167" fontId="4" fillId="0" borderId="9" xfId="4" applyNumberFormat="1" applyFont="1" applyFill="1" applyBorder="1" applyAlignment="1">
      <alignment horizontal="center" vertical="center"/>
    </xf>
    <xf numFmtId="167" fontId="4" fillId="0" borderId="9" xfId="4" applyNumberFormat="1" applyFont="1" applyBorder="1" applyAlignment="1">
      <alignment horizontal="center" vertical="center"/>
    </xf>
    <xf numFmtId="0" fontId="21" fillId="3" borderId="0" xfId="0" applyFont="1" applyFill="1" applyAlignment="1">
      <alignment horizontal="center" vertical="center"/>
    </xf>
    <xf numFmtId="1" fontId="21" fillId="0" borderId="0" xfId="0" applyNumberFormat="1" applyFont="1" applyAlignment="1">
      <alignment horizontal="center" vertical="center"/>
    </xf>
    <xf numFmtId="1" fontId="33" fillId="0" borderId="0" xfId="0" applyNumberFormat="1" applyFont="1" applyAlignment="1">
      <alignment horizontal="center" vertical="center"/>
    </xf>
    <xf numFmtId="164" fontId="21" fillId="0" borderId="0" xfId="0" applyNumberFormat="1" applyFont="1" applyAlignment="1">
      <alignment horizontal="center" vertical="center"/>
    </xf>
    <xf numFmtId="0" fontId="21" fillId="0" borderId="0" xfId="0" applyFont="1" applyAlignment="1">
      <alignment horizontal="left" vertical="center"/>
    </xf>
    <xf numFmtId="0" fontId="21" fillId="0" borderId="0" xfId="0" applyFont="1" applyAlignment="1">
      <alignment horizontal="center" vertical="center" wrapText="1"/>
    </xf>
    <xf numFmtId="0" fontId="10" fillId="0" borderId="10" xfId="0" applyFont="1" applyBorder="1" applyAlignment="1">
      <alignment horizontal="center" vertical="center"/>
    </xf>
    <xf numFmtId="2" fontId="10" fillId="0" borderId="0" xfId="0" applyNumberFormat="1" applyFont="1" applyAlignment="1">
      <alignment horizontal="center" vertical="center"/>
    </xf>
    <xf numFmtId="165" fontId="20" fillId="0" borderId="0" xfId="0" applyNumberFormat="1" applyFont="1" applyAlignment="1">
      <alignment horizontal="center" vertical="center"/>
    </xf>
    <xf numFmtId="1" fontId="20" fillId="0" borderId="0" xfId="0" applyNumberFormat="1" applyFont="1" applyAlignment="1">
      <alignment horizontal="center" vertical="center"/>
    </xf>
    <xf numFmtId="1" fontId="10" fillId="0" borderId="0" xfId="0" applyNumberFormat="1" applyFont="1" applyAlignment="1">
      <alignment horizontal="center" vertical="center"/>
    </xf>
    <xf numFmtId="1" fontId="39" fillId="0" borderId="0" xfId="0" applyNumberFormat="1" applyFont="1" applyAlignment="1">
      <alignment horizontal="center" vertical="center"/>
    </xf>
    <xf numFmtId="1" fontId="15" fillId="0" borderId="0" xfId="0" applyNumberFormat="1" applyFont="1" applyAlignment="1">
      <alignment horizontal="center" vertical="center"/>
    </xf>
    <xf numFmtId="1" fontId="24" fillId="0" borderId="0" xfId="0" applyNumberFormat="1" applyFont="1" applyAlignment="1">
      <alignment horizontal="center" vertical="center"/>
    </xf>
    <xf numFmtId="164" fontId="20" fillId="0" borderId="0" xfId="0" applyNumberFormat="1" applyFont="1" applyAlignment="1">
      <alignment horizontal="center" vertical="center"/>
    </xf>
    <xf numFmtId="164" fontId="10" fillId="0" borderId="0" xfId="0" applyNumberFormat="1" applyFont="1" applyAlignment="1">
      <alignment horizontal="center" vertical="center"/>
    </xf>
    <xf numFmtId="0" fontId="21" fillId="0" borderId="0" xfId="0" applyFont="1" applyAlignment="1">
      <alignment horizontal="left" vertical="center" wrapText="1"/>
    </xf>
    <xf numFmtId="1" fontId="18" fillId="0" borderId="0" xfId="0" applyNumberFormat="1" applyFont="1" applyAlignment="1">
      <alignment horizontal="center" vertical="center"/>
    </xf>
    <xf numFmtId="1" fontId="21" fillId="0" borderId="0" xfId="0" applyNumberFormat="1" applyFont="1" applyAlignment="1">
      <alignment horizontal="left" vertical="center"/>
    </xf>
    <xf numFmtId="164" fontId="18" fillId="0" borderId="0" xfId="0" applyNumberFormat="1" applyFont="1" applyAlignment="1">
      <alignment horizontal="center" vertical="center"/>
    </xf>
    <xf numFmtId="164" fontId="15" fillId="0" borderId="0" xfId="0" applyNumberFormat="1" applyFont="1" applyAlignment="1">
      <alignment horizontal="center" vertical="center"/>
    </xf>
    <xf numFmtId="0" fontId="24" fillId="0" borderId="9" xfId="0" applyFont="1" applyBorder="1" applyAlignment="1">
      <alignment horizontal="center" vertical="center"/>
    </xf>
    <xf numFmtId="0" fontId="18" fillId="0" borderId="0" xfId="0" applyFont="1" applyAlignment="1">
      <alignment horizontal="center" vertical="center"/>
    </xf>
    <xf numFmtId="165" fontId="18" fillId="0" borderId="0" xfId="0" applyNumberFormat="1" applyFont="1" applyAlignment="1">
      <alignment horizontal="center" vertical="center"/>
    </xf>
    <xf numFmtId="165" fontId="24" fillId="0" borderId="0" xfId="0" applyNumberFormat="1" applyFont="1" applyAlignment="1">
      <alignment horizontal="center" vertical="center"/>
    </xf>
    <xf numFmtId="165" fontId="24" fillId="0" borderId="9" xfId="0" applyNumberFormat="1" applyFont="1" applyBorder="1" applyAlignment="1">
      <alignment horizontal="center" vertical="center"/>
    </xf>
    <xf numFmtId="165" fontId="0" fillId="0" borderId="0" xfId="0" applyNumberFormat="1" applyAlignment="1">
      <alignment horizontal="center" vertical="center"/>
    </xf>
    <xf numFmtId="16" fontId="21" fillId="0" borderId="0" xfId="0" applyNumberFormat="1" applyFont="1" applyAlignment="1">
      <alignment horizontal="center" vertical="center"/>
    </xf>
    <xf numFmtId="164" fontId="24" fillId="0" borderId="0" xfId="0" applyNumberFormat="1" applyFont="1" applyAlignment="1">
      <alignment horizontal="center" vertical="center"/>
    </xf>
    <xf numFmtId="166" fontId="18" fillId="0" borderId="0" xfId="0" applyNumberFormat="1" applyFont="1" applyAlignment="1">
      <alignment horizontal="center" vertical="center"/>
    </xf>
    <xf numFmtId="166" fontId="0" fillId="0" borderId="0" xfId="0" applyNumberFormat="1" applyAlignment="1">
      <alignment horizontal="center" vertical="center"/>
    </xf>
    <xf numFmtId="2" fontId="24" fillId="0" borderId="0" xfId="0" applyNumberFormat="1" applyFont="1" applyAlignment="1">
      <alignment horizontal="center" vertical="center"/>
    </xf>
    <xf numFmtId="2" fontId="0" fillId="0" borderId="0" xfId="0" applyNumberFormat="1" applyAlignment="1">
      <alignment horizontal="center" vertical="center"/>
    </xf>
    <xf numFmtId="0" fontId="2" fillId="0" borderId="0" xfId="0" applyFont="1" applyAlignment="1">
      <alignment horizontal="center" vertical="center"/>
    </xf>
    <xf numFmtId="1" fontId="0" fillId="0" borderId="0" xfId="0" applyNumberFormat="1" applyAlignment="1">
      <alignment horizontal="center" vertical="center"/>
    </xf>
    <xf numFmtId="164" fontId="0" fillId="0" borderId="0" xfId="0" quotePrefix="1" applyNumberFormat="1" applyAlignment="1">
      <alignment horizontal="center" vertical="center"/>
    </xf>
    <xf numFmtId="164" fontId="0" fillId="0" borderId="0" xfId="0" applyNumberFormat="1" applyAlignment="1">
      <alignment horizontal="center" vertical="center"/>
    </xf>
    <xf numFmtId="1" fontId="0" fillId="0" borderId="0" xfId="0" quotePrefix="1" applyNumberFormat="1" applyAlignment="1">
      <alignment horizontal="center" vertical="center"/>
    </xf>
    <xf numFmtId="0" fontId="26" fillId="0" borderId="0" xfId="0" applyFont="1" applyAlignment="1">
      <alignment horizontal="center" vertical="center"/>
    </xf>
    <xf numFmtId="164" fontId="10" fillId="0" borderId="0" xfId="0" quotePrefix="1" applyNumberFormat="1" applyFont="1" applyAlignment="1">
      <alignment horizontal="center" vertical="center"/>
    </xf>
    <xf numFmtId="1" fontId="21" fillId="0" borderId="0" xfId="0" quotePrefix="1" applyNumberFormat="1" applyFont="1" applyAlignment="1">
      <alignment horizontal="center" vertical="center"/>
    </xf>
    <xf numFmtId="164" fontId="21" fillId="0" borderId="0" xfId="0" quotePrefix="1" applyNumberFormat="1" applyFont="1" applyAlignment="1">
      <alignment horizontal="center" vertical="center"/>
    </xf>
    <xf numFmtId="166" fontId="24" fillId="0" borderId="0" xfId="0" applyNumberFormat="1" applyFont="1" applyAlignment="1">
      <alignment horizontal="center" vertical="center"/>
    </xf>
    <xf numFmtId="1" fontId="10" fillId="0" borderId="0" xfId="0" quotePrefix="1" applyNumberFormat="1" applyFont="1" applyAlignment="1">
      <alignment horizontal="center" vertical="center"/>
    </xf>
    <xf numFmtId="2" fontId="15" fillId="0" borderId="0" xfId="0" applyNumberFormat="1" applyFont="1" applyAlignment="1">
      <alignment horizontal="center" vertical="center"/>
    </xf>
    <xf numFmtId="164" fontId="21" fillId="2" borderId="0" xfId="0" applyNumberFormat="1" applyFont="1" applyFill="1" applyAlignment="1">
      <alignment horizontal="center" vertical="center"/>
    </xf>
    <xf numFmtId="1" fontId="15" fillId="0" borderId="0" xfId="0" quotePrefix="1" applyNumberFormat="1" applyFont="1" applyAlignment="1">
      <alignment horizontal="center" vertical="center"/>
    </xf>
    <xf numFmtId="164" fontId="15" fillId="0" borderId="0" xfId="0" quotePrefix="1" applyNumberFormat="1" applyFont="1" applyAlignment="1">
      <alignment horizontal="center" vertical="center"/>
    </xf>
    <xf numFmtId="166" fontId="20" fillId="0" borderId="0" xfId="0" applyNumberFormat="1" applyFont="1" applyAlignment="1">
      <alignment horizontal="center" vertical="center"/>
    </xf>
    <xf numFmtId="0" fontId="21" fillId="0" borderId="0" xfId="0" quotePrefix="1" applyFont="1" applyAlignment="1">
      <alignment horizontal="center" vertical="center"/>
    </xf>
    <xf numFmtId="164" fontId="2" fillId="0" borderId="0" xfId="0" quotePrefix="1" applyNumberFormat="1" applyFont="1" applyAlignment="1">
      <alignment horizontal="center" vertical="center"/>
    </xf>
    <xf numFmtId="164" fontId="2" fillId="0" borderId="0" xfId="0" applyNumberFormat="1" applyFont="1" applyAlignment="1">
      <alignment horizontal="center" vertical="center"/>
    </xf>
    <xf numFmtId="1" fontId="2" fillId="0" borderId="0" xfId="0" quotePrefix="1" applyNumberFormat="1" applyFont="1" applyAlignment="1">
      <alignment horizontal="center" vertical="center"/>
    </xf>
    <xf numFmtId="0" fontId="32" fillId="0" borderId="0" xfId="0" applyFont="1" applyAlignment="1">
      <alignment horizontal="center" vertical="center"/>
    </xf>
    <xf numFmtId="3" fontId="21" fillId="2" borderId="0" xfId="4" applyNumberFormat="1" applyFont="1" applyFill="1" applyBorder="1" applyAlignment="1">
      <alignment horizontal="center" vertical="center"/>
    </xf>
    <xf numFmtId="2" fontId="18" fillId="0" borderId="0" xfId="0" applyNumberFormat="1" applyFont="1" applyAlignment="1">
      <alignment horizontal="center" vertical="center"/>
    </xf>
    <xf numFmtId="0" fontId="39" fillId="0" borderId="0" xfId="0" applyFont="1" applyAlignment="1">
      <alignment horizontal="center" vertical="center"/>
    </xf>
    <xf numFmtId="0" fontId="33" fillId="0" borderId="0" xfId="0" applyFont="1" applyAlignment="1">
      <alignment horizontal="center" vertical="center"/>
    </xf>
    <xf numFmtId="1" fontId="10" fillId="0" borderId="0" xfId="0" applyNumberFormat="1" applyFont="1" applyAlignment="1">
      <alignment horizontal="left" vertical="center"/>
    </xf>
    <xf numFmtId="165" fontId="33" fillId="0" borderId="0" xfId="0" applyNumberFormat="1" applyFont="1" applyAlignment="1">
      <alignment horizontal="center" vertical="center"/>
    </xf>
    <xf numFmtId="167" fontId="16" fillId="2" borderId="0" xfId="4" applyNumberFormat="1" applyFont="1" applyFill="1" applyBorder="1" applyAlignment="1">
      <alignment horizontal="center" vertical="center"/>
    </xf>
    <xf numFmtId="167" fontId="16" fillId="0" borderId="0" xfId="4" applyNumberFormat="1" applyFont="1" applyBorder="1" applyAlignment="1">
      <alignment horizontal="center" vertical="center"/>
    </xf>
    <xf numFmtId="166" fontId="39" fillId="0" borderId="0" xfId="0" applyNumberFormat="1" applyFont="1" applyAlignment="1">
      <alignment horizontal="center" vertical="center"/>
    </xf>
    <xf numFmtId="165" fontId="39" fillId="0" borderId="0" xfId="0" applyNumberFormat="1" applyFont="1" applyAlignment="1">
      <alignment horizontal="center" vertical="center"/>
    </xf>
    <xf numFmtId="2" fontId="39" fillId="0" borderId="0" xfId="0" applyNumberFormat="1" applyFont="1" applyAlignment="1">
      <alignment horizontal="center" vertical="center"/>
    </xf>
    <xf numFmtId="3" fontId="10" fillId="0" borderId="0" xfId="0" applyNumberFormat="1" applyFont="1" applyAlignment="1">
      <alignment horizontal="center" vertical="center"/>
    </xf>
    <xf numFmtId="1" fontId="20" fillId="0" borderId="0" xfId="0" applyNumberFormat="1" applyFont="1" applyAlignment="1">
      <alignment horizontal="left" vertical="center"/>
    </xf>
    <xf numFmtId="3" fontId="18" fillId="0" borderId="0" xfId="0" applyNumberFormat="1" applyFont="1" applyAlignment="1">
      <alignment horizontal="center" vertical="center"/>
    </xf>
    <xf numFmtId="3" fontId="20" fillId="0" borderId="0" xfId="0" applyNumberFormat="1" applyFont="1" applyAlignment="1">
      <alignment horizontal="center" vertical="center"/>
    </xf>
    <xf numFmtId="167" fontId="1" fillId="0" borderId="0" xfId="4" applyNumberFormat="1" applyFont="1" applyBorder="1" applyAlignment="1">
      <alignment horizontal="center" vertical="center"/>
    </xf>
    <xf numFmtId="3" fontId="21" fillId="0" borderId="0" xfId="0" applyNumberFormat="1" applyFont="1" applyAlignment="1">
      <alignment horizontal="center" vertical="center"/>
    </xf>
    <xf numFmtId="165" fontId="10" fillId="5" borderId="0" xfId="4" applyNumberFormat="1" applyFont="1" applyFill="1" applyBorder="1" applyAlignment="1">
      <alignment horizontal="center" vertical="center"/>
    </xf>
    <xf numFmtId="165" fontId="10" fillId="8" borderId="0" xfId="4" applyNumberFormat="1" applyFont="1" applyFill="1" applyBorder="1" applyAlignment="1">
      <alignment horizontal="center" vertical="center"/>
    </xf>
    <xf numFmtId="1" fontId="2" fillId="0" borderId="0" xfId="0" applyNumberFormat="1" applyFont="1" applyAlignment="1">
      <alignment horizontal="left" vertical="center"/>
    </xf>
    <xf numFmtId="167" fontId="21" fillId="3" borderId="0" xfId="4" applyNumberFormat="1" applyFont="1" applyFill="1" applyBorder="1" applyAlignment="1">
      <alignment horizontal="center" vertical="center"/>
    </xf>
    <xf numFmtId="167" fontId="4" fillId="0" borderId="0" xfId="0" applyNumberFormat="1" applyFont="1" applyAlignment="1">
      <alignment horizontal="center" vertical="center"/>
    </xf>
    <xf numFmtId="167" fontId="4" fillId="3" borderId="0" xfId="0" applyNumberFormat="1" applyFont="1" applyFill="1" applyAlignment="1">
      <alignment horizontal="center" vertical="center"/>
    </xf>
    <xf numFmtId="166" fontId="33" fillId="0" borderId="0" xfId="0" applyNumberFormat="1" applyFont="1" applyAlignment="1">
      <alignment horizontal="center" vertical="center"/>
    </xf>
    <xf numFmtId="2" fontId="33" fillId="0" borderId="0" xfId="0" applyNumberFormat="1" applyFont="1" applyAlignment="1">
      <alignment horizontal="center" vertical="center"/>
    </xf>
    <xf numFmtId="1" fontId="0" fillId="0" borderId="9" xfId="0" applyNumberFormat="1" applyBorder="1" applyAlignment="1">
      <alignment horizontal="center" vertical="center"/>
    </xf>
    <xf numFmtId="164" fontId="0" fillId="0" borderId="9" xfId="0" applyNumberFormat="1" applyBorder="1" applyAlignment="1">
      <alignment horizontal="center" vertical="center"/>
    </xf>
    <xf numFmtId="165" fontId="10" fillId="0" borderId="10" xfId="0" applyNumberFormat="1" applyFont="1" applyBorder="1" applyAlignment="1">
      <alignment horizontal="center" vertical="center"/>
    </xf>
    <xf numFmtId="1" fontId="10" fillId="0" borderId="10" xfId="0" applyNumberFormat="1" applyFont="1" applyBorder="1" applyAlignment="1">
      <alignment horizontal="center" vertical="center"/>
    </xf>
    <xf numFmtId="1" fontId="21" fillId="0" borderId="10" xfId="0" applyNumberFormat="1" applyFont="1" applyBorder="1" applyAlignment="1">
      <alignment horizontal="center" vertical="center"/>
    </xf>
    <xf numFmtId="164" fontId="10" fillId="0" borderId="10" xfId="0" applyNumberFormat="1" applyFont="1" applyBorder="1" applyAlignment="1">
      <alignment horizontal="center" vertical="center"/>
    </xf>
    <xf numFmtId="9" fontId="10" fillId="0" borderId="10" xfId="4" applyFont="1" applyBorder="1" applyAlignment="1">
      <alignment horizontal="center" vertical="center"/>
    </xf>
    <xf numFmtId="165" fontId="21" fillId="0" borderId="10" xfId="0" applyNumberFormat="1" applyFont="1" applyBorder="1" applyAlignment="1">
      <alignment horizontal="center" vertical="center"/>
    </xf>
    <xf numFmtId="9" fontId="21" fillId="0" borderId="10" xfId="4" applyFont="1" applyBorder="1" applyAlignment="1">
      <alignment horizontal="center" vertical="center"/>
    </xf>
    <xf numFmtId="167" fontId="18" fillId="0" borderId="10" xfId="4" applyNumberFormat="1" applyFont="1" applyFill="1" applyBorder="1" applyAlignment="1">
      <alignment horizontal="center" vertical="center"/>
    </xf>
    <xf numFmtId="167" fontId="20" fillId="0" borderId="10" xfId="4" applyNumberFormat="1" applyFont="1" applyFill="1" applyBorder="1" applyAlignment="1">
      <alignment horizontal="center" vertical="center"/>
    </xf>
    <xf numFmtId="165" fontId="10" fillId="0" borderId="10" xfId="4" applyNumberFormat="1" applyFont="1" applyFill="1" applyBorder="1" applyAlignment="1">
      <alignment horizontal="center" vertical="center"/>
    </xf>
    <xf numFmtId="167" fontId="20" fillId="0" borderId="10" xfId="4" applyNumberFormat="1" applyFont="1" applyBorder="1" applyAlignment="1">
      <alignment horizontal="center" vertical="center"/>
    </xf>
    <xf numFmtId="167" fontId="21" fillId="0" borderId="10" xfId="4" applyNumberFormat="1" applyFont="1" applyFill="1" applyBorder="1" applyAlignment="1">
      <alignment horizontal="center" vertical="center"/>
    </xf>
    <xf numFmtId="167" fontId="10" fillId="0" borderId="10" xfId="4" applyNumberFormat="1" applyFont="1" applyFill="1" applyBorder="1" applyAlignment="1">
      <alignment horizontal="center" vertical="center"/>
    </xf>
    <xf numFmtId="167" fontId="10" fillId="0" borderId="10" xfId="4" applyNumberFormat="1" applyFont="1" applyBorder="1" applyAlignment="1">
      <alignment horizontal="center" vertical="center"/>
    </xf>
    <xf numFmtId="3" fontId="21" fillId="0" borderId="10" xfId="4" applyNumberFormat="1" applyFont="1" applyBorder="1" applyAlignment="1">
      <alignment horizontal="center" vertical="center"/>
    </xf>
    <xf numFmtId="3" fontId="24" fillId="0" borderId="10" xfId="4" applyNumberFormat="1" applyFont="1" applyBorder="1" applyAlignment="1">
      <alignment horizontal="center" vertical="center"/>
    </xf>
    <xf numFmtId="166" fontId="21" fillId="0" borderId="10" xfId="0" applyNumberFormat="1" applyFont="1" applyBorder="1" applyAlignment="1">
      <alignment horizontal="center" vertical="center"/>
    </xf>
    <xf numFmtId="10" fontId="21" fillId="0" borderId="10" xfId="4" applyNumberFormat="1" applyFont="1" applyBorder="1" applyAlignment="1">
      <alignment horizontal="center" vertical="center"/>
    </xf>
    <xf numFmtId="1" fontId="21" fillId="0" borderId="10" xfId="0" applyNumberFormat="1" applyFont="1" applyBorder="1" applyAlignment="1">
      <alignment horizontal="left" vertical="center"/>
    </xf>
    <xf numFmtId="164" fontId="21" fillId="0" borderId="10" xfId="0" applyNumberFormat="1" applyFont="1" applyBorder="1" applyAlignment="1">
      <alignment horizontal="center" vertical="center"/>
    </xf>
    <xf numFmtId="166" fontId="10" fillId="0" borderId="10" xfId="0" applyNumberFormat="1" applyFont="1" applyBorder="1" applyAlignment="1">
      <alignment horizontal="center" vertical="center"/>
    </xf>
    <xf numFmtId="10" fontId="10" fillId="0" borderId="10" xfId="4" applyNumberFormat="1" applyFont="1" applyBorder="1" applyAlignment="1">
      <alignment horizontal="center" vertical="center"/>
    </xf>
    <xf numFmtId="0" fontId="22" fillId="0" borderId="0" xfId="0" applyFont="1" applyAlignment="1">
      <alignment horizontal="center" vertical="center"/>
    </xf>
    <xf numFmtId="0" fontId="10" fillId="0" borderId="0" xfId="3" applyFont="1" applyFill="1" applyBorder="1" applyAlignment="1">
      <alignment horizontal="center" vertical="center"/>
    </xf>
    <xf numFmtId="0" fontId="47" fillId="0" borderId="0" xfId="0" applyFont="1" applyAlignment="1">
      <alignment horizontal="center" vertical="center"/>
    </xf>
    <xf numFmtId="3" fontId="24" fillId="0" borderId="9" xfId="4" applyNumberFormat="1" applyFont="1" applyBorder="1" applyAlignment="1">
      <alignment horizontal="center" vertical="center"/>
    </xf>
    <xf numFmtId="166" fontId="24" fillId="0" borderId="9" xfId="0" applyNumberFormat="1" applyFont="1" applyBorder="1" applyAlignment="1">
      <alignment horizontal="center" vertical="center"/>
    </xf>
    <xf numFmtId="10" fontId="24" fillId="0" borderId="9" xfId="4" applyNumberFormat="1" applyFont="1" applyBorder="1" applyAlignment="1">
      <alignment horizontal="center" vertical="center"/>
    </xf>
    <xf numFmtId="167" fontId="21" fillId="0" borderId="0" xfId="4" applyNumberFormat="1" applyFont="1" applyAlignment="1">
      <alignment horizontal="center" vertical="center"/>
    </xf>
    <xf numFmtId="9" fontId="10" fillId="0" borderId="0" xfId="4" applyFont="1" applyAlignment="1">
      <alignment horizontal="center" vertical="center"/>
    </xf>
    <xf numFmtId="3" fontId="21" fillId="0" borderId="0" xfId="4" applyNumberFormat="1" applyFont="1" applyAlignment="1">
      <alignment horizontal="center" vertical="center"/>
    </xf>
    <xf numFmtId="165" fontId="22" fillId="0" borderId="0" xfId="0" applyNumberFormat="1" applyFont="1" applyAlignment="1">
      <alignment horizontal="center" vertical="center"/>
    </xf>
    <xf numFmtId="1" fontId="22" fillId="0" borderId="0" xfId="0" applyNumberFormat="1" applyFont="1" applyAlignment="1">
      <alignment horizontal="center" vertical="center"/>
    </xf>
    <xf numFmtId="164" fontId="22" fillId="0" borderId="0" xfId="0" applyNumberFormat="1" applyFont="1" applyAlignment="1">
      <alignment horizontal="center" vertical="center"/>
    </xf>
    <xf numFmtId="9" fontId="22" fillId="0" borderId="0" xfId="4" applyFont="1" applyBorder="1" applyAlignment="1">
      <alignment horizontal="center" vertical="center"/>
    </xf>
    <xf numFmtId="167" fontId="22" fillId="0" borderId="0" xfId="4" applyNumberFormat="1" applyFont="1" applyFill="1" applyBorder="1" applyAlignment="1">
      <alignment horizontal="center" vertical="center"/>
    </xf>
    <xf numFmtId="165" fontId="22" fillId="0" borderId="0" xfId="4" applyNumberFormat="1" applyFont="1" applyFill="1" applyBorder="1" applyAlignment="1">
      <alignment horizontal="center" vertical="center"/>
    </xf>
    <xf numFmtId="167" fontId="22" fillId="0" borderId="0" xfId="4" applyNumberFormat="1" applyFont="1" applyBorder="1" applyAlignment="1">
      <alignment horizontal="center" vertical="center"/>
    </xf>
    <xf numFmtId="3" fontId="22" fillId="0" borderId="0" xfId="4" applyNumberFormat="1" applyFont="1" applyBorder="1" applyAlignment="1">
      <alignment horizontal="center" vertical="center"/>
    </xf>
    <xf numFmtId="166" fontId="22" fillId="0" borderId="0" xfId="0" applyNumberFormat="1" applyFont="1" applyAlignment="1">
      <alignment horizontal="center" vertical="center"/>
    </xf>
    <xf numFmtId="10" fontId="22" fillId="0" borderId="0" xfId="4" applyNumberFormat="1" applyFont="1" applyBorder="1" applyAlignment="1">
      <alignment horizontal="center" vertical="center"/>
    </xf>
    <xf numFmtId="2" fontId="22" fillId="0" borderId="0" xfId="0" applyNumberFormat="1" applyFont="1" applyAlignment="1">
      <alignment horizontal="center" vertical="center"/>
    </xf>
    <xf numFmtId="167" fontId="4" fillId="2" borderId="0" xfId="4" applyNumberFormat="1" applyFont="1" applyFill="1" applyBorder="1" applyAlignment="1">
      <alignment horizontal="center" vertical="center"/>
    </xf>
    <xf numFmtId="164" fontId="33" fillId="0" borderId="0" xfId="0" applyNumberFormat="1" applyFont="1" applyAlignment="1">
      <alignment horizontal="center" vertical="center"/>
    </xf>
    <xf numFmtId="167" fontId="33" fillId="0" borderId="0" xfId="4" applyNumberFormat="1" applyFont="1" applyFill="1" applyBorder="1" applyAlignment="1">
      <alignment horizontal="center" vertical="center"/>
    </xf>
    <xf numFmtId="165" fontId="33" fillId="0" borderId="0" xfId="4" applyNumberFormat="1" applyFont="1" applyFill="1" applyBorder="1" applyAlignment="1">
      <alignment horizontal="center" vertical="center"/>
    </xf>
    <xf numFmtId="167" fontId="33" fillId="0" borderId="0" xfId="4" applyNumberFormat="1" applyFont="1" applyBorder="1" applyAlignment="1">
      <alignment horizontal="center" vertical="center"/>
    </xf>
    <xf numFmtId="3" fontId="0" fillId="0" borderId="0" xfId="4" applyNumberFormat="1" applyFont="1" applyFill="1" applyBorder="1" applyAlignment="1">
      <alignment horizontal="center" vertical="center"/>
    </xf>
    <xf numFmtId="3" fontId="0" fillId="0" borderId="0" xfId="4" applyNumberFormat="1" applyFont="1" applyBorder="1" applyAlignment="1">
      <alignment horizontal="center" vertical="center"/>
    </xf>
    <xf numFmtId="0" fontId="0" fillId="15" borderId="21" xfId="0" applyFill="1" applyBorder="1" applyAlignment="1">
      <alignment horizontal="center"/>
    </xf>
    <xf numFmtId="49" fontId="52" fillId="15" borderId="20" xfId="0" applyNumberFormat="1" applyFont="1" applyFill="1" applyBorder="1" applyAlignment="1">
      <alignment horizontal="left"/>
    </xf>
    <xf numFmtId="0" fontId="48" fillId="15" borderId="20" xfId="0" applyFont="1" applyFill="1" applyBorder="1" applyAlignment="1">
      <alignment horizontal="center"/>
    </xf>
    <xf numFmtId="0" fontId="48" fillId="15" borderId="22" xfId="0" applyFont="1" applyFill="1" applyBorder="1" applyAlignment="1">
      <alignment horizontal="center"/>
    </xf>
    <xf numFmtId="0" fontId="52" fillId="15" borderId="0" xfId="0" applyFont="1" applyFill="1" applyAlignment="1">
      <alignment vertical="center" wrapText="1"/>
    </xf>
    <xf numFmtId="9" fontId="2" fillId="0" borderId="0" xfId="4" applyFont="1" applyBorder="1" applyAlignment="1">
      <alignment horizontal="center" vertical="center"/>
    </xf>
    <xf numFmtId="167" fontId="32" fillId="0" borderId="0" xfId="4" applyNumberFormat="1" applyFont="1" applyFill="1" applyBorder="1" applyAlignment="1">
      <alignment horizontal="center" vertical="center"/>
    </xf>
    <xf numFmtId="167" fontId="32" fillId="0" borderId="0" xfId="4" applyNumberFormat="1" applyFont="1" applyBorder="1" applyAlignment="1">
      <alignment horizontal="center" vertical="center"/>
    </xf>
    <xf numFmtId="3" fontId="32" fillId="0" borderId="0" xfId="4" applyNumberFormat="1" applyFont="1" applyBorder="1" applyAlignment="1">
      <alignment horizontal="center" vertical="center"/>
    </xf>
    <xf numFmtId="9" fontId="32" fillId="0" borderId="0" xfId="4" applyFont="1" applyBorder="1" applyAlignment="1">
      <alignment horizontal="center" vertical="center"/>
    </xf>
    <xf numFmtId="166" fontId="32" fillId="0" borderId="0" xfId="0" applyNumberFormat="1" applyFont="1" applyAlignment="1">
      <alignment horizontal="center" vertical="center"/>
    </xf>
    <xf numFmtId="165" fontId="32" fillId="0" borderId="0" xfId="0" applyNumberFormat="1" applyFont="1" applyAlignment="1">
      <alignment horizontal="center" vertical="center"/>
    </xf>
    <xf numFmtId="10" fontId="32" fillId="0" borderId="0" xfId="4" applyNumberFormat="1" applyFont="1" applyBorder="1" applyAlignment="1">
      <alignment horizontal="center" vertical="center"/>
    </xf>
    <xf numFmtId="2" fontId="32" fillId="0" borderId="0" xfId="0" applyNumberFormat="1" applyFont="1" applyAlignment="1">
      <alignment horizontal="center" vertical="center"/>
    </xf>
    <xf numFmtId="0" fontId="52" fillId="16" borderId="4" xfId="0" applyFont="1" applyFill="1" applyBorder="1" applyAlignment="1">
      <alignment horizontal="center" wrapText="1"/>
    </xf>
    <xf numFmtId="0" fontId="55" fillId="16" borderId="4" xfId="0" applyFont="1" applyFill="1" applyBorder="1" applyAlignment="1">
      <alignment horizontal="center" textRotation="90" wrapText="1"/>
    </xf>
    <xf numFmtId="0" fontId="28" fillId="0" borderId="0" xfId="0" applyFont="1" applyAlignment="1">
      <alignment horizontal="center"/>
    </xf>
    <xf numFmtId="0" fontId="10" fillId="0" borderId="0" xfId="0" applyFont="1" applyAlignment="1">
      <alignment horizontal="center" vertical="center" wrapText="1"/>
    </xf>
    <xf numFmtId="0" fontId="2" fillId="16" borderId="23" xfId="0" applyFont="1" applyFill="1" applyBorder="1" applyAlignment="1">
      <alignment horizontal="left"/>
    </xf>
    <xf numFmtId="49" fontId="52" fillId="16" borderId="0" xfId="0" quotePrefix="1" applyNumberFormat="1" applyFont="1" applyFill="1" applyAlignment="1">
      <alignment horizontal="left"/>
    </xf>
    <xf numFmtId="0" fontId="52" fillId="16" borderId="0" xfId="0" applyFont="1" applyFill="1" applyAlignment="1">
      <alignment horizontal="left"/>
    </xf>
    <xf numFmtId="0" fontId="52" fillId="16" borderId="24" xfId="0" applyFont="1" applyFill="1" applyBorder="1" applyAlignment="1">
      <alignment horizontal="left"/>
    </xf>
    <xf numFmtId="0" fontId="28" fillId="17" borderId="3" xfId="0" applyFont="1" applyFill="1" applyBorder="1" applyAlignment="1">
      <alignment horizontal="center"/>
    </xf>
    <xf numFmtId="0" fontId="28" fillId="17" borderId="12" xfId="0" applyFont="1" applyFill="1" applyBorder="1" applyAlignment="1">
      <alignment horizontal="center"/>
    </xf>
    <xf numFmtId="1" fontId="28" fillId="17" borderId="3" xfId="0" applyNumberFormat="1" applyFont="1" applyFill="1" applyBorder="1" applyAlignment="1">
      <alignment horizontal="center"/>
    </xf>
    <xf numFmtId="1" fontId="28" fillId="2" borderId="3" xfId="0" applyNumberFormat="1" applyFont="1" applyFill="1" applyBorder="1" applyAlignment="1">
      <alignment horizontal="center"/>
    </xf>
    <xf numFmtId="0" fontId="61" fillId="18" borderId="25" xfId="0" applyFont="1" applyFill="1" applyBorder="1"/>
    <xf numFmtId="0" fontId="62" fillId="18" borderId="25" xfId="0" applyFont="1" applyFill="1" applyBorder="1" applyAlignment="1">
      <alignment horizontal="left"/>
    </xf>
    <xf numFmtId="0" fontId="0" fillId="18" borderId="25" xfId="0" applyFill="1" applyBorder="1" applyAlignment="1">
      <alignment horizontal="center"/>
    </xf>
    <xf numFmtId="2" fontId="0" fillId="18" borderId="25" xfId="0" applyNumberFormat="1" applyFill="1" applyBorder="1" applyAlignment="1">
      <alignment horizontal="center"/>
    </xf>
    <xf numFmtId="165" fontId="27" fillId="18" borderId="25" xfId="0" applyNumberFormat="1" applyFont="1" applyFill="1" applyBorder="1" applyAlignment="1">
      <alignment horizontal="center"/>
    </xf>
    <xf numFmtId="0" fontId="0" fillId="18" borderId="26" xfId="0" applyFill="1" applyBorder="1" applyAlignment="1">
      <alignment horizontal="center"/>
    </xf>
    <xf numFmtId="0" fontId="27" fillId="18" borderId="25" xfId="0" applyFont="1" applyFill="1" applyBorder="1" applyAlignment="1">
      <alignment horizontal="center"/>
    </xf>
    <xf numFmtId="0" fontId="54" fillId="18" borderId="25" xfId="0" applyFont="1" applyFill="1" applyBorder="1" applyAlignment="1">
      <alignment horizontal="center"/>
    </xf>
    <xf numFmtId="0" fontId="54" fillId="18" borderId="27" xfId="0" applyFont="1" applyFill="1" applyBorder="1" applyAlignment="1">
      <alignment horizontal="center"/>
    </xf>
    <xf numFmtId="0" fontId="54" fillId="18" borderId="28" xfId="0" applyFont="1" applyFill="1" applyBorder="1" applyAlignment="1">
      <alignment horizontal="center"/>
    </xf>
    <xf numFmtId="165" fontId="21" fillId="18" borderId="25" xfId="0" applyNumberFormat="1" applyFont="1" applyFill="1" applyBorder="1" applyAlignment="1">
      <alignment horizontal="center"/>
    </xf>
    <xf numFmtId="0" fontId="21" fillId="18" borderId="25" xfId="0" applyFont="1" applyFill="1" applyBorder="1" applyAlignment="1">
      <alignment horizontal="center"/>
    </xf>
    <xf numFmtId="0" fontId="29" fillId="18" borderId="25" xfId="0" applyFont="1" applyFill="1" applyBorder="1" applyAlignment="1">
      <alignment horizontal="center"/>
    </xf>
    <xf numFmtId="1" fontId="0" fillId="18" borderId="25" xfId="0" applyNumberFormat="1" applyFill="1" applyBorder="1" applyAlignment="1">
      <alignment horizontal="center"/>
    </xf>
    <xf numFmtId="0" fontId="3" fillId="18" borderId="25" xfId="0" applyFont="1" applyFill="1" applyBorder="1" applyAlignment="1">
      <alignment horizontal="left"/>
    </xf>
    <xf numFmtId="164" fontId="0" fillId="18" borderId="25" xfId="0" applyNumberFormat="1" applyFill="1" applyBorder="1" applyAlignment="1">
      <alignment horizontal="center"/>
    </xf>
    <xf numFmtId="164" fontId="21" fillId="18" borderId="25" xfId="0" applyNumberFormat="1" applyFont="1" applyFill="1" applyBorder="1" applyAlignment="1">
      <alignment horizontal="center"/>
    </xf>
    <xf numFmtId="0" fontId="21" fillId="18" borderId="25" xfId="0" applyFont="1" applyFill="1" applyBorder="1" applyAlignment="1">
      <alignment horizontal="left"/>
    </xf>
    <xf numFmtId="0" fontId="15" fillId="18" borderId="25" xfId="0" applyFont="1" applyFill="1" applyBorder="1" applyAlignment="1">
      <alignment horizontal="center"/>
    </xf>
    <xf numFmtId="167" fontId="10" fillId="18" borderId="25" xfId="0" applyNumberFormat="1" applyFont="1" applyFill="1" applyBorder="1" applyAlignment="1">
      <alignment horizontal="center"/>
    </xf>
    <xf numFmtId="3" fontId="15" fillId="18" borderId="25" xfId="0" applyNumberFormat="1" applyFont="1" applyFill="1" applyBorder="1" applyAlignment="1">
      <alignment horizontal="center"/>
    </xf>
    <xf numFmtId="3" fontId="10" fillId="18" borderId="25" xfId="0" applyNumberFormat="1" applyFont="1" applyFill="1" applyBorder="1" applyAlignment="1">
      <alignment horizontal="center"/>
    </xf>
    <xf numFmtId="2" fontId="0" fillId="0" borderId="0" xfId="0" applyNumberFormat="1"/>
    <xf numFmtId="0" fontId="52" fillId="16" borderId="4" xfId="0" applyFont="1" applyFill="1" applyBorder="1" applyAlignment="1">
      <alignment horizontal="center" textRotation="90" wrapText="1"/>
    </xf>
    <xf numFmtId="0" fontId="56" fillId="16" borderId="4" xfId="0" applyFont="1" applyFill="1" applyBorder="1" applyAlignment="1">
      <alignment horizontal="center" textRotation="90" wrapText="1"/>
    </xf>
    <xf numFmtId="2" fontId="52" fillId="16" borderId="4" xfId="0" applyNumberFormat="1" applyFont="1" applyFill="1" applyBorder="1" applyAlignment="1">
      <alignment horizontal="center" wrapText="1"/>
    </xf>
    <xf numFmtId="0" fontId="52" fillId="15" borderId="4" xfId="0" applyFont="1" applyFill="1" applyBorder="1" applyAlignment="1">
      <alignment horizontal="center" wrapText="1"/>
    </xf>
    <xf numFmtId="0" fontId="52" fillId="16" borderId="13" xfId="0" applyFont="1" applyFill="1" applyBorder="1" applyAlignment="1">
      <alignment horizontal="center" wrapText="1"/>
    </xf>
    <xf numFmtId="0" fontId="52" fillId="15" borderId="13" xfId="0" applyFont="1" applyFill="1" applyBorder="1" applyAlignment="1">
      <alignment horizontal="center" wrapText="1"/>
    </xf>
    <xf numFmtId="165" fontId="52" fillId="15" borderId="4" xfId="0" applyNumberFormat="1" applyFont="1" applyFill="1" applyBorder="1" applyAlignment="1">
      <alignment horizontal="center" wrapText="1"/>
    </xf>
    <xf numFmtId="165" fontId="2" fillId="15" borderId="4" xfId="0" applyNumberFormat="1" applyFont="1" applyFill="1" applyBorder="1" applyAlignment="1">
      <alignment horizontal="center" wrapText="1"/>
    </xf>
    <xf numFmtId="0" fontId="53" fillId="15" borderId="4" xfId="0" applyFont="1" applyFill="1" applyBorder="1" applyAlignment="1">
      <alignment horizontal="center" wrapText="1"/>
    </xf>
    <xf numFmtId="164" fontId="52" fillId="16" borderId="4" xfId="0" applyNumberFormat="1" applyFont="1" applyFill="1" applyBorder="1" applyAlignment="1">
      <alignment horizontal="center" wrapText="1"/>
    </xf>
    <xf numFmtId="0" fontId="10" fillId="0" borderId="0" xfId="0" applyFont="1" applyAlignment="1">
      <alignment horizontal="left" vertical="center"/>
    </xf>
    <xf numFmtId="0" fontId="10" fillId="17" borderId="0" xfId="0" applyFont="1" applyFill="1" applyAlignment="1">
      <alignment horizontal="center" vertical="center"/>
    </xf>
    <xf numFmtId="165" fontId="10" fillId="17" borderId="0" xfId="0" applyNumberFormat="1" applyFont="1" applyFill="1" applyAlignment="1">
      <alignment horizontal="center" vertical="center"/>
    </xf>
    <xf numFmtId="1" fontId="10" fillId="17" borderId="0" xfId="0" applyNumberFormat="1" applyFont="1" applyFill="1" applyAlignment="1">
      <alignment horizontal="center" vertical="center"/>
    </xf>
    <xf numFmtId="0" fontId="10" fillId="0" borderId="0" xfId="0" applyFont="1" applyAlignment="1">
      <alignment horizontal="left"/>
    </xf>
    <xf numFmtId="0" fontId="10" fillId="0" borderId="0" xfId="0" applyFont="1" applyAlignment="1">
      <alignment vertical="center"/>
    </xf>
    <xf numFmtId="0" fontId="10" fillId="0" borderId="0" xfId="0" applyFont="1" applyAlignment="1">
      <alignment horizontal="left" vertical="center" wrapText="1"/>
    </xf>
    <xf numFmtId="0" fontId="10" fillId="0" borderId="0" xfId="0" applyFont="1"/>
    <xf numFmtId="0" fontId="1" fillId="0" borderId="0" xfId="0" applyFont="1" applyAlignment="1">
      <alignment vertical="center"/>
    </xf>
    <xf numFmtId="1" fontId="10" fillId="0" borderId="0" xfId="0" applyNumberFormat="1" applyFont="1" applyAlignment="1" applyProtection="1">
      <alignment horizontal="center" vertical="center"/>
      <protection locked="0"/>
    </xf>
    <xf numFmtId="0" fontId="10" fillId="0" borderId="0" xfId="0" quotePrefix="1" applyFont="1" applyAlignment="1">
      <alignment horizontal="center" vertical="center"/>
    </xf>
    <xf numFmtId="0" fontId="10" fillId="0" borderId="0" xfId="0" applyFont="1" applyAlignment="1">
      <alignment wrapText="1"/>
    </xf>
    <xf numFmtId="0" fontId="41" fillId="0" borderId="0" xfId="0" applyFont="1" applyAlignment="1">
      <alignment horizontal="center" vertical="center"/>
    </xf>
    <xf numFmtId="0" fontId="41" fillId="0" borderId="0" xfId="0" applyFont="1" applyAlignment="1">
      <alignment horizontal="left" vertical="center"/>
    </xf>
    <xf numFmtId="164" fontId="10" fillId="0" borderId="0" xfId="0" applyNumberFormat="1" applyFont="1" applyAlignment="1">
      <alignment horizontal="left" vertical="center"/>
    </xf>
    <xf numFmtId="0" fontId="28" fillId="0" borderId="0" xfId="0" applyFont="1"/>
    <xf numFmtId="0" fontId="10" fillId="0" borderId="0" xfId="0" applyFont="1" applyAlignment="1" applyProtection="1">
      <alignment horizontal="center" vertical="center"/>
      <protection locked="0"/>
    </xf>
    <xf numFmtId="0" fontId="10" fillId="0" borderId="0" xfId="0" applyFont="1" applyAlignment="1">
      <alignment horizontal="right" vertical="center"/>
    </xf>
    <xf numFmtId="0" fontId="1" fillId="0" borderId="0" xfId="0" applyFont="1"/>
    <xf numFmtId="2" fontId="10" fillId="0" borderId="0" xfId="0" applyNumberFormat="1" applyFont="1" applyAlignment="1" applyProtection="1">
      <alignment horizontal="center" vertical="center"/>
      <protection locked="0"/>
    </xf>
    <xf numFmtId="49" fontId="10" fillId="0" borderId="0" xfId="0" applyNumberFormat="1" applyFont="1" applyAlignment="1" applyProtection="1">
      <alignment horizontal="center" vertical="center"/>
      <protection locked="0"/>
    </xf>
    <xf numFmtId="0" fontId="10" fillId="0" borderId="0" xfId="0" applyFont="1" applyAlignment="1" applyProtection="1">
      <alignment horizontal="left" vertical="center"/>
      <protection locked="0"/>
    </xf>
    <xf numFmtId="0" fontId="1" fillId="0" borderId="0" xfId="0" applyFont="1" applyAlignment="1">
      <alignment horizontal="center" vertical="center"/>
    </xf>
    <xf numFmtId="0" fontId="1" fillId="0" borderId="0" xfId="0" applyFont="1" applyAlignment="1">
      <alignment horizontal="left" vertical="center"/>
    </xf>
    <xf numFmtId="0" fontId="58" fillId="0" borderId="0" xfId="0" applyFont="1" applyAlignment="1">
      <alignment horizontal="center" vertical="center"/>
    </xf>
    <xf numFmtId="0" fontId="10" fillId="0" borderId="0" xfId="0" applyFont="1" applyAlignment="1">
      <alignment horizontal="left" wrapText="1"/>
    </xf>
    <xf numFmtId="0" fontId="10" fillId="0" borderId="0" xfId="0" applyFont="1" applyAlignment="1">
      <alignment vertical="center" wrapText="1"/>
    </xf>
    <xf numFmtId="17" fontId="10" fillId="0" borderId="0" xfId="0" applyNumberFormat="1" applyFont="1" applyAlignment="1">
      <alignment horizontal="center" vertical="center"/>
    </xf>
    <xf numFmtId="0" fontId="59" fillId="0" borderId="0" xfId="0" applyFont="1"/>
    <xf numFmtId="0" fontId="40" fillId="0" borderId="0" xfId="0" applyFont="1" applyAlignment="1">
      <alignment vertical="center"/>
    </xf>
    <xf numFmtId="2" fontId="20" fillId="0" borderId="0" xfId="0" applyNumberFormat="1" applyFont="1" applyAlignment="1">
      <alignment horizontal="center" vertical="center"/>
    </xf>
    <xf numFmtId="0" fontId="10" fillId="0" borderId="0" xfId="0" applyFont="1" applyAlignment="1">
      <alignment horizontal="left" vertical="top" wrapText="1"/>
    </xf>
    <xf numFmtId="0" fontId="52" fillId="15" borderId="9" xfId="0" applyFont="1" applyFill="1" applyBorder="1" applyAlignment="1">
      <alignment horizontal="center"/>
    </xf>
    <xf numFmtId="0" fontId="52" fillId="15" borderId="12" xfId="0" applyFont="1" applyFill="1" applyBorder="1" applyAlignment="1">
      <alignment horizontal="center"/>
    </xf>
    <xf numFmtId="0" fontId="52" fillId="15" borderId="10" xfId="0" applyFont="1" applyFill="1" applyBorder="1" applyAlignment="1">
      <alignment horizontal="center"/>
    </xf>
    <xf numFmtId="0" fontId="52" fillId="15" borderId="7" xfId="0" applyFont="1" applyFill="1" applyBorder="1" applyAlignment="1">
      <alignment horizontal="center"/>
    </xf>
    <xf numFmtId="0" fontId="24" fillId="0" borderId="0" xfId="0" applyFont="1" applyAlignment="1">
      <alignment horizontal="center"/>
    </xf>
    <xf numFmtId="0" fontId="42" fillId="3" borderId="0" xfId="5" applyFill="1" applyAlignment="1">
      <alignment horizontal="center" vertical="center"/>
    </xf>
    <xf numFmtId="0" fontId="42" fillId="9" borderId="0" xfId="5" applyFill="1" applyAlignment="1">
      <alignment horizontal="center" vertical="center"/>
    </xf>
    <xf numFmtId="0" fontId="3" fillId="2" borderId="1" xfId="0" applyFont="1" applyFill="1" applyBorder="1" applyAlignment="1">
      <alignment horizontal="center"/>
    </xf>
    <xf numFmtId="0" fontId="17" fillId="2" borderId="0" xfId="0" applyFont="1" applyFill="1" applyAlignment="1">
      <alignment horizontal="center" vertical="center" textRotation="90"/>
    </xf>
    <xf numFmtId="0" fontId="6" fillId="5" borderId="2" xfId="1" applyFont="1" applyFill="1" applyBorder="1" applyAlignment="1">
      <alignment horizontal="center" vertical="center"/>
    </xf>
    <xf numFmtId="0" fontId="7" fillId="5" borderId="3" xfId="1" applyFont="1" applyFill="1" applyBorder="1" applyAlignment="1">
      <alignment horizontal="center" vertical="center"/>
    </xf>
    <xf numFmtId="0" fontId="6" fillId="6" borderId="1" xfId="1" applyFont="1" applyFill="1" applyBorder="1" applyAlignment="1">
      <alignment horizontal="center" wrapText="1"/>
    </xf>
    <xf numFmtId="0" fontId="5" fillId="0" borderId="5" xfId="1" applyBorder="1" applyAlignment="1">
      <alignment horizontal="center" vertical="center" wrapText="1"/>
    </xf>
    <xf numFmtId="0" fontId="5" fillId="0" borderId="0" xfId="1" applyAlignment="1">
      <alignment horizontal="center" vertical="center" wrapText="1"/>
    </xf>
    <xf numFmtId="0" fontId="5" fillId="0" borderId="6" xfId="1" applyBorder="1" applyAlignment="1">
      <alignment horizontal="center" vertical="center" wrapText="1"/>
    </xf>
    <xf numFmtId="0" fontId="5" fillId="0" borderId="7" xfId="1" applyBorder="1" applyAlignment="1">
      <alignment horizontal="center" vertical="center" wrapText="1"/>
    </xf>
    <xf numFmtId="0" fontId="2" fillId="0" borderId="6" xfId="0" applyFont="1" applyBorder="1" applyAlignment="1">
      <alignment horizontal="center"/>
    </xf>
    <xf numFmtId="0" fontId="2" fillId="0" borderId="10" xfId="0" applyFont="1" applyBorder="1" applyAlignment="1">
      <alignment horizontal="center"/>
    </xf>
    <xf numFmtId="0" fontId="2" fillId="0" borderId="7" xfId="0" applyFont="1" applyBorder="1" applyAlignment="1">
      <alignment horizontal="center"/>
    </xf>
    <xf numFmtId="0" fontId="2" fillId="0" borderId="0" xfId="0" applyFont="1" applyAlignment="1">
      <alignment horizontal="left" wrapText="1"/>
    </xf>
  </cellXfs>
  <cellStyles count="7">
    <cellStyle name="Normal 2" xfId="1" xr:uid="{00000000-0005-0000-0000-000002000000}"/>
    <cellStyle name="Normal 3" xfId="5" xr:uid="{ECCA6F02-892F-484E-B928-3E9D7FD27370}"/>
    <cellStyle name="Standard 2" xfId="6" xr:uid="{77C4A68D-1A2A-4EC9-9545-FB62E9783D2A}"/>
    <cellStyle name="백분율" xfId="4" builtinId="5"/>
    <cellStyle name="표준" xfId="0" builtinId="0"/>
    <cellStyle name="하이퍼링크" xfId="3" builtinId="8"/>
    <cellStyle name="標準_Sheet1" xfId="2" xr:uid="{00000000-0005-0000-0000-000003000000}"/>
  </cellStyles>
  <dxfs count="79">
    <dxf>
      <alignment horizontal="center" vertical="bottom" textRotation="0" indent="0" justifyLastLine="0" shrinkToFit="0" readingOrder="0"/>
    </dxf>
    <dxf>
      <font>
        <b val="0"/>
        <i val="0"/>
        <strike val="0"/>
        <condense val="0"/>
        <extend val="0"/>
        <outline val="0"/>
        <shadow val="0"/>
        <u val="none"/>
        <vertAlign val="baseline"/>
        <sz val="10"/>
        <color auto="1"/>
        <name val="Palatino Linotype"/>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border outline="0">
        <bottom style="medium">
          <color indexed="64"/>
        </bottom>
      </border>
    </dxf>
    <dxf>
      <alignment horizontal="center" vertical="bottom" textRotation="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rgb="FF0070C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4" formatCode="mmm\-yyyy"/>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4" formatCode="mmm\-yyyy"/>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CCCFD8"/>
        </patternFill>
      </fill>
      <alignment horizontal="center" vertical="center" textRotation="0" wrapText="0" indent="0" justifyLastLine="0" shrinkToFit="0" readingOrder="0"/>
    </dxf>
    <dxf>
      <font>
        <b val="0"/>
        <outline val="0"/>
        <shadow val="0"/>
        <vertAlign val="baseline"/>
        <color auto="1"/>
      </font>
      <numFmt numFmtId="1" formatCode="0"/>
      <fill>
        <patternFill patternType="none">
          <fgColor indexed="64"/>
          <bgColor auto="1"/>
        </patternFill>
      </fill>
      <alignment horizontal="center" vertical="center" textRotation="0" wrapText="0" indent="0" justifyLastLine="0" shrinkToFit="0" readingOrder="0"/>
    </dxf>
    <dxf>
      <font>
        <b val="0"/>
        <outline val="0"/>
        <shadow val="0"/>
        <vertAlign val="baseline"/>
        <color auto="1"/>
      </font>
      <numFmt numFmtId="1" formatCode="0"/>
      <fill>
        <patternFill patternType="solid">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0.000"/>
      <fill>
        <patternFill patternType="solid">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0.000"/>
      <fill>
        <patternFill patternType="solid">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0.000"/>
      <fill>
        <patternFill patternType="none">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0.000"/>
      <fill>
        <patternFill patternType="solid">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2" formatCode="0.00"/>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CCCFD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2" formatCode="0.00"/>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border outline="0">
        <top style="thin">
          <color indexed="64"/>
        </top>
        <bottom style="thin">
          <color indexed="64"/>
        </bottom>
      </border>
    </dxf>
    <dxf>
      <font>
        <b val="0"/>
        <outline val="0"/>
        <shadow val="0"/>
        <vertAlign val="baseline"/>
        <color auto="1"/>
      </font>
      <fill>
        <patternFill patternType="none">
          <bgColor auto="1"/>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strike/>
        <color theme="0" tint="-0.34998626667073579"/>
      </font>
    </dxf>
    <dxf>
      <font>
        <color theme="0"/>
      </font>
      <fill>
        <patternFill patternType="solid">
          <bgColor theme="4" tint="-0.499984740745262"/>
        </patternFill>
      </fill>
    </dxf>
    <dxf>
      <font>
        <color theme="0"/>
      </font>
      <fill>
        <patternFill patternType="solid">
          <bgColor theme="3" tint="-0.24994659260841701"/>
        </patternFill>
      </fill>
    </dxf>
    <dxf>
      <font>
        <color theme="0"/>
      </font>
      <fill>
        <patternFill>
          <bgColor rgb="FF0070C0"/>
        </patternFill>
      </fill>
    </dxf>
    <dxf>
      <font>
        <color rgb="FFC00000"/>
      </font>
      <fill>
        <patternFill>
          <bgColor rgb="FFFF7C80"/>
        </patternFill>
      </fill>
    </dxf>
    <dxf>
      <font>
        <b/>
        <i val="0"/>
        <color theme="1"/>
      </font>
      <fill>
        <patternFill>
          <bgColor rgb="FF92D050"/>
        </patternFill>
      </fill>
    </dxf>
    <dxf>
      <font>
        <color auto="1"/>
      </font>
      <fill>
        <patternFill>
          <bgColor theme="8" tint="0.79998168889431442"/>
        </patternFill>
      </fill>
    </dxf>
    <dxf>
      <font>
        <strike/>
        <color theme="0" tint="-0.34998626667073579"/>
      </font>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2" defaultPivotStyle="PivotStyleLight16"/>
  <colors>
    <mruColors>
      <color rgb="FFFF7C80"/>
      <color rgb="FFFF9999"/>
      <color rgb="FFCCCFD8"/>
      <color rgb="FF333F63"/>
      <color rgb="FFFF5050"/>
      <color rgb="FF00B0E9"/>
      <color rgb="FFFFFFCC"/>
      <color rgb="FF3333FF"/>
      <color rgb="FFFFAB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8.xml"/><Relationship Id="rId18" Type="http://schemas.openxmlformats.org/officeDocument/2006/relationships/pivotCacheDefinition" Target="pivotCache/pivotCacheDefinition2.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6.xml"/><Relationship Id="rId12" Type="http://schemas.openxmlformats.org/officeDocument/2006/relationships/chartsheet" Target="chartsheets/sheet5.xml"/><Relationship Id="rId17" Type="http://schemas.openxmlformats.org/officeDocument/2006/relationships/pivotCacheDefinition" Target="pivotCache/pivotCacheDefinition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chartsheet" Target="chartsheets/sheet4.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0.xml"/><Relationship Id="rId23" Type="http://schemas.openxmlformats.org/officeDocument/2006/relationships/calcChain" Target="calcChain.xml"/><Relationship Id="rId10" Type="http://schemas.openxmlformats.org/officeDocument/2006/relationships/chartsheet" Target="chartsheets/sheet3.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worksheet" Target="worksheets/sheet9.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Average</a:t>
            </a:r>
            <a:r>
              <a:rPr lang="en-US" sz="1600" baseline="0"/>
              <a:t> Caliper vs. Wedge Angle</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695951407613781E-2"/>
          <c:y val="8.1011819152848011E-2"/>
          <c:w val="0.87787479623066977"/>
          <c:h val="0.81552934310230141"/>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25400" cap="rnd">
                <a:solidFill>
                  <a:schemeClr val="accent1"/>
                </a:solidFill>
                <a:prstDash val="lgDash"/>
              </a:ln>
              <a:effectLst/>
            </c:spPr>
            <c:trendlineType val="linear"/>
            <c:dispRSqr val="1"/>
            <c:dispEq val="1"/>
            <c:trendlineLbl>
              <c:layout>
                <c:manualLayout>
                  <c:x val="-0.34565451914707612"/>
                  <c:y val="0.31106643187793276"/>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trendlineLbl>
          </c:trendline>
          <c:xVal>
            <c:numRef>
              <c:f>'W-code list'!$O$6:$O$500</c:f>
              <c:numCache>
                <c:formatCode>0.00</c:formatCode>
                <c:ptCount val="495"/>
                <c:pt idx="0">
                  <c:v>0.27</c:v>
                </c:pt>
                <c:pt idx="1">
                  <c:v>0.51</c:v>
                </c:pt>
                <c:pt idx="2">
                  <c:v>0.51</c:v>
                </c:pt>
                <c:pt idx="3">
                  <c:v>0.62</c:v>
                </c:pt>
                <c:pt idx="4">
                  <c:v>0.62</c:v>
                </c:pt>
                <c:pt idx="5">
                  <c:v>0.45</c:v>
                </c:pt>
                <c:pt idx="6">
                  <c:v>0.18</c:v>
                </c:pt>
                <c:pt idx="7">
                  <c:v>0.27</c:v>
                </c:pt>
                <c:pt idx="8">
                  <c:v>0.18</c:v>
                </c:pt>
                <c:pt idx="9">
                  <c:v>0.14000000000000001</c:v>
                </c:pt>
                <c:pt idx="10">
                  <c:v>0.11</c:v>
                </c:pt>
                <c:pt idx="11">
                  <c:v>0.35</c:v>
                </c:pt>
                <c:pt idx="12">
                  <c:v>0.14000000000000001</c:v>
                </c:pt>
                <c:pt idx="13">
                  <c:v>0.14000000000000001</c:v>
                </c:pt>
                <c:pt idx="14">
                  <c:v>0.19</c:v>
                </c:pt>
                <c:pt idx="15">
                  <c:v>0.23</c:v>
                </c:pt>
                <c:pt idx="16">
                  <c:v>0.27</c:v>
                </c:pt>
                <c:pt idx="17">
                  <c:v>0.45</c:v>
                </c:pt>
                <c:pt idx="18">
                  <c:v>0.39</c:v>
                </c:pt>
                <c:pt idx="19">
                  <c:v>0.39</c:v>
                </c:pt>
                <c:pt idx="20">
                  <c:v>0.64</c:v>
                </c:pt>
                <c:pt idx="21">
                  <c:v>0.19</c:v>
                </c:pt>
                <c:pt idx="22">
                  <c:v>0.19</c:v>
                </c:pt>
                <c:pt idx="23">
                  <c:v>0.09</c:v>
                </c:pt>
                <c:pt idx="24">
                  <c:v>0.2</c:v>
                </c:pt>
                <c:pt idx="25">
                  <c:v>0.3</c:v>
                </c:pt>
                <c:pt idx="26">
                  <c:v>0.39</c:v>
                </c:pt>
                <c:pt idx="27">
                  <c:v>0.39</c:v>
                </c:pt>
                <c:pt idx="28">
                  <c:v>0.36</c:v>
                </c:pt>
                <c:pt idx="29">
                  <c:v>0.44</c:v>
                </c:pt>
                <c:pt idx="30">
                  <c:v>0.49</c:v>
                </c:pt>
                <c:pt idx="31">
                  <c:v>0.42</c:v>
                </c:pt>
                <c:pt idx="32">
                  <c:v>0.24</c:v>
                </c:pt>
                <c:pt idx="33">
                  <c:v>0.21</c:v>
                </c:pt>
                <c:pt idx="34">
                  <c:v>0.6</c:v>
                </c:pt>
                <c:pt idx="35">
                  <c:v>0.63</c:v>
                </c:pt>
                <c:pt idx="36">
                  <c:v>0.55000000000000004</c:v>
                </c:pt>
                <c:pt idx="37">
                  <c:v>0.3</c:v>
                </c:pt>
                <c:pt idx="38">
                  <c:v>0.35</c:v>
                </c:pt>
                <c:pt idx="39">
                  <c:v>0.41</c:v>
                </c:pt>
                <c:pt idx="40">
                  <c:v>0.47</c:v>
                </c:pt>
                <c:pt idx="41">
                  <c:v>0.28000000000000003</c:v>
                </c:pt>
                <c:pt idx="42">
                  <c:v>0.14000000000000001</c:v>
                </c:pt>
                <c:pt idx="43">
                  <c:v>0.18</c:v>
                </c:pt>
                <c:pt idx="44">
                  <c:v>0.24</c:v>
                </c:pt>
                <c:pt idx="45">
                  <c:v>0.33</c:v>
                </c:pt>
                <c:pt idx="46">
                  <c:v>0.33</c:v>
                </c:pt>
                <c:pt idx="47">
                  <c:v>0.39</c:v>
                </c:pt>
                <c:pt idx="48">
                  <c:v>0.52</c:v>
                </c:pt>
                <c:pt idx="49">
                  <c:v>0.5</c:v>
                </c:pt>
                <c:pt idx="50">
                  <c:v>0.64</c:v>
                </c:pt>
                <c:pt idx="51">
                  <c:v>0.25</c:v>
                </c:pt>
                <c:pt idx="52">
                  <c:v>0.25</c:v>
                </c:pt>
                <c:pt idx="53">
                  <c:v>0.6</c:v>
                </c:pt>
                <c:pt idx="54">
                  <c:v>0.25</c:v>
                </c:pt>
                <c:pt idx="55">
                  <c:v>0.6</c:v>
                </c:pt>
                <c:pt idx="56">
                  <c:v>0.6</c:v>
                </c:pt>
                <c:pt idx="57">
                  <c:v>0.37</c:v>
                </c:pt>
                <c:pt idx="58">
                  <c:v>0.28000000000000003</c:v>
                </c:pt>
                <c:pt idx="59">
                  <c:v>0.44</c:v>
                </c:pt>
                <c:pt idx="60">
                  <c:v>0.44</c:v>
                </c:pt>
                <c:pt idx="61">
                  <c:v>0.44</c:v>
                </c:pt>
                <c:pt idx="62">
                  <c:v>0.62</c:v>
                </c:pt>
                <c:pt idx="63">
                  <c:v>0.72</c:v>
                </c:pt>
                <c:pt idx="64">
                  <c:v>0.64</c:v>
                </c:pt>
                <c:pt idx="65">
                  <c:v>0.68</c:v>
                </c:pt>
                <c:pt idx="66">
                  <c:v>0.28999999999999998</c:v>
                </c:pt>
                <c:pt idx="67">
                  <c:v>0.51</c:v>
                </c:pt>
                <c:pt idx="68">
                  <c:v>0.53</c:v>
                </c:pt>
                <c:pt idx="69">
                  <c:v>0.27</c:v>
                </c:pt>
                <c:pt idx="70">
                  <c:v>0.27</c:v>
                </c:pt>
                <c:pt idx="71">
                  <c:v>0.27</c:v>
                </c:pt>
                <c:pt idx="72">
                  <c:v>0.27</c:v>
                </c:pt>
                <c:pt idx="73">
                  <c:v>0.47</c:v>
                </c:pt>
                <c:pt idx="74">
                  <c:v>0.7</c:v>
                </c:pt>
                <c:pt idx="75">
                  <c:v>0.46</c:v>
                </c:pt>
                <c:pt idx="76">
                  <c:v>0.5</c:v>
                </c:pt>
                <c:pt idx="77">
                  <c:v>0.54</c:v>
                </c:pt>
                <c:pt idx="79">
                  <c:v>0.2</c:v>
                </c:pt>
                <c:pt idx="80">
                  <c:v>0.54</c:v>
                </c:pt>
                <c:pt idx="81">
                  <c:v>0.54</c:v>
                </c:pt>
                <c:pt idx="82">
                  <c:v>0.57999999999999996</c:v>
                </c:pt>
                <c:pt idx="83">
                  <c:v>0.57999999999999996</c:v>
                </c:pt>
                <c:pt idx="84">
                  <c:v>0.6</c:v>
                </c:pt>
                <c:pt idx="85">
                  <c:v>0.68</c:v>
                </c:pt>
                <c:pt idx="86">
                  <c:v>0.57999999999999996</c:v>
                </c:pt>
                <c:pt idx="87">
                  <c:v>0.51</c:v>
                </c:pt>
                <c:pt idx="88">
                  <c:v>0.54</c:v>
                </c:pt>
                <c:pt idx="89">
                  <c:v>0.17</c:v>
                </c:pt>
                <c:pt idx="90">
                  <c:v>0.2</c:v>
                </c:pt>
                <c:pt idx="91">
                  <c:v>0.33</c:v>
                </c:pt>
                <c:pt idx="92">
                  <c:v>0.22</c:v>
                </c:pt>
                <c:pt idx="96">
                  <c:v>0.25</c:v>
                </c:pt>
                <c:pt idx="97">
                  <c:v>0.27</c:v>
                </c:pt>
                <c:pt idx="98">
                  <c:v>0.27</c:v>
                </c:pt>
                <c:pt idx="99">
                  <c:v>0.28999999999999998</c:v>
                </c:pt>
                <c:pt idx="100">
                  <c:v>0.26</c:v>
                </c:pt>
                <c:pt idx="101">
                  <c:v>0.26</c:v>
                </c:pt>
                <c:pt idx="102">
                  <c:v>0.25</c:v>
                </c:pt>
                <c:pt idx="103">
                  <c:v>0.4</c:v>
                </c:pt>
                <c:pt idx="104">
                  <c:v>0.23</c:v>
                </c:pt>
                <c:pt idx="105">
                  <c:v>0.27</c:v>
                </c:pt>
                <c:pt idx="106">
                  <c:v>0.28000000000000003</c:v>
                </c:pt>
                <c:pt idx="107">
                  <c:v>0.28000000000000003</c:v>
                </c:pt>
                <c:pt idx="108">
                  <c:v>0.22</c:v>
                </c:pt>
                <c:pt idx="109">
                  <c:v>0.25</c:v>
                </c:pt>
                <c:pt idx="110">
                  <c:v>0.71</c:v>
                </c:pt>
                <c:pt idx="111">
                  <c:v>0.62</c:v>
                </c:pt>
                <c:pt idx="112">
                  <c:v>0.64</c:v>
                </c:pt>
                <c:pt idx="113">
                  <c:v>0.31</c:v>
                </c:pt>
                <c:pt idx="114">
                  <c:v>0.47</c:v>
                </c:pt>
                <c:pt idx="115">
                  <c:v>0.2</c:v>
                </c:pt>
                <c:pt idx="116">
                  <c:v>0.3</c:v>
                </c:pt>
                <c:pt idx="117">
                  <c:v>0.35</c:v>
                </c:pt>
                <c:pt idx="118">
                  <c:v>0.35</c:v>
                </c:pt>
                <c:pt idx="119">
                  <c:v>0.4</c:v>
                </c:pt>
                <c:pt idx="120">
                  <c:v>0.4</c:v>
                </c:pt>
                <c:pt idx="121">
                  <c:v>0.4</c:v>
                </c:pt>
                <c:pt idx="122">
                  <c:v>0.44</c:v>
                </c:pt>
                <c:pt idx="123">
                  <c:v>0.44</c:v>
                </c:pt>
                <c:pt idx="124">
                  <c:v>0.44</c:v>
                </c:pt>
                <c:pt idx="125">
                  <c:v>0.44</c:v>
                </c:pt>
                <c:pt idx="126">
                  <c:v>0.44</c:v>
                </c:pt>
                <c:pt idx="127">
                  <c:v>0.44</c:v>
                </c:pt>
                <c:pt idx="128">
                  <c:v>0.44</c:v>
                </c:pt>
                <c:pt idx="129">
                  <c:v>0.48</c:v>
                </c:pt>
                <c:pt idx="130">
                  <c:v>0.52</c:v>
                </c:pt>
                <c:pt idx="131">
                  <c:v>0.52</c:v>
                </c:pt>
                <c:pt idx="132">
                  <c:v>0.52</c:v>
                </c:pt>
                <c:pt idx="133">
                  <c:v>0.52</c:v>
                </c:pt>
                <c:pt idx="134">
                  <c:v>0.52</c:v>
                </c:pt>
                <c:pt idx="135">
                  <c:v>0.52</c:v>
                </c:pt>
                <c:pt idx="136">
                  <c:v>0.52</c:v>
                </c:pt>
                <c:pt idx="137">
                  <c:v>0.52</c:v>
                </c:pt>
                <c:pt idx="138">
                  <c:v>0.52</c:v>
                </c:pt>
                <c:pt idx="139">
                  <c:v>0.59</c:v>
                </c:pt>
                <c:pt idx="140">
                  <c:v>0.59</c:v>
                </c:pt>
                <c:pt idx="141">
                  <c:v>0.59</c:v>
                </c:pt>
                <c:pt idx="142">
                  <c:v>0.59</c:v>
                </c:pt>
                <c:pt idx="143">
                  <c:v>0.59</c:v>
                </c:pt>
                <c:pt idx="144">
                  <c:v>0.59</c:v>
                </c:pt>
                <c:pt idx="145">
                  <c:v>0.65</c:v>
                </c:pt>
                <c:pt idx="146">
                  <c:v>0.65</c:v>
                </c:pt>
                <c:pt idx="147">
                  <c:v>0.68</c:v>
                </c:pt>
                <c:pt idx="148">
                  <c:v>0.68</c:v>
                </c:pt>
                <c:pt idx="149">
                  <c:v>0.68</c:v>
                </c:pt>
                <c:pt idx="150">
                  <c:v>0.44</c:v>
                </c:pt>
                <c:pt idx="151">
                  <c:v>0.22</c:v>
                </c:pt>
                <c:pt idx="152">
                  <c:v>0.3</c:v>
                </c:pt>
                <c:pt idx="153">
                  <c:v>0.33</c:v>
                </c:pt>
                <c:pt idx="154">
                  <c:v>0.32</c:v>
                </c:pt>
                <c:pt idx="155">
                  <c:v>0.35</c:v>
                </c:pt>
                <c:pt idx="156">
                  <c:v>0.4</c:v>
                </c:pt>
                <c:pt idx="157">
                  <c:v>0.23</c:v>
                </c:pt>
                <c:pt idx="158">
                  <c:v>0.37</c:v>
                </c:pt>
                <c:pt idx="159">
                  <c:v>0.39</c:v>
                </c:pt>
                <c:pt idx="160">
                  <c:v>0.39</c:v>
                </c:pt>
                <c:pt idx="161">
                  <c:v>0.28000000000000003</c:v>
                </c:pt>
                <c:pt idx="162">
                  <c:v>0.36</c:v>
                </c:pt>
                <c:pt idx="163">
                  <c:v>0.37</c:v>
                </c:pt>
                <c:pt idx="164">
                  <c:v>0.21</c:v>
                </c:pt>
                <c:pt idx="165">
                  <c:v>0.28999999999999998</c:v>
                </c:pt>
                <c:pt idx="166">
                  <c:v>0.5</c:v>
                </c:pt>
                <c:pt idx="167">
                  <c:v>0.5</c:v>
                </c:pt>
                <c:pt idx="168">
                  <c:v>0.19</c:v>
                </c:pt>
                <c:pt idx="169">
                  <c:v>0.27</c:v>
                </c:pt>
                <c:pt idx="170">
                  <c:v>0.22</c:v>
                </c:pt>
                <c:pt idx="171">
                  <c:v>0.3</c:v>
                </c:pt>
                <c:pt idx="172">
                  <c:v>0.47</c:v>
                </c:pt>
                <c:pt idx="173">
                  <c:v>0.47</c:v>
                </c:pt>
                <c:pt idx="174">
                  <c:v>0.5</c:v>
                </c:pt>
                <c:pt idx="175">
                  <c:v>0.52</c:v>
                </c:pt>
                <c:pt idx="176">
                  <c:v>0.52</c:v>
                </c:pt>
                <c:pt idx="177">
                  <c:v>0.28999999999999998</c:v>
                </c:pt>
                <c:pt idx="178">
                  <c:v>0.48</c:v>
                </c:pt>
                <c:pt idx="179">
                  <c:v>0.48</c:v>
                </c:pt>
                <c:pt idx="180">
                  <c:v>0.49</c:v>
                </c:pt>
                <c:pt idx="181">
                  <c:v>0.49</c:v>
                </c:pt>
                <c:pt idx="182">
                  <c:v>0.49</c:v>
                </c:pt>
                <c:pt idx="183">
                  <c:v>0.32</c:v>
                </c:pt>
                <c:pt idx="184">
                  <c:v>0.32</c:v>
                </c:pt>
                <c:pt idx="185">
                  <c:v>0.28999999999999998</c:v>
                </c:pt>
                <c:pt idx="186">
                  <c:v>0.35</c:v>
                </c:pt>
                <c:pt idx="187">
                  <c:v>0.28999999999999998</c:v>
                </c:pt>
                <c:pt idx="188">
                  <c:v>0.39</c:v>
                </c:pt>
                <c:pt idx="189">
                  <c:v>0.4</c:v>
                </c:pt>
                <c:pt idx="190">
                  <c:v>0.21</c:v>
                </c:pt>
                <c:pt idx="191">
                  <c:v>0.5</c:v>
                </c:pt>
                <c:pt idx="192">
                  <c:v>0.49</c:v>
                </c:pt>
                <c:pt idx="193">
                  <c:v>0.51</c:v>
                </c:pt>
                <c:pt idx="194">
                  <c:v>0.5</c:v>
                </c:pt>
                <c:pt idx="195">
                  <c:v>0.5</c:v>
                </c:pt>
                <c:pt idx="196">
                  <c:v>0.25</c:v>
                </c:pt>
                <c:pt idx="197">
                  <c:v>0.25</c:v>
                </c:pt>
                <c:pt idx="198">
                  <c:v>0.25</c:v>
                </c:pt>
                <c:pt idx="199">
                  <c:v>0.21</c:v>
                </c:pt>
                <c:pt idx="200">
                  <c:v>0.56000000000000005</c:v>
                </c:pt>
                <c:pt idx="201">
                  <c:v>0.56000000000000005</c:v>
                </c:pt>
                <c:pt idx="202">
                  <c:v>0.56999999999999995</c:v>
                </c:pt>
                <c:pt idx="203">
                  <c:v>0.57999999999999996</c:v>
                </c:pt>
                <c:pt idx="204">
                  <c:v>0.23</c:v>
                </c:pt>
                <c:pt idx="205">
                  <c:v>0.23</c:v>
                </c:pt>
                <c:pt idx="206">
                  <c:v>0.55000000000000004</c:v>
                </c:pt>
                <c:pt idx="207">
                  <c:v>0.6</c:v>
                </c:pt>
                <c:pt idx="208">
                  <c:v>0.6</c:v>
                </c:pt>
                <c:pt idx="209">
                  <c:v>0.6</c:v>
                </c:pt>
                <c:pt idx="210">
                  <c:v>0.6</c:v>
                </c:pt>
                <c:pt idx="211">
                  <c:v>0.41</c:v>
                </c:pt>
                <c:pt idx="212">
                  <c:v>0.36</c:v>
                </c:pt>
                <c:pt idx="213">
                  <c:v>0.57999999999999996</c:v>
                </c:pt>
                <c:pt idx="214">
                  <c:v>0.32</c:v>
                </c:pt>
                <c:pt idx="215">
                  <c:v>0.52</c:v>
                </c:pt>
                <c:pt idx="216">
                  <c:v>0.44</c:v>
                </c:pt>
                <c:pt idx="217">
                  <c:v>0.56000000000000005</c:v>
                </c:pt>
                <c:pt idx="218">
                  <c:v>0.56000000000000005</c:v>
                </c:pt>
                <c:pt idx="219">
                  <c:v>0.4</c:v>
                </c:pt>
                <c:pt idx="220">
                  <c:v>0.64</c:v>
                </c:pt>
                <c:pt idx="221">
                  <c:v>0.35</c:v>
                </c:pt>
                <c:pt idx="222">
                  <c:v>0.33</c:v>
                </c:pt>
                <c:pt idx="223">
                  <c:v>0.56000000000000005</c:v>
                </c:pt>
                <c:pt idx="224">
                  <c:v>0.56000000000000005</c:v>
                </c:pt>
                <c:pt idx="225">
                  <c:v>0.47</c:v>
                </c:pt>
                <c:pt idx="226">
                  <c:v>0.56000000000000005</c:v>
                </c:pt>
                <c:pt idx="227">
                  <c:v>0.57999999999999996</c:v>
                </c:pt>
                <c:pt idx="228">
                  <c:v>0.57999999999999996</c:v>
                </c:pt>
                <c:pt idx="229">
                  <c:v>0.6</c:v>
                </c:pt>
                <c:pt idx="230">
                  <c:v>0.66</c:v>
                </c:pt>
                <c:pt idx="231">
                  <c:v>0.23</c:v>
                </c:pt>
                <c:pt idx="232">
                  <c:v>0.57999999999999996</c:v>
                </c:pt>
                <c:pt idx="233">
                  <c:v>0.56000000000000005</c:v>
                </c:pt>
                <c:pt idx="234">
                  <c:v>0.3</c:v>
                </c:pt>
                <c:pt idx="235">
                  <c:v>0.32</c:v>
                </c:pt>
                <c:pt idx="236">
                  <c:v>0.35</c:v>
                </c:pt>
                <c:pt idx="237">
                  <c:v>0.35</c:v>
                </c:pt>
                <c:pt idx="238">
                  <c:v>0.46</c:v>
                </c:pt>
                <c:pt idx="239">
                  <c:v>0.46</c:v>
                </c:pt>
                <c:pt idx="240">
                  <c:v>0.62</c:v>
                </c:pt>
                <c:pt idx="241">
                  <c:v>0.62</c:v>
                </c:pt>
                <c:pt idx="242">
                  <c:v>0.62</c:v>
                </c:pt>
                <c:pt idx="243">
                  <c:v>0.4</c:v>
                </c:pt>
                <c:pt idx="244">
                  <c:v>0.4</c:v>
                </c:pt>
                <c:pt idx="245">
                  <c:v>0.49</c:v>
                </c:pt>
                <c:pt idx="246">
                  <c:v>0.49</c:v>
                </c:pt>
                <c:pt idx="247">
                  <c:v>0.75</c:v>
                </c:pt>
                <c:pt idx="248">
                  <c:v>0.17</c:v>
                </c:pt>
                <c:pt idx="249">
                  <c:v>0.28999999999999998</c:v>
                </c:pt>
                <c:pt idx="250">
                  <c:v>0.21</c:v>
                </c:pt>
                <c:pt idx="251">
                  <c:v>0.27</c:v>
                </c:pt>
                <c:pt idx="252">
                  <c:v>0.34</c:v>
                </c:pt>
                <c:pt idx="253">
                  <c:v>0.65</c:v>
                </c:pt>
                <c:pt idx="254">
                  <c:v>0.45</c:v>
                </c:pt>
                <c:pt idx="255">
                  <c:v>0.65</c:v>
                </c:pt>
                <c:pt idx="256">
                  <c:v>0.56000000000000005</c:v>
                </c:pt>
                <c:pt idx="257">
                  <c:v>0.4</c:v>
                </c:pt>
                <c:pt idx="258">
                  <c:v>0.19</c:v>
                </c:pt>
                <c:pt idx="259">
                  <c:v>0.18</c:v>
                </c:pt>
                <c:pt idx="260">
                  <c:v>0.25</c:v>
                </c:pt>
                <c:pt idx="261">
                  <c:v>0.64</c:v>
                </c:pt>
                <c:pt idx="262">
                  <c:v>0.57999999999999996</c:v>
                </c:pt>
                <c:pt idx="263">
                  <c:v>0.48</c:v>
                </c:pt>
                <c:pt idx="264">
                  <c:v>0.48</c:v>
                </c:pt>
                <c:pt idx="265">
                  <c:v>0.6</c:v>
                </c:pt>
                <c:pt idx="266">
                  <c:v>0.36</c:v>
                </c:pt>
                <c:pt idx="267">
                  <c:v>0.62</c:v>
                </c:pt>
                <c:pt idx="268">
                  <c:v>0.62</c:v>
                </c:pt>
                <c:pt idx="269">
                  <c:v>0.68</c:v>
                </c:pt>
                <c:pt idx="270">
                  <c:v>0.72</c:v>
                </c:pt>
                <c:pt idx="271">
                  <c:v>0.62</c:v>
                </c:pt>
                <c:pt idx="274">
                  <c:v>0.5</c:v>
                </c:pt>
                <c:pt idx="275">
                  <c:v>0.28999999999999998</c:v>
                </c:pt>
                <c:pt idx="276">
                  <c:v>0.33</c:v>
                </c:pt>
                <c:pt idx="277">
                  <c:v>0.33</c:v>
                </c:pt>
                <c:pt idx="278">
                  <c:v>0.4</c:v>
                </c:pt>
                <c:pt idx="279">
                  <c:v>0.4</c:v>
                </c:pt>
                <c:pt idx="280">
                  <c:v>0.42</c:v>
                </c:pt>
                <c:pt idx="281">
                  <c:v>0.48</c:v>
                </c:pt>
                <c:pt idx="282">
                  <c:v>0.48</c:v>
                </c:pt>
                <c:pt idx="283">
                  <c:v>0.32</c:v>
                </c:pt>
                <c:pt idx="284">
                  <c:v>0.27</c:v>
                </c:pt>
                <c:pt idx="285">
                  <c:v>0.56000000000000005</c:v>
                </c:pt>
                <c:pt idx="286">
                  <c:v>0.3</c:v>
                </c:pt>
                <c:pt idx="287">
                  <c:v>0.22</c:v>
                </c:pt>
                <c:pt idx="288">
                  <c:v>0.27</c:v>
                </c:pt>
                <c:pt idx="289">
                  <c:v>0.28000000000000003</c:v>
                </c:pt>
                <c:pt idx="290">
                  <c:v>0.28000000000000003</c:v>
                </c:pt>
                <c:pt idx="291">
                  <c:v>0.35</c:v>
                </c:pt>
                <c:pt idx="292">
                  <c:v>0.51</c:v>
                </c:pt>
                <c:pt idx="293">
                  <c:v>0.53</c:v>
                </c:pt>
                <c:pt idx="294">
                  <c:v>0.27</c:v>
                </c:pt>
                <c:pt idx="295">
                  <c:v>0.25</c:v>
                </c:pt>
                <c:pt idx="296">
                  <c:v>0.44</c:v>
                </c:pt>
                <c:pt idx="297">
                  <c:v>0.47</c:v>
                </c:pt>
                <c:pt idx="299">
                  <c:v>0.63</c:v>
                </c:pt>
                <c:pt idx="302">
                  <c:v>0.46</c:v>
                </c:pt>
                <c:pt idx="303">
                  <c:v>0.44</c:v>
                </c:pt>
                <c:pt idx="304">
                  <c:v>0.49</c:v>
                </c:pt>
                <c:pt idx="305">
                  <c:v>0.51</c:v>
                </c:pt>
                <c:pt idx="306">
                  <c:v>0.51</c:v>
                </c:pt>
                <c:pt idx="307">
                  <c:v>0.32</c:v>
                </c:pt>
                <c:pt idx="308">
                  <c:v>0.22</c:v>
                </c:pt>
                <c:pt idx="309">
                  <c:v>0.31</c:v>
                </c:pt>
                <c:pt idx="310">
                  <c:v>0.31</c:v>
                </c:pt>
                <c:pt idx="311">
                  <c:v>0.32</c:v>
                </c:pt>
                <c:pt idx="312">
                  <c:v>0.24</c:v>
                </c:pt>
                <c:pt idx="313">
                  <c:v>0.55000000000000004</c:v>
                </c:pt>
                <c:pt idx="314">
                  <c:v>0.47</c:v>
                </c:pt>
                <c:pt idx="315">
                  <c:v>0.32</c:v>
                </c:pt>
                <c:pt idx="316">
                  <c:v>0.38</c:v>
                </c:pt>
                <c:pt idx="317">
                  <c:v>0.4</c:v>
                </c:pt>
                <c:pt idx="318">
                  <c:v>0.32</c:v>
                </c:pt>
                <c:pt idx="319">
                  <c:v>0.47</c:v>
                </c:pt>
                <c:pt idx="320">
                  <c:v>0.47</c:v>
                </c:pt>
                <c:pt idx="321">
                  <c:v>0.46</c:v>
                </c:pt>
                <c:pt idx="322">
                  <c:v>0.25</c:v>
                </c:pt>
                <c:pt idx="323">
                  <c:v>0.46</c:v>
                </c:pt>
                <c:pt idx="324">
                  <c:v>0.19</c:v>
                </c:pt>
                <c:pt idx="325">
                  <c:v>0.26</c:v>
                </c:pt>
                <c:pt idx="326">
                  <c:v>0.28000000000000003</c:v>
                </c:pt>
                <c:pt idx="327">
                  <c:v>0.28999999999999998</c:v>
                </c:pt>
                <c:pt idx="328">
                  <c:v>0.4</c:v>
                </c:pt>
                <c:pt idx="329">
                  <c:v>0.4</c:v>
                </c:pt>
                <c:pt idx="330">
                  <c:v>0.63</c:v>
                </c:pt>
                <c:pt idx="331">
                  <c:v>0.39</c:v>
                </c:pt>
                <c:pt idx="332">
                  <c:v>0.41</c:v>
                </c:pt>
                <c:pt idx="333">
                  <c:v>0.43</c:v>
                </c:pt>
                <c:pt idx="334">
                  <c:v>0.45</c:v>
                </c:pt>
                <c:pt idx="335">
                  <c:v>0.4</c:v>
                </c:pt>
                <c:pt idx="336">
                  <c:v>0.42</c:v>
                </c:pt>
                <c:pt idx="337">
                  <c:v>0.53</c:v>
                </c:pt>
                <c:pt idx="338">
                  <c:v>0.53</c:v>
                </c:pt>
                <c:pt idx="339">
                  <c:v>0.55000000000000004</c:v>
                </c:pt>
                <c:pt idx="340">
                  <c:v>0.46</c:v>
                </c:pt>
                <c:pt idx="341">
                  <c:v>0.5</c:v>
                </c:pt>
                <c:pt idx="342">
                  <c:v>0.57999999999999996</c:v>
                </c:pt>
                <c:pt idx="343">
                  <c:v>0.6</c:v>
                </c:pt>
                <c:pt idx="344">
                  <c:v>0.17</c:v>
                </c:pt>
                <c:pt idx="345">
                  <c:v>0.17</c:v>
                </c:pt>
                <c:pt idx="346">
                  <c:v>0.41</c:v>
                </c:pt>
                <c:pt idx="347">
                  <c:v>0.12</c:v>
                </c:pt>
                <c:pt idx="348">
                  <c:v>0.17</c:v>
                </c:pt>
                <c:pt idx="349">
                  <c:v>0.45</c:v>
                </c:pt>
                <c:pt idx="350">
                  <c:v>0.41</c:v>
                </c:pt>
                <c:pt idx="351">
                  <c:v>0.4</c:v>
                </c:pt>
                <c:pt idx="352">
                  <c:v>0.4</c:v>
                </c:pt>
                <c:pt idx="353">
                  <c:v>0.51</c:v>
                </c:pt>
                <c:pt idx="354">
                  <c:v>0.51</c:v>
                </c:pt>
                <c:pt idx="355">
                  <c:v>0.4</c:v>
                </c:pt>
                <c:pt idx="356">
                  <c:v>0.43</c:v>
                </c:pt>
                <c:pt idx="357">
                  <c:v>0.4</c:v>
                </c:pt>
                <c:pt idx="358">
                  <c:v>0.4</c:v>
                </c:pt>
                <c:pt idx="359">
                  <c:v>0.42</c:v>
                </c:pt>
                <c:pt idx="360">
                  <c:v>0.4</c:v>
                </c:pt>
                <c:pt idx="361">
                  <c:v>0.4</c:v>
                </c:pt>
                <c:pt idx="362">
                  <c:v>0.4</c:v>
                </c:pt>
                <c:pt idx="363">
                  <c:v>0.4</c:v>
                </c:pt>
                <c:pt idx="364">
                  <c:v>0.4</c:v>
                </c:pt>
                <c:pt idx="365">
                  <c:v>0.4</c:v>
                </c:pt>
                <c:pt idx="366">
                  <c:v>0.4</c:v>
                </c:pt>
                <c:pt idx="367">
                  <c:v>0.42</c:v>
                </c:pt>
                <c:pt idx="368">
                  <c:v>0.42</c:v>
                </c:pt>
                <c:pt idx="369">
                  <c:v>0.45</c:v>
                </c:pt>
                <c:pt idx="370">
                  <c:v>0.49</c:v>
                </c:pt>
                <c:pt idx="371">
                  <c:v>0.51</c:v>
                </c:pt>
                <c:pt idx="372">
                  <c:v>0.56000000000000005</c:v>
                </c:pt>
                <c:pt idx="373">
                  <c:v>0.33</c:v>
                </c:pt>
                <c:pt idx="374">
                  <c:v>0.33</c:v>
                </c:pt>
                <c:pt idx="375">
                  <c:v>0.33</c:v>
                </c:pt>
                <c:pt idx="376">
                  <c:v>0.38</c:v>
                </c:pt>
                <c:pt idx="377">
                  <c:v>0.43</c:v>
                </c:pt>
                <c:pt idx="378">
                  <c:v>0.38</c:v>
                </c:pt>
                <c:pt idx="379">
                  <c:v>0.4</c:v>
                </c:pt>
                <c:pt idx="380">
                  <c:v>0.52</c:v>
                </c:pt>
                <c:pt idx="381">
                  <c:v>0.54</c:v>
                </c:pt>
                <c:pt idx="382">
                  <c:v>0.63</c:v>
                </c:pt>
                <c:pt idx="383">
                  <c:v>0.56999999999999995</c:v>
                </c:pt>
                <c:pt idx="384">
                  <c:v>0.6</c:v>
                </c:pt>
                <c:pt idx="385">
                  <c:v>0.63</c:v>
                </c:pt>
                <c:pt idx="386">
                  <c:v>0.49</c:v>
                </c:pt>
                <c:pt idx="387">
                  <c:v>0.55000000000000004</c:v>
                </c:pt>
                <c:pt idx="388">
                  <c:v>0.56999999999999995</c:v>
                </c:pt>
                <c:pt idx="389">
                  <c:v>0.62</c:v>
                </c:pt>
                <c:pt idx="390">
                  <c:v>0.67</c:v>
                </c:pt>
                <c:pt idx="391">
                  <c:v>0.55000000000000004</c:v>
                </c:pt>
                <c:pt idx="392">
                  <c:v>0.43</c:v>
                </c:pt>
                <c:pt idx="393">
                  <c:v>0.43</c:v>
                </c:pt>
                <c:pt idx="394">
                  <c:v>0.43</c:v>
                </c:pt>
                <c:pt idx="395">
                  <c:v>0.43</c:v>
                </c:pt>
                <c:pt idx="396">
                  <c:v>0.45</c:v>
                </c:pt>
                <c:pt idx="397">
                  <c:v>0.49</c:v>
                </c:pt>
                <c:pt idx="398">
                  <c:v>0.48</c:v>
                </c:pt>
                <c:pt idx="399">
                  <c:v>0.48</c:v>
                </c:pt>
                <c:pt idx="400">
                  <c:v>0.56999999999999995</c:v>
                </c:pt>
                <c:pt idx="401">
                  <c:v>0.54</c:v>
                </c:pt>
                <c:pt idx="402">
                  <c:v>0.2</c:v>
                </c:pt>
                <c:pt idx="403">
                  <c:v>0.48</c:v>
                </c:pt>
                <c:pt idx="404">
                  <c:v>0.39</c:v>
                </c:pt>
                <c:pt idx="405">
                  <c:v>0.38</c:v>
                </c:pt>
                <c:pt idx="406">
                  <c:v>0.43</c:v>
                </c:pt>
                <c:pt idx="407">
                  <c:v>0.43</c:v>
                </c:pt>
                <c:pt idx="408">
                  <c:v>0.48</c:v>
                </c:pt>
                <c:pt idx="409">
                  <c:v>0.37</c:v>
                </c:pt>
                <c:pt idx="410">
                  <c:v>0.37</c:v>
                </c:pt>
                <c:pt idx="411">
                  <c:v>0.37</c:v>
                </c:pt>
                <c:pt idx="412">
                  <c:v>0.37</c:v>
                </c:pt>
                <c:pt idx="413">
                  <c:v>0.37</c:v>
                </c:pt>
                <c:pt idx="414">
                  <c:v>0.37</c:v>
                </c:pt>
                <c:pt idx="415">
                  <c:v>0.56000000000000005</c:v>
                </c:pt>
                <c:pt idx="416">
                  <c:v>0.65</c:v>
                </c:pt>
                <c:pt idx="417">
                  <c:v>0.4</c:v>
                </c:pt>
                <c:pt idx="418">
                  <c:v>0.4</c:v>
                </c:pt>
                <c:pt idx="419">
                  <c:v>0.56000000000000005</c:v>
                </c:pt>
                <c:pt idx="420">
                  <c:v>0.56000000000000005</c:v>
                </c:pt>
                <c:pt idx="421">
                  <c:v>0.44</c:v>
                </c:pt>
                <c:pt idx="422">
                  <c:v>0.44</c:v>
                </c:pt>
                <c:pt idx="423">
                  <c:v>0.48</c:v>
                </c:pt>
                <c:pt idx="424">
                  <c:v>0.48</c:v>
                </c:pt>
                <c:pt idx="425">
                  <c:v>0.48</c:v>
                </c:pt>
                <c:pt idx="426">
                  <c:v>0.48</c:v>
                </c:pt>
                <c:pt idx="427">
                  <c:v>0.48</c:v>
                </c:pt>
                <c:pt idx="428">
                  <c:v>0.62</c:v>
                </c:pt>
                <c:pt idx="429">
                  <c:v>0.64</c:v>
                </c:pt>
                <c:pt idx="430">
                  <c:v>0.52</c:v>
                </c:pt>
                <c:pt idx="431">
                  <c:v>0.52</c:v>
                </c:pt>
                <c:pt idx="432">
                  <c:v>0.52</c:v>
                </c:pt>
                <c:pt idx="433">
                  <c:v>0.42</c:v>
                </c:pt>
                <c:pt idx="434">
                  <c:v>0.44</c:v>
                </c:pt>
                <c:pt idx="435">
                  <c:v>0.5</c:v>
                </c:pt>
                <c:pt idx="436">
                  <c:v>0.45</c:v>
                </c:pt>
                <c:pt idx="437">
                  <c:v>0.45</c:v>
                </c:pt>
                <c:pt idx="438">
                  <c:v>0.41</c:v>
                </c:pt>
                <c:pt idx="439">
                  <c:v>0.49</c:v>
                </c:pt>
                <c:pt idx="440">
                  <c:v>0.41</c:v>
                </c:pt>
                <c:pt idx="441">
                  <c:v>0.45</c:v>
                </c:pt>
                <c:pt idx="442">
                  <c:v>0.34</c:v>
                </c:pt>
                <c:pt idx="443">
                  <c:v>0.34</c:v>
                </c:pt>
                <c:pt idx="444">
                  <c:v>0.3</c:v>
                </c:pt>
                <c:pt idx="445">
                  <c:v>0.4</c:v>
                </c:pt>
                <c:pt idx="446">
                  <c:v>0.4</c:v>
                </c:pt>
                <c:pt idx="447">
                  <c:v>0.4</c:v>
                </c:pt>
                <c:pt idx="448">
                  <c:v>0.4</c:v>
                </c:pt>
                <c:pt idx="449">
                  <c:v>0.4</c:v>
                </c:pt>
                <c:pt idx="450">
                  <c:v>0.4</c:v>
                </c:pt>
                <c:pt idx="451">
                  <c:v>0.32</c:v>
                </c:pt>
                <c:pt idx="452">
                  <c:v>0.38</c:v>
                </c:pt>
                <c:pt idx="453">
                  <c:v>0.48</c:v>
                </c:pt>
                <c:pt idx="454">
                  <c:v>0.36</c:v>
                </c:pt>
                <c:pt idx="455">
                  <c:v>0.36</c:v>
                </c:pt>
                <c:pt idx="456">
                  <c:v>0.6</c:v>
                </c:pt>
                <c:pt idx="457">
                  <c:v>0.36</c:v>
                </c:pt>
                <c:pt idx="458">
                  <c:v>0.36</c:v>
                </c:pt>
                <c:pt idx="459">
                  <c:v>0.52</c:v>
                </c:pt>
                <c:pt idx="460">
                  <c:v>0.45</c:v>
                </c:pt>
                <c:pt idx="461">
                  <c:v>0.22</c:v>
                </c:pt>
                <c:pt idx="462">
                  <c:v>0.72</c:v>
                </c:pt>
                <c:pt idx="463">
                  <c:v>0.44</c:v>
                </c:pt>
                <c:pt idx="464">
                  <c:v>0.5</c:v>
                </c:pt>
                <c:pt idx="465">
                  <c:v>0.41</c:v>
                </c:pt>
                <c:pt idx="466">
                  <c:v>0.45</c:v>
                </c:pt>
                <c:pt idx="467">
                  <c:v>0.64</c:v>
                </c:pt>
                <c:pt idx="468">
                  <c:v>0.67</c:v>
                </c:pt>
                <c:pt idx="469">
                  <c:v>0.62</c:v>
                </c:pt>
                <c:pt idx="470">
                  <c:v>0.64</c:v>
                </c:pt>
                <c:pt idx="471">
                  <c:v>0.72</c:v>
                </c:pt>
                <c:pt idx="472">
                  <c:v>0.72</c:v>
                </c:pt>
                <c:pt idx="473">
                  <c:v>0.72</c:v>
                </c:pt>
                <c:pt idx="474">
                  <c:v>0.54</c:v>
                </c:pt>
                <c:pt idx="475">
                  <c:v>0.54</c:v>
                </c:pt>
                <c:pt idx="476">
                  <c:v>0.2</c:v>
                </c:pt>
                <c:pt idx="477">
                  <c:v>0.22</c:v>
                </c:pt>
                <c:pt idx="478">
                  <c:v>0.25</c:v>
                </c:pt>
                <c:pt idx="479">
                  <c:v>0.54</c:v>
                </c:pt>
                <c:pt idx="480">
                  <c:v>0.4</c:v>
                </c:pt>
                <c:pt idx="481">
                  <c:v>0.41</c:v>
                </c:pt>
                <c:pt idx="482">
                  <c:v>0.67</c:v>
                </c:pt>
                <c:pt idx="483">
                  <c:v>0.6</c:v>
                </c:pt>
                <c:pt idx="484">
                  <c:v>0.35</c:v>
                </c:pt>
                <c:pt idx="485">
                  <c:v>0.51</c:v>
                </c:pt>
                <c:pt idx="486">
                  <c:v>0.41</c:v>
                </c:pt>
                <c:pt idx="487">
                  <c:v>0.41</c:v>
                </c:pt>
                <c:pt idx="488">
                  <c:v>0.41</c:v>
                </c:pt>
                <c:pt idx="489">
                  <c:v>0.31</c:v>
                </c:pt>
                <c:pt idx="490">
                  <c:v>0.31</c:v>
                </c:pt>
                <c:pt idx="491">
                  <c:v>0.45</c:v>
                </c:pt>
                <c:pt idx="492">
                  <c:v>0.4</c:v>
                </c:pt>
                <c:pt idx="493">
                  <c:v>0.41</c:v>
                </c:pt>
                <c:pt idx="494">
                  <c:v>0.64</c:v>
                </c:pt>
              </c:numCache>
            </c:numRef>
          </c:xVal>
          <c:yVal>
            <c:numRef>
              <c:f>'W-code list'!$AG$6:$AG$500</c:f>
              <c:numCache>
                <c:formatCode>0.000</c:formatCode>
                <c:ptCount val="495"/>
                <c:pt idx="0">
                  <c:v>0.93600321100917439</c:v>
                </c:pt>
                <c:pt idx="1">
                  <c:v>1.0685922018348624</c:v>
                </c:pt>
                <c:pt idx="2">
                  <c:v>1.0659555555555555</c:v>
                </c:pt>
                <c:pt idx="3">
                  <c:v>1.0421</c:v>
                </c:pt>
                <c:pt idx="4">
                  <c:v>1.0820999999999998</c:v>
                </c:pt>
                <c:pt idx="5">
                  <c:v>0.95171467391304343</c:v>
                </c:pt>
                <c:pt idx="6">
                  <c:v>0.88640000000000019</c:v>
                </c:pt>
                <c:pt idx="7">
                  <c:v>0.92225765306122442</c:v>
                </c:pt>
                <c:pt idx="8">
                  <c:v>0.88640000000000019</c:v>
                </c:pt>
                <c:pt idx="9">
                  <c:v>0.87517747747747743</c:v>
                </c:pt>
                <c:pt idx="10">
                  <c:v>0.85805663716814173</c:v>
                </c:pt>
                <c:pt idx="11">
                  <c:v>0.99117241379310361</c:v>
                </c:pt>
                <c:pt idx="12">
                  <c:v>0.87576896551724137</c:v>
                </c:pt>
                <c:pt idx="13">
                  <c:v>0.87612500000000015</c:v>
                </c:pt>
                <c:pt idx="14">
                  <c:v>0.90282931034482761</c:v>
                </c:pt>
                <c:pt idx="15">
                  <c:v>0.92447758620689657</c:v>
                </c:pt>
                <c:pt idx="16">
                  <c:v>0.94612586206896543</c:v>
                </c:pt>
                <c:pt idx="17">
                  <c:v>1.0182283653846154</c:v>
                </c:pt>
                <c:pt idx="18">
                  <c:v>0.99931527777777784</c:v>
                </c:pt>
                <c:pt idx="19">
                  <c:v>1.0002</c:v>
                </c:pt>
                <c:pt idx="20">
                  <c:v>1.0911999999999999</c:v>
                </c:pt>
                <c:pt idx="21">
                  <c:v>0.89160714285714293</c:v>
                </c:pt>
                <c:pt idx="22">
                  <c:v>0.89978362831858416</c:v>
                </c:pt>
                <c:pt idx="23">
                  <c:v>0.84581818181818191</c:v>
                </c:pt>
                <c:pt idx="24">
                  <c:v>0.88948453608247424</c:v>
                </c:pt>
                <c:pt idx="25">
                  <c:v>0.92647727272727276</c:v>
                </c:pt>
                <c:pt idx="26">
                  <c:v>1.0034782608695654</c:v>
                </c:pt>
                <c:pt idx="27">
                  <c:v>0.99854545454545462</c:v>
                </c:pt>
                <c:pt idx="28">
                  <c:v>0.99291304347826093</c:v>
                </c:pt>
                <c:pt idx="29">
                  <c:v>0.99298762886597935</c:v>
                </c:pt>
                <c:pt idx="30">
                  <c:v>0.98078269230769222</c:v>
                </c:pt>
                <c:pt idx="31">
                  <c:v>0.95075673076923073</c:v>
                </c:pt>
                <c:pt idx="32">
                  <c:v>0.87839999999999996</c:v>
                </c:pt>
                <c:pt idx="33">
                  <c:v>0.86009027777777769</c:v>
                </c:pt>
                <c:pt idx="34">
                  <c:v>1.0518709677419356</c:v>
                </c:pt>
                <c:pt idx="35">
                  <c:v>1.0644645161290325</c:v>
                </c:pt>
                <c:pt idx="36">
                  <c:v>1.0640000000000001</c:v>
                </c:pt>
                <c:pt idx="37">
                  <c:v>0.8932244897959184</c:v>
                </c:pt>
                <c:pt idx="38">
                  <c:v>0.96093137254901961</c:v>
                </c:pt>
                <c:pt idx="39">
                  <c:v>0.9885196078431373</c:v>
                </c:pt>
                <c:pt idx="40">
                  <c:v>1.016107843137255</c:v>
                </c:pt>
                <c:pt idx="41">
                  <c:v>0.93398571428571431</c:v>
                </c:pt>
                <c:pt idx="42">
                  <c:v>0.87464774774774778</c:v>
                </c:pt>
                <c:pt idx="43">
                  <c:v>0.89779478260869561</c:v>
                </c:pt>
                <c:pt idx="44">
                  <c:v>0.92269714285714288</c:v>
                </c:pt>
                <c:pt idx="45">
                  <c:v>0.95553252427184476</c:v>
                </c:pt>
                <c:pt idx="46">
                  <c:v>0.97732389380530982</c:v>
                </c:pt>
                <c:pt idx="47">
                  <c:v>1.0048190265486727</c:v>
                </c:pt>
                <c:pt idx="48">
                  <c:v>1.0786521739130435</c:v>
                </c:pt>
                <c:pt idx="49">
                  <c:v>1.08125</c:v>
                </c:pt>
                <c:pt idx="50">
                  <c:v>1.193846153846154</c:v>
                </c:pt>
                <c:pt idx="51">
                  <c:v>0.5743162983425415</c:v>
                </c:pt>
                <c:pt idx="52">
                  <c:v>0.57484536082474236</c:v>
                </c:pt>
                <c:pt idx="53">
                  <c:v>0.8597377049180327</c:v>
                </c:pt>
                <c:pt idx="54">
                  <c:v>0.57484536082474236</c:v>
                </c:pt>
                <c:pt idx="55">
                  <c:v>0.8597377049180327</c:v>
                </c:pt>
                <c:pt idx="56">
                  <c:v>0.8597377049180327</c:v>
                </c:pt>
                <c:pt idx="57">
                  <c:v>0.98836363636363633</c:v>
                </c:pt>
                <c:pt idx="58">
                  <c:v>0.93802429906542062</c:v>
                </c:pt>
                <c:pt idx="59">
                  <c:v>0.99211111111111105</c:v>
                </c:pt>
                <c:pt idx="60">
                  <c:v>0.99360000000000004</c:v>
                </c:pt>
                <c:pt idx="61">
                  <c:v>1.0003777777777778</c:v>
                </c:pt>
                <c:pt idx="62">
                  <c:v>1.0823505050505051</c:v>
                </c:pt>
                <c:pt idx="63">
                  <c:v>1.1236727272727274</c:v>
                </c:pt>
                <c:pt idx="64">
                  <c:v>1.0966720000000001</c:v>
                </c:pt>
                <c:pt idx="65">
                  <c:v>1.1152140000000001</c:v>
                </c:pt>
                <c:pt idx="66">
                  <c:v>0.94763636363636372</c:v>
                </c:pt>
                <c:pt idx="67">
                  <c:v>1.0568949541284405</c:v>
                </c:pt>
                <c:pt idx="68">
                  <c:v>1.0669692660550458</c:v>
                </c:pt>
                <c:pt idx="69">
                  <c:v>0.93195561224489787</c:v>
                </c:pt>
                <c:pt idx="70">
                  <c:v>0.94455000000000011</c:v>
                </c:pt>
                <c:pt idx="71">
                  <c:v>0.93872233009708739</c:v>
                </c:pt>
                <c:pt idx="72">
                  <c:v>0.94999464285714297</c:v>
                </c:pt>
                <c:pt idx="73">
                  <c:v>0.20966086956521737</c:v>
                </c:pt>
                <c:pt idx="74">
                  <c:v>1.1261176470588237</c:v>
                </c:pt>
                <c:pt idx="75">
                  <c:v>1.0830769230769233</c:v>
                </c:pt>
                <c:pt idx="76">
                  <c:v>1.0220408163265307</c:v>
                </c:pt>
                <c:pt idx="77">
                  <c:v>1.0456999999999999</c:v>
                </c:pt>
                <c:pt idx="78">
                  <c:v>0</c:v>
                </c:pt>
                <c:pt idx="79">
                  <c:v>0.89750943396226424</c:v>
                </c:pt>
                <c:pt idx="80">
                  <c:v>1.060357142857143</c:v>
                </c:pt>
                <c:pt idx="81">
                  <c:v>1.020357142857143</c:v>
                </c:pt>
                <c:pt idx="82">
                  <c:v>1.0733601941747573</c:v>
                </c:pt>
                <c:pt idx="83">
                  <c:v>1.0333601941747574</c:v>
                </c:pt>
                <c:pt idx="84">
                  <c:v>1.0427864077669902</c:v>
                </c:pt>
                <c:pt idx="85">
                  <c:v>1.0693999999999999</c:v>
                </c:pt>
                <c:pt idx="86">
                  <c:v>1.0796428571428571</c:v>
                </c:pt>
                <c:pt idx="87">
                  <c:v>1.0227452127659575</c:v>
                </c:pt>
                <c:pt idx="88">
                  <c:v>1.0358478723404256</c:v>
                </c:pt>
                <c:pt idx="89">
                  <c:v>0.8465454545454546</c:v>
                </c:pt>
                <c:pt idx="90">
                  <c:v>0.85966666666666669</c:v>
                </c:pt>
                <c:pt idx="91">
                  <c:v>0.97154107142857149</c:v>
                </c:pt>
                <c:pt idx="92">
                  <c:v>0.91436071428571442</c:v>
                </c:pt>
                <c:pt idx="93">
                  <c:v>0</c:v>
                </c:pt>
                <c:pt idx="94">
                  <c:v>0</c:v>
                </c:pt>
                <c:pt idx="95">
                  <c:v>0</c:v>
                </c:pt>
                <c:pt idx="96">
                  <c:v>0.89582608695652188</c:v>
                </c:pt>
                <c:pt idx="97">
                  <c:v>0.90669217391304346</c:v>
                </c:pt>
                <c:pt idx="98">
                  <c:v>0.89718271028037377</c:v>
                </c:pt>
                <c:pt idx="99">
                  <c:v>0.90734439252336441</c:v>
                </c:pt>
                <c:pt idx="100">
                  <c:v>0.89019999999999999</c:v>
                </c:pt>
                <c:pt idx="101">
                  <c:v>0.88799901960784322</c:v>
                </c:pt>
                <c:pt idx="102">
                  <c:v>0.91384615384615386</c:v>
                </c:pt>
                <c:pt idx="103">
                  <c:v>1.034218487394958</c:v>
                </c:pt>
                <c:pt idx="104">
                  <c:v>0.8912500000000001</c:v>
                </c:pt>
                <c:pt idx="105">
                  <c:v>0.89520769230769237</c:v>
                </c:pt>
                <c:pt idx="106">
                  <c:v>0.90257115384615383</c:v>
                </c:pt>
                <c:pt idx="107">
                  <c:v>0.89348461538461543</c:v>
                </c:pt>
                <c:pt idx="108">
                  <c:v>0.87789130434782614</c:v>
                </c:pt>
                <c:pt idx="109">
                  <c:v>0.88995535714285723</c:v>
                </c:pt>
                <c:pt idx="110">
                  <c:v>1.1099901869158877</c:v>
                </c:pt>
                <c:pt idx="111">
                  <c:v>1.0922126213592234</c:v>
                </c:pt>
                <c:pt idx="112">
                  <c:v>1.1016388349514565</c:v>
                </c:pt>
                <c:pt idx="113">
                  <c:v>0.94095000000000006</c:v>
                </c:pt>
                <c:pt idx="114">
                  <c:v>1.0392727272727271</c:v>
                </c:pt>
                <c:pt idx="115">
                  <c:v>0.91249999999999998</c:v>
                </c:pt>
                <c:pt idx="116">
                  <c:v>0.96875</c:v>
                </c:pt>
                <c:pt idx="117">
                  <c:v>0.95734090909090919</c:v>
                </c:pt>
                <c:pt idx="118">
                  <c:v>0.99687499999999996</c:v>
                </c:pt>
                <c:pt idx="119">
                  <c:v>0.96058823529411774</c:v>
                </c:pt>
                <c:pt idx="120">
                  <c:v>0.97981818181818192</c:v>
                </c:pt>
                <c:pt idx="121">
                  <c:v>1.0249999999999999</c:v>
                </c:pt>
                <c:pt idx="122">
                  <c:v>0.99780000000000013</c:v>
                </c:pt>
                <c:pt idx="123">
                  <c:v>1.003911111111111</c:v>
                </c:pt>
                <c:pt idx="124">
                  <c:v>1.0145207547169814</c:v>
                </c:pt>
                <c:pt idx="125">
                  <c:v>0.98509010989010992</c:v>
                </c:pt>
                <c:pt idx="126">
                  <c:v>1.0357826086956521</c:v>
                </c:pt>
                <c:pt idx="127">
                  <c:v>1.003911111111111</c:v>
                </c:pt>
                <c:pt idx="128">
                  <c:v>1.0145207547169814</c:v>
                </c:pt>
                <c:pt idx="129">
                  <c:v>1.0184</c:v>
                </c:pt>
                <c:pt idx="130">
                  <c:v>1.008</c:v>
                </c:pt>
                <c:pt idx="131">
                  <c:v>1.0366000000000002</c:v>
                </c:pt>
                <c:pt idx="132">
                  <c:v>1.04375</c:v>
                </c:pt>
                <c:pt idx="133">
                  <c:v>1.0450815533980582</c:v>
                </c:pt>
                <c:pt idx="134">
                  <c:v>1.0563308411214953</c:v>
                </c:pt>
                <c:pt idx="135">
                  <c:v>1.008764705882353</c:v>
                </c:pt>
                <c:pt idx="136">
                  <c:v>1.04375</c:v>
                </c:pt>
                <c:pt idx="137">
                  <c:v>1.0480097087378639</c:v>
                </c:pt>
                <c:pt idx="138">
                  <c:v>1.0563308411214953</c:v>
                </c:pt>
                <c:pt idx="139">
                  <c:v>1.0392741758241757</c:v>
                </c:pt>
                <c:pt idx="140">
                  <c:v>1.1161630434782608</c:v>
                </c:pt>
                <c:pt idx="141">
                  <c:v>1.0368676470588236</c:v>
                </c:pt>
                <c:pt idx="142">
                  <c:v>1.1224576923076921</c:v>
                </c:pt>
                <c:pt idx="143">
                  <c:v>1.0684499999999999</c:v>
                </c:pt>
                <c:pt idx="144">
                  <c:v>1.0765625000000001</c:v>
                </c:pt>
                <c:pt idx="145">
                  <c:v>1.1239166666666667</c:v>
                </c:pt>
                <c:pt idx="146">
                  <c:v>1.1656250000000001</c:v>
                </c:pt>
                <c:pt idx="147">
                  <c:v>1.1093999999999999</c:v>
                </c:pt>
                <c:pt idx="148">
                  <c:v>1.1187500000000001</c:v>
                </c:pt>
                <c:pt idx="149">
                  <c:v>1.164391304347826</c:v>
                </c:pt>
                <c:pt idx="150">
                  <c:v>0.96020000000000005</c:v>
                </c:pt>
                <c:pt idx="151">
                  <c:v>0.91789130434782618</c:v>
                </c:pt>
                <c:pt idx="152">
                  <c:v>0.96434782608695657</c:v>
                </c:pt>
                <c:pt idx="153">
                  <c:v>0.97859827586206904</c:v>
                </c:pt>
                <c:pt idx="154">
                  <c:v>0.973186206896552</c:v>
                </c:pt>
                <c:pt idx="155">
                  <c:v>0.98942241379310336</c:v>
                </c:pt>
                <c:pt idx="156">
                  <c:v>1.0036363636363637</c:v>
                </c:pt>
                <c:pt idx="157">
                  <c:v>0.91461666666666674</c:v>
                </c:pt>
                <c:pt idx="158">
                  <c:v>0.94238925233644844</c:v>
                </c:pt>
                <c:pt idx="159">
                  <c:v>0.95224813084112159</c:v>
                </c:pt>
                <c:pt idx="160">
                  <c:v>0.99435000000000007</c:v>
                </c:pt>
                <c:pt idx="161">
                  <c:v>0.94254545454545458</c:v>
                </c:pt>
                <c:pt idx="162">
                  <c:v>0.97357142857142853</c:v>
                </c:pt>
                <c:pt idx="163">
                  <c:v>0.98238925233644858</c:v>
                </c:pt>
                <c:pt idx="164">
                  <c:v>0.93254045801526719</c:v>
                </c:pt>
                <c:pt idx="165">
                  <c:v>0.97422581967213118</c:v>
                </c:pt>
                <c:pt idx="166">
                  <c:v>1.0329411764705885</c:v>
                </c:pt>
                <c:pt idx="167">
                  <c:v>1.0383653846153846</c:v>
                </c:pt>
                <c:pt idx="168">
                  <c:v>0.89409523809523817</c:v>
                </c:pt>
                <c:pt idx="169">
                  <c:v>0.92942794117647065</c:v>
                </c:pt>
                <c:pt idx="170">
                  <c:v>0.91789130434782618</c:v>
                </c:pt>
                <c:pt idx="171">
                  <c:v>0.95111467889908263</c:v>
                </c:pt>
                <c:pt idx="172">
                  <c:v>1.0035687500000001</c:v>
                </c:pt>
                <c:pt idx="173">
                  <c:v>1.0035687500000001</c:v>
                </c:pt>
                <c:pt idx="174">
                  <c:v>1.0237239583333333</c:v>
                </c:pt>
                <c:pt idx="175">
                  <c:v>1.0326729166666666</c:v>
                </c:pt>
                <c:pt idx="176">
                  <c:v>1.0252250000000001</c:v>
                </c:pt>
                <c:pt idx="177">
                  <c:v>0.94763636363636372</c:v>
                </c:pt>
                <c:pt idx="178">
                  <c:v>0.99402264150943398</c:v>
                </c:pt>
                <c:pt idx="179">
                  <c:v>1.034022641509434</c:v>
                </c:pt>
                <c:pt idx="180">
                  <c:v>1.0282823529411766</c:v>
                </c:pt>
                <c:pt idx="181">
                  <c:v>1.0282823529411766</c:v>
                </c:pt>
                <c:pt idx="182">
                  <c:v>1.033598076923077</c:v>
                </c:pt>
                <c:pt idx="183">
                  <c:v>0.97659661016949162</c:v>
                </c:pt>
                <c:pt idx="184">
                  <c:v>0.97147826086956524</c:v>
                </c:pt>
                <c:pt idx="185">
                  <c:v>0.94451666666666667</c:v>
                </c:pt>
                <c:pt idx="186">
                  <c:v>0.96875</c:v>
                </c:pt>
                <c:pt idx="187">
                  <c:v>0.96004067796610182</c:v>
                </c:pt>
                <c:pt idx="188">
                  <c:v>0.96337777777777789</c:v>
                </c:pt>
                <c:pt idx="189">
                  <c:v>1.0044259259259261</c:v>
                </c:pt>
                <c:pt idx="190">
                  <c:v>0.86690909090909074</c:v>
                </c:pt>
                <c:pt idx="191">
                  <c:v>1.1103244274809163</c:v>
                </c:pt>
                <c:pt idx="192">
                  <c:v>1.0651913793103447</c:v>
                </c:pt>
                <c:pt idx="193">
                  <c:v>1.0760155172413794</c:v>
                </c:pt>
                <c:pt idx="194">
                  <c:v>1.070603448275862</c:v>
                </c:pt>
                <c:pt idx="195">
                  <c:v>1.0652631578947369</c:v>
                </c:pt>
                <c:pt idx="196">
                  <c:v>0.92512971698113211</c:v>
                </c:pt>
                <c:pt idx="197">
                  <c:v>0.92778301886792447</c:v>
                </c:pt>
                <c:pt idx="198">
                  <c:v>0.93132075471698128</c:v>
                </c:pt>
                <c:pt idx="199">
                  <c:v>0.8702871681415929</c:v>
                </c:pt>
                <c:pt idx="200">
                  <c:v>1.057849504950495</c:v>
                </c:pt>
                <c:pt idx="201">
                  <c:v>1.0548000000000002</c:v>
                </c:pt>
                <c:pt idx="202">
                  <c:v>1.0655529411764706</c:v>
                </c:pt>
                <c:pt idx="203">
                  <c:v>1.0639000000000001</c:v>
                </c:pt>
                <c:pt idx="204">
                  <c:v>0.87955892857142859</c:v>
                </c:pt>
                <c:pt idx="205">
                  <c:v>0.88079070796460179</c:v>
                </c:pt>
                <c:pt idx="206">
                  <c:v>1.0651785714285715</c:v>
                </c:pt>
                <c:pt idx="207">
                  <c:v>1.0762673267326732</c:v>
                </c:pt>
                <c:pt idx="208">
                  <c:v>1.0827864077669904</c:v>
                </c:pt>
                <c:pt idx="209">
                  <c:v>1.0730000000000002</c:v>
                </c:pt>
                <c:pt idx="210">
                  <c:v>1.0631649484536081</c:v>
                </c:pt>
                <c:pt idx="211">
                  <c:v>0.97108181818181805</c:v>
                </c:pt>
                <c:pt idx="212">
                  <c:v>0.9591578947368421</c:v>
                </c:pt>
                <c:pt idx="213">
                  <c:v>1.082777358490566</c:v>
                </c:pt>
                <c:pt idx="214">
                  <c:v>0.97195044247787621</c:v>
                </c:pt>
                <c:pt idx="215">
                  <c:v>1.0786521739130435</c:v>
                </c:pt>
                <c:pt idx="216">
                  <c:v>1.0240000000000002</c:v>
                </c:pt>
                <c:pt idx="217">
                  <c:v>1.0700000000000003</c:v>
                </c:pt>
                <c:pt idx="218">
                  <c:v>1.0700000000000003</c:v>
                </c:pt>
                <c:pt idx="219">
                  <c:v>0.99285714285714288</c:v>
                </c:pt>
                <c:pt idx="220">
                  <c:v>1.0842122448979592</c:v>
                </c:pt>
                <c:pt idx="221">
                  <c:v>1.0153846153846153</c:v>
                </c:pt>
                <c:pt idx="222">
                  <c:v>0.95553252427184476</c:v>
                </c:pt>
                <c:pt idx="223">
                  <c:v>0.99330322580645158</c:v>
                </c:pt>
                <c:pt idx="224">
                  <c:v>1.0425500000000001</c:v>
                </c:pt>
                <c:pt idx="225">
                  <c:v>1.0266071428571428</c:v>
                </c:pt>
                <c:pt idx="226">
                  <c:v>1.0486857142857142</c:v>
                </c:pt>
                <c:pt idx="227">
                  <c:v>1.0796428571428571</c:v>
                </c:pt>
                <c:pt idx="228">
                  <c:v>1.0859074766355139</c:v>
                </c:pt>
                <c:pt idx="229">
                  <c:v>1.1101181818181818</c:v>
                </c:pt>
                <c:pt idx="230">
                  <c:v>1.0966999999999998</c:v>
                </c:pt>
                <c:pt idx="231">
                  <c:v>0.93059628099173575</c:v>
                </c:pt>
                <c:pt idx="232">
                  <c:v>1.0946887850467293</c:v>
                </c:pt>
                <c:pt idx="233">
                  <c:v>1.0845271028037382</c:v>
                </c:pt>
                <c:pt idx="234">
                  <c:v>0.95331944444444427</c:v>
                </c:pt>
                <c:pt idx="235">
                  <c:v>0.9954991869918699</c:v>
                </c:pt>
                <c:pt idx="236">
                  <c:v>1.0024451219512194</c:v>
                </c:pt>
                <c:pt idx="237">
                  <c:v>1.0138272357723577</c:v>
                </c:pt>
                <c:pt idx="238">
                  <c:v>1.0292333333333334</c:v>
                </c:pt>
                <c:pt idx="239">
                  <c:v>1.0093000000000001</c:v>
                </c:pt>
                <c:pt idx="240">
                  <c:v>1.0774177083333332</c:v>
                </c:pt>
                <c:pt idx="241">
                  <c:v>1.0374177083333331</c:v>
                </c:pt>
                <c:pt idx="242">
                  <c:v>1.0939168316831684</c:v>
                </c:pt>
                <c:pt idx="243">
                  <c:v>1.0292459016393443</c:v>
                </c:pt>
                <c:pt idx="244">
                  <c:v>1.0313658536585366</c:v>
                </c:pt>
                <c:pt idx="245">
                  <c:v>1.0532631818181819</c:v>
                </c:pt>
                <c:pt idx="246">
                  <c:v>1.0625760869565217</c:v>
                </c:pt>
                <c:pt idx="247">
                  <c:v>1.1292279411764707</c:v>
                </c:pt>
                <c:pt idx="248">
                  <c:v>0.85652768595041329</c:v>
                </c:pt>
                <c:pt idx="249">
                  <c:v>0.94905733944954129</c:v>
                </c:pt>
                <c:pt idx="250">
                  <c:v>0.91028716814159305</c:v>
                </c:pt>
                <c:pt idx="251">
                  <c:v>0.93109850000000005</c:v>
                </c:pt>
                <c:pt idx="252">
                  <c:v>0.94008390804597708</c:v>
                </c:pt>
                <c:pt idx="253">
                  <c:v>1.0678074712643677</c:v>
                </c:pt>
                <c:pt idx="254">
                  <c:v>1.0218247663551403</c:v>
                </c:pt>
                <c:pt idx="255">
                  <c:v>1.0482715053763441</c:v>
                </c:pt>
                <c:pt idx="256">
                  <c:v>1.017849504950495</c:v>
                </c:pt>
                <c:pt idx="257">
                  <c:v>1.0100707964601769</c:v>
                </c:pt>
                <c:pt idx="258">
                  <c:v>0.91692307692307695</c:v>
                </c:pt>
                <c:pt idx="259">
                  <c:v>0.90316065573770499</c:v>
                </c:pt>
                <c:pt idx="260">
                  <c:v>0.91647058823529404</c:v>
                </c:pt>
                <c:pt idx="261">
                  <c:v>1.1258181818181818</c:v>
                </c:pt>
                <c:pt idx="262">
                  <c:v>1.0952727272727274</c:v>
                </c:pt>
                <c:pt idx="263">
                  <c:v>0.97315918367346932</c:v>
                </c:pt>
                <c:pt idx="264">
                  <c:v>0.97315918367346932</c:v>
                </c:pt>
                <c:pt idx="265">
                  <c:v>1.0433296703296704</c:v>
                </c:pt>
                <c:pt idx="266">
                  <c:v>0.95789896907216499</c:v>
                </c:pt>
                <c:pt idx="267">
                  <c:v>1.0341052631578946</c:v>
                </c:pt>
                <c:pt idx="268">
                  <c:v>1.0341052631578946</c:v>
                </c:pt>
                <c:pt idx="269">
                  <c:v>1.0686842105263159</c:v>
                </c:pt>
                <c:pt idx="270">
                  <c:v>1.0601813953488373</c:v>
                </c:pt>
                <c:pt idx="271">
                  <c:v>1.0617191489361704</c:v>
                </c:pt>
                <c:pt idx="272">
                  <c:v>0</c:v>
                </c:pt>
                <c:pt idx="273">
                  <c:v>0</c:v>
                </c:pt>
                <c:pt idx="274">
                  <c:v>1.0464719626168224</c:v>
                </c:pt>
                <c:pt idx="275">
                  <c:v>0.9554021739130435</c:v>
                </c:pt>
                <c:pt idx="276">
                  <c:v>0.93383131868131874</c:v>
                </c:pt>
                <c:pt idx="277">
                  <c:v>0.93383131868131874</c:v>
                </c:pt>
                <c:pt idx="278">
                  <c:v>0.96363636363636374</c:v>
                </c:pt>
                <c:pt idx="279">
                  <c:v>1.0566666666666666</c:v>
                </c:pt>
                <c:pt idx="280">
                  <c:v>1.0695000000000001</c:v>
                </c:pt>
                <c:pt idx="281">
                  <c:v>1.0262291262135923</c:v>
                </c:pt>
                <c:pt idx="282">
                  <c:v>0.97989387755102042</c:v>
                </c:pt>
                <c:pt idx="283">
                  <c:v>0.98169917355371916</c:v>
                </c:pt>
                <c:pt idx="284">
                  <c:v>0.89455000000000007</c:v>
                </c:pt>
                <c:pt idx="285">
                  <c:v>1.0086857142857144</c:v>
                </c:pt>
                <c:pt idx="286">
                  <c:v>0.94464285714285712</c:v>
                </c:pt>
                <c:pt idx="287">
                  <c:v>0.91436071428571442</c:v>
                </c:pt>
                <c:pt idx="288">
                  <c:v>0.90554397590361468</c:v>
                </c:pt>
                <c:pt idx="289">
                  <c:v>0.91240481927710848</c:v>
                </c:pt>
                <c:pt idx="290">
                  <c:v>0.92003478260869553</c:v>
                </c:pt>
                <c:pt idx="291">
                  <c:v>0.96875</c:v>
                </c:pt>
                <c:pt idx="292">
                  <c:v>1.0458928571428572</c:v>
                </c:pt>
                <c:pt idx="293">
                  <c:v>1.0624761904761906</c:v>
                </c:pt>
                <c:pt idx="294">
                  <c:v>0.94324210526315799</c:v>
                </c:pt>
                <c:pt idx="295">
                  <c:v>0.9538461538461539</c:v>
                </c:pt>
                <c:pt idx="296">
                  <c:v>1.0168953271028038</c:v>
                </c:pt>
                <c:pt idx="297">
                  <c:v>1.0291471698113206</c:v>
                </c:pt>
                <c:pt idx="298">
                  <c:v>0</c:v>
                </c:pt>
                <c:pt idx="299">
                  <c:v>1.1143749999999999</c:v>
                </c:pt>
                <c:pt idx="300">
                  <c:v>0</c:v>
                </c:pt>
                <c:pt idx="301">
                  <c:v>0</c:v>
                </c:pt>
                <c:pt idx="302">
                  <c:v>0.98178571428571437</c:v>
                </c:pt>
                <c:pt idx="303">
                  <c:v>0.9721428571428572</c:v>
                </c:pt>
                <c:pt idx="304">
                  <c:v>1.0756250000000001</c:v>
                </c:pt>
                <c:pt idx="305">
                  <c:v>1.0514014018691591</c:v>
                </c:pt>
                <c:pt idx="306">
                  <c:v>1.0514014018691591</c:v>
                </c:pt>
                <c:pt idx="307">
                  <c:v>0.92508915662650615</c:v>
                </c:pt>
                <c:pt idx="308">
                  <c:v>0.92141016949152554</c:v>
                </c:pt>
                <c:pt idx="309">
                  <c:v>0.93586086956521752</c:v>
                </c:pt>
                <c:pt idx="310">
                  <c:v>0.95750607476635519</c:v>
                </c:pt>
                <c:pt idx="311">
                  <c:v>0.9697684210526315</c:v>
                </c:pt>
                <c:pt idx="312">
                  <c:v>0.90414666666666677</c:v>
                </c:pt>
                <c:pt idx="313">
                  <c:v>1.035277777777778</c:v>
                </c:pt>
                <c:pt idx="314">
                  <c:v>1.0139953608247423</c:v>
                </c:pt>
                <c:pt idx="315">
                  <c:v>0.94734257425742574</c:v>
                </c:pt>
                <c:pt idx="316">
                  <c:v>0.96596702127659584</c:v>
                </c:pt>
                <c:pt idx="317">
                  <c:v>0.97470212765957465</c:v>
                </c:pt>
                <c:pt idx="318">
                  <c:v>0.95321980198019796</c:v>
                </c:pt>
                <c:pt idx="319">
                  <c:v>0.99043428571428571</c:v>
                </c:pt>
                <c:pt idx="320">
                  <c:v>0.99043428571428571</c:v>
                </c:pt>
                <c:pt idx="321">
                  <c:v>1.0255314285714285</c:v>
                </c:pt>
                <c:pt idx="322">
                  <c:v>0.93037037037037029</c:v>
                </c:pt>
                <c:pt idx="323">
                  <c:v>1.0255314285714285</c:v>
                </c:pt>
                <c:pt idx="324">
                  <c:v>0.8870413265306123</c:v>
                </c:pt>
                <c:pt idx="325">
                  <c:v>0.93236363636363639</c:v>
                </c:pt>
                <c:pt idx="326">
                  <c:v>0.91928913043478266</c:v>
                </c:pt>
                <c:pt idx="327">
                  <c:v>0.90763636363636369</c:v>
                </c:pt>
                <c:pt idx="328">
                  <c:v>0.97861702127659589</c:v>
                </c:pt>
                <c:pt idx="329">
                  <c:v>1.0207457627118646</c:v>
                </c:pt>
                <c:pt idx="330">
                  <c:v>1.0250153846153847</c:v>
                </c:pt>
                <c:pt idx="331">
                  <c:v>1.0095646017699114</c:v>
                </c:pt>
                <c:pt idx="332">
                  <c:v>1.0203115044247788</c:v>
                </c:pt>
                <c:pt idx="333">
                  <c:v>0.9579915841584159</c:v>
                </c:pt>
                <c:pt idx="334">
                  <c:v>0.967200495049505</c:v>
                </c:pt>
                <c:pt idx="335">
                  <c:v>0.98635294117647065</c:v>
                </c:pt>
                <c:pt idx="336">
                  <c:v>0.9956705882352942</c:v>
                </c:pt>
                <c:pt idx="337">
                  <c:v>1.04115</c:v>
                </c:pt>
                <c:pt idx="338">
                  <c:v>1.0526673076923079</c:v>
                </c:pt>
                <c:pt idx="339">
                  <c:v>1.0502500000000001</c:v>
                </c:pt>
                <c:pt idx="340">
                  <c:v>1.063632786885246</c:v>
                </c:pt>
                <c:pt idx="341">
                  <c:v>1.0785924369747899</c:v>
                </c:pt>
                <c:pt idx="342">
                  <c:v>1.1075796460176992</c:v>
                </c:pt>
                <c:pt idx="343">
                  <c:v>1.1181858407079648</c:v>
                </c:pt>
                <c:pt idx="344">
                  <c:v>0.89829285714285712</c:v>
                </c:pt>
                <c:pt idx="345">
                  <c:v>0.89829285714285712</c:v>
                </c:pt>
                <c:pt idx="346">
                  <c:v>1.0304441176470589</c:v>
                </c:pt>
                <c:pt idx="347">
                  <c:v>0.86917647058823533</c:v>
                </c:pt>
                <c:pt idx="348">
                  <c:v>0.89800000000000002</c:v>
                </c:pt>
                <c:pt idx="349">
                  <c:v>1.0218247663551403</c:v>
                </c:pt>
                <c:pt idx="350">
                  <c:v>1.0304441176470589</c:v>
                </c:pt>
                <c:pt idx="351">
                  <c:v>1.0121238938053099</c:v>
                </c:pt>
                <c:pt idx="352">
                  <c:v>1.0248235294117647</c:v>
                </c:pt>
                <c:pt idx="353">
                  <c:v>1.0704579646017698</c:v>
                </c:pt>
                <c:pt idx="354">
                  <c:v>1.0866500000000001</c:v>
                </c:pt>
                <c:pt idx="355">
                  <c:v>0.97400000000000009</c:v>
                </c:pt>
                <c:pt idx="356">
                  <c:v>0.97428333333333317</c:v>
                </c:pt>
                <c:pt idx="357">
                  <c:v>0.99809523809523826</c:v>
                </c:pt>
                <c:pt idx="358">
                  <c:v>0.99809523809523826</c:v>
                </c:pt>
                <c:pt idx="359">
                  <c:v>1.0080000000000002</c:v>
                </c:pt>
                <c:pt idx="360">
                  <c:v>1.0023177570093458</c:v>
                </c:pt>
                <c:pt idx="361">
                  <c:v>1.0044259259259261</c:v>
                </c:pt>
                <c:pt idx="362">
                  <c:v>1.0044259259259261</c:v>
                </c:pt>
                <c:pt idx="363">
                  <c:v>0.99598076923076928</c:v>
                </c:pt>
                <c:pt idx="364">
                  <c:v>1.0044259259259261</c:v>
                </c:pt>
                <c:pt idx="365">
                  <c:v>1.0002075471698115</c:v>
                </c:pt>
                <c:pt idx="366">
                  <c:v>1.0044259259259261</c:v>
                </c:pt>
                <c:pt idx="367">
                  <c:v>1.0146472222222223</c:v>
                </c:pt>
                <c:pt idx="368">
                  <c:v>1.0057798076923077</c:v>
                </c:pt>
                <c:pt idx="369">
                  <c:v>1.0315067567567568</c:v>
                </c:pt>
                <c:pt idx="370">
                  <c:v>1.0520851351351352</c:v>
                </c:pt>
                <c:pt idx="371">
                  <c:v>1.0623743243243244</c:v>
                </c:pt>
                <c:pt idx="372">
                  <c:v>1.0880972972972975</c:v>
                </c:pt>
                <c:pt idx="373">
                  <c:v>0.98912786885245907</c:v>
                </c:pt>
                <c:pt idx="374">
                  <c:v>0.98562499999999997</c:v>
                </c:pt>
                <c:pt idx="375">
                  <c:v>0.97859827586206904</c:v>
                </c:pt>
                <c:pt idx="376">
                  <c:v>1.0056586206896552</c:v>
                </c:pt>
                <c:pt idx="377">
                  <c:v>1.0304239130434782</c:v>
                </c:pt>
                <c:pt idx="378">
                  <c:v>0.98115769230769234</c:v>
                </c:pt>
                <c:pt idx="379">
                  <c:v>0.99069230769230776</c:v>
                </c:pt>
                <c:pt idx="380">
                  <c:v>1.0897361344537817</c:v>
                </c:pt>
                <c:pt idx="381">
                  <c:v>1.1008798319327733</c:v>
                </c:pt>
                <c:pt idx="382">
                  <c:v>1.1510264705882354</c:v>
                </c:pt>
                <c:pt idx="383">
                  <c:v>1.0809780373831774</c:v>
                </c:pt>
                <c:pt idx="384">
                  <c:v>1.099018691588785</c:v>
                </c:pt>
                <c:pt idx="385">
                  <c:v>1.1105546728971962</c:v>
                </c:pt>
                <c:pt idx="386">
                  <c:v>1.0468206422018349</c:v>
                </c:pt>
                <c:pt idx="387">
                  <c:v>1.0622019230769231</c:v>
                </c:pt>
                <c:pt idx="388">
                  <c:v>1.0717365384615383</c:v>
                </c:pt>
                <c:pt idx="389">
                  <c:v>1.0955730769230767</c:v>
                </c:pt>
                <c:pt idx="390">
                  <c:v>1.1194096153846154</c:v>
                </c:pt>
                <c:pt idx="391">
                  <c:v>1.0947282608695652</c:v>
                </c:pt>
                <c:pt idx="392">
                  <c:v>1.0165977064220182</c:v>
                </c:pt>
                <c:pt idx="393">
                  <c:v>1.0165977064220182</c:v>
                </c:pt>
                <c:pt idx="394">
                  <c:v>1.0073214285714287</c:v>
                </c:pt>
                <c:pt idx="395">
                  <c:v>1.0119658878504674</c:v>
                </c:pt>
                <c:pt idx="396">
                  <c:v>1.016964285714286</c:v>
                </c:pt>
                <c:pt idx="397">
                  <c:v>1.0402617924528303</c:v>
                </c:pt>
                <c:pt idx="398">
                  <c:v>1.0402490566037736</c:v>
                </c:pt>
                <c:pt idx="399">
                  <c:v>1.0453111111111111</c:v>
                </c:pt>
                <c:pt idx="400">
                  <c:v>1.093241891891892</c:v>
                </c:pt>
                <c:pt idx="401">
                  <c:v>1.0778081081081081</c:v>
                </c:pt>
                <c:pt idx="402">
                  <c:v>0.90181818181818185</c:v>
                </c:pt>
                <c:pt idx="403">
                  <c:v>1.0469405405405405</c:v>
                </c:pt>
                <c:pt idx="404">
                  <c:v>1.0027303571428572</c:v>
                </c:pt>
                <c:pt idx="405">
                  <c:v>0.99753214285714287</c:v>
                </c:pt>
                <c:pt idx="406">
                  <c:v>1.0331214285714285</c:v>
                </c:pt>
                <c:pt idx="407">
                  <c:v>1.0331214285714285</c:v>
                </c:pt>
                <c:pt idx="408">
                  <c:v>1.0554071428571428</c:v>
                </c:pt>
                <c:pt idx="409">
                  <c:v>1.0985393382352939</c:v>
                </c:pt>
                <c:pt idx="410">
                  <c:v>1.1185393382352942</c:v>
                </c:pt>
                <c:pt idx="411">
                  <c:v>1.0461588235294119</c:v>
                </c:pt>
                <c:pt idx="412">
                  <c:v>1.0451715827338133</c:v>
                </c:pt>
                <c:pt idx="413">
                  <c:v>1.0393573529411764</c:v>
                </c:pt>
                <c:pt idx="414">
                  <c:v>1.051259926470588</c:v>
                </c:pt>
                <c:pt idx="415">
                  <c:v>1.0894933333333334</c:v>
                </c:pt>
                <c:pt idx="416">
                  <c:v>1.1662860169491527</c:v>
                </c:pt>
                <c:pt idx="417">
                  <c:v>1.0208000000000002</c:v>
                </c:pt>
                <c:pt idx="418">
                  <c:v>1.0215826086956523</c:v>
                </c:pt>
                <c:pt idx="419">
                  <c:v>1.1091200000000001</c:v>
                </c:pt>
                <c:pt idx="420">
                  <c:v>1.110215652173913</c:v>
                </c:pt>
                <c:pt idx="421">
                  <c:v>1.0428800000000003</c:v>
                </c:pt>
                <c:pt idx="422">
                  <c:v>1.0437408695652173</c:v>
                </c:pt>
                <c:pt idx="423">
                  <c:v>1.0649599999999999</c:v>
                </c:pt>
                <c:pt idx="424">
                  <c:v>1.0679794871794872</c:v>
                </c:pt>
                <c:pt idx="425">
                  <c:v>1.0689846153846156</c:v>
                </c:pt>
                <c:pt idx="426">
                  <c:v>1.0648949152542373</c:v>
                </c:pt>
                <c:pt idx="427">
                  <c:v>1.0648949152542373</c:v>
                </c:pt>
                <c:pt idx="428">
                  <c:v>1.0657913043478262</c:v>
                </c:pt>
                <c:pt idx="429">
                  <c:v>1.1532800000000001</c:v>
                </c:pt>
                <c:pt idx="430">
                  <c:v>1.0836530973451328</c:v>
                </c:pt>
                <c:pt idx="431">
                  <c:v>1.08704</c:v>
                </c:pt>
                <c:pt idx="432">
                  <c:v>1.0880573913043479</c:v>
                </c:pt>
                <c:pt idx="433">
                  <c:v>1.0250652173913042</c:v>
                </c:pt>
                <c:pt idx="434">
                  <c:v>1.0043278350515463</c:v>
                </c:pt>
                <c:pt idx="435">
                  <c:v>1.0207954545454547</c:v>
                </c:pt>
                <c:pt idx="436">
                  <c:v>0.99471590909090912</c:v>
                </c:pt>
                <c:pt idx="437">
                  <c:v>0.97937499999999988</c:v>
                </c:pt>
                <c:pt idx="438">
                  <c:v>1.0087272727272727</c:v>
                </c:pt>
                <c:pt idx="439">
                  <c:v>1.0494545454545456</c:v>
                </c:pt>
                <c:pt idx="440">
                  <c:v>0.99101176470588237</c:v>
                </c:pt>
                <c:pt idx="441">
                  <c:v>0.98498913043478276</c:v>
                </c:pt>
                <c:pt idx="442">
                  <c:v>0.91487346938775493</c:v>
                </c:pt>
                <c:pt idx="443">
                  <c:v>0.91575816326530612</c:v>
                </c:pt>
                <c:pt idx="444">
                  <c:v>0.89665306122448984</c:v>
                </c:pt>
                <c:pt idx="445">
                  <c:v>0.9314782608695652</c:v>
                </c:pt>
                <c:pt idx="446">
                  <c:v>0.93530434782608696</c:v>
                </c:pt>
                <c:pt idx="447">
                  <c:v>0.94220408163265323</c:v>
                </c:pt>
                <c:pt idx="448">
                  <c:v>0.96924444444444446</c:v>
                </c:pt>
                <c:pt idx="449">
                  <c:v>0.97147826086956524</c:v>
                </c:pt>
                <c:pt idx="450">
                  <c:v>0.97566666666666668</c:v>
                </c:pt>
                <c:pt idx="451">
                  <c:v>0.93718260869565218</c:v>
                </c:pt>
                <c:pt idx="452">
                  <c:v>0.91067441860465115</c:v>
                </c:pt>
                <c:pt idx="453">
                  <c:v>0.99021463414634137</c:v>
                </c:pt>
                <c:pt idx="454">
                  <c:v>0.93238125000000005</c:v>
                </c:pt>
                <c:pt idx="455">
                  <c:v>0.91986938775510207</c:v>
                </c:pt>
                <c:pt idx="456">
                  <c:v>1.0748673469387757</c:v>
                </c:pt>
                <c:pt idx="457">
                  <c:v>0.91986938775510207</c:v>
                </c:pt>
                <c:pt idx="458">
                  <c:v>0.959869387755102</c:v>
                </c:pt>
                <c:pt idx="459">
                  <c:v>1.0368653061224489</c:v>
                </c:pt>
                <c:pt idx="460">
                  <c:v>0.22050000000000003</c:v>
                </c:pt>
                <c:pt idx="461">
                  <c:v>0.55966065573770496</c:v>
                </c:pt>
                <c:pt idx="462">
                  <c:v>1.1973423728813561</c:v>
                </c:pt>
                <c:pt idx="463">
                  <c:v>0.99082608695652186</c:v>
                </c:pt>
                <c:pt idx="464">
                  <c:v>1.0091954022988505</c:v>
                </c:pt>
                <c:pt idx="465">
                  <c:v>0.97781521739130439</c:v>
                </c:pt>
                <c:pt idx="466">
                  <c:v>1.0290909090909093</c:v>
                </c:pt>
                <c:pt idx="467">
                  <c:v>1.1463724137931037</c:v>
                </c:pt>
                <c:pt idx="468">
                  <c:v>1.1626086206896551</c:v>
                </c:pt>
                <c:pt idx="469">
                  <c:v>1.0583</c:v>
                </c:pt>
                <c:pt idx="470">
                  <c:v>1.0772000000000002</c:v>
                </c:pt>
                <c:pt idx="471">
                  <c:v>1.11185</c:v>
                </c:pt>
                <c:pt idx="472">
                  <c:v>1.11185</c:v>
                </c:pt>
                <c:pt idx="473">
                  <c:v>1.11185</c:v>
                </c:pt>
                <c:pt idx="474">
                  <c:v>1.0459181818181817</c:v>
                </c:pt>
                <c:pt idx="475">
                  <c:v>1.0474181818181818</c:v>
                </c:pt>
                <c:pt idx="476">
                  <c:v>0.899116504854369</c:v>
                </c:pt>
                <c:pt idx="477">
                  <c:v>0.92946363636363638</c:v>
                </c:pt>
                <c:pt idx="478">
                  <c:v>0.94454831932773109</c:v>
                </c:pt>
                <c:pt idx="479">
                  <c:v>1.0574346153846155</c:v>
                </c:pt>
                <c:pt idx="480">
                  <c:v>0.98220408163265305</c:v>
                </c:pt>
                <c:pt idx="481">
                  <c:v>0.96304761904761904</c:v>
                </c:pt>
                <c:pt idx="482">
                  <c:v>1.1410909090909092</c:v>
                </c:pt>
                <c:pt idx="483">
                  <c:v>1.1054545454545455</c:v>
                </c:pt>
                <c:pt idx="484">
                  <c:v>0.95750000000000013</c:v>
                </c:pt>
                <c:pt idx="485">
                  <c:v>1.0417702970297031</c:v>
                </c:pt>
                <c:pt idx="486">
                  <c:v>1.0062004504504503</c:v>
                </c:pt>
                <c:pt idx="487">
                  <c:v>1.0021070093457944</c:v>
                </c:pt>
                <c:pt idx="488">
                  <c:v>1.0062004504504503</c:v>
                </c:pt>
                <c:pt idx="489">
                  <c:v>0.96689272727272735</c:v>
                </c:pt>
                <c:pt idx="490">
                  <c:v>0.97229473684210521</c:v>
                </c:pt>
                <c:pt idx="491">
                  <c:v>0.22050000000000003</c:v>
                </c:pt>
                <c:pt idx="492">
                  <c:v>1.0023177570093458</c:v>
                </c:pt>
                <c:pt idx="493">
                  <c:v>1.0021070093457944</c:v>
                </c:pt>
                <c:pt idx="494">
                  <c:v>0.93600321100917439</c:v>
                </c:pt>
              </c:numCache>
            </c:numRef>
          </c:yVal>
          <c:smooth val="0"/>
          <c:extLst>
            <c:ext xmlns:c16="http://schemas.microsoft.com/office/drawing/2014/chart" uri="{C3380CC4-5D6E-409C-BE32-E72D297353CC}">
              <c16:uniqueId val="{00000013-6270-432F-B081-1B47EA4076B9}"/>
            </c:ext>
          </c:extLst>
        </c:ser>
        <c:dLbls>
          <c:showLegendKey val="0"/>
          <c:showVal val="0"/>
          <c:showCatName val="0"/>
          <c:showSerName val="0"/>
          <c:showPercent val="0"/>
          <c:showBubbleSize val="0"/>
        </c:dLbls>
        <c:axId val="18427248"/>
        <c:axId val="18423920"/>
      </c:scatterChart>
      <c:valAx>
        <c:axId val="184272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Wedge Angle (mrad)</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ko-K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ko-KR"/>
          </a:p>
        </c:txPr>
        <c:crossAx val="18423920"/>
        <c:crosses val="autoZero"/>
        <c:crossBetween val="midCat"/>
      </c:valAx>
      <c:valAx>
        <c:axId val="18423920"/>
        <c:scaling>
          <c:orientation val="minMax"/>
          <c:min val="0.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Average caliper (mm)</a:t>
                </a:r>
              </a:p>
            </c:rich>
          </c:tx>
          <c:layout>
            <c:manualLayout>
              <c:xMode val="edge"/>
              <c:yMode val="edge"/>
              <c:x val="8.4497560537679858E-3"/>
              <c:y val="0.35837247937443983"/>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ko-KR"/>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ko-KR"/>
          </a:p>
        </c:txPr>
        <c:crossAx val="184272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pivotSource>
    <c:name>[Wedge products and development.xlsx]C, D, O!PivotTable1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 D, O'!$B$3</c:f>
              <c:strCache>
                <c:ptCount val="1"/>
                <c:pt idx="0">
                  <c:v>요약</c:v>
                </c:pt>
              </c:strCache>
            </c:strRef>
          </c:tx>
          <c:spPr>
            <a:solidFill>
              <a:schemeClr val="accent1"/>
            </a:solidFill>
            <a:ln>
              <a:noFill/>
            </a:ln>
            <a:effectLst/>
          </c:spPr>
          <c:invertIfNegative val="0"/>
          <c:cat>
            <c:multiLvlStrRef>
              <c:f>'C, D, O'!$A$4:$A$24</c:f>
              <c:multiLvlStrCache>
                <c:ptCount val="15"/>
                <c:lvl>
                  <c:pt idx="0">
                    <c:v>C</c:v>
                  </c:pt>
                  <c:pt idx="1">
                    <c:v>D</c:v>
                  </c:pt>
                  <c:pt idx="2">
                    <c:v>O</c:v>
                  </c:pt>
                  <c:pt idx="3">
                    <c:v>C</c:v>
                  </c:pt>
                  <c:pt idx="4">
                    <c:v>D</c:v>
                  </c:pt>
                  <c:pt idx="5">
                    <c:v>O</c:v>
                  </c:pt>
                  <c:pt idx="6">
                    <c:v>C</c:v>
                  </c:pt>
                  <c:pt idx="7">
                    <c:v>D</c:v>
                  </c:pt>
                  <c:pt idx="8">
                    <c:v>O</c:v>
                  </c:pt>
                  <c:pt idx="9">
                    <c:v>C</c:v>
                  </c:pt>
                  <c:pt idx="10">
                    <c:v>D</c:v>
                  </c:pt>
                  <c:pt idx="11">
                    <c:v>O</c:v>
                  </c:pt>
                  <c:pt idx="12">
                    <c:v>C</c:v>
                  </c:pt>
                  <c:pt idx="13">
                    <c:v>D</c:v>
                  </c:pt>
                  <c:pt idx="14">
                    <c:v>O</c:v>
                  </c:pt>
                </c:lvl>
                <c:lvl>
                  <c:pt idx="0">
                    <c:v>L4</c:v>
                  </c:pt>
                  <c:pt idx="3">
                    <c:v>L6</c:v>
                  </c:pt>
                  <c:pt idx="6">
                    <c:v>L8</c:v>
                  </c:pt>
                  <c:pt idx="9">
                    <c:v>L8 &amp; L9</c:v>
                  </c:pt>
                  <c:pt idx="12">
                    <c:v>L9</c:v>
                  </c:pt>
                </c:lvl>
              </c:multiLvlStrCache>
            </c:multiLvlStrRef>
          </c:cat>
          <c:val>
            <c:numRef>
              <c:f>'C, D, O'!$B$4:$B$24</c:f>
              <c:numCache>
                <c:formatCode>General</c:formatCode>
                <c:ptCount val="15"/>
                <c:pt idx="0">
                  <c:v>1</c:v>
                </c:pt>
                <c:pt idx="1">
                  <c:v>1</c:v>
                </c:pt>
                <c:pt idx="2">
                  <c:v>1</c:v>
                </c:pt>
                <c:pt idx="3">
                  <c:v>11</c:v>
                </c:pt>
                <c:pt idx="4">
                  <c:v>29</c:v>
                </c:pt>
                <c:pt idx="5">
                  <c:v>24</c:v>
                </c:pt>
                <c:pt idx="6">
                  <c:v>19</c:v>
                </c:pt>
                <c:pt idx="7">
                  <c:v>25</c:v>
                </c:pt>
                <c:pt idx="8">
                  <c:v>76</c:v>
                </c:pt>
                <c:pt idx="9">
                  <c:v>11</c:v>
                </c:pt>
                <c:pt idx="10">
                  <c:v>3</c:v>
                </c:pt>
                <c:pt idx="11">
                  <c:v>5</c:v>
                </c:pt>
                <c:pt idx="12">
                  <c:v>43</c:v>
                </c:pt>
                <c:pt idx="13">
                  <c:v>135</c:v>
                </c:pt>
                <c:pt idx="14">
                  <c:v>142</c:v>
                </c:pt>
              </c:numCache>
            </c:numRef>
          </c:val>
          <c:extLst>
            <c:ext xmlns:c16="http://schemas.microsoft.com/office/drawing/2014/chart" uri="{C3380CC4-5D6E-409C-BE32-E72D297353CC}">
              <c16:uniqueId val="{00000000-4A18-4CA2-A27F-A2F7C593EB56}"/>
            </c:ext>
          </c:extLst>
        </c:ser>
        <c:dLbls>
          <c:showLegendKey val="0"/>
          <c:showVal val="0"/>
          <c:showCatName val="0"/>
          <c:showSerName val="0"/>
          <c:showPercent val="0"/>
          <c:showBubbleSize val="0"/>
        </c:dLbls>
        <c:gapWidth val="219"/>
        <c:overlap val="-27"/>
        <c:axId val="671342384"/>
        <c:axId val="671343344"/>
      </c:barChart>
      <c:catAx>
        <c:axId val="67134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71343344"/>
        <c:crosses val="autoZero"/>
        <c:auto val="1"/>
        <c:lblAlgn val="ctr"/>
        <c:lblOffset val="100"/>
        <c:noMultiLvlLbl val="0"/>
      </c:catAx>
      <c:valAx>
        <c:axId val="67134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7134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pivotSource>
    <c:name>[Wedge products and development.xlsx]Codes by customer!PivotTable1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'Codes by customer'!$B$4</c:f>
              <c:strCache>
                <c:ptCount val="1"/>
                <c:pt idx="0">
                  <c:v>요약</c:v>
                </c:pt>
              </c:strCache>
            </c:strRef>
          </c:tx>
          <c:spPr>
            <a:solidFill>
              <a:schemeClr val="accent1"/>
            </a:solidFill>
            <a:ln>
              <a:noFill/>
            </a:ln>
            <a:effectLst/>
          </c:spPr>
          <c:invertIfNegative val="0"/>
          <c:cat>
            <c:multiLvlStrRef>
              <c:f>'Codes by customer'!$A$5:$A$35</c:f>
              <c:multiLvlStrCache>
                <c:ptCount val="21"/>
                <c:lvl>
                  <c:pt idx="0">
                    <c:v>C</c:v>
                  </c:pt>
                  <c:pt idx="1">
                    <c:v>D</c:v>
                  </c:pt>
                  <c:pt idx="2">
                    <c:v>O</c:v>
                  </c:pt>
                  <c:pt idx="3">
                    <c:v>C</c:v>
                  </c:pt>
                  <c:pt idx="4">
                    <c:v>O</c:v>
                  </c:pt>
                  <c:pt idx="5">
                    <c:v>D</c:v>
                  </c:pt>
                  <c:pt idx="6">
                    <c:v>O</c:v>
                  </c:pt>
                  <c:pt idx="7">
                    <c:v>C</c:v>
                  </c:pt>
                  <c:pt idx="8">
                    <c:v>D</c:v>
                  </c:pt>
                  <c:pt idx="9">
                    <c:v>O</c:v>
                  </c:pt>
                  <c:pt idx="10">
                    <c:v>C</c:v>
                  </c:pt>
                  <c:pt idx="11">
                    <c:v>D</c:v>
                  </c:pt>
                  <c:pt idx="12">
                    <c:v>O</c:v>
                  </c:pt>
                  <c:pt idx="13">
                    <c:v>C</c:v>
                  </c:pt>
                  <c:pt idx="14">
                    <c:v>D</c:v>
                  </c:pt>
                  <c:pt idx="15">
                    <c:v>O</c:v>
                  </c:pt>
                  <c:pt idx="16">
                    <c:v>C</c:v>
                  </c:pt>
                  <c:pt idx="17">
                    <c:v>D</c:v>
                  </c:pt>
                  <c:pt idx="18">
                    <c:v>O</c:v>
                  </c:pt>
                  <c:pt idx="19">
                    <c:v>D</c:v>
                  </c:pt>
                  <c:pt idx="20">
                    <c:v>D</c:v>
                  </c:pt>
                </c:lvl>
                <c:lvl>
                  <c:pt idx="0">
                    <c:v>AGC</c:v>
                  </c:pt>
                  <c:pt idx="3">
                    <c:v>AGP</c:v>
                  </c:pt>
                  <c:pt idx="5">
                    <c:v>Carlex</c:v>
                  </c:pt>
                  <c:pt idx="7">
                    <c:v>Fuyao</c:v>
                  </c:pt>
                  <c:pt idx="10">
                    <c:v>KCC</c:v>
                  </c:pt>
                  <c:pt idx="13">
                    <c:v>NSG</c:v>
                  </c:pt>
                  <c:pt idx="16">
                    <c:v>SGS</c:v>
                  </c:pt>
                  <c:pt idx="19">
                    <c:v>Asahi India</c:v>
                  </c:pt>
                  <c:pt idx="20">
                    <c:v>Dr. Greiche Glass</c:v>
                  </c:pt>
                </c:lvl>
              </c:multiLvlStrCache>
            </c:multiLvlStrRef>
          </c:cat>
          <c:val>
            <c:numRef>
              <c:f>'Codes by customer'!$B$5:$B$35</c:f>
              <c:numCache>
                <c:formatCode>General</c:formatCode>
                <c:ptCount val="21"/>
                <c:pt idx="0">
                  <c:v>3</c:v>
                </c:pt>
                <c:pt idx="1">
                  <c:v>25</c:v>
                </c:pt>
                <c:pt idx="2">
                  <c:v>13</c:v>
                </c:pt>
                <c:pt idx="3">
                  <c:v>1</c:v>
                </c:pt>
                <c:pt idx="4">
                  <c:v>5</c:v>
                </c:pt>
                <c:pt idx="5">
                  <c:v>1</c:v>
                </c:pt>
                <c:pt idx="6">
                  <c:v>4</c:v>
                </c:pt>
                <c:pt idx="7">
                  <c:v>21</c:v>
                </c:pt>
                <c:pt idx="8">
                  <c:v>93</c:v>
                </c:pt>
                <c:pt idx="9">
                  <c:v>97</c:v>
                </c:pt>
                <c:pt idx="10">
                  <c:v>11</c:v>
                </c:pt>
                <c:pt idx="11">
                  <c:v>8</c:v>
                </c:pt>
                <c:pt idx="12">
                  <c:v>45</c:v>
                </c:pt>
                <c:pt idx="13">
                  <c:v>19</c:v>
                </c:pt>
                <c:pt idx="14">
                  <c:v>12</c:v>
                </c:pt>
                <c:pt idx="15">
                  <c:v>18</c:v>
                </c:pt>
                <c:pt idx="16">
                  <c:v>11</c:v>
                </c:pt>
                <c:pt idx="17">
                  <c:v>17</c:v>
                </c:pt>
                <c:pt idx="18">
                  <c:v>35</c:v>
                </c:pt>
                <c:pt idx="19">
                  <c:v>2</c:v>
                </c:pt>
                <c:pt idx="20">
                  <c:v>2</c:v>
                </c:pt>
              </c:numCache>
            </c:numRef>
          </c:val>
          <c:extLst>
            <c:ext xmlns:c16="http://schemas.microsoft.com/office/drawing/2014/chart" uri="{C3380CC4-5D6E-409C-BE32-E72D297353CC}">
              <c16:uniqueId val="{00000000-AC43-483C-AD4B-FBBC030CBDE6}"/>
            </c:ext>
          </c:extLst>
        </c:ser>
        <c:dLbls>
          <c:showLegendKey val="0"/>
          <c:showVal val="0"/>
          <c:showCatName val="0"/>
          <c:showSerName val="0"/>
          <c:showPercent val="0"/>
          <c:showBubbleSize val="0"/>
        </c:dLbls>
        <c:gapWidth val="219"/>
        <c:overlap val="-27"/>
        <c:axId val="1077582751"/>
        <c:axId val="1077580671"/>
      </c:barChart>
      <c:catAx>
        <c:axId val="107758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77580671"/>
        <c:crosses val="autoZero"/>
        <c:auto val="1"/>
        <c:lblAlgn val="ctr"/>
        <c:lblOffset val="100"/>
        <c:noMultiLvlLbl val="0"/>
      </c:catAx>
      <c:valAx>
        <c:axId val="107758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7758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HUD Areas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manualLayout>
          <c:layoutTarget val="inner"/>
          <c:xMode val="edge"/>
          <c:yMode val="edge"/>
          <c:x val="9.3678202282025586E-2"/>
          <c:y val="7.4851744307535995E-2"/>
          <c:w val="0.8801704737334537"/>
          <c:h val="0.80971579114805581"/>
        </c:manualLayout>
      </c:layout>
      <c:lineChart>
        <c:grouping val="standard"/>
        <c:varyColors val="0"/>
        <c:ser>
          <c:idx val="1"/>
          <c:order val="0"/>
          <c:tx>
            <c:v>HUD Top</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'W-code list'!$G$6:$G$495</c:f>
              <c:strCache>
                <c:ptCount val="490"/>
                <c:pt idx="0">
                  <c:v>W2227AEH</c:v>
                </c:pt>
                <c:pt idx="1">
                  <c:v>W2251ALH</c:v>
                </c:pt>
                <c:pt idx="2">
                  <c:v>W2251AMH</c:v>
                </c:pt>
                <c:pt idx="3">
                  <c:v>W5062AA</c:v>
                </c:pt>
                <c:pt idx="4">
                  <c:v>W2262AE</c:v>
                </c:pt>
                <c:pt idx="5">
                  <c:v>W2045AB</c:v>
                </c:pt>
                <c:pt idx="6">
                  <c:v>W2218AB</c:v>
                </c:pt>
                <c:pt idx="7">
                  <c:v>W2227AL</c:v>
                </c:pt>
                <c:pt idx="8">
                  <c:v>W2218AC</c:v>
                </c:pt>
                <c:pt idx="9">
                  <c:v>W2214AB</c:v>
                </c:pt>
                <c:pt idx="10">
                  <c:v>W2211AA</c:v>
                </c:pt>
                <c:pt idx="11">
                  <c:v>W2235AH</c:v>
                </c:pt>
                <c:pt idx="12">
                  <c:v>W2214AA</c:v>
                </c:pt>
                <c:pt idx="13">
                  <c:v>W2214AC</c:v>
                </c:pt>
                <c:pt idx="14">
                  <c:v>W2219AD</c:v>
                </c:pt>
                <c:pt idx="15">
                  <c:v>W2223AA</c:v>
                </c:pt>
                <c:pt idx="16">
                  <c:v>W2227AD</c:v>
                </c:pt>
                <c:pt idx="17">
                  <c:v>W2245AA</c:v>
                </c:pt>
                <c:pt idx="18">
                  <c:v>W2239AC</c:v>
                </c:pt>
                <c:pt idx="19">
                  <c:v>W2239AG</c:v>
                </c:pt>
                <c:pt idx="20">
                  <c:v>W2264AB</c:v>
                </c:pt>
                <c:pt idx="21">
                  <c:v>W2219AB</c:v>
                </c:pt>
                <c:pt idx="22">
                  <c:v>W2219AF</c:v>
                </c:pt>
                <c:pt idx="23">
                  <c:v>W2209AA</c:v>
                </c:pt>
                <c:pt idx="24">
                  <c:v>W2220</c:v>
                </c:pt>
                <c:pt idx="25">
                  <c:v>W2230</c:v>
                </c:pt>
                <c:pt idx="26">
                  <c:v>W2239AB</c:v>
                </c:pt>
                <c:pt idx="27">
                  <c:v>W2239AA</c:v>
                </c:pt>
                <c:pt idx="28">
                  <c:v>W2236AF</c:v>
                </c:pt>
                <c:pt idx="29">
                  <c:v>W2244AK</c:v>
                </c:pt>
                <c:pt idx="30">
                  <c:v>W5149</c:v>
                </c:pt>
                <c:pt idx="31">
                  <c:v>W5142</c:v>
                </c:pt>
                <c:pt idx="32">
                  <c:v>W5124</c:v>
                </c:pt>
                <c:pt idx="33">
                  <c:v>W5121</c:v>
                </c:pt>
                <c:pt idx="34">
                  <c:v>W2260AI</c:v>
                </c:pt>
                <c:pt idx="35">
                  <c:v>W2263AC</c:v>
                </c:pt>
                <c:pt idx="36">
                  <c:v>W2255AC</c:v>
                </c:pt>
                <c:pt idx="37">
                  <c:v>W1030AA</c:v>
                </c:pt>
                <c:pt idx="38">
                  <c:v>W1235</c:v>
                </c:pt>
                <c:pt idx="39">
                  <c:v>W1241AA</c:v>
                </c:pt>
                <c:pt idx="40">
                  <c:v>W1247</c:v>
                </c:pt>
                <c:pt idx="41">
                  <c:v>W2228AH</c:v>
                </c:pt>
                <c:pt idx="42">
                  <c:v>W2214AD</c:v>
                </c:pt>
                <c:pt idx="43">
                  <c:v>W2218AD</c:v>
                </c:pt>
                <c:pt idx="44">
                  <c:v>W2224AD</c:v>
                </c:pt>
                <c:pt idx="45">
                  <c:v>W2233AC</c:v>
                </c:pt>
                <c:pt idx="46">
                  <c:v>W2233AK</c:v>
                </c:pt>
                <c:pt idx="47">
                  <c:v>W2239AEH</c:v>
                </c:pt>
                <c:pt idx="48">
                  <c:v>W2252AA</c:v>
                </c:pt>
                <c:pt idx="49">
                  <c:v>W2250</c:v>
                </c:pt>
                <c:pt idx="50">
                  <c:v>W2264AC</c:v>
                </c:pt>
                <c:pt idx="51">
                  <c:v>W5025AC</c:v>
                </c:pt>
                <c:pt idx="52">
                  <c:v>W2225AA</c:v>
                </c:pt>
                <c:pt idx="53">
                  <c:v>W1260AA</c:v>
                </c:pt>
                <c:pt idx="54">
                  <c:v>W5025AA</c:v>
                </c:pt>
                <c:pt idx="55">
                  <c:v>W5060</c:v>
                </c:pt>
                <c:pt idx="56">
                  <c:v>W2260AA</c:v>
                </c:pt>
                <c:pt idx="57">
                  <c:v>W2237AH</c:v>
                </c:pt>
                <c:pt idx="58">
                  <c:v>W2228AF</c:v>
                </c:pt>
                <c:pt idx="59">
                  <c:v>W1244</c:v>
                </c:pt>
                <c:pt idx="60">
                  <c:v>W2244</c:v>
                </c:pt>
                <c:pt idx="61">
                  <c:v>W2244AB</c:v>
                </c:pt>
                <c:pt idx="62">
                  <c:v>W2262AA</c:v>
                </c:pt>
                <c:pt idx="63">
                  <c:v>W2272AA</c:v>
                </c:pt>
                <c:pt idx="64">
                  <c:v>W2264AJ</c:v>
                </c:pt>
                <c:pt idx="65">
                  <c:v>W2268AE</c:v>
                </c:pt>
                <c:pt idx="66">
                  <c:v>W2229AL</c:v>
                </c:pt>
                <c:pt idx="67">
                  <c:v>W2251AA</c:v>
                </c:pt>
                <c:pt idx="68">
                  <c:v>W2253AC</c:v>
                </c:pt>
                <c:pt idx="69">
                  <c:v>W2227AM</c:v>
                </c:pt>
                <c:pt idx="70">
                  <c:v>W2227AOT</c:v>
                </c:pt>
                <c:pt idx="71">
                  <c:v>W2227AN</c:v>
                </c:pt>
                <c:pt idx="72">
                  <c:v>W2227APT</c:v>
                </c:pt>
                <c:pt idx="73">
                  <c:v>W2247AIT</c:v>
                </c:pt>
                <c:pt idx="74">
                  <c:v>W2270AA</c:v>
                </c:pt>
                <c:pt idx="75">
                  <c:v>W2246AC</c:v>
                </c:pt>
                <c:pt idx="76">
                  <c:v>W2250AJ</c:v>
                </c:pt>
                <c:pt idx="77">
                  <c:v>W2254AD</c:v>
                </c:pt>
                <c:pt idx="78">
                  <c:v>W2262AB from SYPKA passed validation</c:v>
                </c:pt>
                <c:pt idx="79">
                  <c:v>W2220AA</c:v>
                </c:pt>
                <c:pt idx="80">
                  <c:v>W2254AE</c:v>
                </c:pt>
                <c:pt idx="81">
                  <c:v>W5054AA</c:v>
                </c:pt>
                <c:pt idx="82">
                  <c:v>W2258AA</c:v>
                </c:pt>
                <c:pt idx="83">
                  <c:v>W5058AA</c:v>
                </c:pt>
                <c:pt idx="84">
                  <c:v>W5060AB</c:v>
                </c:pt>
                <c:pt idx="85">
                  <c:v>W5068AA</c:v>
                </c:pt>
                <c:pt idx="86">
                  <c:v>W2258AC</c:v>
                </c:pt>
                <c:pt idx="87">
                  <c:v>W2251AJT</c:v>
                </c:pt>
                <c:pt idx="88">
                  <c:v>W2254AI</c:v>
                </c:pt>
                <c:pt idx="89">
                  <c:v>W5017AA</c:v>
                </c:pt>
                <c:pt idx="90">
                  <c:v>W5020AB</c:v>
                </c:pt>
                <c:pt idx="91">
                  <c:v>W2233ADT</c:v>
                </c:pt>
                <c:pt idx="92">
                  <c:v>W2222AGT</c:v>
                </c:pt>
                <c:pt idx="93">
                  <c:v>W2232AHT</c:v>
                </c:pt>
                <c:pt idx="94">
                  <c:v>W2233AFT</c:v>
                </c:pt>
                <c:pt idx="95">
                  <c:v>W2260AA</c:v>
                </c:pt>
                <c:pt idx="96">
                  <c:v>W5025AE</c:v>
                </c:pt>
                <c:pt idx="97">
                  <c:v>W5027AD</c:v>
                </c:pt>
                <c:pt idx="98">
                  <c:v>W5027AC</c:v>
                </c:pt>
                <c:pt idx="99">
                  <c:v>W5029AB</c:v>
                </c:pt>
                <c:pt idx="100">
                  <c:v>W5026AAT</c:v>
                </c:pt>
                <c:pt idx="101">
                  <c:v>W5026ABT</c:v>
                </c:pt>
                <c:pt idx="102">
                  <c:v>W5025AB</c:v>
                </c:pt>
                <c:pt idx="103">
                  <c:v>W2240AX</c:v>
                </c:pt>
                <c:pt idx="104">
                  <c:v>W5023AC</c:v>
                </c:pt>
                <c:pt idx="105">
                  <c:v>W5027AB</c:v>
                </c:pt>
                <c:pt idx="106">
                  <c:v>W5028AB</c:v>
                </c:pt>
                <c:pt idx="107">
                  <c:v>W5028AA</c:v>
                </c:pt>
                <c:pt idx="108">
                  <c:v>W5022AA</c:v>
                </c:pt>
                <c:pt idx="109">
                  <c:v>W5025AD</c:v>
                </c:pt>
                <c:pt idx="110">
                  <c:v>W5071AA</c:v>
                </c:pt>
                <c:pt idx="111">
                  <c:v>W2262AD</c:v>
                </c:pt>
                <c:pt idx="112">
                  <c:v>W2264AGT</c:v>
                </c:pt>
                <c:pt idx="113">
                  <c:v>W5031AA</c:v>
                </c:pt>
                <c:pt idx="114">
                  <c:v>W2247AA</c:v>
                </c:pt>
                <c:pt idx="115">
                  <c:v>W2220ABT</c:v>
                </c:pt>
                <c:pt idx="116">
                  <c:v>W2230AAT</c:v>
                </c:pt>
                <c:pt idx="117">
                  <c:v>W2235ABT</c:v>
                </c:pt>
                <c:pt idx="118">
                  <c:v>W2235ACT</c:v>
                </c:pt>
                <c:pt idx="119">
                  <c:v>W2240AIT</c:v>
                </c:pt>
                <c:pt idx="120">
                  <c:v>W2240AJT</c:v>
                </c:pt>
                <c:pt idx="121">
                  <c:v>W2240ALT</c:v>
                </c:pt>
                <c:pt idx="122">
                  <c:v>W2244AET</c:v>
                </c:pt>
                <c:pt idx="123">
                  <c:v>W2244AL</c:v>
                </c:pt>
                <c:pt idx="124">
                  <c:v>W2244AFT</c:v>
                </c:pt>
                <c:pt idx="125">
                  <c:v>W2244AGT</c:v>
                </c:pt>
                <c:pt idx="126">
                  <c:v>W2244AHT</c:v>
                </c:pt>
                <c:pt idx="127">
                  <c:v>W2244AC</c:v>
                </c:pt>
                <c:pt idx="128">
                  <c:v>W2244AD</c:v>
                </c:pt>
                <c:pt idx="129">
                  <c:v>W2248ADT</c:v>
                </c:pt>
                <c:pt idx="130">
                  <c:v>W2252AHT</c:v>
                </c:pt>
                <c:pt idx="131">
                  <c:v>W2252AIT</c:v>
                </c:pt>
                <c:pt idx="132">
                  <c:v>W2252AR</c:v>
                </c:pt>
                <c:pt idx="133">
                  <c:v>W2252AJT</c:v>
                </c:pt>
                <c:pt idx="134">
                  <c:v>W2252AKT</c:v>
                </c:pt>
                <c:pt idx="135">
                  <c:v>W2252AMT</c:v>
                </c:pt>
                <c:pt idx="136">
                  <c:v>W2252AC</c:v>
                </c:pt>
                <c:pt idx="137">
                  <c:v>W2252AD</c:v>
                </c:pt>
                <c:pt idx="138">
                  <c:v>W2252AE</c:v>
                </c:pt>
                <c:pt idx="139">
                  <c:v>W2259ABT</c:v>
                </c:pt>
                <c:pt idx="140">
                  <c:v>W2259ACT</c:v>
                </c:pt>
                <c:pt idx="141">
                  <c:v>W2259ADT</c:v>
                </c:pt>
                <c:pt idx="142">
                  <c:v>W2259AET</c:v>
                </c:pt>
                <c:pt idx="143">
                  <c:v>W2259AFT</c:v>
                </c:pt>
                <c:pt idx="144">
                  <c:v>W2259AA</c:v>
                </c:pt>
                <c:pt idx="145">
                  <c:v>W2265AAT</c:v>
                </c:pt>
                <c:pt idx="146">
                  <c:v>W2265ABT</c:v>
                </c:pt>
                <c:pt idx="147">
                  <c:v>W2268AAT</c:v>
                </c:pt>
                <c:pt idx="148">
                  <c:v>W2268AD</c:v>
                </c:pt>
                <c:pt idx="149">
                  <c:v>W2268ABT</c:v>
                </c:pt>
                <c:pt idx="150">
                  <c:v>W5044AA</c:v>
                </c:pt>
                <c:pt idx="151">
                  <c:v>W2222AA</c:v>
                </c:pt>
                <c:pt idx="152">
                  <c:v>W2230AC</c:v>
                </c:pt>
                <c:pt idx="153">
                  <c:v>W2233AFT</c:v>
                </c:pt>
                <c:pt idx="154">
                  <c:v>W2232AHT</c:v>
                </c:pt>
                <c:pt idx="155">
                  <c:v>W2235AD</c:v>
                </c:pt>
                <c:pt idx="156">
                  <c:v>W2240AKT</c:v>
                </c:pt>
                <c:pt idx="157">
                  <c:v>W2223AB</c:v>
                </c:pt>
                <c:pt idx="158">
                  <c:v>W5037AA</c:v>
                </c:pt>
                <c:pt idx="159">
                  <c:v>W5039AA</c:v>
                </c:pt>
                <c:pt idx="160">
                  <c:v>W2239AHT</c:v>
                </c:pt>
                <c:pt idx="161">
                  <c:v>W2228ADT</c:v>
                </c:pt>
                <c:pt idx="162">
                  <c:v>W2236ADT</c:v>
                </c:pt>
                <c:pt idx="163">
                  <c:v>W2237AB</c:v>
                </c:pt>
                <c:pt idx="164">
                  <c:v>W2221AET</c:v>
                </c:pt>
                <c:pt idx="165">
                  <c:v>W2229AC</c:v>
                </c:pt>
                <c:pt idx="166">
                  <c:v>W2250AKT</c:v>
                </c:pt>
                <c:pt idx="167">
                  <c:v>W2250AI</c:v>
                </c:pt>
                <c:pt idx="168">
                  <c:v>W2219AET</c:v>
                </c:pt>
                <c:pt idx="169">
                  <c:v>W2227AF</c:v>
                </c:pt>
                <c:pt idx="170">
                  <c:v>W2222ABT</c:v>
                </c:pt>
                <c:pt idx="171">
                  <c:v>W2230ADT</c:v>
                </c:pt>
                <c:pt idx="172">
                  <c:v>W2247AB</c:v>
                </c:pt>
                <c:pt idx="173">
                  <c:v>W2247AC</c:v>
                </c:pt>
                <c:pt idx="174">
                  <c:v>W2250AOT</c:v>
                </c:pt>
                <c:pt idx="175">
                  <c:v>W2252APT</c:v>
                </c:pt>
                <c:pt idx="176">
                  <c:v>W2252AOT</c:v>
                </c:pt>
                <c:pt idx="177">
                  <c:v>W2229AB</c:v>
                </c:pt>
                <c:pt idx="178">
                  <c:v>W5048AA</c:v>
                </c:pt>
                <c:pt idx="179">
                  <c:v>W2248AB</c:v>
                </c:pt>
                <c:pt idx="180">
                  <c:v>W2249AHT</c:v>
                </c:pt>
                <c:pt idx="181">
                  <c:v>W2249AB</c:v>
                </c:pt>
                <c:pt idx="182">
                  <c:v>W2249AC</c:v>
                </c:pt>
                <c:pt idx="183">
                  <c:v>W2232AET</c:v>
                </c:pt>
                <c:pt idx="184">
                  <c:v>W2232AC</c:v>
                </c:pt>
                <c:pt idx="185">
                  <c:v>W2229AFT</c:v>
                </c:pt>
                <c:pt idx="186">
                  <c:v>W2232AFT</c:v>
                </c:pt>
                <c:pt idx="187">
                  <c:v>W2229AJT</c:v>
                </c:pt>
                <c:pt idx="188">
                  <c:v>W5039AB</c:v>
                </c:pt>
                <c:pt idx="189">
                  <c:v>W2240AT</c:v>
                </c:pt>
                <c:pt idx="190">
                  <c:v>W5021AA</c:v>
                </c:pt>
                <c:pt idx="191">
                  <c:v>W2250AQ</c:v>
                </c:pt>
                <c:pt idx="192">
                  <c:v>W2249AGT</c:v>
                </c:pt>
                <c:pt idx="193">
                  <c:v>W2251AHT</c:v>
                </c:pt>
                <c:pt idx="194">
                  <c:v>W2250ART</c:v>
                </c:pt>
                <c:pt idx="195">
                  <c:v>W2250AU</c:v>
                </c:pt>
                <c:pt idx="196">
                  <c:v>W2225AE</c:v>
                </c:pt>
                <c:pt idx="197">
                  <c:v>W2225AFT</c:v>
                </c:pt>
                <c:pt idx="198">
                  <c:v>W2225AHT</c:v>
                </c:pt>
                <c:pt idx="199">
                  <c:v>W5021AB</c:v>
                </c:pt>
                <c:pt idx="200">
                  <c:v>W2256AET</c:v>
                </c:pt>
                <c:pt idx="201">
                  <c:v>W2256AC</c:v>
                </c:pt>
                <c:pt idx="202">
                  <c:v>W2257ADT</c:v>
                </c:pt>
                <c:pt idx="203">
                  <c:v>W2258AHT</c:v>
                </c:pt>
                <c:pt idx="204">
                  <c:v>W5023AB</c:v>
                </c:pt>
                <c:pt idx="205">
                  <c:v>W5023AA</c:v>
                </c:pt>
                <c:pt idx="206">
                  <c:v>W2255AA</c:v>
                </c:pt>
                <c:pt idx="207">
                  <c:v>W2260AHT</c:v>
                </c:pt>
                <c:pt idx="208">
                  <c:v>W2260ACT</c:v>
                </c:pt>
                <c:pt idx="209">
                  <c:v>W2260AF</c:v>
                </c:pt>
                <c:pt idx="210">
                  <c:v>W2260AD</c:v>
                </c:pt>
                <c:pt idx="211">
                  <c:v>W2241AC</c:v>
                </c:pt>
                <c:pt idx="212">
                  <c:v>W2236AC</c:v>
                </c:pt>
                <c:pt idx="213">
                  <c:v>W2258AB</c:v>
                </c:pt>
                <c:pt idx="214">
                  <c:v>W2232AJ</c:v>
                </c:pt>
                <c:pt idx="215">
                  <c:v>W2252AQT</c:v>
                </c:pt>
                <c:pt idx="216">
                  <c:v>W2244AA</c:v>
                </c:pt>
                <c:pt idx="217">
                  <c:v>W2256AA</c:v>
                </c:pt>
                <c:pt idx="218">
                  <c:v>W2256AGT</c:v>
                </c:pt>
                <c:pt idx="219">
                  <c:v>W2240AOT</c:v>
                </c:pt>
                <c:pt idx="220">
                  <c:v>W2264AF</c:v>
                </c:pt>
                <c:pt idx="221">
                  <c:v>W2235AKT</c:v>
                </c:pt>
                <c:pt idx="222">
                  <c:v>W2233ACT</c:v>
                </c:pt>
                <c:pt idx="223">
                  <c:v>W5056AA</c:v>
                </c:pt>
                <c:pt idx="224">
                  <c:v>W2256AFT</c:v>
                </c:pt>
                <c:pt idx="225">
                  <c:v>W2247AET</c:v>
                </c:pt>
                <c:pt idx="226">
                  <c:v>W2256AB</c:v>
                </c:pt>
                <c:pt idx="227">
                  <c:v>W2258AG</c:v>
                </c:pt>
                <c:pt idx="228">
                  <c:v>W2258AD</c:v>
                </c:pt>
                <c:pt idx="229">
                  <c:v>W2260AKT</c:v>
                </c:pt>
                <c:pt idx="230">
                  <c:v>W2266AA</c:v>
                </c:pt>
                <c:pt idx="231">
                  <c:v>W2223ADT</c:v>
                </c:pt>
                <c:pt idx="232">
                  <c:v>W2258AJT</c:v>
                </c:pt>
                <c:pt idx="233">
                  <c:v>W2256AJT</c:v>
                </c:pt>
                <c:pt idx="234">
                  <c:v>W2230AFT</c:v>
                </c:pt>
                <c:pt idx="235">
                  <c:v>W2232AKT</c:v>
                </c:pt>
                <c:pt idx="236">
                  <c:v>W2235AI</c:v>
                </c:pt>
                <c:pt idx="237">
                  <c:v>W2235AJ</c:v>
                </c:pt>
                <c:pt idx="238">
                  <c:v>W2246AFT</c:v>
                </c:pt>
                <c:pt idx="239">
                  <c:v>W2246AB</c:v>
                </c:pt>
                <c:pt idx="240">
                  <c:v>W2262AHT</c:v>
                </c:pt>
                <c:pt idx="241">
                  <c:v>W5062AC</c:v>
                </c:pt>
                <c:pt idx="242">
                  <c:v>W2262AIT</c:v>
                </c:pt>
                <c:pt idx="243">
                  <c:v>W2240AU</c:v>
                </c:pt>
                <c:pt idx="244">
                  <c:v>W2240AG</c:v>
                </c:pt>
                <c:pt idx="245">
                  <c:v>W2249ALT</c:v>
                </c:pt>
                <c:pt idx="246">
                  <c:v>W2249AE</c:v>
                </c:pt>
                <c:pt idx="247">
                  <c:v>W5075AA</c:v>
                </c:pt>
                <c:pt idx="248">
                  <c:v>W5017AB</c:v>
                </c:pt>
                <c:pt idx="249">
                  <c:v>W2229AG</c:v>
                </c:pt>
                <c:pt idx="250">
                  <c:v>W2221AD</c:v>
                </c:pt>
                <c:pt idx="251">
                  <c:v>W2227AK</c:v>
                </c:pt>
                <c:pt idx="252">
                  <c:v>W2234AAT</c:v>
                </c:pt>
                <c:pt idx="253">
                  <c:v>W2265AET</c:v>
                </c:pt>
                <c:pt idx="254">
                  <c:v>W2245AB</c:v>
                </c:pt>
                <c:pt idx="255">
                  <c:v>W5065AB</c:v>
                </c:pt>
                <c:pt idx="256">
                  <c:v>W5056AC</c:v>
                </c:pt>
                <c:pt idx="257">
                  <c:v>W2240AF</c:v>
                </c:pt>
                <c:pt idx="258">
                  <c:v>W2219AA</c:v>
                </c:pt>
                <c:pt idx="259">
                  <c:v>W2218AAT</c:v>
                </c:pt>
                <c:pt idx="260">
                  <c:v>W2225ACT</c:v>
                </c:pt>
                <c:pt idx="261">
                  <c:v>W2264AE</c:v>
                </c:pt>
                <c:pt idx="262">
                  <c:v>W2258AET</c:v>
                </c:pt>
                <c:pt idx="263">
                  <c:v>W5048AD</c:v>
                </c:pt>
                <c:pt idx="264">
                  <c:v>W5048AB</c:v>
                </c:pt>
                <c:pt idx="265">
                  <c:v>W2260AB</c:v>
                </c:pt>
                <c:pt idx="266">
                  <c:v>W2236AB</c:v>
                </c:pt>
                <c:pt idx="267">
                  <c:v>W5062AB</c:v>
                </c:pt>
                <c:pt idx="268">
                  <c:v>W5062AD</c:v>
                </c:pt>
                <c:pt idx="269">
                  <c:v>W5068AB</c:v>
                </c:pt>
                <c:pt idx="270">
                  <c:v>W5072AA</c:v>
                </c:pt>
                <c:pt idx="271">
                  <c:v>W2262AF</c:v>
                </c:pt>
                <c:pt idx="272">
                  <c:v>W2237AB (copy)</c:v>
                </c:pt>
                <c:pt idx="273">
                  <c:v>W2266AB (copy)</c:v>
                </c:pt>
                <c:pt idx="274">
                  <c:v>W2250APT</c:v>
                </c:pt>
                <c:pt idx="275">
                  <c:v>W2229AAT</c:v>
                </c:pt>
                <c:pt idx="276">
                  <c:v>W2233AA</c:v>
                </c:pt>
                <c:pt idx="277">
                  <c:v>W2233ABT</c:v>
                </c:pt>
                <c:pt idx="278">
                  <c:v>W5040AA</c:v>
                </c:pt>
                <c:pt idx="279">
                  <c:v>W2240AP</c:v>
                </c:pt>
                <c:pt idx="280">
                  <c:v>W2242AA</c:v>
                </c:pt>
                <c:pt idx="281">
                  <c:v>W2248AGT</c:v>
                </c:pt>
                <c:pt idx="282">
                  <c:v>W5048AC</c:v>
                </c:pt>
                <c:pt idx="283">
                  <c:v>W2232ADT</c:v>
                </c:pt>
                <c:pt idx="284">
                  <c:v>W5027AA</c:v>
                </c:pt>
                <c:pt idx="285">
                  <c:v>W5056AB</c:v>
                </c:pt>
                <c:pt idx="286">
                  <c:v>W2230ABT</c:v>
                </c:pt>
                <c:pt idx="287">
                  <c:v>W2222ACT</c:v>
                </c:pt>
                <c:pt idx="288">
                  <c:v>W2227AAT</c:v>
                </c:pt>
                <c:pt idx="289">
                  <c:v>W2228AET</c:v>
                </c:pt>
                <c:pt idx="290">
                  <c:v>W2228AC</c:v>
                </c:pt>
                <c:pt idx="291">
                  <c:v>W2235AFT</c:v>
                </c:pt>
                <c:pt idx="292">
                  <c:v>W2251ADT</c:v>
                </c:pt>
                <c:pt idx="293">
                  <c:v>W2253AB</c:v>
                </c:pt>
                <c:pt idx="294">
                  <c:v>W2227AQT</c:v>
                </c:pt>
                <c:pt idx="295">
                  <c:v>W2225AB</c:v>
                </c:pt>
                <c:pt idx="296">
                  <c:v>W2244AJ</c:v>
                </c:pt>
                <c:pt idx="297">
                  <c:v>W2247ADT</c:v>
                </c:pt>
                <c:pt idx="298">
                  <c:v>W2239AEH (copy)</c:v>
                </c:pt>
                <c:pt idx="299">
                  <c:v>W5063AA</c:v>
                </c:pt>
                <c:pt idx="300">
                  <c:v>W5048AB (copy)</c:v>
                </c:pt>
                <c:pt idx="301">
                  <c:v>W2229AB (copy)</c:v>
                </c:pt>
                <c:pt idx="302">
                  <c:v>W5046AA</c:v>
                </c:pt>
                <c:pt idx="303">
                  <c:v>W5044AB</c:v>
                </c:pt>
                <c:pt idx="304">
                  <c:v>W2249AF</c:v>
                </c:pt>
                <c:pt idx="305">
                  <c:v>W2251AB</c:v>
                </c:pt>
                <c:pt idx="306">
                  <c:v>W2251AC</c:v>
                </c:pt>
                <c:pt idx="307">
                  <c:v>W2232ALT</c:v>
                </c:pt>
                <c:pt idx="308">
                  <c:v>W2222ADT</c:v>
                </c:pt>
                <c:pt idx="309">
                  <c:v>W2231ACT</c:v>
                </c:pt>
                <c:pt idx="310">
                  <c:v>W2231ADT</c:v>
                </c:pt>
                <c:pt idx="311">
                  <c:v>W2232AIT</c:v>
                </c:pt>
                <c:pt idx="312">
                  <c:v>W2224ACT</c:v>
                </c:pt>
                <c:pt idx="313">
                  <c:v>W2255AF</c:v>
                </c:pt>
                <c:pt idx="314">
                  <c:v>W2247AHT</c:v>
                </c:pt>
                <c:pt idx="315">
                  <c:v>W2232AGT</c:v>
                </c:pt>
                <c:pt idx="316">
                  <c:v>W2238ABT</c:v>
                </c:pt>
                <c:pt idx="317">
                  <c:v>W2240ART</c:v>
                </c:pt>
                <c:pt idx="318">
                  <c:v>W2232AMT</c:v>
                </c:pt>
                <c:pt idx="319">
                  <c:v>W5047AA</c:v>
                </c:pt>
                <c:pt idx="320">
                  <c:v>W5047AB</c:v>
                </c:pt>
                <c:pt idx="321">
                  <c:v>W2246AGT</c:v>
                </c:pt>
                <c:pt idx="322">
                  <c:v>W2225AJT</c:v>
                </c:pt>
                <c:pt idx="323">
                  <c:v>W2246AIT</c:v>
                </c:pt>
                <c:pt idx="324">
                  <c:v>W2219AC</c:v>
                </c:pt>
                <c:pt idx="325">
                  <c:v>W2226AD</c:v>
                </c:pt>
                <c:pt idx="326">
                  <c:v>W2228AAT</c:v>
                </c:pt>
                <c:pt idx="327">
                  <c:v>W5029AA</c:v>
                </c:pt>
                <c:pt idx="328">
                  <c:v>W2240AWT</c:v>
                </c:pt>
                <c:pt idx="329">
                  <c:v>W2240AS</c:v>
                </c:pt>
                <c:pt idx="330">
                  <c:v>W5063AB</c:v>
                </c:pt>
                <c:pt idx="331">
                  <c:v>W2239AD</c:v>
                </c:pt>
                <c:pt idx="332">
                  <c:v>W2241AF</c:v>
                </c:pt>
                <c:pt idx="333">
                  <c:v>W2043</c:v>
                </c:pt>
                <c:pt idx="334">
                  <c:v>W2045AA</c:v>
                </c:pt>
                <c:pt idx="335">
                  <c:v>W1340AA</c:v>
                </c:pt>
                <c:pt idx="336">
                  <c:v>W1342AA</c:v>
                </c:pt>
                <c:pt idx="337">
                  <c:v>W1353</c:v>
                </c:pt>
                <c:pt idx="338">
                  <c:v>W1353AA</c:v>
                </c:pt>
                <c:pt idx="339">
                  <c:v>W1355AA</c:v>
                </c:pt>
                <c:pt idx="340">
                  <c:v>W2246AE</c:v>
                </c:pt>
                <c:pt idx="341">
                  <c:v>W2250AS</c:v>
                </c:pt>
                <c:pt idx="342">
                  <c:v>W2258AF</c:v>
                </c:pt>
                <c:pt idx="343">
                  <c:v>W2260AG</c:v>
                </c:pt>
                <c:pt idx="344">
                  <c:v>W2217AB</c:v>
                </c:pt>
                <c:pt idx="345">
                  <c:v>W2217AC</c:v>
                </c:pt>
                <c:pt idx="346">
                  <c:v>W2241AG</c:v>
                </c:pt>
                <c:pt idx="347">
                  <c:v>W2212AB</c:v>
                </c:pt>
                <c:pt idx="348">
                  <c:v>W2217AA</c:v>
                </c:pt>
                <c:pt idx="349">
                  <c:v>W2245AF</c:v>
                </c:pt>
                <c:pt idx="350">
                  <c:v>W2241AG</c:v>
                </c:pt>
                <c:pt idx="351">
                  <c:v>W2240AH</c:v>
                </c:pt>
                <c:pt idx="352">
                  <c:v>W2240AN</c:v>
                </c:pt>
                <c:pt idx="353">
                  <c:v>W2251AF</c:v>
                </c:pt>
                <c:pt idx="354">
                  <c:v>W2251AG</c:v>
                </c:pt>
                <c:pt idx="355">
                  <c:v>W1240AA</c:v>
                </c:pt>
                <c:pt idx="356">
                  <c:v>W5043</c:v>
                </c:pt>
                <c:pt idx="357">
                  <c:v>W1340AB</c:v>
                </c:pt>
                <c:pt idx="358">
                  <c:v>W2340</c:v>
                </c:pt>
                <c:pt idx="359">
                  <c:v>W1342AB</c:v>
                </c:pt>
                <c:pt idx="360">
                  <c:v>W1340</c:v>
                </c:pt>
                <c:pt idx="361">
                  <c:v>W2240AC</c:v>
                </c:pt>
                <c:pt idx="362">
                  <c:v>W2240AD</c:v>
                </c:pt>
                <c:pt idx="363">
                  <c:v>W1240</c:v>
                </c:pt>
                <c:pt idx="364">
                  <c:v>W1240AB</c:v>
                </c:pt>
                <c:pt idx="365">
                  <c:v>W1240AC</c:v>
                </c:pt>
                <c:pt idx="366">
                  <c:v>W1240AD</c:v>
                </c:pt>
                <c:pt idx="367">
                  <c:v>W2242AB</c:v>
                </c:pt>
                <c:pt idx="368">
                  <c:v>W1242AA</c:v>
                </c:pt>
                <c:pt idx="369">
                  <c:v>W2245AC</c:v>
                </c:pt>
                <c:pt idx="370">
                  <c:v>W2249AK</c:v>
                </c:pt>
                <c:pt idx="371">
                  <c:v>W2251AI</c:v>
                </c:pt>
                <c:pt idx="372">
                  <c:v>W2256AI</c:v>
                </c:pt>
                <c:pt idx="373">
                  <c:v>W2233AH</c:v>
                </c:pt>
                <c:pt idx="374">
                  <c:v>W2233AG</c:v>
                </c:pt>
                <c:pt idx="375">
                  <c:v>W2233AE</c:v>
                </c:pt>
                <c:pt idx="376">
                  <c:v>W2238AA</c:v>
                </c:pt>
                <c:pt idx="377">
                  <c:v>W2243AB</c:v>
                </c:pt>
                <c:pt idx="378">
                  <c:v>W1338</c:v>
                </c:pt>
                <c:pt idx="379">
                  <c:v>W1340AC</c:v>
                </c:pt>
                <c:pt idx="380">
                  <c:v>W2252AL</c:v>
                </c:pt>
                <c:pt idx="381">
                  <c:v>W2254AG</c:v>
                </c:pt>
                <c:pt idx="382">
                  <c:v>W2263AA</c:v>
                </c:pt>
                <c:pt idx="383">
                  <c:v>W2257AF</c:v>
                </c:pt>
                <c:pt idx="384">
                  <c:v>W2260AL</c:v>
                </c:pt>
                <c:pt idx="385">
                  <c:v>W2263AB</c:v>
                </c:pt>
                <c:pt idx="386">
                  <c:v>W2249AA</c:v>
                </c:pt>
                <c:pt idx="387">
                  <c:v>W2255AB</c:v>
                </c:pt>
                <c:pt idx="388">
                  <c:v>W2257AE</c:v>
                </c:pt>
                <c:pt idx="389">
                  <c:v>W2262AG</c:v>
                </c:pt>
                <c:pt idx="390">
                  <c:v>W2267AB</c:v>
                </c:pt>
                <c:pt idx="391">
                  <c:v>W2255AG</c:v>
                </c:pt>
                <c:pt idx="392">
                  <c:v>W2243AA</c:v>
                </c:pt>
                <c:pt idx="393">
                  <c:v>W1243AB</c:v>
                </c:pt>
                <c:pt idx="394">
                  <c:v>W1243</c:v>
                </c:pt>
                <c:pt idx="395">
                  <c:v>W1243AA</c:v>
                </c:pt>
                <c:pt idx="396">
                  <c:v>W1245AA</c:v>
                </c:pt>
                <c:pt idx="397">
                  <c:v>W2249AI</c:v>
                </c:pt>
                <c:pt idx="398">
                  <c:v>W2248AC</c:v>
                </c:pt>
                <c:pt idx="399">
                  <c:v>W2248AI</c:v>
                </c:pt>
                <c:pt idx="400">
                  <c:v>W2257AB</c:v>
                </c:pt>
                <c:pt idx="401">
                  <c:v>W2254AC</c:v>
                </c:pt>
                <c:pt idx="402">
                  <c:v>W2220AF</c:v>
                </c:pt>
                <c:pt idx="403">
                  <c:v>W2248AF</c:v>
                </c:pt>
                <c:pt idx="404">
                  <c:v>W2239AF</c:v>
                </c:pt>
                <c:pt idx="405">
                  <c:v>W2238AC</c:v>
                </c:pt>
                <c:pt idx="406">
                  <c:v>W2243AC</c:v>
                </c:pt>
                <c:pt idx="407">
                  <c:v>W2243ACH</c:v>
                </c:pt>
                <c:pt idx="408">
                  <c:v>W2248AHH</c:v>
                </c:pt>
                <c:pt idx="409">
                  <c:v>W2237AF</c:v>
                </c:pt>
                <c:pt idx="410">
                  <c:v>W2237AG</c:v>
                </c:pt>
                <c:pt idx="411">
                  <c:v>W2237ADH</c:v>
                </c:pt>
                <c:pt idx="412">
                  <c:v>W2237AAH</c:v>
                </c:pt>
                <c:pt idx="413">
                  <c:v>W2237ACH</c:v>
                </c:pt>
                <c:pt idx="414">
                  <c:v>W2237AEH</c:v>
                </c:pt>
                <c:pt idx="415">
                  <c:v>W2256AH</c:v>
                </c:pt>
                <c:pt idx="416">
                  <c:v>W2265AC</c:v>
                </c:pt>
                <c:pt idx="417">
                  <c:v>W2240AM</c:v>
                </c:pt>
                <c:pt idx="418">
                  <c:v>W2240AV</c:v>
                </c:pt>
                <c:pt idx="419">
                  <c:v>W2256AD</c:v>
                </c:pt>
                <c:pt idx="420">
                  <c:v>W2256AK</c:v>
                </c:pt>
                <c:pt idx="421">
                  <c:v>W2244AI</c:v>
                </c:pt>
                <c:pt idx="422">
                  <c:v>W2244AO</c:v>
                </c:pt>
                <c:pt idx="423">
                  <c:v>W2248AE</c:v>
                </c:pt>
                <c:pt idx="424">
                  <c:v>W2248AJ</c:v>
                </c:pt>
                <c:pt idx="425">
                  <c:v>W2248AL</c:v>
                </c:pt>
                <c:pt idx="426">
                  <c:v>W2248AM</c:v>
                </c:pt>
                <c:pt idx="427">
                  <c:v>W2348AA</c:v>
                </c:pt>
                <c:pt idx="428">
                  <c:v>W2362AA</c:v>
                </c:pt>
                <c:pt idx="429">
                  <c:v>W2264AH</c:v>
                </c:pt>
                <c:pt idx="430">
                  <c:v>W2252AF</c:v>
                </c:pt>
                <c:pt idx="431">
                  <c:v>W2252AN</c:v>
                </c:pt>
                <c:pt idx="432">
                  <c:v>W2252AS</c:v>
                </c:pt>
                <c:pt idx="433">
                  <c:v>W2342AB</c:v>
                </c:pt>
                <c:pt idx="434">
                  <c:v>W2344AA</c:v>
                </c:pt>
                <c:pt idx="435">
                  <c:v>W2050AA</c:v>
                </c:pt>
                <c:pt idx="436">
                  <c:v>W2045AC</c:v>
                </c:pt>
                <c:pt idx="437">
                  <c:v>W2045AD</c:v>
                </c:pt>
                <c:pt idx="438">
                  <c:v>W2241AI</c:v>
                </c:pt>
                <c:pt idx="439">
                  <c:v>W2249AJ</c:v>
                </c:pt>
                <c:pt idx="440">
                  <c:v>W2241AB</c:v>
                </c:pt>
                <c:pt idx="441">
                  <c:v>W2245AD</c:v>
                </c:pt>
                <c:pt idx="442">
                  <c:v>W2034AA</c:v>
                </c:pt>
                <c:pt idx="443">
                  <c:v>W1034AA</c:v>
                </c:pt>
                <c:pt idx="444">
                  <c:v>W2030AA</c:v>
                </c:pt>
                <c:pt idx="445">
                  <c:v>W2040AA</c:v>
                </c:pt>
                <c:pt idx="446">
                  <c:v>W1040AA</c:v>
                </c:pt>
                <c:pt idx="447">
                  <c:v>W2040AB</c:v>
                </c:pt>
                <c:pt idx="448">
                  <c:v>W2240AQ</c:v>
                </c:pt>
                <c:pt idx="449">
                  <c:v>W2240AB</c:v>
                </c:pt>
                <c:pt idx="450">
                  <c:v>W2240AA</c:v>
                </c:pt>
                <c:pt idx="451">
                  <c:v>W2232AB</c:v>
                </c:pt>
                <c:pt idx="452">
                  <c:v>W2038AA</c:v>
                </c:pt>
                <c:pt idx="453">
                  <c:v>W2248AA</c:v>
                </c:pt>
                <c:pt idx="454">
                  <c:v>W5036</c:v>
                </c:pt>
                <c:pt idx="455">
                  <c:v>W5036AB</c:v>
                </c:pt>
                <c:pt idx="456">
                  <c:v>W2260AE</c:v>
                </c:pt>
                <c:pt idx="457">
                  <c:v>W2036AA</c:v>
                </c:pt>
                <c:pt idx="458">
                  <c:v>W2236AA</c:v>
                </c:pt>
                <c:pt idx="459">
                  <c:v>W2252AB</c:v>
                </c:pt>
                <c:pt idx="460">
                  <c:v>W5045AA</c:v>
                </c:pt>
                <c:pt idx="461">
                  <c:v>W5022AB</c:v>
                </c:pt>
                <c:pt idx="462">
                  <c:v>W2272AD</c:v>
                </c:pt>
                <c:pt idx="463">
                  <c:v>W2244AM</c:v>
                </c:pt>
                <c:pt idx="464">
                  <c:v>W2250AV</c:v>
                </c:pt>
                <c:pt idx="465">
                  <c:v>W2241AK</c:v>
                </c:pt>
                <c:pt idx="466">
                  <c:v>W2245AG</c:v>
                </c:pt>
                <c:pt idx="467">
                  <c:v>W2264AA</c:v>
                </c:pt>
                <c:pt idx="468">
                  <c:v>W2267AA</c:v>
                </c:pt>
                <c:pt idx="469">
                  <c:v>W2262AC</c:v>
                </c:pt>
                <c:pt idx="470">
                  <c:v>W2264AD</c:v>
                </c:pt>
                <c:pt idx="471">
                  <c:v>W2272AB</c:v>
                </c:pt>
                <c:pt idx="472">
                  <c:v>W2272AC</c:v>
                </c:pt>
                <c:pt idx="473">
                  <c:v>W2272AE</c:v>
                </c:pt>
                <c:pt idx="474">
                  <c:v>W2254AF</c:v>
                </c:pt>
                <c:pt idx="475">
                  <c:v>W2254AK</c:v>
                </c:pt>
                <c:pt idx="476">
                  <c:v>W2220AE</c:v>
                </c:pt>
                <c:pt idx="477">
                  <c:v>W2222AF</c:v>
                </c:pt>
                <c:pt idx="478">
                  <c:v>W2225AG</c:v>
                </c:pt>
                <c:pt idx="479">
                  <c:v>W2254AJ</c:v>
                </c:pt>
                <c:pt idx="480">
                  <c:v>W2240AE</c:v>
                </c:pt>
                <c:pt idx="481">
                  <c:v>W2041AA</c:v>
                </c:pt>
                <c:pt idx="482">
                  <c:v>W2267AC</c:v>
                </c:pt>
                <c:pt idx="483">
                  <c:v>W2260AJ</c:v>
                </c:pt>
                <c:pt idx="484">
                  <c:v>W2235AA</c:v>
                </c:pt>
                <c:pt idx="485">
                  <c:v>W2251AE</c:v>
                </c:pt>
                <c:pt idx="486">
                  <c:v>W2241AA</c:v>
                </c:pt>
                <c:pt idx="487">
                  <c:v>W1241</c:v>
                </c:pt>
                <c:pt idx="488">
                  <c:v>W1241AC</c:v>
                </c:pt>
                <c:pt idx="489">
                  <c:v>W2231AA</c:v>
                </c:pt>
              </c:strCache>
            </c:strRef>
          </c:cat>
          <c:val>
            <c:numRef>
              <c:f>'W-code list'!$V$6:$V$495</c:f>
              <c:numCache>
                <c:formatCode>General</c:formatCode>
                <c:ptCount val="490"/>
                <c:pt idx="0">
                  <c:v>450</c:v>
                </c:pt>
                <c:pt idx="1">
                  <c:v>500</c:v>
                </c:pt>
                <c:pt idx="2">
                  <c:v>500</c:v>
                </c:pt>
                <c:pt idx="3">
                  <c:v>440</c:v>
                </c:pt>
                <c:pt idx="4">
                  <c:v>440</c:v>
                </c:pt>
                <c:pt idx="5">
                  <c:v>550</c:v>
                </c:pt>
                <c:pt idx="6">
                  <c:v>617</c:v>
                </c:pt>
                <c:pt idx="7">
                  <c:v>580</c:v>
                </c:pt>
                <c:pt idx="8">
                  <c:v>598</c:v>
                </c:pt>
                <c:pt idx="9">
                  <c:v>685</c:v>
                </c:pt>
                <c:pt idx="10">
                  <c:v>710</c:v>
                </c:pt>
                <c:pt idx="11">
                  <c:v>750</c:v>
                </c:pt>
                <c:pt idx="12">
                  <c:v>740</c:v>
                </c:pt>
                <c:pt idx="13">
                  <c:v>740</c:v>
                </c:pt>
                <c:pt idx="14">
                  <c:v>740</c:v>
                </c:pt>
                <c:pt idx="15">
                  <c:v>740</c:v>
                </c:pt>
                <c:pt idx="16">
                  <c:v>740</c:v>
                </c:pt>
                <c:pt idx="17">
                  <c:v>650</c:v>
                </c:pt>
                <c:pt idx="18">
                  <c:v>705</c:v>
                </c:pt>
                <c:pt idx="19">
                  <c:v>705</c:v>
                </c:pt>
                <c:pt idx="20">
                  <c:v>550</c:v>
                </c:pt>
                <c:pt idx="21">
                  <c:v>600</c:v>
                </c:pt>
                <c:pt idx="22">
                  <c:v>670</c:v>
                </c:pt>
                <c:pt idx="23">
                  <c:v>600</c:v>
                </c:pt>
                <c:pt idx="24">
                  <c:v>560</c:v>
                </c:pt>
                <c:pt idx="25">
                  <c:v>560</c:v>
                </c:pt>
                <c:pt idx="26">
                  <c:v>600</c:v>
                </c:pt>
                <c:pt idx="27">
                  <c:v>520</c:v>
                </c:pt>
                <c:pt idx="28">
                  <c:v>700</c:v>
                </c:pt>
                <c:pt idx="29">
                  <c:v>550</c:v>
                </c:pt>
                <c:pt idx="30">
                  <c:v>0</c:v>
                </c:pt>
                <c:pt idx="31">
                  <c:v>0</c:v>
                </c:pt>
                <c:pt idx="32">
                  <c:v>0</c:v>
                </c:pt>
                <c:pt idx="33">
                  <c:v>0</c:v>
                </c:pt>
                <c:pt idx="34">
                  <c:v>520</c:v>
                </c:pt>
                <c:pt idx="35">
                  <c:v>450</c:v>
                </c:pt>
                <c:pt idx="36">
                  <c:v>600</c:v>
                </c:pt>
                <c:pt idx="37">
                  <c:v>505</c:v>
                </c:pt>
                <c:pt idx="38">
                  <c:v>550</c:v>
                </c:pt>
                <c:pt idx="39">
                  <c:v>550</c:v>
                </c:pt>
                <c:pt idx="40">
                  <c:v>550</c:v>
                </c:pt>
                <c:pt idx="41">
                  <c:v>700</c:v>
                </c:pt>
                <c:pt idx="42">
                  <c:v>760</c:v>
                </c:pt>
                <c:pt idx="43">
                  <c:v>750</c:v>
                </c:pt>
                <c:pt idx="44">
                  <c:v>750</c:v>
                </c:pt>
                <c:pt idx="45">
                  <c:v>600</c:v>
                </c:pt>
                <c:pt idx="46">
                  <c:v>750</c:v>
                </c:pt>
                <c:pt idx="47">
                  <c:v>622</c:v>
                </c:pt>
                <c:pt idx="48">
                  <c:v>570</c:v>
                </c:pt>
                <c:pt idx="49">
                  <c:v>550</c:v>
                </c:pt>
                <c:pt idx="50">
                  <c:v>0</c:v>
                </c:pt>
                <c:pt idx="51">
                  <c:v>0</c:v>
                </c:pt>
                <c:pt idx="52">
                  <c:v>0</c:v>
                </c:pt>
                <c:pt idx="53">
                  <c:v>0</c:v>
                </c:pt>
                <c:pt idx="54">
                  <c:v>0</c:v>
                </c:pt>
                <c:pt idx="55">
                  <c:v>0</c:v>
                </c:pt>
                <c:pt idx="56">
                  <c:v>650</c:v>
                </c:pt>
                <c:pt idx="57">
                  <c:v>550</c:v>
                </c:pt>
                <c:pt idx="58">
                  <c:v>533</c:v>
                </c:pt>
                <c:pt idx="59">
                  <c:v>605</c:v>
                </c:pt>
                <c:pt idx="60">
                  <c:v>605</c:v>
                </c:pt>
                <c:pt idx="61">
                  <c:v>605</c:v>
                </c:pt>
                <c:pt idx="62">
                  <c:v>580</c:v>
                </c:pt>
                <c:pt idx="63">
                  <c:v>470</c:v>
                </c:pt>
                <c:pt idx="64">
                  <c:v>600</c:v>
                </c:pt>
                <c:pt idx="65">
                  <c:v>600</c:v>
                </c:pt>
                <c:pt idx="66">
                  <c:v>590</c:v>
                </c:pt>
                <c:pt idx="67">
                  <c:v>600</c:v>
                </c:pt>
                <c:pt idx="68">
                  <c:v>600</c:v>
                </c:pt>
                <c:pt idx="69">
                  <c:v>800</c:v>
                </c:pt>
                <c:pt idx="70">
                  <c:v>850</c:v>
                </c:pt>
                <c:pt idx="71">
                  <c:v>850</c:v>
                </c:pt>
                <c:pt idx="72">
                  <c:v>890</c:v>
                </c:pt>
                <c:pt idx="73">
                  <c:v>630</c:v>
                </c:pt>
                <c:pt idx="74">
                  <c:v>538</c:v>
                </c:pt>
                <c:pt idx="75">
                  <c:v>600</c:v>
                </c:pt>
                <c:pt idx="76">
                  <c:v>560</c:v>
                </c:pt>
                <c:pt idx="77">
                  <c:v>580</c:v>
                </c:pt>
                <c:pt idx="79">
                  <c:v>600</c:v>
                </c:pt>
                <c:pt idx="80">
                  <c:v>600</c:v>
                </c:pt>
                <c:pt idx="81">
                  <c:v>600</c:v>
                </c:pt>
                <c:pt idx="82">
                  <c:v>430</c:v>
                </c:pt>
                <c:pt idx="83">
                  <c:v>430</c:v>
                </c:pt>
                <c:pt idx="84">
                  <c:v>600</c:v>
                </c:pt>
                <c:pt idx="85">
                  <c:v>580</c:v>
                </c:pt>
                <c:pt idx="86">
                  <c:v>600</c:v>
                </c:pt>
                <c:pt idx="87">
                  <c:v>550</c:v>
                </c:pt>
                <c:pt idx="88">
                  <c:v>550</c:v>
                </c:pt>
                <c:pt idx="89">
                  <c:v>600</c:v>
                </c:pt>
                <c:pt idx="90">
                  <c:v>600</c:v>
                </c:pt>
                <c:pt idx="91">
                  <c:v>600</c:v>
                </c:pt>
                <c:pt idx="92">
                  <c:v>600</c:v>
                </c:pt>
                <c:pt idx="96">
                  <c:v>750</c:v>
                </c:pt>
                <c:pt idx="97">
                  <c:v>750</c:v>
                </c:pt>
                <c:pt idx="98">
                  <c:v>700</c:v>
                </c:pt>
                <c:pt idx="99">
                  <c:v>700</c:v>
                </c:pt>
                <c:pt idx="100">
                  <c:v>700</c:v>
                </c:pt>
                <c:pt idx="101">
                  <c:v>700</c:v>
                </c:pt>
                <c:pt idx="102">
                  <c:v>600</c:v>
                </c:pt>
                <c:pt idx="103">
                  <c:v>910</c:v>
                </c:pt>
                <c:pt idx="104">
                  <c:v>920</c:v>
                </c:pt>
                <c:pt idx="105">
                  <c:v>700</c:v>
                </c:pt>
                <c:pt idx="106">
                  <c:v>750</c:v>
                </c:pt>
                <c:pt idx="107">
                  <c:v>600</c:v>
                </c:pt>
                <c:pt idx="108">
                  <c:v>600</c:v>
                </c:pt>
                <c:pt idx="109">
                  <c:v>600</c:v>
                </c:pt>
                <c:pt idx="110">
                  <c:v>620</c:v>
                </c:pt>
                <c:pt idx="111">
                  <c:v>480</c:v>
                </c:pt>
                <c:pt idx="112">
                  <c:v>600</c:v>
                </c:pt>
                <c:pt idx="113">
                  <c:v>600</c:v>
                </c:pt>
                <c:pt idx="114">
                  <c:v>600</c:v>
                </c:pt>
                <c:pt idx="115">
                  <c:v>600</c:v>
                </c:pt>
                <c:pt idx="116">
                  <c:v>600</c:v>
                </c:pt>
                <c:pt idx="117">
                  <c:v>550</c:v>
                </c:pt>
                <c:pt idx="118">
                  <c:v>600</c:v>
                </c:pt>
                <c:pt idx="119">
                  <c:v>500</c:v>
                </c:pt>
                <c:pt idx="120">
                  <c:v>550</c:v>
                </c:pt>
                <c:pt idx="121">
                  <c:v>600</c:v>
                </c:pt>
                <c:pt idx="122">
                  <c:v>570</c:v>
                </c:pt>
                <c:pt idx="123">
                  <c:v>570</c:v>
                </c:pt>
                <c:pt idx="124">
                  <c:v>600</c:v>
                </c:pt>
                <c:pt idx="125">
                  <c:v>500</c:v>
                </c:pt>
                <c:pt idx="126">
                  <c:v>600</c:v>
                </c:pt>
                <c:pt idx="127">
                  <c:v>620</c:v>
                </c:pt>
                <c:pt idx="128">
                  <c:v>620</c:v>
                </c:pt>
                <c:pt idx="129">
                  <c:v>550</c:v>
                </c:pt>
                <c:pt idx="130">
                  <c:v>480</c:v>
                </c:pt>
                <c:pt idx="131">
                  <c:v>580</c:v>
                </c:pt>
                <c:pt idx="132">
                  <c:v>580</c:v>
                </c:pt>
                <c:pt idx="133">
                  <c:v>580</c:v>
                </c:pt>
                <c:pt idx="134">
                  <c:v>580</c:v>
                </c:pt>
                <c:pt idx="135">
                  <c:v>500</c:v>
                </c:pt>
                <c:pt idx="136">
                  <c:v>630</c:v>
                </c:pt>
                <c:pt idx="137">
                  <c:v>630</c:v>
                </c:pt>
                <c:pt idx="138">
                  <c:v>630</c:v>
                </c:pt>
                <c:pt idx="139">
                  <c:v>490</c:v>
                </c:pt>
                <c:pt idx="140">
                  <c:v>600</c:v>
                </c:pt>
                <c:pt idx="141">
                  <c:v>500</c:v>
                </c:pt>
                <c:pt idx="142">
                  <c:v>600</c:v>
                </c:pt>
                <c:pt idx="143">
                  <c:v>550</c:v>
                </c:pt>
                <c:pt idx="144">
                  <c:v>630</c:v>
                </c:pt>
                <c:pt idx="145">
                  <c:v>600</c:v>
                </c:pt>
                <c:pt idx="146">
                  <c:v>600</c:v>
                </c:pt>
                <c:pt idx="147">
                  <c:v>580</c:v>
                </c:pt>
                <c:pt idx="148">
                  <c:v>580</c:v>
                </c:pt>
                <c:pt idx="149">
                  <c:v>580</c:v>
                </c:pt>
                <c:pt idx="150">
                  <c:v>550</c:v>
                </c:pt>
                <c:pt idx="151">
                  <c:v>629</c:v>
                </c:pt>
                <c:pt idx="152">
                  <c:v>650</c:v>
                </c:pt>
                <c:pt idx="153">
                  <c:v>600</c:v>
                </c:pt>
                <c:pt idx="154">
                  <c:v>600</c:v>
                </c:pt>
                <c:pt idx="155">
                  <c:v>600</c:v>
                </c:pt>
                <c:pt idx="156">
                  <c:v>600</c:v>
                </c:pt>
                <c:pt idx="157">
                  <c:v>600</c:v>
                </c:pt>
                <c:pt idx="158">
                  <c:v>600</c:v>
                </c:pt>
                <c:pt idx="159">
                  <c:v>600</c:v>
                </c:pt>
                <c:pt idx="160">
                  <c:v>650</c:v>
                </c:pt>
                <c:pt idx="161">
                  <c:v>600</c:v>
                </c:pt>
                <c:pt idx="162">
                  <c:v>600</c:v>
                </c:pt>
                <c:pt idx="163">
                  <c:v>428</c:v>
                </c:pt>
                <c:pt idx="164">
                  <c:v>0</c:v>
                </c:pt>
                <c:pt idx="165">
                  <c:v>0</c:v>
                </c:pt>
                <c:pt idx="166">
                  <c:v>356</c:v>
                </c:pt>
                <c:pt idx="167">
                  <c:v>356</c:v>
                </c:pt>
                <c:pt idx="168">
                  <c:v>600</c:v>
                </c:pt>
                <c:pt idx="169">
                  <c:v>600</c:v>
                </c:pt>
                <c:pt idx="170">
                  <c:v>600</c:v>
                </c:pt>
                <c:pt idx="171">
                  <c:v>600</c:v>
                </c:pt>
                <c:pt idx="172">
                  <c:v>375</c:v>
                </c:pt>
                <c:pt idx="173">
                  <c:v>500</c:v>
                </c:pt>
                <c:pt idx="174">
                  <c:v>550</c:v>
                </c:pt>
                <c:pt idx="175">
                  <c:v>540</c:v>
                </c:pt>
                <c:pt idx="176">
                  <c:v>540</c:v>
                </c:pt>
                <c:pt idx="177">
                  <c:v>600</c:v>
                </c:pt>
                <c:pt idx="178">
                  <c:v>600</c:v>
                </c:pt>
                <c:pt idx="179">
                  <c:v>459</c:v>
                </c:pt>
                <c:pt idx="180">
                  <c:v>550</c:v>
                </c:pt>
                <c:pt idx="181">
                  <c:v>595</c:v>
                </c:pt>
                <c:pt idx="182">
                  <c:v>403</c:v>
                </c:pt>
                <c:pt idx="183">
                  <c:v>448</c:v>
                </c:pt>
                <c:pt idx="184">
                  <c:v>448</c:v>
                </c:pt>
                <c:pt idx="185">
                  <c:v>600</c:v>
                </c:pt>
                <c:pt idx="186">
                  <c:v>600</c:v>
                </c:pt>
                <c:pt idx="187">
                  <c:v>750</c:v>
                </c:pt>
                <c:pt idx="188">
                  <c:v>750</c:v>
                </c:pt>
                <c:pt idx="189">
                  <c:v>600</c:v>
                </c:pt>
                <c:pt idx="190">
                  <c:v>600</c:v>
                </c:pt>
                <c:pt idx="191">
                  <c:v>700</c:v>
                </c:pt>
                <c:pt idx="192">
                  <c:v>600</c:v>
                </c:pt>
                <c:pt idx="193">
                  <c:v>700</c:v>
                </c:pt>
                <c:pt idx="194">
                  <c:v>650</c:v>
                </c:pt>
                <c:pt idx="195">
                  <c:v>650</c:v>
                </c:pt>
                <c:pt idx="196">
                  <c:v>600</c:v>
                </c:pt>
                <c:pt idx="197">
                  <c:v>700</c:v>
                </c:pt>
                <c:pt idx="198">
                  <c:v>830</c:v>
                </c:pt>
                <c:pt idx="199">
                  <c:v>600</c:v>
                </c:pt>
                <c:pt idx="200">
                  <c:v>580</c:v>
                </c:pt>
                <c:pt idx="201">
                  <c:v>580</c:v>
                </c:pt>
                <c:pt idx="202">
                  <c:v>600</c:v>
                </c:pt>
                <c:pt idx="203">
                  <c:v>550</c:v>
                </c:pt>
                <c:pt idx="204">
                  <c:v>600</c:v>
                </c:pt>
                <c:pt idx="205">
                  <c:v>600</c:v>
                </c:pt>
                <c:pt idx="206">
                  <c:v>600</c:v>
                </c:pt>
                <c:pt idx="207">
                  <c:v>550</c:v>
                </c:pt>
                <c:pt idx="208">
                  <c:v>430</c:v>
                </c:pt>
                <c:pt idx="209">
                  <c:v>550</c:v>
                </c:pt>
                <c:pt idx="210">
                  <c:v>550</c:v>
                </c:pt>
                <c:pt idx="211">
                  <c:v>530</c:v>
                </c:pt>
                <c:pt idx="212">
                  <c:v>550</c:v>
                </c:pt>
                <c:pt idx="213">
                  <c:v>600</c:v>
                </c:pt>
                <c:pt idx="214">
                  <c:v>750</c:v>
                </c:pt>
                <c:pt idx="215">
                  <c:v>600</c:v>
                </c:pt>
                <c:pt idx="216">
                  <c:v>600</c:v>
                </c:pt>
                <c:pt idx="217">
                  <c:v>424</c:v>
                </c:pt>
                <c:pt idx="218">
                  <c:v>600</c:v>
                </c:pt>
                <c:pt idx="219">
                  <c:v>600</c:v>
                </c:pt>
                <c:pt idx="220">
                  <c:v>560</c:v>
                </c:pt>
                <c:pt idx="221">
                  <c:v>650</c:v>
                </c:pt>
                <c:pt idx="222">
                  <c:v>600</c:v>
                </c:pt>
                <c:pt idx="223">
                  <c:v>510</c:v>
                </c:pt>
                <c:pt idx="224">
                  <c:v>540</c:v>
                </c:pt>
                <c:pt idx="225">
                  <c:v>600</c:v>
                </c:pt>
                <c:pt idx="226">
                  <c:v>550</c:v>
                </c:pt>
                <c:pt idx="227">
                  <c:v>600</c:v>
                </c:pt>
                <c:pt idx="228">
                  <c:v>600</c:v>
                </c:pt>
                <c:pt idx="229">
                  <c:v>700</c:v>
                </c:pt>
                <c:pt idx="230">
                  <c:v>550</c:v>
                </c:pt>
                <c:pt idx="231">
                  <c:v>650</c:v>
                </c:pt>
                <c:pt idx="232">
                  <c:v>700</c:v>
                </c:pt>
                <c:pt idx="233">
                  <c:v>700</c:v>
                </c:pt>
                <c:pt idx="234">
                  <c:v>700</c:v>
                </c:pt>
                <c:pt idx="235">
                  <c:v>800</c:v>
                </c:pt>
                <c:pt idx="236">
                  <c:v>750</c:v>
                </c:pt>
                <c:pt idx="237">
                  <c:v>800</c:v>
                </c:pt>
                <c:pt idx="238">
                  <c:v>600</c:v>
                </c:pt>
                <c:pt idx="239">
                  <c:v>580</c:v>
                </c:pt>
                <c:pt idx="240">
                  <c:v>550</c:v>
                </c:pt>
                <c:pt idx="241">
                  <c:v>550</c:v>
                </c:pt>
                <c:pt idx="242">
                  <c:v>600</c:v>
                </c:pt>
                <c:pt idx="243">
                  <c:v>700</c:v>
                </c:pt>
                <c:pt idx="244">
                  <c:v>600</c:v>
                </c:pt>
                <c:pt idx="245">
                  <c:v>700</c:v>
                </c:pt>
                <c:pt idx="246">
                  <c:v>600</c:v>
                </c:pt>
                <c:pt idx="247">
                  <c:v>700</c:v>
                </c:pt>
                <c:pt idx="248">
                  <c:v>600</c:v>
                </c:pt>
                <c:pt idx="249">
                  <c:v>700</c:v>
                </c:pt>
                <c:pt idx="250">
                  <c:v>600</c:v>
                </c:pt>
                <c:pt idx="251">
                  <c:v>700</c:v>
                </c:pt>
                <c:pt idx="252">
                  <c:v>530</c:v>
                </c:pt>
                <c:pt idx="253">
                  <c:v>530</c:v>
                </c:pt>
                <c:pt idx="254">
                  <c:v>600</c:v>
                </c:pt>
                <c:pt idx="255">
                  <c:v>600</c:v>
                </c:pt>
                <c:pt idx="256">
                  <c:v>590</c:v>
                </c:pt>
                <c:pt idx="257">
                  <c:v>600</c:v>
                </c:pt>
                <c:pt idx="258">
                  <c:v>600</c:v>
                </c:pt>
                <c:pt idx="259">
                  <c:v>600</c:v>
                </c:pt>
                <c:pt idx="260">
                  <c:v>600</c:v>
                </c:pt>
                <c:pt idx="261">
                  <c:v>600</c:v>
                </c:pt>
                <c:pt idx="262">
                  <c:v>600</c:v>
                </c:pt>
                <c:pt idx="263">
                  <c:v>550</c:v>
                </c:pt>
                <c:pt idx="264">
                  <c:v>550</c:v>
                </c:pt>
                <c:pt idx="265">
                  <c:v>375</c:v>
                </c:pt>
                <c:pt idx="266">
                  <c:v>375</c:v>
                </c:pt>
                <c:pt idx="267">
                  <c:v>500</c:v>
                </c:pt>
                <c:pt idx="268">
                  <c:v>550</c:v>
                </c:pt>
                <c:pt idx="269">
                  <c:v>550</c:v>
                </c:pt>
                <c:pt idx="270">
                  <c:v>550</c:v>
                </c:pt>
                <c:pt idx="271">
                  <c:v>520</c:v>
                </c:pt>
                <c:pt idx="274">
                  <c:v>600</c:v>
                </c:pt>
                <c:pt idx="275">
                  <c:v>600</c:v>
                </c:pt>
                <c:pt idx="276">
                  <c:v>375</c:v>
                </c:pt>
                <c:pt idx="277">
                  <c:v>375</c:v>
                </c:pt>
                <c:pt idx="278">
                  <c:v>600</c:v>
                </c:pt>
                <c:pt idx="279">
                  <c:v>600</c:v>
                </c:pt>
                <c:pt idx="280">
                  <c:v>700</c:v>
                </c:pt>
                <c:pt idx="281">
                  <c:v>600</c:v>
                </c:pt>
                <c:pt idx="282">
                  <c:v>600</c:v>
                </c:pt>
                <c:pt idx="283">
                  <c:v>600</c:v>
                </c:pt>
                <c:pt idx="284">
                  <c:v>600</c:v>
                </c:pt>
                <c:pt idx="285">
                  <c:v>560</c:v>
                </c:pt>
                <c:pt idx="286">
                  <c:v>600</c:v>
                </c:pt>
                <c:pt idx="287">
                  <c:v>600</c:v>
                </c:pt>
                <c:pt idx="288">
                  <c:v>500</c:v>
                </c:pt>
                <c:pt idx="289">
                  <c:v>550</c:v>
                </c:pt>
                <c:pt idx="290">
                  <c:v>550</c:v>
                </c:pt>
                <c:pt idx="291">
                  <c:v>600</c:v>
                </c:pt>
                <c:pt idx="292">
                  <c:v>600</c:v>
                </c:pt>
                <c:pt idx="293">
                  <c:v>600</c:v>
                </c:pt>
                <c:pt idx="294">
                  <c:v>700</c:v>
                </c:pt>
                <c:pt idx="295">
                  <c:v>600</c:v>
                </c:pt>
                <c:pt idx="296">
                  <c:v>600</c:v>
                </c:pt>
                <c:pt idx="297">
                  <c:v>600</c:v>
                </c:pt>
                <c:pt idx="299">
                  <c:v>488</c:v>
                </c:pt>
                <c:pt idx="302">
                  <c:v>600</c:v>
                </c:pt>
                <c:pt idx="303">
                  <c:v>600</c:v>
                </c:pt>
                <c:pt idx="304">
                  <c:v>600</c:v>
                </c:pt>
                <c:pt idx="305">
                  <c:v>546</c:v>
                </c:pt>
                <c:pt idx="306">
                  <c:v>546</c:v>
                </c:pt>
                <c:pt idx="307">
                  <c:v>500</c:v>
                </c:pt>
                <c:pt idx="308">
                  <c:v>600</c:v>
                </c:pt>
                <c:pt idx="309">
                  <c:v>550</c:v>
                </c:pt>
                <c:pt idx="310">
                  <c:v>700</c:v>
                </c:pt>
                <c:pt idx="311">
                  <c:v>700</c:v>
                </c:pt>
                <c:pt idx="312">
                  <c:v>600</c:v>
                </c:pt>
                <c:pt idx="313">
                  <c:v>550</c:v>
                </c:pt>
                <c:pt idx="314">
                  <c:v>600</c:v>
                </c:pt>
                <c:pt idx="315">
                  <c:v>550</c:v>
                </c:pt>
                <c:pt idx="316">
                  <c:v>550</c:v>
                </c:pt>
                <c:pt idx="317">
                  <c:v>550</c:v>
                </c:pt>
                <c:pt idx="318">
                  <c:v>650</c:v>
                </c:pt>
                <c:pt idx="319">
                  <c:v>650</c:v>
                </c:pt>
                <c:pt idx="320">
                  <c:v>650</c:v>
                </c:pt>
                <c:pt idx="321">
                  <c:v>650</c:v>
                </c:pt>
                <c:pt idx="322">
                  <c:v>750</c:v>
                </c:pt>
                <c:pt idx="323">
                  <c:v>650</c:v>
                </c:pt>
                <c:pt idx="324">
                  <c:v>550</c:v>
                </c:pt>
                <c:pt idx="325">
                  <c:v>600</c:v>
                </c:pt>
                <c:pt idx="326">
                  <c:v>550</c:v>
                </c:pt>
                <c:pt idx="327">
                  <c:v>600</c:v>
                </c:pt>
                <c:pt idx="328">
                  <c:v>600</c:v>
                </c:pt>
                <c:pt idx="329">
                  <c:v>600</c:v>
                </c:pt>
                <c:pt idx="330">
                  <c:v>540</c:v>
                </c:pt>
                <c:pt idx="331">
                  <c:v>755</c:v>
                </c:pt>
                <c:pt idx="332">
                  <c:v>755</c:v>
                </c:pt>
                <c:pt idx="333">
                  <c:v>585</c:v>
                </c:pt>
                <c:pt idx="334">
                  <c:v>585</c:v>
                </c:pt>
                <c:pt idx="335">
                  <c:v>595</c:v>
                </c:pt>
                <c:pt idx="336">
                  <c:v>595</c:v>
                </c:pt>
                <c:pt idx="337">
                  <c:v>555</c:v>
                </c:pt>
                <c:pt idx="338">
                  <c:v>620</c:v>
                </c:pt>
                <c:pt idx="339">
                  <c:v>555</c:v>
                </c:pt>
                <c:pt idx="340">
                  <c:v>650</c:v>
                </c:pt>
                <c:pt idx="341">
                  <c:v>620</c:v>
                </c:pt>
                <c:pt idx="342">
                  <c:v>725</c:v>
                </c:pt>
                <c:pt idx="343">
                  <c:v>725</c:v>
                </c:pt>
                <c:pt idx="344">
                  <c:v>870</c:v>
                </c:pt>
                <c:pt idx="345">
                  <c:v>870</c:v>
                </c:pt>
                <c:pt idx="346">
                  <c:v>790</c:v>
                </c:pt>
                <c:pt idx="347">
                  <c:v>855</c:v>
                </c:pt>
                <c:pt idx="348">
                  <c:v>855</c:v>
                </c:pt>
                <c:pt idx="349">
                  <c:v>640</c:v>
                </c:pt>
                <c:pt idx="350">
                  <c:v>790</c:v>
                </c:pt>
                <c:pt idx="351">
                  <c:v>730</c:v>
                </c:pt>
                <c:pt idx="352">
                  <c:v>790</c:v>
                </c:pt>
                <c:pt idx="353">
                  <c:v>730</c:v>
                </c:pt>
                <c:pt idx="354">
                  <c:v>790</c:v>
                </c:pt>
                <c:pt idx="357">
                  <c:v>675</c:v>
                </c:pt>
                <c:pt idx="358">
                  <c:v>675</c:v>
                </c:pt>
                <c:pt idx="359">
                  <c:v>675</c:v>
                </c:pt>
                <c:pt idx="360">
                  <c:v>690</c:v>
                </c:pt>
                <c:pt idx="361">
                  <c:v>705</c:v>
                </c:pt>
                <c:pt idx="362">
                  <c:v>710</c:v>
                </c:pt>
                <c:pt idx="363">
                  <c:v>665</c:v>
                </c:pt>
                <c:pt idx="364">
                  <c:v>705</c:v>
                </c:pt>
                <c:pt idx="365">
                  <c:v>685</c:v>
                </c:pt>
                <c:pt idx="366">
                  <c:v>710</c:v>
                </c:pt>
                <c:pt idx="367">
                  <c:v>710</c:v>
                </c:pt>
                <c:pt idx="368">
                  <c:v>665</c:v>
                </c:pt>
                <c:pt idx="369">
                  <c:v>620</c:v>
                </c:pt>
                <c:pt idx="370">
                  <c:v>675</c:v>
                </c:pt>
                <c:pt idx="371">
                  <c:v>620</c:v>
                </c:pt>
                <c:pt idx="372">
                  <c:v>620</c:v>
                </c:pt>
                <c:pt idx="373">
                  <c:v>730</c:v>
                </c:pt>
                <c:pt idx="374">
                  <c:v>720</c:v>
                </c:pt>
                <c:pt idx="375">
                  <c:v>680</c:v>
                </c:pt>
                <c:pt idx="376">
                  <c:v>680</c:v>
                </c:pt>
                <c:pt idx="377">
                  <c:v>670</c:v>
                </c:pt>
                <c:pt idx="378">
                  <c:v>585</c:v>
                </c:pt>
                <c:pt idx="379">
                  <c:v>585</c:v>
                </c:pt>
                <c:pt idx="380">
                  <c:v>765</c:v>
                </c:pt>
                <c:pt idx="381">
                  <c:v>765</c:v>
                </c:pt>
                <c:pt idx="382">
                  <c:v>765</c:v>
                </c:pt>
                <c:pt idx="383">
                  <c:v>560</c:v>
                </c:pt>
                <c:pt idx="384">
                  <c:v>660</c:v>
                </c:pt>
                <c:pt idx="385">
                  <c:v>560</c:v>
                </c:pt>
                <c:pt idx="386">
                  <c:v>605</c:v>
                </c:pt>
                <c:pt idx="387">
                  <c:v>620</c:v>
                </c:pt>
                <c:pt idx="388">
                  <c:v>620</c:v>
                </c:pt>
                <c:pt idx="389">
                  <c:v>620</c:v>
                </c:pt>
                <c:pt idx="390">
                  <c:v>620</c:v>
                </c:pt>
                <c:pt idx="391">
                  <c:v>680</c:v>
                </c:pt>
                <c:pt idx="392">
                  <c:v>630</c:v>
                </c:pt>
                <c:pt idx="393">
                  <c:v>630</c:v>
                </c:pt>
                <c:pt idx="394">
                  <c:v>575</c:v>
                </c:pt>
                <c:pt idx="395">
                  <c:v>595</c:v>
                </c:pt>
                <c:pt idx="396">
                  <c:v>575</c:v>
                </c:pt>
                <c:pt idx="397">
                  <c:v>620</c:v>
                </c:pt>
                <c:pt idx="398">
                  <c:v>600</c:v>
                </c:pt>
                <c:pt idx="399">
                  <c:v>600</c:v>
                </c:pt>
                <c:pt idx="400">
                  <c:v>491</c:v>
                </c:pt>
                <c:pt idx="401">
                  <c:v>491</c:v>
                </c:pt>
                <c:pt idx="402">
                  <c:v>600</c:v>
                </c:pt>
                <c:pt idx="403">
                  <c:v>491</c:v>
                </c:pt>
                <c:pt idx="404">
                  <c:v>600</c:v>
                </c:pt>
                <c:pt idx="405">
                  <c:v>600</c:v>
                </c:pt>
                <c:pt idx="406">
                  <c:v>550</c:v>
                </c:pt>
                <c:pt idx="407">
                  <c:v>550</c:v>
                </c:pt>
                <c:pt idx="408">
                  <c:v>600</c:v>
                </c:pt>
                <c:pt idx="409">
                  <c:v>800</c:v>
                </c:pt>
                <c:pt idx="410">
                  <c:v>800</c:v>
                </c:pt>
                <c:pt idx="411">
                  <c:v>800</c:v>
                </c:pt>
                <c:pt idx="412">
                  <c:v>800</c:v>
                </c:pt>
                <c:pt idx="413">
                  <c:v>770</c:v>
                </c:pt>
                <c:pt idx="414">
                  <c:v>800</c:v>
                </c:pt>
                <c:pt idx="415">
                  <c:v>800</c:v>
                </c:pt>
                <c:pt idx="416">
                  <c:v>800</c:v>
                </c:pt>
                <c:pt idx="417">
                  <c:v>800</c:v>
                </c:pt>
                <c:pt idx="418">
                  <c:v>800</c:v>
                </c:pt>
                <c:pt idx="419">
                  <c:v>800</c:v>
                </c:pt>
                <c:pt idx="420">
                  <c:v>800</c:v>
                </c:pt>
                <c:pt idx="421">
                  <c:v>800</c:v>
                </c:pt>
                <c:pt idx="422">
                  <c:v>800</c:v>
                </c:pt>
                <c:pt idx="423">
                  <c:v>800</c:v>
                </c:pt>
                <c:pt idx="424">
                  <c:v>800</c:v>
                </c:pt>
                <c:pt idx="425">
                  <c:v>800</c:v>
                </c:pt>
                <c:pt idx="426">
                  <c:v>600</c:v>
                </c:pt>
                <c:pt idx="427">
                  <c:v>600</c:v>
                </c:pt>
                <c:pt idx="428">
                  <c:v>560</c:v>
                </c:pt>
                <c:pt idx="429">
                  <c:v>800</c:v>
                </c:pt>
                <c:pt idx="430">
                  <c:v>800</c:v>
                </c:pt>
                <c:pt idx="431">
                  <c:v>800</c:v>
                </c:pt>
                <c:pt idx="432">
                  <c:v>800</c:v>
                </c:pt>
                <c:pt idx="433">
                  <c:v>600</c:v>
                </c:pt>
                <c:pt idx="434">
                  <c:v>640</c:v>
                </c:pt>
                <c:pt idx="435">
                  <c:v>600</c:v>
                </c:pt>
                <c:pt idx="436">
                  <c:v>600</c:v>
                </c:pt>
                <c:pt idx="437">
                  <c:v>650</c:v>
                </c:pt>
                <c:pt idx="438">
                  <c:v>650</c:v>
                </c:pt>
                <c:pt idx="439">
                  <c:v>440</c:v>
                </c:pt>
                <c:pt idx="440">
                  <c:v>600</c:v>
                </c:pt>
                <c:pt idx="441">
                  <c:v>450</c:v>
                </c:pt>
                <c:pt idx="442">
                  <c:v>600</c:v>
                </c:pt>
                <c:pt idx="443">
                  <c:v>600</c:v>
                </c:pt>
                <c:pt idx="444">
                  <c:v>600</c:v>
                </c:pt>
                <c:pt idx="445">
                  <c:v>560</c:v>
                </c:pt>
                <c:pt idx="446">
                  <c:v>600</c:v>
                </c:pt>
                <c:pt idx="447">
                  <c:v>600</c:v>
                </c:pt>
                <c:pt idx="448">
                  <c:v>560</c:v>
                </c:pt>
                <c:pt idx="449">
                  <c:v>560</c:v>
                </c:pt>
                <c:pt idx="450">
                  <c:v>560</c:v>
                </c:pt>
                <c:pt idx="451">
                  <c:v>560</c:v>
                </c:pt>
                <c:pt idx="452">
                  <c:v>500</c:v>
                </c:pt>
                <c:pt idx="453">
                  <c:v>550</c:v>
                </c:pt>
                <c:pt idx="454">
                  <c:v>550</c:v>
                </c:pt>
                <c:pt idx="455">
                  <c:v>550</c:v>
                </c:pt>
                <c:pt idx="456">
                  <c:v>600</c:v>
                </c:pt>
                <c:pt idx="457">
                  <c:v>550</c:v>
                </c:pt>
                <c:pt idx="458">
                  <c:v>550</c:v>
                </c:pt>
                <c:pt idx="459">
                  <c:v>600</c:v>
                </c:pt>
                <c:pt idx="461">
                  <c:v>740</c:v>
                </c:pt>
                <c:pt idx="462">
                  <c:v>630</c:v>
                </c:pt>
                <c:pt idx="463">
                  <c:v>570</c:v>
                </c:pt>
                <c:pt idx="464">
                  <c:v>570</c:v>
                </c:pt>
                <c:pt idx="465">
                  <c:v>560</c:v>
                </c:pt>
                <c:pt idx="466">
                  <c:v>635</c:v>
                </c:pt>
                <c:pt idx="467">
                  <c:v>630</c:v>
                </c:pt>
                <c:pt idx="468">
                  <c:v>630</c:v>
                </c:pt>
                <c:pt idx="469">
                  <c:v>480</c:v>
                </c:pt>
                <c:pt idx="470">
                  <c:v>502</c:v>
                </c:pt>
                <c:pt idx="471">
                  <c:v>494</c:v>
                </c:pt>
                <c:pt idx="472">
                  <c:v>494</c:v>
                </c:pt>
                <c:pt idx="473">
                  <c:v>494</c:v>
                </c:pt>
                <c:pt idx="474">
                  <c:v>585</c:v>
                </c:pt>
                <c:pt idx="475">
                  <c:v>585</c:v>
                </c:pt>
                <c:pt idx="476">
                  <c:v>660</c:v>
                </c:pt>
                <c:pt idx="477">
                  <c:v>860</c:v>
                </c:pt>
                <c:pt idx="478">
                  <c:v>854</c:v>
                </c:pt>
                <c:pt idx="479">
                  <c:v>580</c:v>
                </c:pt>
                <c:pt idx="480">
                  <c:v>596</c:v>
                </c:pt>
                <c:pt idx="481">
                  <c:v>615</c:v>
                </c:pt>
                <c:pt idx="482">
                  <c:v>600</c:v>
                </c:pt>
                <c:pt idx="483">
                  <c:v>600</c:v>
                </c:pt>
                <c:pt idx="484">
                  <c:v>570</c:v>
                </c:pt>
                <c:pt idx="485">
                  <c:v>600</c:v>
                </c:pt>
                <c:pt idx="486">
                  <c:v>600</c:v>
                </c:pt>
                <c:pt idx="487">
                  <c:v>600</c:v>
                </c:pt>
                <c:pt idx="488">
                  <c:v>600</c:v>
                </c:pt>
                <c:pt idx="489">
                  <c:v>810</c:v>
                </c:pt>
              </c:numCache>
            </c:numRef>
          </c:val>
          <c:smooth val="0"/>
          <c:extLst>
            <c:ext xmlns:c16="http://schemas.microsoft.com/office/drawing/2014/chart" uri="{C3380CC4-5D6E-409C-BE32-E72D297353CC}">
              <c16:uniqueId val="{00000001-0098-427D-9013-37D3154C1FC0}"/>
            </c:ext>
          </c:extLst>
        </c:ser>
        <c:ser>
          <c:idx val="0"/>
          <c:order val="1"/>
          <c:tx>
            <c:v>HUD Bottom</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'W-code list'!$G$6:$G$495</c:f>
              <c:strCache>
                <c:ptCount val="490"/>
                <c:pt idx="0">
                  <c:v>W2227AEH</c:v>
                </c:pt>
                <c:pt idx="1">
                  <c:v>W2251ALH</c:v>
                </c:pt>
                <c:pt idx="2">
                  <c:v>W2251AMH</c:v>
                </c:pt>
                <c:pt idx="3">
                  <c:v>W5062AA</c:v>
                </c:pt>
                <c:pt idx="4">
                  <c:v>W2262AE</c:v>
                </c:pt>
                <c:pt idx="5">
                  <c:v>W2045AB</c:v>
                </c:pt>
                <c:pt idx="6">
                  <c:v>W2218AB</c:v>
                </c:pt>
                <c:pt idx="7">
                  <c:v>W2227AL</c:v>
                </c:pt>
                <c:pt idx="8">
                  <c:v>W2218AC</c:v>
                </c:pt>
                <c:pt idx="9">
                  <c:v>W2214AB</c:v>
                </c:pt>
                <c:pt idx="10">
                  <c:v>W2211AA</c:v>
                </c:pt>
                <c:pt idx="11">
                  <c:v>W2235AH</c:v>
                </c:pt>
                <c:pt idx="12">
                  <c:v>W2214AA</c:v>
                </c:pt>
                <c:pt idx="13">
                  <c:v>W2214AC</c:v>
                </c:pt>
                <c:pt idx="14">
                  <c:v>W2219AD</c:v>
                </c:pt>
                <c:pt idx="15">
                  <c:v>W2223AA</c:v>
                </c:pt>
                <c:pt idx="16">
                  <c:v>W2227AD</c:v>
                </c:pt>
                <c:pt idx="17">
                  <c:v>W2245AA</c:v>
                </c:pt>
                <c:pt idx="18">
                  <c:v>W2239AC</c:v>
                </c:pt>
                <c:pt idx="19">
                  <c:v>W2239AG</c:v>
                </c:pt>
                <c:pt idx="20">
                  <c:v>W2264AB</c:v>
                </c:pt>
                <c:pt idx="21">
                  <c:v>W2219AB</c:v>
                </c:pt>
                <c:pt idx="22">
                  <c:v>W2219AF</c:v>
                </c:pt>
                <c:pt idx="23">
                  <c:v>W2209AA</c:v>
                </c:pt>
                <c:pt idx="24">
                  <c:v>W2220</c:v>
                </c:pt>
                <c:pt idx="25">
                  <c:v>W2230</c:v>
                </c:pt>
                <c:pt idx="26">
                  <c:v>W2239AB</c:v>
                </c:pt>
                <c:pt idx="27">
                  <c:v>W2239AA</c:v>
                </c:pt>
                <c:pt idx="28">
                  <c:v>W2236AF</c:v>
                </c:pt>
                <c:pt idx="29">
                  <c:v>W2244AK</c:v>
                </c:pt>
                <c:pt idx="30">
                  <c:v>W5149</c:v>
                </c:pt>
                <c:pt idx="31">
                  <c:v>W5142</c:v>
                </c:pt>
                <c:pt idx="32">
                  <c:v>W5124</c:v>
                </c:pt>
                <c:pt idx="33">
                  <c:v>W5121</c:v>
                </c:pt>
                <c:pt idx="34">
                  <c:v>W2260AI</c:v>
                </c:pt>
                <c:pt idx="35">
                  <c:v>W2263AC</c:v>
                </c:pt>
                <c:pt idx="36">
                  <c:v>W2255AC</c:v>
                </c:pt>
                <c:pt idx="37">
                  <c:v>W1030AA</c:v>
                </c:pt>
                <c:pt idx="38">
                  <c:v>W1235</c:v>
                </c:pt>
                <c:pt idx="39">
                  <c:v>W1241AA</c:v>
                </c:pt>
                <c:pt idx="40">
                  <c:v>W1247</c:v>
                </c:pt>
                <c:pt idx="41">
                  <c:v>W2228AH</c:v>
                </c:pt>
                <c:pt idx="42">
                  <c:v>W2214AD</c:v>
                </c:pt>
                <c:pt idx="43">
                  <c:v>W2218AD</c:v>
                </c:pt>
                <c:pt idx="44">
                  <c:v>W2224AD</c:v>
                </c:pt>
                <c:pt idx="45">
                  <c:v>W2233AC</c:v>
                </c:pt>
                <c:pt idx="46">
                  <c:v>W2233AK</c:v>
                </c:pt>
                <c:pt idx="47">
                  <c:v>W2239AEH</c:v>
                </c:pt>
                <c:pt idx="48">
                  <c:v>W2252AA</c:v>
                </c:pt>
                <c:pt idx="49">
                  <c:v>W2250</c:v>
                </c:pt>
                <c:pt idx="50">
                  <c:v>W2264AC</c:v>
                </c:pt>
                <c:pt idx="51">
                  <c:v>W5025AC</c:v>
                </c:pt>
                <c:pt idx="52">
                  <c:v>W2225AA</c:v>
                </c:pt>
                <c:pt idx="53">
                  <c:v>W1260AA</c:v>
                </c:pt>
                <c:pt idx="54">
                  <c:v>W5025AA</c:v>
                </c:pt>
                <c:pt idx="55">
                  <c:v>W5060</c:v>
                </c:pt>
                <c:pt idx="56">
                  <c:v>W2260AA</c:v>
                </c:pt>
                <c:pt idx="57">
                  <c:v>W2237AH</c:v>
                </c:pt>
                <c:pt idx="58">
                  <c:v>W2228AF</c:v>
                </c:pt>
                <c:pt idx="59">
                  <c:v>W1244</c:v>
                </c:pt>
                <c:pt idx="60">
                  <c:v>W2244</c:v>
                </c:pt>
                <c:pt idx="61">
                  <c:v>W2244AB</c:v>
                </c:pt>
                <c:pt idx="62">
                  <c:v>W2262AA</c:v>
                </c:pt>
                <c:pt idx="63">
                  <c:v>W2272AA</c:v>
                </c:pt>
                <c:pt idx="64">
                  <c:v>W2264AJ</c:v>
                </c:pt>
                <c:pt idx="65">
                  <c:v>W2268AE</c:v>
                </c:pt>
                <c:pt idx="66">
                  <c:v>W2229AL</c:v>
                </c:pt>
                <c:pt idx="67">
                  <c:v>W2251AA</c:v>
                </c:pt>
                <c:pt idx="68">
                  <c:v>W2253AC</c:v>
                </c:pt>
                <c:pt idx="69">
                  <c:v>W2227AM</c:v>
                </c:pt>
                <c:pt idx="70">
                  <c:v>W2227AOT</c:v>
                </c:pt>
                <c:pt idx="71">
                  <c:v>W2227AN</c:v>
                </c:pt>
                <c:pt idx="72">
                  <c:v>W2227APT</c:v>
                </c:pt>
                <c:pt idx="73">
                  <c:v>W2247AIT</c:v>
                </c:pt>
                <c:pt idx="74">
                  <c:v>W2270AA</c:v>
                </c:pt>
                <c:pt idx="75">
                  <c:v>W2246AC</c:v>
                </c:pt>
                <c:pt idx="76">
                  <c:v>W2250AJ</c:v>
                </c:pt>
                <c:pt idx="77">
                  <c:v>W2254AD</c:v>
                </c:pt>
                <c:pt idx="78">
                  <c:v>W2262AB from SYPKA passed validation</c:v>
                </c:pt>
                <c:pt idx="79">
                  <c:v>W2220AA</c:v>
                </c:pt>
                <c:pt idx="80">
                  <c:v>W2254AE</c:v>
                </c:pt>
                <c:pt idx="81">
                  <c:v>W5054AA</c:v>
                </c:pt>
                <c:pt idx="82">
                  <c:v>W2258AA</c:v>
                </c:pt>
                <c:pt idx="83">
                  <c:v>W5058AA</c:v>
                </c:pt>
                <c:pt idx="84">
                  <c:v>W5060AB</c:v>
                </c:pt>
                <c:pt idx="85">
                  <c:v>W5068AA</c:v>
                </c:pt>
                <c:pt idx="86">
                  <c:v>W2258AC</c:v>
                </c:pt>
                <c:pt idx="87">
                  <c:v>W2251AJT</c:v>
                </c:pt>
                <c:pt idx="88">
                  <c:v>W2254AI</c:v>
                </c:pt>
                <c:pt idx="89">
                  <c:v>W5017AA</c:v>
                </c:pt>
                <c:pt idx="90">
                  <c:v>W5020AB</c:v>
                </c:pt>
                <c:pt idx="91">
                  <c:v>W2233ADT</c:v>
                </c:pt>
                <c:pt idx="92">
                  <c:v>W2222AGT</c:v>
                </c:pt>
                <c:pt idx="93">
                  <c:v>W2232AHT</c:v>
                </c:pt>
                <c:pt idx="94">
                  <c:v>W2233AFT</c:v>
                </c:pt>
                <c:pt idx="95">
                  <c:v>W2260AA</c:v>
                </c:pt>
                <c:pt idx="96">
                  <c:v>W5025AE</c:v>
                </c:pt>
                <c:pt idx="97">
                  <c:v>W5027AD</c:v>
                </c:pt>
                <c:pt idx="98">
                  <c:v>W5027AC</c:v>
                </c:pt>
                <c:pt idx="99">
                  <c:v>W5029AB</c:v>
                </c:pt>
                <c:pt idx="100">
                  <c:v>W5026AAT</c:v>
                </c:pt>
                <c:pt idx="101">
                  <c:v>W5026ABT</c:v>
                </c:pt>
                <c:pt idx="102">
                  <c:v>W5025AB</c:v>
                </c:pt>
                <c:pt idx="103">
                  <c:v>W2240AX</c:v>
                </c:pt>
                <c:pt idx="104">
                  <c:v>W5023AC</c:v>
                </c:pt>
                <c:pt idx="105">
                  <c:v>W5027AB</c:v>
                </c:pt>
                <c:pt idx="106">
                  <c:v>W5028AB</c:v>
                </c:pt>
                <c:pt idx="107">
                  <c:v>W5028AA</c:v>
                </c:pt>
                <c:pt idx="108">
                  <c:v>W5022AA</c:v>
                </c:pt>
                <c:pt idx="109">
                  <c:v>W5025AD</c:v>
                </c:pt>
                <c:pt idx="110">
                  <c:v>W5071AA</c:v>
                </c:pt>
                <c:pt idx="111">
                  <c:v>W2262AD</c:v>
                </c:pt>
                <c:pt idx="112">
                  <c:v>W2264AGT</c:v>
                </c:pt>
                <c:pt idx="113">
                  <c:v>W5031AA</c:v>
                </c:pt>
                <c:pt idx="114">
                  <c:v>W2247AA</c:v>
                </c:pt>
                <c:pt idx="115">
                  <c:v>W2220ABT</c:v>
                </c:pt>
                <c:pt idx="116">
                  <c:v>W2230AAT</c:v>
                </c:pt>
                <c:pt idx="117">
                  <c:v>W2235ABT</c:v>
                </c:pt>
                <c:pt idx="118">
                  <c:v>W2235ACT</c:v>
                </c:pt>
                <c:pt idx="119">
                  <c:v>W2240AIT</c:v>
                </c:pt>
                <c:pt idx="120">
                  <c:v>W2240AJT</c:v>
                </c:pt>
                <c:pt idx="121">
                  <c:v>W2240ALT</c:v>
                </c:pt>
                <c:pt idx="122">
                  <c:v>W2244AET</c:v>
                </c:pt>
                <c:pt idx="123">
                  <c:v>W2244AL</c:v>
                </c:pt>
                <c:pt idx="124">
                  <c:v>W2244AFT</c:v>
                </c:pt>
                <c:pt idx="125">
                  <c:v>W2244AGT</c:v>
                </c:pt>
                <c:pt idx="126">
                  <c:v>W2244AHT</c:v>
                </c:pt>
                <c:pt idx="127">
                  <c:v>W2244AC</c:v>
                </c:pt>
                <c:pt idx="128">
                  <c:v>W2244AD</c:v>
                </c:pt>
                <c:pt idx="129">
                  <c:v>W2248ADT</c:v>
                </c:pt>
                <c:pt idx="130">
                  <c:v>W2252AHT</c:v>
                </c:pt>
                <c:pt idx="131">
                  <c:v>W2252AIT</c:v>
                </c:pt>
                <c:pt idx="132">
                  <c:v>W2252AR</c:v>
                </c:pt>
                <c:pt idx="133">
                  <c:v>W2252AJT</c:v>
                </c:pt>
                <c:pt idx="134">
                  <c:v>W2252AKT</c:v>
                </c:pt>
                <c:pt idx="135">
                  <c:v>W2252AMT</c:v>
                </c:pt>
                <c:pt idx="136">
                  <c:v>W2252AC</c:v>
                </c:pt>
                <c:pt idx="137">
                  <c:v>W2252AD</c:v>
                </c:pt>
                <c:pt idx="138">
                  <c:v>W2252AE</c:v>
                </c:pt>
                <c:pt idx="139">
                  <c:v>W2259ABT</c:v>
                </c:pt>
                <c:pt idx="140">
                  <c:v>W2259ACT</c:v>
                </c:pt>
                <c:pt idx="141">
                  <c:v>W2259ADT</c:v>
                </c:pt>
                <c:pt idx="142">
                  <c:v>W2259AET</c:v>
                </c:pt>
                <c:pt idx="143">
                  <c:v>W2259AFT</c:v>
                </c:pt>
                <c:pt idx="144">
                  <c:v>W2259AA</c:v>
                </c:pt>
                <c:pt idx="145">
                  <c:v>W2265AAT</c:v>
                </c:pt>
                <c:pt idx="146">
                  <c:v>W2265ABT</c:v>
                </c:pt>
                <c:pt idx="147">
                  <c:v>W2268AAT</c:v>
                </c:pt>
                <c:pt idx="148">
                  <c:v>W2268AD</c:v>
                </c:pt>
                <c:pt idx="149">
                  <c:v>W2268ABT</c:v>
                </c:pt>
                <c:pt idx="150">
                  <c:v>W5044AA</c:v>
                </c:pt>
                <c:pt idx="151">
                  <c:v>W2222AA</c:v>
                </c:pt>
                <c:pt idx="152">
                  <c:v>W2230AC</c:v>
                </c:pt>
                <c:pt idx="153">
                  <c:v>W2233AFT</c:v>
                </c:pt>
                <c:pt idx="154">
                  <c:v>W2232AHT</c:v>
                </c:pt>
                <c:pt idx="155">
                  <c:v>W2235AD</c:v>
                </c:pt>
                <c:pt idx="156">
                  <c:v>W2240AKT</c:v>
                </c:pt>
                <c:pt idx="157">
                  <c:v>W2223AB</c:v>
                </c:pt>
                <c:pt idx="158">
                  <c:v>W5037AA</c:v>
                </c:pt>
                <c:pt idx="159">
                  <c:v>W5039AA</c:v>
                </c:pt>
                <c:pt idx="160">
                  <c:v>W2239AHT</c:v>
                </c:pt>
                <c:pt idx="161">
                  <c:v>W2228ADT</c:v>
                </c:pt>
                <c:pt idx="162">
                  <c:v>W2236ADT</c:v>
                </c:pt>
                <c:pt idx="163">
                  <c:v>W2237AB</c:v>
                </c:pt>
                <c:pt idx="164">
                  <c:v>W2221AET</c:v>
                </c:pt>
                <c:pt idx="165">
                  <c:v>W2229AC</c:v>
                </c:pt>
                <c:pt idx="166">
                  <c:v>W2250AKT</c:v>
                </c:pt>
                <c:pt idx="167">
                  <c:v>W2250AI</c:v>
                </c:pt>
                <c:pt idx="168">
                  <c:v>W2219AET</c:v>
                </c:pt>
                <c:pt idx="169">
                  <c:v>W2227AF</c:v>
                </c:pt>
                <c:pt idx="170">
                  <c:v>W2222ABT</c:v>
                </c:pt>
                <c:pt idx="171">
                  <c:v>W2230ADT</c:v>
                </c:pt>
                <c:pt idx="172">
                  <c:v>W2247AB</c:v>
                </c:pt>
                <c:pt idx="173">
                  <c:v>W2247AC</c:v>
                </c:pt>
                <c:pt idx="174">
                  <c:v>W2250AOT</c:v>
                </c:pt>
                <c:pt idx="175">
                  <c:v>W2252APT</c:v>
                </c:pt>
                <c:pt idx="176">
                  <c:v>W2252AOT</c:v>
                </c:pt>
                <c:pt idx="177">
                  <c:v>W2229AB</c:v>
                </c:pt>
                <c:pt idx="178">
                  <c:v>W5048AA</c:v>
                </c:pt>
                <c:pt idx="179">
                  <c:v>W2248AB</c:v>
                </c:pt>
                <c:pt idx="180">
                  <c:v>W2249AHT</c:v>
                </c:pt>
                <c:pt idx="181">
                  <c:v>W2249AB</c:v>
                </c:pt>
                <c:pt idx="182">
                  <c:v>W2249AC</c:v>
                </c:pt>
                <c:pt idx="183">
                  <c:v>W2232AET</c:v>
                </c:pt>
                <c:pt idx="184">
                  <c:v>W2232AC</c:v>
                </c:pt>
                <c:pt idx="185">
                  <c:v>W2229AFT</c:v>
                </c:pt>
                <c:pt idx="186">
                  <c:v>W2232AFT</c:v>
                </c:pt>
                <c:pt idx="187">
                  <c:v>W2229AJT</c:v>
                </c:pt>
                <c:pt idx="188">
                  <c:v>W5039AB</c:v>
                </c:pt>
                <c:pt idx="189">
                  <c:v>W2240AT</c:v>
                </c:pt>
                <c:pt idx="190">
                  <c:v>W5021AA</c:v>
                </c:pt>
                <c:pt idx="191">
                  <c:v>W2250AQ</c:v>
                </c:pt>
                <c:pt idx="192">
                  <c:v>W2249AGT</c:v>
                </c:pt>
                <c:pt idx="193">
                  <c:v>W2251AHT</c:v>
                </c:pt>
                <c:pt idx="194">
                  <c:v>W2250ART</c:v>
                </c:pt>
                <c:pt idx="195">
                  <c:v>W2250AU</c:v>
                </c:pt>
                <c:pt idx="196">
                  <c:v>W2225AE</c:v>
                </c:pt>
                <c:pt idx="197">
                  <c:v>W2225AFT</c:v>
                </c:pt>
                <c:pt idx="198">
                  <c:v>W2225AHT</c:v>
                </c:pt>
                <c:pt idx="199">
                  <c:v>W5021AB</c:v>
                </c:pt>
                <c:pt idx="200">
                  <c:v>W2256AET</c:v>
                </c:pt>
                <c:pt idx="201">
                  <c:v>W2256AC</c:v>
                </c:pt>
                <c:pt idx="202">
                  <c:v>W2257ADT</c:v>
                </c:pt>
                <c:pt idx="203">
                  <c:v>W2258AHT</c:v>
                </c:pt>
                <c:pt idx="204">
                  <c:v>W5023AB</c:v>
                </c:pt>
                <c:pt idx="205">
                  <c:v>W5023AA</c:v>
                </c:pt>
                <c:pt idx="206">
                  <c:v>W2255AA</c:v>
                </c:pt>
                <c:pt idx="207">
                  <c:v>W2260AHT</c:v>
                </c:pt>
                <c:pt idx="208">
                  <c:v>W2260ACT</c:v>
                </c:pt>
                <c:pt idx="209">
                  <c:v>W2260AF</c:v>
                </c:pt>
                <c:pt idx="210">
                  <c:v>W2260AD</c:v>
                </c:pt>
                <c:pt idx="211">
                  <c:v>W2241AC</c:v>
                </c:pt>
                <c:pt idx="212">
                  <c:v>W2236AC</c:v>
                </c:pt>
                <c:pt idx="213">
                  <c:v>W2258AB</c:v>
                </c:pt>
                <c:pt idx="214">
                  <c:v>W2232AJ</c:v>
                </c:pt>
                <c:pt idx="215">
                  <c:v>W2252AQT</c:v>
                </c:pt>
                <c:pt idx="216">
                  <c:v>W2244AA</c:v>
                </c:pt>
                <c:pt idx="217">
                  <c:v>W2256AA</c:v>
                </c:pt>
                <c:pt idx="218">
                  <c:v>W2256AGT</c:v>
                </c:pt>
                <c:pt idx="219">
                  <c:v>W2240AOT</c:v>
                </c:pt>
                <c:pt idx="220">
                  <c:v>W2264AF</c:v>
                </c:pt>
                <c:pt idx="221">
                  <c:v>W2235AKT</c:v>
                </c:pt>
                <c:pt idx="222">
                  <c:v>W2233ACT</c:v>
                </c:pt>
                <c:pt idx="223">
                  <c:v>W5056AA</c:v>
                </c:pt>
                <c:pt idx="224">
                  <c:v>W2256AFT</c:v>
                </c:pt>
                <c:pt idx="225">
                  <c:v>W2247AET</c:v>
                </c:pt>
                <c:pt idx="226">
                  <c:v>W2256AB</c:v>
                </c:pt>
                <c:pt idx="227">
                  <c:v>W2258AG</c:v>
                </c:pt>
                <c:pt idx="228">
                  <c:v>W2258AD</c:v>
                </c:pt>
                <c:pt idx="229">
                  <c:v>W2260AKT</c:v>
                </c:pt>
                <c:pt idx="230">
                  <c:v>W2266AA</c:v>
                </c:pt>
                <c:pt idx="231">
                  <c:v>W2223ADT</c:v>
                </c:pt>
                <c:pt idx="232">
                  <c:v>W2258AJT</c:v>
                </c:pt>
                <c:pt idx="233">
                  <c:v>W2256AJT</c:v>
                </c:pt>
                <c:pt idx="234">
                  <c:v>W2230AFT</c:v>
                </c:pt>
                <c:pt idx="235">
                  <c:v>W2232AKT</c:v>
                </c:pt>
                <c:pt idx="236">
                  <c:v>W2235AI</c:v>
                </c:pt>
                <c:pt idx="237">
                  <c:v>W2235AJ</c:v>
                </c:pt>
                <c:pt idx="238">
                  <c:v>W2246AFT</c:v>
                </c:pt>
                <c:pt idx="239">
                  <c:v>W2246AB</c:v>
                </c:pt>
                <c:pt idx="240">
                  <c:v>W2262AHT</c:v>
                </c:pt>
                <c:pt idx="241">
                  <c:v>W5062AC</c:v>
                </c:pt>
                <c:pt idx="242">
                  <c:v>W2262AIT</c:v>
                </c:pt>
                <c:pt idx="243">
                  <c:v>W2240AU</c:v>
                </c:pt>
                <c:pt idx="244">
                  <c:v>W2240AG</c:v>
                </c:pt>
                <c:pt idx="245">
                  <c:v>W2249ALT</c:v>
                </c:pt>
                <c:pt idx="246">
                  <c:v>W2249AE</c:v>
                </c:pt>
                <c:pt idx="247">
                  <c:v>W5075AA</c:v>
                </c:pt>
                <c:pt idx="248">
                  <c:v>W5017AB</c:v>
                </c:pt>
                <c:pt idx="249">
                  <c:v>W2229AG</c:v>
                </c:pt>
                <c:pt idx="250">
                  <c:v>W2221AD</c:v>
                </c:pt>
                <c:pt idx="251">
                  <c:v>W2227AK</c:v>
                </c:pt>
                <c:pt idx="252">
                  <c:v>W2234AAT</c:v>
                </c:pt>
                <c:pt idx="253">
                  <c:v>W2265AET</c:v>
                </c:pt>
                <c:pt idx="254">
                  <c:v>W2245AB</c:v>
                </c:pt>
                <c:pt idx="255">
                  <c:v>W5065AB</c:v>
                </c:pt>
                <c:pt idx="256">
                  <c:v>W5056AC</c:v>
                </c:pt>
                <c:pt idx="257">
                  <c:v>W2240AF</c:v>
                </c:pt>
                <c:pt idx="258">
                  <c:v>W2219AA</c:v>
                </c:pt>
                <c:pt idx="259">
                  <c:v>W2218AAT</c:v>
                </c:pt>
                <c:pt idx="260">
                  <c:v>W2225ACT</c:v>
                </c:pt>
                <c:pt idx="261">
                  <c:v>W2264AE</c:v>
                </c:pt>
                <c:pt idx="262">
                  <c:v>W2258AET</c:v>
                </c:pt>
                <c:pt idx="263">
                  <c:v>W5048AD</c:v>
                </c:pt>
                <c:pt idx="264">
                  <c:v>W5048AB</c:v>
                </c:pt>
                <c:pt idx="265">
                  <c:v>W2260AB</c:v>
                </c:pt>
                <c:pt idx="266">
                  <c:v>W2236AB</c:v>
                </c:pt>
                <c:pt idx="267">
                  <c:v>W5062AB</c:v>
                </c:pt>
                <c:pt idx="268">
                  <c:v>W5062AD</c:v>
                </c:pt>
                <c:pt idx="269">
                  <c:v>W5068AB</c:v>
                </c:pt>
                <c:pt idx="270">
                  <c:v>W5072AA</c:v>
                </c:pt>
                <c:pt idx="271">
                  <c:v>W2262AF</c:v>
                </c:pt>
                <c:pt idx="272">
                  <c:v>W2237AB (copy)</c:v>
                </c:pt>
                <c:pt idx="273">
                  <c:v>W2266AB (copy)</c:v>
                </c:pt>
                <c:pt idx="274">
                  <c:v>W2250APT</c:v>
                </c:pt>
                <c:pt idx="275">
                  <c:v>W2229AAT</c:v>
                </c:pt>
                <c:pt idx="276">
                  <c:v>W2233AA</c:v>
                </c:pt>
                <c:pt idx="277">
                  <c:v>W2233ABT</c:v>
                </c:pt>
                <c:pt idx="278">
                  <c:v>W5040AA</c:v>
                </c:pt>
                <c:pt idx="279">
                  <c:v>W2240AP</c:v>
                </c:pt>
                <c:pt idx="280">
                  <c:v>W2242AA</c:v>
                </c:pt>
                <c:pt idx="281">
                  <c:v>W2248AGT</c:v>
                </c:pt>
                <c:pt idx="282">
                  <c:v>W5048AC</c:v>
                </c:pt>
                <c:pt idx="283">
                  <c:v>W2232ADT</c:v>
                </c:pt>
                <c:pt idx="284">
                  <c:v>W5027AA</c:v>
                </c:pt>
                <c:pt idx="285">
                  <c:v>W5056AB</c:v>
                </c:pt>
                <c:pt idx="286">
                  <c:v>W2230ABT</c:v>
                </c:pt>
                <c:pt idx="287">
                  <c:v>W2222ACT</c:v>
                </c:pt>
                <c:pt idx="288">
                  <c:v>W2227AAT</c:v>
                </c:pt>
                <c:pt idx="289">
                  <c:v>W2228AET</c:v>
                </c:pt>
                <c:pt idx="290">
                  <c:v>W2228AC</c:v>
                </c:pt>
                <c:pt idx="291">
                  <c:v>W2235AFT</c:v>
                </c:pt>
                <c:pt idx="292">
                  <c:v>W2251ADT</c:v>
                </c:pt>
                <c:pt idx="293">
                  <c:v>W2253AB</c:v>
                </c:pt>
                <c:pt idx="294">
                  <c:v>W2227AQT</c:v>
                </c:pt>
                <c:pt idx="295">
                  <c:v>W2225AB</c:v>
                </c:pt>
                <c:pt idx="296">
                  <c:v>W2244AJ</c:v>
                </c:pt>
                <c:pt idx="297">
                  <c:v>W2247ADT</c:v>
                </c:pt>
                <c:pt idx="298">
                  <c:v>W2239AEH (copy)</c:v>
                </c:pt>
                <c:pt idx="299">
                  <c:v>W5063AA</c:v>
                </c:pt>
                <c:pt idx="300">
                  <c:v>W5048AB (copy)</c:v>
                </c:pt>
                <c:pt idx="301">
                  <c:v>W2229AB (copy)</c:v>
                </c:pt>
                <c:pt idx="302">
                  <c:v>W5046AA</c:v>
                </c:pt>
                <c:pt idx="303">
                  <c:v>W5044AB</c:v>
                </c:pt>
                <c:pt idx="304">
                  <c:v>W2249AF</c:v>
                </c:pt>
                <c:pt idx="305">
                  <c:v>W2251AB</c:v>
                </c:pt>
                <c:pt idx="306">
                  <c:v>W2251AC</c:v>
                </c:pt>
                <c:pt idx="307">
                  <c:v>W2232ALT</c:v>
                </c:pt>
                <c:pt idx="308">
                  <c:v>W2222ADT</c:v>
                </c:pt>
                <c:pt idx="309">
                  <c:v>W2231ACT</c:v>
                </c:pt>
                <c:pt idx="310">
                  <c:v>W2231ADT</c:v>
                </c:pt>
                <c:pt idx="311">
                  <c:v>W2232AIT</c:v>
                </c:pt>
                <c:pt idx="312">
                  <c:v>W2224ACT</c:v>
                </c:pt>
                <c:pt idx="313">
                  <c:v>W2255AF</c:v>
                </c:pt>
                <c:pt idx="314">
                  <c:v>W2247AHT</c:v>
                </c:pt>
                <c:pt idx="315">
                  <c:v>W2232AGT</c:v>
                </c:pt>
                <c:pt idx="316">
                  <c:v>W2238ABT</c:v>
                </c:pt>
                <c:pt idx="317">
                  <c:v>W2240ART</c:v>
                </c:pt>
                <c:pt idx="318">
                  <c:v>W2232AMT</c:v>
                </c:pt>
                <c:pt idx="319">
                  <c:v>W5047AA</c:v>
                </c:pt>
                <c:pt idx="320">
                  <c:v>W5047AB</c:v>
                </c:pt>
                <c:pt idx="321">
                  <c:v>W2246AGT</c:v>
                </c:pt>
                <c:pt idx="322">
                  <c:v>W2225AJT</c:v>
                </c:pt>
                <c:pt idx="323">
                  <c:v>W2246AIT</c:v>
                </c:pt>
                <c:pt idx="324">
                  <c:v>W2219AC</c:v>
                </c:pt>
                <c:pt idx="325">
                  <c:v>W2226AD</c:v>
                </c:pt>
                <c:pt idx="326">
                  <c:v>W2228AAT</c:v>
                </c:pt>
                <c:pt idx="327">
                  <c:v>W5029AA</c:v>
                </c:pt>
                <c:pt idx="328">
                  <c:v>W2240AWT</c:v>
                </c:pt>
                <c:pt idx="329">
                  <c:v>W2240AS</c:v>
                </c:pt>
                <c:pt idx="330">
                  <c:v>W5063AB</c:v>
                </c:pt>
                <c:pt idx="331">
                  <c:v>W2239AD</c:v>
                </c:pt>
                <c:pt idx="332">
                  <c:v>W2241AF</c:v>
                </c:pt>
                <c:pt idx="333">
                  <c:v>W2043</c:v>
                </c:pt>
                <c:pt idx="334">
                  <c:v>W2045AA</c:v>
                </c:pt>
                <c:pt idx="335">
                  <c:v>W1340AA</c:v>
                </c:pt>
                <c:pt idx="336">
                  <c:v>W1342AA</c:v>
                </c:pt>
                <c:pt idx="337">
                  <c:v>W1353</c:v>
                </c:pt>
                <c:pt idx="338">
                  <c:v>W1353AA</c:v>
                </c:pt>
                <c:pt idx="339">
                  <c:v>W1355AA</c:v>
                </c:pt>
                <c:pt idx="340">
                  <c:v>W2246AE</c:v>
                </c:pt>
                <c:pt idx="341">
                  <c:v>W2250AS</c:v>
                </c:pt>
                <c:pt idx="342">
                  <c:v>W2258AF</c:v>
                </c:pt>
                <c:pt idx="343">
                  <c:v>W2260AG</c:v>
                </c:pt>
                <c:pt idx="344">
                  <c:v>W2217AB</c:v>
                </c:pt>
                <c:pt idx="345">
                  <c:v>W2217AC</c:v>
                </c:pt>
                <c:pt idx="346">
                  <c:v>W2241AG</c:v>
                </c:pt>
                <c:pt idx="347">
                  <c:v>W2212AB</c:v>
                </c:pt>
                <c:pt idx="348">
                  <c:v>W2217AA</c:v>
                </c:pt>
                <c:pt idx="349">
                  <c:v>W2245AF</c:v>
                </c:pt>
                <c:pt idx="350">
                  <c:v>W2241AG</c:v>
                </c:pt>
                <c:pt idx="351">
                  <c:v>W2240AH</c:v>
                </c:pt>
                <c:pt idx="352">
                  <c:v>W2240AN</c:v>
                </c:pt>
                <c:pt idx="353">
                  <c:v>W2251AF</c:v>
                </c:pt>
                <c:pt idx="354">
                  <c:v>W2251AG</c:v>
                </c:pt>
                <c:pt idx="355">
                  <c:v>W1240AA</c:v>
                </c:pt>
                <c:pt idx="356">
                  <c:v>W5043</c:v>
                </c:pt>
                <c:pt idx="357">
                  <c:v>W1340AB</c:v>
                </c:pt>
                <c:pt idx="358">
                  <c:v>W2340</c:v>
                </c:pt>
                <c:pt idx="359">
                  <c:v>W1342AB</c:v>
                </c:pt>
                <c:pt idx="360">
                  <c:v>W1340</c:v>
                </c:pt>
                <c:pt idx="361">
                  <c:v>W2240AC</c:v>
                </c:pt>
                <c:pt idx="362">
                  <c:v>W2240AD</c:v>
                </c:pt>
                <c:pt idx="363">
                  <c:v>W1240</c:v>
                </c:pt>
                <c:pt idx="364">
                  <c:v>W1240AB</c:v>
                </c:pt>
                <c:pt idx="365">
                  <c:v>W1240AC</c:v>
                </c:pt>
                <c:pt idx="366">
                  <c:v>W1240AD</c:v>
                </c:pt>
                <c:pt idx="367">
                  <c:v>W2242AB</c:v>
                </c:pt>
                <c:pt idx="368">
                  <c:v>W1242AA</c:v>
                </c:pt>
                <c:pt idx="369">
                  <c:v>W2245AC</c:v>
                </c:pt>
                <c:pt idx="370">
                  <c:v>W2249AK</c:v>
                </c:pt>
                <c:pt idx="371">
                  <c:v>W2251AI</c:v>
                </c:pt>
                <c:pt idx="372">
                  <c:v>W2256AI</c:v>
                </c:pt>
                <c:pt idx="373">
                  <c:v>W2233AH</c:v>
                </c:pt>
                <c:pt idx="374">
                  <c:v>W2233AG</c:v>
                </c:pt>
                <c:pt idx="375">
                  <c:v>W2233AE</c:v>
                </c:pt>
                <c:pt idx="376">
                  <c:v>W2238AA</c:v>
                </c:pt>
                <c:pt idx="377">
                  <c:v>W2243AB</c:v>
                </c:pt>
                <c:pt idx="378">
                  <c:v>W1338</c:v>
                </c:pt>
                <c:pt idx="379">
                  <c:v>W1340AC</c:v>
                </c:pt>
                <c:pt idx="380">
                  <c:v>W2252AL</c:v>
                </c:pt>
                <c:pt idx="381">
                  <c:v>W2254AG</c:v>
                </c:pt>
                <c:pt idx="382">
                  <c:v>W2263AA</c:v>
                </c:pt>
                <c:pt idx="383">
                  <c:v>W2257AF</c:v>
                </c:pt>
                <c:pt idx="384">
                  <c:v>W2260AL</c:v>
                </c:pt>
                <c:pt idx="385">
                  <c:v>W2263AB</c:v>
                </c:pt>
                <c:pt idx="386">
                  <c:v>W2249AA</c:v>
                </c:pt>
                <c:pt idx="387">
                  <c:v>W2255AB</c:v>
                </c:pt>
                <c:pt idx="388">
                  <c:v>W2257AE</c:v>
                </c:pt>
                <c:pt idx="389">
                  <c:v>W2262AG</c:v>
                </c:pt>
                <c:pt idx="390">
                  <c:v>W2267AB</c:v>
                </c:pt>
                <c:pt idx="391">
                  <c:v>W2255AG</c:v>
                </c:pt>
                <c:pt idx="392">
                  <c:v>W2243AA</c:v>
                </c:pt>
                <c:pt idx="393">
                  <c:v>W1243AB</c:v>
                </c:pt>
                <c:pt idx="394">
                  <c:v>W1243</c:v>
                </c:pt>
                <c:pt idx="395">
                  <c:v>W1243AA</c:v>
                </c:pt>
                <c:pt idx="396">
                  <c:v>W1245AA</c:v>
                </c:pt>
                <c:pt idx="397">
                  <c:v>W2249AI</c:v>
                </c:pt>
                <c:pt idx="398">
                  <c:v>W2248AC</c:v>
                </c:pt>
                <c:pt idx="399">
                  <c:v>W2248AI</c:v>
                </c:pt>
                <c:pt idx="400">
                  <c:v>W2257AB</c:v>
                </c:pt>
                <c:pt idx="401">
                  <c:v>W2254AC</c:v>
                </c:pt>
                <c:pt idx="402">
                  <c:v>W2220AF</c:v>
                </c:pt>
                <c:pt idx="403">
                  <c:v>W2248AF</c:v>
                </c:pt>
                <c:pt idx="404">
                  <c:v>W2239AF</c:v>
                </c:pt>
                <c:pt idx="405">
                  <c:v>W2238AC</c:v>
                </c:pt>
                <c:pt idx="406">
                  <c:v>W2243AC</c:v>
                </c:pt>
                <c:pt idx="407">
                  <c:v>W2243ACH</c:v>
                </c:pt>
                <c:pt idx="408">
                  <c:v>W2248AHH</c:v>
                </c:pt>
                <c:pt idx="409">
                  <c:v>W2237AF</c:v>
                </c:pt>
                <c:pt idx="410">
                  <c:v>W2237AG</c:v>
                </c:pt>
                <c:pt idx="411">
                  <c:v>W2237ADH</c:v>
                </c:pt>
                <c:pt idx="412">
                  <c:v>W2237AAH</c:v>
                </c:pt>
                <c:pt idx="413">
                  <c:v>W2237ACH</c:v>
                </c:pt>
                <c:pt idx="414">
                  <c:v>W2237AEH</c:v>
                </c:pt>
                <c:pt idx="415">
                  <c:v>W2256AH</c:v>
                </c:pt>
                <c:pt idx="416">
                  <c:v>W2265AC</c:v>
                </c:pt>
                <c:pt idx="417">
                  <c:v>W2240AM</c:v>
                </c:pt>
                <c:pt idx="418">
                  <c:v>W2240AV</c:v>
                </c:pt>
                <c:pt idx="419">
                  <c:v>W2256AD</c:v>
                </c:pt>
                <c:pt idx="420">
                  <c:v>W2256AK</c:v>
                </c:pt>
                <c:pt idx="421">
                  <c:v>W2244AI</c:v>
                </c:pt>
                <c:pt idx="422">
                  <c:v>W2244AO</c:v>
                </c:pt>
                <c:pt idx="423">
                  <c:v>W2248AE</c:v>
                </c:pt>
                <c:pt idx="424">
                  <c:v>W2248AJ</c:v>
                </c:pt>
                <c:pt idx="425">
                  <c:v>W2248AL</c:v>
                </c:pt>
                <c:pt idx="426">
                  <c:v>W2248AM</c:v>
                </c:pt>
                <c:pt idx="427">
                  <c:v>W2348AA</c:v>
                </c:pt>
                <c:pt idx="428">
                  <c:v>W2362AA</c:v>
                </c:pt>
                <c:pt idx="429">
                  <c:v>W2264AH</c:v>
                </c:pt>
                <c:pt idx="430">
                  <c:v>W2252AF</c:v>
                </c:pt>
                <c:pt idx="431">
                  <c:v>W2252AN</c:v>
                </c:pt>
                <c:pt idx="432">
                  <c:v>W2252AS</c:v>
                </c:pt>
                <c:pt idx="433">
                  <c:v>W2342AB</c:v>
                </c:pt>
                <c:pt idx="434">
                  <c:v>W2344AA</c:v>
                </c:pt>
                <c:pt idx="435">
                  <c:v>W2050AA</c:v>
                </c:pt>
                <c:pt idx="436">
                  <c:v>W2045AC</c:v>
                </c:pt>
                <c:pt idx="437">
                  <c:v>W2045AD</c:v>
                </c:pt>
                <c:pt idx="438">
                  <c:v>W2241AI</c:v>
                </c:pt>
                <c:pt idx="439">
                  <c:v>W2249AJ</c:v>
                </c:pt>
                <c:pt idx="440">
                  <c:v>W2241AB</c:v>
                </c:pt>
                <c:pt idx="441">
                  <c:v>W2245AD</c:v>
                </c:pt>
                <c:pt idx="442">
                  <c:v>W2034AA</c:v>
                </c:pt>
                <c:pt idx="443">
                  <c:v>W1034AA</c:v>
                </c:pt>
                <c:pt idx="444">
                  <c:v>W2030AA</c:v>
                </c:pt>
                <c:pt idx="445">
                  <c:v>W2040AA</c:v>
                </c:pt>
                <c:pt idx="446">
                  <c:v>W1040AA</c:v>
                </c:pt>
                <c:pt idx="447">
                  <c:v>W2040AB</c:v>
                </c:pt>
                <c:pt idx="448">
                  <c:v>W2240AQ</c:v>
                </c:pt>
                <c:pt idx="449">
                  <c:v>W2240AB</c:v>
                </c:pt>
                <c:pt idx="450">
                  <c:v>W2240AA</c:v>
                </c:pt>
                <c:pt idx="451">
                  <c:v>W2232AB</c:v>
                </c:pt>
                <c:pt idx="452">
                  <c:v>W2038AA</c:v>
                </c:pt>
                <c:pt idx="453">
                  <c:v>W2248AA</c:v>
                </c:pt>
                <c:pt idx="454">
                  <c:v>W5036</c:v>
                </c:pt>
                <c:pt idx="455">
                  <c:v>W5036AB</c:v>
                </c:pt>
                <c:pt idx="456">
                  <c:v>W2260AE</c:v>
                </c:pt>
                <c:pt idx="457">
                  <c:v>W2036AA</c:v>
                </c:pt>
                <c:pt idx="458">
                  <c:v>W2236AA</c:v>
                </c:pt>
                <c:pt idx="459">
                  <c:v>W2252AB</c:v>
                </c:pt>
                <c:pt idx="460">
                  <c:v>W5045AA</c:v>
                </c:pt>
                <c:pt idx="461">
                  <c:v>W5022AB</c:v>
                </c:pt>
                <c:pt idx="462">
                  <c:v>W2272AD</c:v>
                </c:pt>
                <c:pt idx="463">
                  <c:v>W2244AM</c:v>
                </c:pt>
                <c:pt idx="464">
                  <c:v>W2250AV</c:v>
                </c:pt>
                <c:pt idx="465">
                  <c:v>W2241AK</c:v>
                </c:pt>
                <c:pt idx="466">
                  <c:v>W2245AG</c:v>
                </c:pt>
                <c:pt idx="467">
                  <c:v>W2264AA</c:v>
                </c:pt>
                <c:pt idx="468">
                  <c:v>W2267AA</c:v>
                </c:pt>
                <c:pt idx="469">
                  <c:v>W2262AC</c:v>
                </c:pt>
                <c:pt idx="470">
                  <c:v>W2264AD</c:v>
                </c:pt>
                <c:pt idx="471">
                  <c:v>W2272AB</c:v>
                </c:pt>
                <c:pt idx="472">
                  <c:v>W2272AC</c:v>
                </c:pt>
                <c:pt idx="473">
                  <c:v>W2272AE</c:v>
                </c:pt>
                <c:pt idx="474">
                  <c:v>W2254AF</c:v>
                </c:pt>
                <c:pt idx="475">
                  <c:v>W2254AK</c:v>
                </c:pt>
                <c:pt idx="476">
                  <c:v>W2220AE</c:v>
                </c:pt>
                <c:pt idx="477">
                  <c:v>W2222AF</c:v>
                </c:pt>
                <c:pt idx="478">
                  <c:v>W2225AG</c:v>
                </c:pt>
                <c:pt idx="479">
                  <c:v>W2254AJ</c:v>
                </c:pt>
                <c:pt idx="480">
                  <c:v>W2240AE</c:v>
                </c:pt>
                <c:pt idx="481">
                  <c:v>W2041AA</c:v>
                </c:pt>
                <c:pt idx="482">
                  <c:v>W2267AC</c:v>
                </c:pt>
                <c:pt idx="483">
                  <c:v>W2260AJ</c:v>
                </c:pt>
                <c:pt idx="484">
                  <c:v>W2235AA</c:v>
                </c:pt>
                <c:pt idx="485">
                  <c:v>W2251AE</c:v>
                </c:pt>
                <c:pt idx="486">
                  <c:v>W2241AA</c:v>
                </c:pt>
                <c:pt idx="487">
                  <c:v>W1241</c:v>
                </c:pt>
                <c:pt idx="488">
                  <c:v>W1241AC</c:v>
                </c:pt>
                <c:pt idx="489">
                  <c:v>W2231AA</c:v>
                </c:pt>
              </c:strCache>
            </c:strRef>
          </c:cat>
          <c:val>
            <c:numRef>
              <c:f>'W-code list'!$U$6:$U$495</c:f>
              <c:numCache>
                <c:formatCode>General</c:formatCode>
                <c:ptCount val="490"/>
                <c:pt idx="0">
                  <c:v>150</c:v>
                </c:pt>
                <c:pt idx="1">
                  <c:v>170</c:v>
                </c:pt>
                <c:pt idx="2">
                  <c:v>170</c:v>
                </c:pt>
                <c:pt idx="3">
                  <c:v>253</c:v>
                </c:pt>
                <c:pt idx="4">
                  <c:v>253</c:v>
                </c:pt>
                <c:pt idx="5">
                  <c:v>200</c:v>
                </c:pt>
                <c:pt idx="6">
                  <c:v>305</c:v>
                </c:pt>
                <c:pt idx="7">
                  <c:v>320</c:v>
                </c:pt>
                <c:pt idx="8">
                  <c:v>372</c:v>
                </c:pt>
                <c:pt idx="9">
                  <c:v>408</c:v>
                </c:pt>
                <c:pt idx="10">
                  <c:v>280</c:v>
                </c:pt>
                <c:pt idx="11">
                  <c:v>200</c:v>
                </c:pt>
                <c:pt idx="12">
                  <c:v>280</c:v>
                </c:pt>
                <c:pt idx="13">
                  <c:v>280</c:v>
                </c:pt>
                <c:pt idx="14">
                  <c:v>280</c:v>
                </c:pt>
                <c:pt idx="15">
                  <c:v>280</c:v>
                </c:pt>
                <c:pt idx="16">
                  <c:v>280</c:v>
                </c:pt>
                <c:pt idx="17">
                  <c:v>250</c:v>
                </c:pt>
                <c:pt idx="18">
                  <c:v>255</c:v>
                </c:pt>
                <c:pt idx="19">
                  <c:v>255</c:v>
                </c:pt>
                <c:pt idx="20">
                  <c:v>250</c:v>
                </c:pt>
                <c:pt idx="21">
                  <c:v>200</c:v>
                </c:pt>
                <c:pt idx="22">
                  <c:v>220</c:v>
                </c:pt>
                <c:pt idx="23">
                  <c:v>200</c:v>
                </c:pt>
                <c:pt idx="24">
                  <c:v>200</c:v>
                </c:pt>
                <c:pt idx="25">
                  <c:v>200</c:v>
                </c:pt>
                <c:pt idx="26">
                  <c:v>390</c:v>
                </c:pt>
                <c:pt idx="27">
                  <c:v>300</c:v>
                </c:pt>
                <c:pt idx="28">
                  <c:v>300</c:v>
                </c:pt>
                <c:pt idx="29">
                  <c:v>150</c:v>
                </c:pt>
                <c:pt idx="30">
                  <c:v>0</c:v>
                </c:pt>
                <c:pt idx="31">
                  <c:v>0</c:v>
                </c:pt>
                <c:pt idx="32">
                  <c:v>0</c:v>
                </c:pt>
                <c:pt idx="33">
                  <c:v>0</c:v>
                </c:pt>
                <c:pt idx="34">
                  <c:v>256</c:v>
                </c:pt>
                <c:pt idx="35">
                  <c:v>200</c:v>
                </c:pt>
                <c:pt idx="36">
                  <c:v>200</c:v>
                </c:pt>
                <c:pt idx="37">
                  <c:v>265</c:v>
                </c:pt>
                <c:pt idx="38">
                  <c:v>150</c:v>
                </c:pt>
                <c:pt idx="39">
                  <c:v>150</c:v>
                </c:pt>
                <c:pt idx="40">
                  <c:v>150</c:v>
                </c:pt>
                <c:pt idx="41">
                  <c:v>200</c:v>
                </c:pt>
                <c:pt idx="42">
                  <c:v>200</c:v>
                </c:pt>
                <c:pt idx="43">
                  <c:v>250</c:v>
                </c:pt>
                <c:pt idx="44">
                  <c:v>300</c:v>
                </c:pt>
                <c:pt idx="45">
                  <c:v>200</c:v>
                </c:pt>
                <c:pt idx="46">
                  <c:v>200</c:v>
                </c:pt>
                <c:pt idx="47">
                  <c:v>228</c:v>
                </c:pt>
                <c:pt idx="48">
                  <c:v>270</c:v>
                </c:pt>
                <c:pt idx="49">
                  <c:v>275</c:v>
                </c:pt>
                <c:pt idx="50">
                  <c:v>0</c:v>
                </c:pt>
                <c:pt idx="51">
                  <c:v>0</c:v>
                </c:pt>
                <c:pt idx="52">
                  <c:v>0</c:v>
                </c:pt>
                <c:pt idx="53">
                  <c:v>0</c:v>
                </c:pt>
                <c:pt idx="54">
                  <c:v>0</c:v>
                </c:pt>
                <c:pt idx="55">
                  <c:v>0</c:v>
                </c:pt>
                <c:pt idx="56">
                  <c:v>300</c:v>
                </c:pt>
                <c:pt idx="57">
                  <c:v>110</c:v>
                </c:pt>
                <c:pt idx="58">
                  <c:v>100</c:v>
                </c:pt>
                <c:pt idx="59">
                  <c:v>160</c:v>
                </c:pt>
                <c:pt idx="60">
                  <c:v>160</c:v>
                </c:pt>
                <c:pt idx="61">
                  <c:v>160</c:v>
                </c:pt>
                <c:pt idx="62">
                  <c:v>220</c:v>
                </c:pt>
                <c:pt idx="63">
                  <c:v>120</c:v>
                </c:pt>
                <c:pt idx="64">
                  <c:v>150</c:v>
                </c:pt>
                <c:pt idx="65">
                  <c:v>150</c:v>
                </c:pt>
                <c:pt idx="66">
                  <c:v>300</c:v>
                </c:pt>
                <c:pt idx="67">
                  <c:v>200</c:v>
                </c:pt>
                <c:pt idx="68">
                  <c:v>200</c:v>
                </c:pt>
                <c:pt idx="69">
                  <c:v>230</c:v>
                </c:pt>
                <c:pt idx="70">
                  <c:v>200</c:v>
                </c:pt>
                <c:pt idx="71">
                  <c:v>230</c:v>
                </c:pt>
                <c:pt idx="72">
                  <c:v>200</c:v>
                </c:pt>
                <c:pt idx="73">
                  <c:v>100</c:v>
                </c:pt>
                <c:pt idx="74">
                  <c:v>263</c:v>
                </c:pt>
                <c:pt idx="75">
                  <c:v>200</c:v>
                </c:pt>
                <c:pt idx="76">
                  <c:v>160</c:v>
                </c:pt>
                <c:pt idx="77">
                  <c:v>180</c:v>
                </c:pt>
                <c:pt idx="79">
                  <c:v>200</c:v>
                </c:pt>
                <c:pt idx="80">
                  <c:v>200</c:v>
                </c:pt>
                <c:pt idx="81">
                  <c:v>200</c:v>
                </c:pt>
                <c:pt idx="82">
                  <c:v>210</c:v>
                </c:pt>
                <c:pt idx="83">
                  <c:v>210</c:v>
                </c:pt>
                <c:pt idx="84">
                  <c:v>200</c:v>
                </c:pt>
                <c:pt idx="85">
                  <c:v>180</c:v>
                </c:pt>
                <c:pt idx="86">
                  <c:v>200</c:v>
                </c:pt>
                <c:pt idx="87">
                  <c:v>150</c:v>
                </c:pt>
                <c:pt idx="88">
                  <c:v>150</c:v>
                </c:pt>
                <c:pt idx="89">
                  <c:v>200</c:v>
                </c:pt>
                <c:pt idx="90">
                  <c:v>200</c:v>
                </c:pt>
                <c:pt idx="91">
                  <c:v>200</c:v>
                </c:pt>
                <c:pt idx="92">
                  <c:v>150</c:v>
                </c:pt>
                <c:pt idx="96">
                  <c:v>300</c:v>
                </c:pt>
                <c:pt idx="97">
                  <c:v>300</c:v>
                </c:pt>
                <c:pt idx="98">
                  <c:v>250</c:v>
                </c:pt>
                <c:pt idx="99">
                  <c:v>250</c:v>
                </c:pt>
                <c:pt idx="100">
                  <c:v>200</c:v>
                </c:pt>
                <c:pt idx="101">
                  <c:v>200</c:v>
                </c:pt>
                <c:pt idx="102">
                  <c:v>200</c:v>
                </c:pt>
                <c:pt idx="103">
                  <c:v>710</c:v>
                </c:pt>
                <c:pt idx="104">
                  <c:v>600</c:v>
                </c:pt>
                <c:pt idx="105">
                  <c:v>200</c:v>
                </c:pt>
                <c:pt idx="106">
                  <c:v>300</c:v>
                </c:pt>
                <c:pt idx="107">
                  <c:v>200</c:v>
                </c:pt>
                <c:pt idx="108">
                  <c:v>200</c:v>
                </c:pt>
                <c:pt idx="109">
                  <c:v>200</c:v>
                </c:pt>
                <c:pt idx="110">
                  <c:v>180</c:v>
                </c:pt>
                <c:pt idx="111">
                  <c:v>262</c:v>
                </c:pt>
                <c:pt idx="112">
                  <c:v>200</c:v>
                </c:pt>
                <c:pt idx="113">
                  <c:v>200</c:v>
                </c:pt>
                <c:pt idx="114">
                  <c:v>200</c:v>
                </c:pt>
                <c:pt idx="115">
                  <c:v>200</c:v>
                </c:pt>
                <c:pt idx="116">
                  <c:v>200</c:v>
                </c:pt>
                <c:pt idx="117">
                  <c:v>150</c:v>
                </c:pt>
                <c:pt idx="118">
                  <c:v>200</c:v>
                </c:pt>
                <c:pt idx="119">
                  <c:v>150</c:v>
                </c:pt>
                <c:pt idx="120">
                  <c:v>150</c:v>
                </c:pt>
                <c:pt idx="121">
                  <c:v>200</c:v>
                </c:pt>
                <c:pt idx="122">
                  <c:v>170</c:v>
                </c:pt>
                <c:pt idx="123">
                  <c:v>170</c:v>
                </c:pt>
                <c:pt idx="124">
                  <c:v>200</c:v>
                </c:pt>
                <c:pt idx="125">
                  <c:v>150</c:v>
                </c:pt>
                <c:pt idx="126">
                  <c:v>200</c:v>
                </c:pt>
                <c:pt idx="127">
                  <c:v>150</c:v>
                </c:pt>
                <c:pt idx="128">
                  <c:v>150</c:v>
                </c:pt>
                <c:pt idx="129">
                  <c:v>150</c:v>
                </c:pt>
                <c:pt idx="130">
                  <c:v>80</c:v>
                </c:pt>
                <c:pt idx="131">
                  <c:v>180</c:v>
                </c:pt>
                <c:pt idx="132">
                  <c:v>180</c:v>
                </c:pt>
                <c:pt idx="133">
                  <c:v>180</c:v>
                </c:pt>
                <c:pt idx="134">
                  <c:v>180</c:v>
                </c:pt>
                <c:pt idx="135">
                  <c:v>150</c:v>
                </c:pt>
                <c:pt idx="136">
                  <c:v>150</c:v>
                </c:pt>
                <c:pt idx="137">
                  <c:v>150</c:v>
                </c:pt>
                <c:pt idx="138">
                  <c:v>150</c:v>
                </c:pt>
                <c:pt idx="139">
                  <c:v>90</c:v>
                </c:pt>
                <c:pt idx="140">
                  <c:v>200</c:v>
                </c:pt>
                <c:pt idx="141">
                  <c:v>150</c:v>
                </c:pt>
                <c:pt idx="142">
                  <c:v>200</c:v>
                </c:pt>
                <c:pt idx="143">
                  <c:v>150</c:v>
                </c:pt>
                <c:pt idx="144">
                  <c:v>150</c:v>
                </c:pt>
                <c:pt idx="145">
                  <c:v>200</c:v>
                </c:pt>
                <c:pt idx="146">
                  <c:v>200</c:v>
                </c:pt>
                <c:pt idx="147">
                  <c:v>180</c:v>
                </c:pt>
                <c:pt idx="148">
                  <c:v>180</c:v>
                </c:pt>
                <c:pt idx="149">
                  <c:v>180</c:v>
                </c:pt>
                <c:pt idx="150">
                  <c:v>150</c:v>
                </c:pt>
                <c:pt idx="151">
                  <c:v>229</c:v>
                </c:pt>
                <c:pt idx="152">
                  <c:v>150</c:v>
                </c:pt>
                <c:pt idx="153">
                  <c:v>200</c:v>
                </c:pt>
                <c:pt idx="154">
                  <c:v>200</c:v>
                </c:pt>
                <c:pt idx="155">
                  <c:v>200</c:v>
                </c:pt>
                <c:pt idx="156">
                  <c:v>200</c:v>
                </c:pt>
                <c:pt idx="157">
                  <c:v>200</c:v>
                </c:pt>
                <c:pt idx="158">
                  <c:v>200</c:v>
                </c:pt>
                <c:pt idx="159">
                  <c:v>200</c:v>
                </c:pt>
                <c:pt idx="160">
                  <c:v>150</c:v>
                </c:pt>
                <c:pt idx="161">
                  <c:v>200</c:v>
                </c:pt>
                <c:pt idx="162">
                  <c:v>200</c:v>
                </c:pt>
                <c:pt idx="163">
                  <c:v>213</c:v>
                </c:pt>
                <c:pt idx="164">
                  <c:v>0</c:v>
                </c:pt>
                <c:pt idx="165">
                  <c:v>0</c:v>
                </c:pt>
                <c:pt idx="166">
                  <c:v>193</c:v>
                </c:pt>
                <c:pt idx="167">
                  <c:v>193</c:v>
                </c:pt>
                <c:pt idx="168">
                  <c:v>200</c:v>
                </c:pt>
                <c:pt idx="169">
                  <c:v>200</c:v>
                </c:pt>
                <c:pt idx="170">
                  <c:v>200</c:v>
                </c:pt>
                <c:pt idx="171">
                  <c:v>200</c:v>
                </c:pt>
                <c:pt idx="172">
                  <c:v>171</c:v>
                </c:pt>
                <c:pt idx="173">
                  <c:v>150</c:v>
                </c:pt>
                <c:pt idx="174">
                  <c:v>150</c:v>
                </c:pt>
                <c:pt idx="175">
                  <c:v>140</c:v>
                </c:pt>
                <c:pt idx="176">
                  <c:v>140</c:v>
                </c:pt>
                <c:pt idx="177">
                  <c:v>200</c:v>
                </c:pt>
                <c:pt idx="178">
                  <c:v>200</c:v>
                </c:pt>
                <c:pt idx="179">
                  <c:v>267</c:v>
                </c:pt>
                <c:pt idx="180">
                  <c:v>150</c:v>
                </c:pt>
                <c:pt idx="181">
                  <c:v>195</c:v>
                </c:pt>
                <c:pt idx="182">
                  <c:v>192</c:v>
                </c:pt>
                <c:pt idx="183">
                  <c:v>273</c:v>
                </c:pt>
                <c:pt idx="184">
                  <c:v>273</c:v>
                </c:pt>
                <c:pt idx="185">
                  <c:v>200</c:v>
                </c:pt>
                <c:pt idx="186">
                  <c:v>200</c:v>
                </c:pt>
                <c:pt idx="187">
                  <c:v>150</c:v>
                </c:pt>
                <c:pt idx="188">
                  <c:v>200</c:v>
                </c:pt>
                <c:pt idx="189">
                  <c:v>200</c:v>
                </c:pt>
                <c:pt idx="190">
                  <c:v>300</c:v>
                </c:pt>
                <c:pt idx="191">
                  <c:v>200</c:v>
                </c:pt>
                <c:pt idx="192">
                  <c:v>200</c:v>
                </c:pt>
                <c:pt idx="193">
                  <c:v>200</c:v>
                </c:pt>
                <c:pt idx="194">
                  <c:v>150</c:v>
                </c:pt>
                <c:pt idx="195">
                  <c:v>150</c:v>
                </c:pt>
                <c:pt idx="196">
                  <c:v>200</c:v>
                </c:pt>
                <c:pt idx="197">
                  <c:v>250</c:v>
                </c:pt>
                <c:pt idx="198">
                  <c:v>330</c:v>
                </c:pt>
                <c:pt idx="199">
                  <c:v>300</c:v>
                </c:pt>
                <c:pt idx="200">
                  <c:v>180</c:v>
                </c:pt>
                <c:pt idx="201">
                  <c:v>180</c:v>
                </c:pt>
                <c:pt idx="202">
                  <c:v>200</c:v>
                </c:pt>
                <c:pt idx="203">
                  <c:v>150</c:v>
                </c:pt>
                <c:pt idx="204">
                  <c:v>200</c:v>
                </c:pt>
                <c:pt idx="205">
                  <c:v>200</c:v>
                </c:pt>
                <c:pt idx="206">
                  <c:v>200</c:v>
                </c:pt>
                <c:pt idx="207">
                  <c:v>150</c:v>
                </c:pt>
                <c:pt idx="208">
                  <c:v>210</c:v>
                </c:pt>
                <c:pt idx="209">
                  <c:v>150</c:v>
                </c:pt>
                <c:pt idx="210">
                  <c:v>150</c:v>
                </c:pt>
                <c:pt idx="211">
                  <c:v>130</c:v>
                </c:pt>
                <c:pt idx="212">
                  <c:v>150</c:v>
                </c:pt>
                <c:pt idx="213">
                  <c:v>200</c:v>
                </c:pt>
                <c:pt idx="214">
                  <c:v>250</c:v>
                </c:pt>
                <c:pt idx="215">
                  <c:v>200</c:v>
                </c:pt>
                <c:pt idx="216">
                  <c:v>200</c:v>
                </c:pt>
                <c:pt idx="217">
                  <c:v>278</c:v>
                </c:pt>
                <c:pt idx="218">
                  <c:v>200</c:v>
                </c:pt>
                <c:pt idx="219">
                  <c:v>200</c:v>
                </c:pt>
                <c:pt idx="220">
                  <c:v>160</c:v>
                </c:pt>
                <c:pt idx="221">
                  <c:v>250</c:v>
                </c:pt>
                <c:pt idx="222">
                  <c:v>200</c:v>
                </c:pt>
                <c:pt idx="223">
                  <c:v>110</c:v>
                </c:pt>
                <c:pt idx="224">
                  <c:v>150</c:v>
                </c:pt>
                <c:pt idx="225">
                  <c:v>200</c:v>
                </c:pt>
                <c:pt idx="226">
                  <c:v>150</c:v>
                </c:pt>
                <c:pt idx="227">
                  <c:v>200</c:v>
                </c:pt>
                <c:pt idx="228">
                  <c:v>200</c:v>
                </c:pt>
                <c:pt idx="229">
                  <c:v>150</c:v>
                </c:pt>
                <c:pt idx="230">
                  <c:v>150</c:v>
                </c:pt>
                <c:pt idx="231">
                  <c:v>200</c:v>
                </c:pt>
                <c:pt idx="232">
                  <c:v>150</c:v>
                </c:pt>
                <c:pt idx="233">
                  <c:v>150</c:v>
                </c:pt>
                <c:pt idx="234">
                  <c:v>200</c:v>
                </c:pt>
                <c:pt idx="235">
                  <c:v>300</c:v>
                </c:pt>
                <c:pt idx="236">
                  <c:v>300</c:v>
                </c:pt>
                <c:pt idx="237">
                  <c:v>300</c:v>
                </c:pt>
                <c:pt idx="238">
                  <c:v>200</c:v>
                </c:pt>
                <c:pt idx="239">
                  <c:v>180</c:v>
                </c:pt>
                <c:pt idx="240">
                  <c:v>150</c:v>
                </c:pt>
                <c:pt idx="241">
                  <c:v>150</c:v>
                </c:pt>
                <c:pt idx="242">
                  <c:v>200</c:v>
                </c:pt>
                <c:pt idx="243">
                  <c:v>200</c:v>
                </c:pt>
                <c:pt idx="244">
                  <c:v>200</c:v>
                </c:pt>
                <c:pt idx="245">
                  <c:v>200</c:v>
                </c:pt>
                <c:pt idx="246">
                  <c:v>200</c:v>
                </c:pt>
                <c:pt idx="247">
                  <c:v>200</c:v>
                </c:pt>
                <c:pt idx="248">
                  <c:v>200</c:v>
                </c:pt>
                <c:pt idx="249">
                  <c:v>200</c:v>
                </c:pt>
                <c:pt idx="250">
                  <c:v>200</c:v>
                </c:pt>
                <c:pt idx="251">
                  <c:v>200</c:v>
                </c:pt>
                <c:pt idx="252">
                  <c:v>180</c:v>
                </c:pt>
                <c:pt idx="253">
                  <c:v>180</c:v>
                </c:pt>
                <c:pt idx="254">
                  <c:v>200</c:v>
                </c:pt>
                <c:pt idx="255">
                  <c:v>200</c:v>
                </c:pt>
                <c:pt idx="256">
                  <c:v>190</c:v>
                </c:pt>
                <c:pt idx="257">
                  <c:v>200</c:v>
                </c:pt>
                <c:pt idx="258">
                  <c:v>200</c:v>
                </c:pt>
                <c:pt idx="259">
                  <c:v>200</c:v>
                </c:pt>
                <c:pt idx="260">
                  <c:v>200</c:v>
                </c:pt>
                <c:pt idx="261">
                  <c:v>200</c:v>
                </c:pt>
                <c:pt idx="262">
                  <c:v>200</c:v>
                </c:pt>
                <c:pt idx="263">
                  <c:v>150</c:v>
                </c:pt>
                <c:pt idx="264">
                  <c:v>150</c:v>
                </c:pt>
                <c:pt idx="265">
                  <c:v>175</c:v>
                </c:pt>
                <c:pt idx="266">
                  <c:v>175</c:v>
                </c:pt>
                <c:pt idx="267">
                  <c:v>150</c:v>
                </c:pt>
                <c:pt idx="268">
                  <c:v>150</c:v>
                </c:pt>
                <c:pt idx="269">
                  <c:v>150</c:v>
                </c:pt>
                <c:pt idx="270">
                  <c:v>150</c:v>
                </c:pt>
                <c:pt idx="271">
                  <c:v>120</c:v>
                </c:pt>
                <c:pt idx="274">
                  <c:v>200</c:v>
                </c:pt>
                <c:pt idx="275">
                  <c:v>200</c:v>
                </c:pt>
                <c:pt idx="276">
                  <c:v>178</c:v>
                </c:pt>
                <c:pt idx="277">
                  <c:v>178</c:v>
                </c:pt>
                <c:pt idx="278">
                  <c:v>200</c:v>
                </c:pt>
                <c:pt idx="279">
                  <c:v>200</c:v>
                </c:pt>
                <c:pt idx="280">
                  <c:v>300</c:v>
                </c:pt>
                <c:pt idx="281">
                  <c:v>200</c:v>
                </c:pt>
                <c:pt idx="282">
                  <c:v>200</c:v>
                </c:pt>
                <c:pt idx="283">
                  <c:v>200</c:v>
                </c:pt>
                <c:pt idx="284">
                  <c:v>200</c:v>
                </c:pt>
                <c:pt idx="285">
                  <c:v>160</c:v>
                </c:pt>
                <c:pt idx="286">
                  <c:v>200</c:v>
                </c:pt>
                <c:pt idx="287">
                  <c:v>200</c:v>
                </c:pt>
                <c:pt idx="288">
                  <c:v>100</c:v>
                </c:pt>
                <c:pt idx="289">
                  <c:v>150</c:v>
                </c:pt>
                <c:pt idx="290">
                  <c:v>150</c:v>
                </c:pt>
                <c:pt idx="291">
                  <c:v>200</c:v>
                </c:pt>
                <c:pt idx="292">
                  <c:v>200</c:v>
                </c:pt>
                <c:pt idx="293">
                  <c:v>200</c:v>
                </c:pt>
                <c:pt idx="294">
                  <c:v>200</c:v>
                </c:pt>
                <c:pt idx="295">
                  <c:v>200</c:v>
                </c:pt>
                <c:pt idx="296">
                  <c:v>200</c:v>
                </c:pt>
                <c:pt idx="297">
                  <c:v>200</c:v>
                </c:pt>
                <c:pt idx="299">
                  <c:v>234</c:v>
                </c:pt>
                <c:pt idx="302">
                  <c:v>200</c:v>
                </c:pt>
                <c:pt idx="303">
                  <c:v>200</c:v>
                </c:pt>
                <c:pt idx="304">
                  <c:v>200</c:v>
                </c:pt>
                <c:pt idx="305">
                  <c:v>238</c:v>
                </c:pt>
                <c:pt idx="306">
                  <c:v>238</c:v>
                </c:pt>
                <c:pt idx="307">
                  <c:v>100</c:v>
                </c:pt>
                <c:pt idx="308">
                  <c:v>200</c:v>
                </c:pt>
                <c:pt idx="309">
                  <c:v>150</c:v>
                </c:pt>
                <c:pt idx="310">
                  <c:v>200</c:v>
                </c:pt>
                <c:pt idx="311">
                  <c:v>250</c:v>
                </c:pt>
                <c:pt idx="312">
                  <c:v>100</c:v>
                </c:pt>
                <c:pt idx="313">
                  <c:v>150</c:v>
                </c:pt>
                <c:pt idx="314">
                  <c:v>150</c:v>
                </c:pt>
                <c:pt idx="315">
                  <c:v>150</c:v>
                </c:pt>
                <c:pt idx="316">
                  <c:v>150</c:v>
                </c:pt>
                <c:pt idx="317">
                  <c:v>150</c:v>
                </c:pt>
                <c:pt idx="318">
                  <c:v>150</c:v>
                </c:pt>
                <c:pt idx="319">
                  <c:v>250</c:v>
                </c:pt>
                <c:pt idx="320">
                  <c:v>150</c:v>
                </c:pt>
                <c:pt idx="321">
                  <c:v>250</c:v>
                </c:pt>
                <c:pt idx="322">
                  <c:v>200</c:v>
                </c:pt>
                <c:pt idx="323">
                  <c:v>150</c:v>
                </c:pt>
                <c:pt idx="324">
                  <c:v>150</c:v>
                </c:pt>
                <c:pt idx="325">
                  <c:v>200</c:v>
                </c:pt>
                <c:pt idx="326">
                  <c:v>150</c:v>
                </c:pt>
                <c:pt idx="327">
                  <c:v>200</c:v>
                </c:pt>
                <c:pt idx="328">
                  <c:v>200</c:v>
                </c:pt>
                <c:pt idx="329">
                  <c:v>200</c:v>
                </c:pt>
                <c:pt idx="330">
                  <c:v>140</c:v>
                </c:pt>
                <c:pt idx="331">
                  <c:v>355</c:v>
                </c:pt>
                <c:pt idx="332">
                  <c:v>355</c:v>
                </c:pt>
                <c:pt idx="333">
                  <c:v>315</c:v>
                </c:pt>
                <c:pt idx="334">
                  <c:v>315</c:v>
                </c:pt>
                <c:pt idx="335">
                  <c:v>325</c:v>
                </c:pt>
                <c:pt idx="336">
                  <c:v>325</c:v>
                </c:pt>
                <c:pt idx="337">
                  <c:v>285</c:v>
                </c:pt>
                <c:pt idx="338">
                  <c:v>300</c:v>
                </c:pt>
                <c:pt idx="339">
                  <c:v>285</c:v>
                </c:pt>
                <c:pt idx="340">
                  <c:v>360</c:v>
                </c:pt>
                <c:pt idx="341">
                  <c:v>330</c:v>
                </c:pt>
                <c:pt idx="342">
                  <c:v>325</c:v>
                </c:pt>
                <c:pt idx="343">
                  <c:v>325</c:v>
                </c:pt>
                <c:pt idx="344">
                  <c:v>470</c:v>
                </c:pt>
                <c:pt idx="345">
                  <c:v>470</c:v>
                </c:pt>
                <c:pt idx="346">
                  <c:v>380</c:v>
                </c:pt>
                <c:pt idx="347">
                  <c:v>455</c:v>
                </c:pt>
                <c:pt idx="348">
                  <c:v>485</c:v>
                </c:pt>
                <c:pt idx="349">
                  <c:v>240</c:v>
                </c:pt>
                <c:pt idx="350">
                  <c:v>380</c:v>
                </c:pt>
                <c:pt idx="351">
                  <c:v>320</c:v>
                </c:pt>
                <c:pt idx="352">
                  <c:v>380</c:v>
                </c:pt>
                <c:pt idx="353">
                  <c:v>320</c:v>
                </c:pt>
                <c:pt idx="354">
                  <c:v>380</c:v>
                </c:pt>
                <c:pt idx="357">
                  <c:v>325</c:v>
                </c:pt>
                <c:pt idx="358">
                  <c:v>325</c:v>
                </c:pt>
                <c:pt idx="359">
                  <c:v>325</c:v>
                </c:pt>
                <c:pt idx="360">
                  <c:v>345</c:v>
                </c:pt>
                <c:pt idx="361">
                  <c:v>355</c:v>
                </c:pt>
                <c:pt idx="362">
                  <c:v>335</c:v>
                </c:pt>
                <c:pt idx="363">
                  <c:v>315</c:v>
                </c:pt>
                <c:pt idx="364">
                  <c:v>355</c:v>
                </c:pt>
                <c:pt idx="365">
                  <c:v>335</c:v>
                </c:pt>
                <c:pt idx="366">
                  <c:v>335</c:v>
                </c:pt>
                <c:pt idx="367">
                  <c:v>335</c:v>
                </c:pt>
                <c:pt idx="368">
                  <c:v>315</c:v>
                </c:pt>
                <c:pt idx="369">
                  <c:v>310</c:v>
                </c:pt>
                <c:pt idx="370">
                  <c:v>275</c:v>
                </c:pt>
                <c:pt idx="371">
                  <c:v>310</c:v>
                </c:pt>
                <c:pt idx="372">
                  <c:v>310</c:v>
                </c:pt>
                <c:pt idx="373">
                  <c:v>400</c:v>
                </c:pt>
                <c:pt idx="374">
                  <c:v>410</c:v>
                </c:pt>
                <c:pt idx="375">
                  <c:v>370</c:v>
                </c:pt>
                <c:pt idx="376">
                  <c:v>370</c:v>
                </c:pt>
                <c:pt idx="377">
                  <c:v>360</c:v>
                </c:pt>
                <c:pt idx="378">
                  <c:v>325</c:v>
                </c:pt>
                <c:pt idx="379">
                  <c:v>325</c:v>
                </c:pt>
                <c:pt idx="380">
                  <c:v>365</c:v>
                </c:pt>
                <c:pt idx="381">
                  <c:v>365</c:v>
                </c:pt>
                <c:pt idx="382">
                  <c:v>365</c:v>
                </c:pt>
                <c:pt idx="383">
                  <c:v>360</c:v>
                </c:pt>
                <c:pt idx="384">
                  <c:v>260</c:v>
                </c:pt>
                <c:pt idx="385">
                  <c:v>360</c:v>
                </c:pt>
                <c:pt idx="386">
                  <c:v>315</c:v>
                </c:pt>
                <c:pt idx="387">
                  <c:v>280</c:v>
                </c:pt>
                <c:pt idx="388">
                  <c:v>280</c:v>
                </c:pt>
                <c:pt idx="389">
                  <c:v>280</c:v>
                </c:pt>
                <c:pt idx="390">
                  <c:v>280</c:v>
                </c:pt>
                <c:pt idx="391">
                  <c:v>440</c:v>
                </c:pt>
                <c:pt idx="392">
                  <c:v>400</c:v>
                </c:pt>
                <c:pt idx="393">
                  <c:v>400</c:v>
                </c:pt>
                <c:pt idx="394">
                  <c:v>375</c:v>
                </c:pt>
                <c:pt idx="395">
                  <c:v>395</c:v>
                </c:pt>
                <c:pt idx="396">
                  <c:v>375</c:v>
                </c:pt>
                <c:pt idx="397">
                  <c:v>350</c:v>
                </c:pt>
                <c:pt idx="398">
                  <c:v>200</c:v>
                </c:pt>
                <c:pt idx="399">
                  <c:v>200</c:v>
                </c:pt>
                <c:pt idx="400">
                  <c:v>273</c:v>
                </c:pt>
                <c:pt idx="401">
                  <c:v>273</c:v>
                </c:pt>
                <c:pt idx="402">
                  <c:v>100</c:v>
                </c:pt>
                <c:pt idx="403">
                  <c:v>273</c:v>
                </c:pt>
                <c:pt idx="404">
                  <c:v>200</c:v>
                </c:pt>
                <c:pt idx="405">
                  <c:v>200</c:v>
                </c:pt>
                <c:pt idx="406">
                  <c:v>150</c:v>
                </c:pt>
                <c:pt idx="407">
                  <c:v>150</c:v>
                </c:pt>
                <c:pt idx="408">
                  <c:v>200</c:v>
                </c:pt>
                <c:pt idx="409">
                  <c:v>350</c:v>
                </c:pt>
                <c:pt idx="410">
                  <c:v>350</c:v>
                </c:pt>
                <c:pt idx="411">
                  <c:v>350</c:v>
                </c:pt>
                <c:pt idx="412">
                  <c:v>350</c:v>
                </c:pt>
                <c:pt idx="413">
                  <c:v>320</c:v>
                </c:pt>
                <c:pt idx="414">
                  <c:v>350</c:v>
                </c:pt>
                <c:pt idx="415">
                  <c:v>200</c:v>
                </c:pt>
                <c:pt idx="416">
                  <c:v>200</c:v>
                </c:pt>
                <c:pt idx="417">
                  <c:v>200</c:v>
                </c:pt>
                <c:pt idx="418">
                  <c:v>200</c:v>
                </c:pt>
                <c:pt idx="419">
                  <c:v>200</c:v>
                </c:pt>
                <c:pt idx="420">
                  <c:v>200</c:v>
                </c:pt>
                <c:pt idx="421">
                  <c:v>200</c:v>
                </c:pt>
                <c:pt idx="422">
                  <c:v>200</c:v>
                </c:pt>
                <c:pt idx="423">
                  <c:v>200</c:v>
                </c:pt>
                <c:pt idx="424">
                  <c:v>200</c:v>
                </c:pt>
                <c:pt idx="425">
                  <c:v>200</c:v>
                </c:pt>
                <c:pt idx="426">
                  <c:v>200</c:v>
                </c:pt>
                <c:pt idx="427">
                  <c:v>200</c:v>
                </c:pt>
                <c:pt idx="428">
                  <c:v>160</c:v>
                </c:pt>
                <c:pt idx="429">
                  <c:v>200</c:v>
                </c:pt>
                <c:pt idx="430">
                  <c:v>200</c:v>
                </c:pt>
                <c:pt idx="431">
                  <c:v>200</c:v>
                </c:pt>
                <c:pt idx="432">
                  <c:v>200</c:v>
                </c:pt>
                <c:pt idx="433">
                  <c:v>200</c:v>
                </c:pt>
                <c:pt idx="434">
                  <c:v>200</c:v>
                </c:pt>
                <c:pt idx="435">
                  <c:v>300</c:v>
                </c:pt>
                <c:pt idx="436">
                  <c:v>300</c:v>
                </c:pt>
                <c:pt idx="437">
                  <c:v>250</c:v>
                </c:pt>
                <c:pt idx="438">
                  <c:v>279</c:v>
                </c:pt>
                <c:pt idx="439">
                  <c:v>180</c:v>
                </c:pt>
                <c:pt idx="440">
                  <c:v>200</c:v>
                </c:pt>
                <c:pt idx="441">
                  <c:v>150</c:v>
                </c:pt>
                <c:pt idx="442">
                  <c:v>200</c:v>
                </c:pt>
                <c:pt idx="443">
                  <c:v>200</c:v>
                </c:pt>
                <c:pt idx="444">
                  <c:v>200</c:v>
                </c:pt>
                <c:pt idx="445">
                  <c:v>200</c:v>
                </c:pt>
                <c:pt idx="446">
                  <c:v>200</c:v>
                </c:pt>
                <c:pt idx="447">
                  <c:v>200</c:v>
                </c:pt>
                <c:pt idx="448">
                  <c:v>200</c:v>
                </c:pt>
                <c:pt idx="449">
                  <c:v>200</c:v>
                </c:pt>
                <c:pt idx="450">
                  <c:v>200</c:v>
                </c:pt>
                <c:pt idx="451">
                  <c:v>200</c:v>
                </c:pt>
                <c:pt idx="452">
                  <c:v>200</c:v>
                </c:pt>
                <c:pt idx="453">
                  <c:v>150</c:v>
                </c:pt>
                <c:pt idx="454">
                  <c:v>200</c:v>
                </c:pt>
                <c:pt idx="455">
                  <c:v>200</c:v>
                </c:pt>
                <c:pt idx="456">
                  <c:v>200</c:v>
                </c:pt>
                <c:pt idx="457">
                  <c:v>200</c:v>
                </c:pt>
                <c:pt idx="458">
                  <c:v>200</c:v>
                </c:pt>
                <c:pt idx="459">
                  <c:v>200</c:v>
                </c:pt>
                <c:pt idx="461">
                  <c:v>240</c:v>
                </c:pt>
                <c:pt idx="462">
                  <c:v>240</c:v>
                </c:pt>
                <c:pt idx="463">
                  <c:v>220</c:v>
                </c:pt>
                <c:pt idx="464">
                  <c:v>220</c:v>
                </c:pt>
                <c:pt idx="465">
                  <c:v>210</c:v>
                </c:pt>
                <c:pt idx="466">
                  <c:v>235</c:v>
                </c:pt>
                <c:pt idx="467">
                  <c:v>240</c:v>
                </c:pt>
                <c:pt idx="468">
                  <c:v>240</c:v>
                </c:pt>
                <c:pt idx="469">
                  <c:v>250</c:v>
                </c:pt>
                <c:pt idx="470">
                  <c:v>262</c:v>
                </c:pt>
                <c:pt idx="471">
                  <c:v>267</c:v>
                </c:pt>
                <c:pt idx="472">
                  <c:v>267</c:v>
                </c:pt>
                <c:pt idx="473">
                  <c:v>267</c:v>
                </c:pt>
                <c:pt idx="474">
                  <c:v>325</c:v>
                </c:pt>
                <c:pt idx="475">
                  <c:v>325</c:v>
                </c:pt>
                <c:pt idx="476">
                  <c:v>270</c:v>
                </c:pt>
                <c:pt idx="477">
                  <c:v>230</c:v>
                </c:pt>
                <c:pt idx="478">
                  <c:v>238</c:v>
                </c:pt>
                <c:pt idx="479">
                  <c:v>300</c:v>
                </c:pt>
                <c:pt idx="480">
                  <c:v>215</c:v>
                </c:pt>
                <c:pt idx="481">
                  <c:v>235</c:v>
                </c:pt>
                <c:pt idx="482">
                  <c:v>280</c:v>
                </c:pt>
                <c:pt idx="483">
                  <c:v>280</c:v>
                </c:pt>
                <c:pt idx="484">
                  <c:v>260</c:v>
                </c:pt>
                <c:pt idx="485">
                  <c:v>200</c:v>
                </c:pt>
                <c:pt idx="486">
                  <c:v>280</c:v>
                </c:pt>
                <c:pt idx="487">
                  <c:v>280</c:v>
                </c:pt>
                <c:pt idx="488">
                  <c:v>280</c:v>
                </c:pt>
                <c:pt idx="489">
                  <c:v>195</c:v>
                </c:pt>
              </c:numCache>
            </c:numRef>
          </c:val>
          <c:smooth val="0"/>
          <c:extLst>
            <c:ext xmlns:c16="http://schemas.microsoft.com/office/drawing/2014/chart" uri="{C3380CC4-5D6E-409C-BE32-E72D297353CC}">
              <c16:uniqueId val="{00000000-0098-427D-9013-37D3154C1FC0}"/>
            </c:ext>
          </c:extLst>
        </c:ser>
        <c:dLbls>
          <c:showLegendKey val="0"/>
          <c:showVal val="0"/>
          <c:showCatName val="0"/>
          <c:showSerName val="0"/>
          <c:showPercent val="0"/>
          <c:showBubbleSize val="0"/>
        </c:dLbls>
        <c:marker val="1"/>
        <c:smooth val="0"/>
        <c:axId val="1649186624"/>
        <c:axId val="1701439200"/>
      </c:lineChart>
      <c:catAx>
        <c:axId val="164918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701439200"/>
        <c:crosses val="autoZero"/>
        <c:auto val="1"/>
        <c:lblAlgn val="ctr"/>
        <c:lblOffset val="100"/>
        <c:noMultiLvlLbl val="0"/>
      </c:catAx>
      <c:valAx>
        <c:axId val="1701439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HUD </a:t>
                </a:r>
                <a:r>
                  <a:rPr lang="en-US" sz="1400" baseline="0"/>
                  <a:t>Area Locatoin from bottom of sheeting (mm)</a:t>
                </a:r>
                <a:endParaRPr lang="en-US" sz="1400"/>
              </a:p>
            </c:rich>
          </c:tx>
          <c:layout>
            <c:manualLayout>
              <c:xMode val="edge"/>
              <c:yMode val="edge"/>
              <c:x val="9.3014087807974707E-3"/>
              <c:y val="0.2158870480642579"/>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649186624"/>
        <c:crosses val="autoZero"/>
        <c:crossBetween val="between"/>
      </c:valAx>
      <c:spPr>
        <a:noFill/>
        <a:ln>
          <a:noFill/>
        </a:ln>
        <a:effectLst/>
      </c:spPr>
    </c:plotArea>
    <c:legend>
      <c:legendPos val="r"/>
      <c:layout>
        <c:manualLayout>
          <c:xMode val="edge"/>
          <c:yMode val="edge"/>
          <c:x val="0.82048229151096075"/>
          <c:y val="0.10075682348026294"/>
          <c:w val="0.1098551220088321"/>
          <c:h val="7.7881612512162288E-2"/>
        </c:manualLayout>
      </c:layout>
      <c:overlay val="0"/>
      <c:spPr>
        <a:solidFill>
          <a:sysClr val="window" lastClr="FFFFFF"/>
        </a:solidFill>
        <a:ln>
          <a:solidFill>
            <a:sysClr val="windowText" lastClr="000000"/>
          </a:solid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HUD Areas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manualLayout>
          <c:layoutTarget val="inner"/>
          <c:xMode val="edge"/>
          <c:yMode val="edge"/>
          <c:x val="9.3678202282025586E-2"/>
          <c:y val="7.4851744307535995E-2"/>
          <c:w val="0.8801704737334537"/>
          <c:h val="0.80971579114805581"/>
        </c:manualLayout>
      </c:layout>
      <c:lineChart>
        <c:grouping val="standard"/>
        <c:varyColors val="0"/>
        <c:ser>
          <c:idx val="1"/>
          <c:order val="0"/>
          <c:tx>
            <c:v>HUD Span</c:v>
          </c:tx>
          <c:spPr>
            <a:ln w="28575" cap="rnd">
              <a:solidFill>
                <a:schemeClr val="accent2"/>
              </a:solidFill>
              <a:round/>
            </a:ln>
            <a:effectLst/>
          </c:spPr>
          <c:marker>
            <c:symbol val="circle"/>
            <c:size val="5"/>
            <c:spPr>
              <a:solidFill>
                <a:srgbClr val="00B050"/>
              </a:solidFill>
              <a:ln w="9525">
                <a:solidFill>
                  <a:srgbClr val="00B050"/>
                </a:solidFill>
              </a:ln>
              <a:effectLst/>
            </c:spPr>
          </c:marker>
          <c:cat>
            <c:strRef>
              <c:f>'W-code list'!$G$6:$G$495</c:f>
              <c:strCache>
                <c:ptCount val="490"/>
                <c:pt idx="0">
                  <c:v>W2227AEH</c:v>
                </c:pt>
                <c:pt idx="1">
                  <c:v>W2251ALH</c:v>
                </c:pt>
                <c:pt idx="2">
                  <c:v>W2251AMH</c:v>
                </c:pt>
                <c:pt idx="3">
                  <c:v>W5062AA</c:v>
                </c:pt>
                <c:pt idx="4">
                  <c:v>W2262AE</c:v>
                </c:pt>
                <c:pt idx="5">
                  <c:v>W2045AB</c:v>
                </c:pt>
                <c:pt idx="6">
                  <c:v>W2218AB</c:v>
                </c:pt>
                <c:pt idx="7">
                  <c:v>W2227AL</c:v>
                </c:pt>
                <c:pt idx="8">
                  <c:v>W2218AC</c:v>
                </c:pt>
                <c:pt idx="9">
                  <c:v>W2214AB</c:v>
                </c:pt>
                <c:pt idx="10">
                  <c:v>W2211AA</c:v>
                </c:pt>
                <c:pt idx="11">
                  <c:v>W2235AH</c:v>
                </c:pt>
                <c:pt idx="12">
                  <c:v>W2214AA</c:v>
                </c:pt>
                <c:pt idx="13">
                  <c:v>W2214AC</c:v>
                </c:pt>
                <c:pt idx="14">
                  <c:v>W2219AD</c:v>
                </c:pt>
                <c:pt idx="15">
                  <c:v>W2223AA</c:v>
                </c:pt>
                <c:pt idx="16">
                  <c:v>W2227AD</c:v>
                </c:pt>
                <c:pt idx="17">
                  <c:v>W2245AA</c:v>
                </c:pt>
                <c:pt idx="18">
                  <c:v>W2239AC</c:v>
                </c:pt>
                <c:pt idx="19">
                  <c:v>W2239AG</c:v>
                </c:pt>
                <c:pt idx="20">
                  <c:v>W2264AB</c:v>
                </c:pt>
                <c:pt idx="21">
                  <c:v>W2219AB</c:v>
                </c:pt>
                <c:pt idx="22">
                  <c:v>W2219AF</c:v>
                </c:pt>
                <c:pt idx="23">
                  <c:v>W2209AA</c:v>
                </c:pt>
                <c:pt idx="24">
                  <c:v>W2220</c:v>
                </c:pt>
                <c:pt idx="25">
                  <c:v>W2230</c:v>
                </c:pt>
                <c:pt idx="26">
                  <c:v>W2239AB</c:v>
                </c:pt>
                <c:pt idx="27">
                  <c:v>W2239AA</c:v>
                </c:pt>
                <c:pt idx="28">
                  <c:v>W2236AF</c:v>
                </c:pt>
                <c:pt idx="29">
                  <c:v>W2244AK</c:v>
                </c:pt>
                <c:pt idx="30">
                  <c:v>W5149</c:v>
                </c:pt>
                <c:pt idx="31">
                  <c:v>W5142</c:v>
                </c:pt>
                <c:pt idx="32">
                  <c:v>W5124</c:v>
                </c:pt>
                <c:pt idx="33">
                  <c:v>W5121</c:v>
                </c:pt>
                <c:pt idx="34">
                  <c:v>W2260AI</c:v>
                </c:pt>
                <c:pt idx="35">
                  <c:v>W2263AC</c:v>
                </c:pt>
                <c:pt idx="36">
                  <c:v>W2255AC</c:v>
                </c:pt>
                <c:pt idx="37">
                  <c:v>W1030AA</c:v>
                </c:pt>
                <c:pt idx="38">
                  <c:v>W1235</c:v>
                </c:pt>
                <c:pt idx="39">
                  <c:v>W1241AA</c:v>
                </c:pt>
                <c:pt idx="40">
                  <c:v>W1247</c:v>
                </c:pt>
                <c:pt idx="41">
                  <c:v>W2228AH</c:v>
                </c:pt>
                <c:pt idx="42">
                  <c:v>W2214AD</c:v>
                </c:pt>
                <c:pt idx="43">
                  <c:v>W2218AD</c:v>
                </c:pt>
                <c:pt idx="44">
                  <c:v>W2224AD</c:v>
                </c:pt>
                <c:pt idx="45">
                  <c:v>W2233AC</c:v>
                </c:pt>
                <c:pt idx="46">
                  <c:v>W2233AK</c:v>
                </c:pt>
                <c:pt idx="47">
                  <c:v>W2239AEH</c:v>
                </c:pt>
                <c:pt idx="48">
                  <c:v>W2252AA</c:v>
                </c:pt>
                <c:pt idx="49">
                  <c:v>W2250</c:v>
                </c:pt>
                <c:pt idx="50">
                  <c:v>W2264AC</c:v>
                </c:pt>
                <c:pt idx="51">
                  <c:v>W5025AC</c:v>
                </c:pt>
                <c:pt idx="52">
                  <c:v>W2225AA</c:v>
                </c:pt>
                <c:pt idx="53">
                  <c:v>W1260AA</c:v>
                </c:pt>
                <c:pt idx="54">
                  <c:v>W5025AA</c:v>
                </c:pt>
                <c:pt idx="55">
                  <c:v>W5060</c:v>
                </c:pt>
                <c:pt idx="56">
                  <c:v>W2260AA</c:v>
                </c:pt>
                <c:pt idx="57">
                  <c:v>W2237AH</c:v>
                </c:pt>
                <c:pt idx="58">
                  <c:v>W2228AF</c:v>
                </c:pt>
                <c:pt idx="59">
                  <c:v>W1244</c:v>
                </c:pt>
                <c:pt idx="60">
                  <c:v>W2244</c:v>
                </c:pt>
                <c:pt idx="61">
                  <c:v>W2244AB</c:v>
                </c:pt>
                <c:pt idx="62">
                  <c:v>W2262AA</c:v>
                </c:pt>
                <c:pt idx="63">
                  <c:v>W2272AA</c:v>
                </c:pt>
                <c:pt idx="64">
                  <c:v>W2264AJ</c:v>
                </c:pt>
                <c:pt idx="65">
                  <c:v>W2268AE</c:v>
                </c:pt>
                <c:pt idx="66">
                  <c:v>W2229AL</c:v>
                </c:pt>
                <c:pt idx="67">
                  <c:v>W2251AA</c:v>
                </c:pt>
                <c:pt idx="68">
                  <c:v>W2253AC</c:v>
                </c:pt>
                <c:pt idx="69">
                  <c:v>W2227AM</c:v>
                </c:pt>
                <c:pt idx="70">
                  <c:v>W2227AOT</c:v>
                </c:pt>
                <c:pt idx="71">
                  <c:v>W2227AN</c:v>
                </c:pt>
                <c:pt idx="72">
                  <c:v>W2227APT</c:v>
                </c:pt>
                <c:pt idx="73">
                  <c:v>W2247AIT</c:v>
                </c:pt>
                <c:pt idx="74">
                  <c:v>W2270AA</c:v>
                </c:pt>
                <c:pt idx="75">
                  <c:v>W2246AC</c:v>
                </c:pt>
                <c:pt idx="76">
                  <c:v>W2250AJ</c:v>
                </c:pt>
                <c:pt idx="77">
                  <c:v>W2254AD</c:v>
                </c:pt>
                <c:pt idx="78">
                  <c:v>W2262AB from SYPKA passed validation</c:v>
                </c:pt>
                <c:pt idx="79">
                  <c:v>W2220AA</c:v>
                </c:pt>
                <c:pt idx="80">
                  <c:v>W2254AE</c:v>
                </c:pt>
                <c:pt idx="81">
                  <c:v>W5054AA</c:v>
                </c:pt>
                <c:pt idx="82">
                  <c:v>W2258AA</c:v>
                </c:pt>
                <c:pt idx="83">
                  <c:v>W5058AA</c:v>
                </c:pt>
                <c:pt idx="84">
                  <c:v>W5060AB</c:v>
                </c:pt>
                <c:pt idx="85">
                  <c:v>W5068AA</c:v>
                </c:pt>
                <c:pt idx="86">
                  <c:v>W2258AC</c:v>
                </c:pt>
                <c:pt idx="87">
                  <c:v>W2251AJT</c:v>
                </c:pt>
                <c:pt idx="88">
                  <c:v>W2254AI</c:v>
                </c:pt>
                <c:pt idx="89">
                  <c:v>W5017AA</c:v>
                </c:pt>
                <c:pt idx="90">
                  <c:v>W5020AB</c:v>
                </c:pt>
                <c:pt idx="91">
                  <c:v>W2233ADT</c:v>
                </c:pt>
                <c:pt idx="92">
                  <c:v>W2222AGT</c:v>
                </c:pt>
                <c:pt idx="93">
                  <c:v>W2232AHT</c:v>
                </c:pt>
                <c:pt idx="94">
                  <c:v>W2233AFT</c:v>
                </c:pt>
                <c:pt idx="95">
                  <c:v>W2260AA</c:v>
                </c:pt>
                <c:pt idx="96">
                  <c:v>W5025AE</c:v>
                </c:pt>
                <c:pt idx="97">
                  <c:v>W5027AD</c:v>
                </c:pt>
                <c:pt idx="98">
                  <c:v>W5027AC</c:v>
                </c:pt>
                <c:pt idx="99">
                  <c:v>W5029AB</c:v>
                </c:pt>
                <c:pt idx="100">
                  <c:v>W5026AAT</c:v>
                </c:pt>
                <c:pt idx="101">
                  <c:v>W5026ABT</c:v>
                </c:pt>
                <c:pt idx="102">
                  <c:v>W5025AB</c:v>
                </c:pt>
                <c:pt idx="103">
                  <c:v>W2240AX</c:v>
                </c:pt>
                <c:pt idx="104">
                  <c:v>W5023AC</c:v>
                </c:pt>
                <c:pt idx="105">
                  <c:v>W5027AB</c:v>
                </c:pt>
                <c:pt idx="106">
                  <c:v>W5028AB</c:v>
                </c:pt>
                <c:pt idx="107">
                  <c:v>W5028AA</c:v>
                </c:pt>
                <c:pt idx="108">
                  <c:v>W5022AA</c:v>
                </c:pt>
                <c:pt idx="109">
                  <c:v>W5025AD</c:v>
                </c:pt>
                <c:pt idx="110">
                  <c:v>W5071AA</c:v>
                </c:pt>
                <c:pt idx="111">
                  <c:v>W2262AD</c:v>
                </c:pt>
                <c:pt idx="112">
                  <c:v>W2264AGT</c:v>
                </c:pt>
                <c:pt idx="113">
                  <c:v>W5031AA</c:v>
                </c:pt>
                <c:pt idx="114">
                  <c:v>W2247AA</c:v>
                </c:pt>
                <c:pt idx="115">
                  <c:v>W2220ABT</c:v>
                </c:pt>
                <c:pt idx="116">
                  <c:v>W2230AAT</c:v>
                </c:pt>
                <c:pt idx="117">
                  <c:v>W2235ABT</c:v>
                </c:pt>
                <c:pt idx="118">
                  <c:v>W2235ACT</c:v>
                </c:pt>
                <c:pt idx="119">
                  <c:v>W2240AIT</c:v>
                </c:pt>
                <c:pt idx="120">
                  <c:v>W2240AJT</c:v>
                </c:pt>
                <c:pt idx="121">
                  <c:v>W2240ALT</c:v>
                </c:pt>
                <c:pt idx="122">
                  <c:v>W2244AET</c:v>
                </c:pt>
                <c:pt idx="123">
                  <c:v>W2244AL</c:v>
                </c:pt>
                <c:pt idx="124">
                  <c:v>W2244AFT</c:v>
                </c:pt>
                <c:pt idx="125">
                  <c:v>W2244AGT</c:v>
                </c:pt>
                <c:pt idx="126">
                  <c:v>W2244AHT</c:v>
                </c:pt>
                <c:pt idx="127">
                  <c:v>W2244AC</c:v>
                </c:pt>
                <c:pt idx="128">
                  <c:v>W2244AD</c:v>
                </c:pt>
                <c:pt idx="129">
                  <c:v>W2248ADT</c:v>
                </c:pt>
                <c:pt idx="130">
                  <c:v>W2252AHT</c:v>
                </c:pt>
                <c:pt idx="131">
                  <c:v>W2252AIT</c:v>
                </c:pt>
                <c:pt idx="132">
                  <c:v>W2252AR</c:v>
                </c:pt>
                <c:pt idx="133">
                  <c:v>W2252AJT</c:v>
                </c:pt>
                <c:pt idx="134">
                  <c:v>W2252AKT</c:v>
                </c:pt>
                <c:pt idx="135">
                  <c:v>W2252AMT</c:v>
                </c:pt>
                <c:pt idx="136">
                  <c:v>W2252AC</c:v>
                </c:pt>
                <c:pt idx="137">
                  <c:v>W2252AD</c:v>
                </c:pt>
                <c:pt idx="138">
                  <c:v>W2252AE</c:v>
                </c:pt>
                <c:pt idx="139">
                  <c:v>W2259ABT</c:v>
                </c:pt>
                <c:pt idx="140">
                  <c:v>W2259ACT</c:v>
                </c:pt>
                <c:pt idx="141">
                  <c:v>W2259ADT</c:v>
                </c:pt>
                <c:pt idx="142">
                  <c:v>W2259AET</c:v>
                </c:pt>
                <c:pt idx="143">
                  <c:v>W2259AFT</c:v>
                </c:pt>
                <c:pt idx="144">
                  <c:v>W2259AA</c:v>
                </c:pt>
                <c:pt idx="145">
                  <c:v>W2265AAT</c:v>
                </c:pt>
                <c:pt idx="146">
                  <c:v>W2265ABT</c:v>
                </c:pt>
                <c:pt idx="147">
                  <c:v>W2268AAT</c:v>
                </c:pt>
                <c:pt idx="148">
                  <c:v>W2268AD</c:v>
                </c:pt>
                <c:pt idx="149">
                  <c:v>W2268ABT</c:v>
                </c:pt>
                <c:pt idx="150">
                  <c:v>W5044AA</c:v>
                </c:pt>
                <c:pt idx="151">
                  <c:v>W2222AA</c:v>
                </c:pt>
                <c:pt idx="152">
                  <c:v>W2230AC</c:v>
                </c:pt>
                <c:pt idx="153">
                  <c:v>W2233AFT</c:v>
                </c:pt>
                <c:pt idx="154">
                  <c:v>W2232AHT</c:v>
                </c:pt>
                <c:pt idx="155">
                  <c:v>W2235AD</c:v>
                </c:pt>
                <c:pt idx="156">
                  <c:v>W2240AKT</c:v>
                </c:pt>
                <c:pt idx="157">
                  <c:v>W2223AB</c:v>
                </c:pt>
                <c:pt idx="158">
                  <c:v>W5037AA</c:v>
                </c:pt>
                <c:pt idx="159">
                  <c:v>W5039AA</c:v>
                </c:pt>
                <c:pt idx="160">
                  <c:v>W2239AHT</c:v>
                </c:pt>
                <c:pt idx="161">
                  <c:v>W2228ADT</c:v>
                </c:pt>
                <c:pt idx="162">
                  <c:v>W2236ADT</c:v>
                </c:pt>
                <c:pt idx="163">
                  <c:v>W2237AB</c:v>
                </c:pt>
                <c:pt idx="164">
                  <c:v>W2221AET</c:v>
                </c:pt>
                <c:pt idx="165">
                  <c:v>W2229AC</c:v>
                </c:pt>
                <c:pt idx="166">
                  <c:v>W2250AKT</c:v>
                </c:pt>
                <c:pt idx="167">
                  <c:v>W2250AI</c:v>
                </c:pt>
                <c:pt idx="168">
                  <c:v>W2219AET</c:v>
                </c:pt>
                <c:pt idx="169">
                  <c:v>W2227AF</c:v>
                </c:pt>
                <c:pt idx="170">
                  <c:v>W2222ABT</c:v>
                </c:pt>
                <c:pt idx="171">
                  <c:v>W2230ADT</c:v>
                </c:pt>
                <c:pt idx="172">
                  <c:v>W2247AB</c:v>
                </c:pt>
                <c:pt idx="173">
                  <c:v>W2247AC</c:v>
                </c:pt>
                <c:pt idx="174">
                  <c:v>W2250AOT</c:v>
                </c:pt>
                <c:pt idx="175">
                  <c:v>W2252APT</c:v>
                </c:pt>
                <c:pt idx="176">
                  <c:v>W2252AOT</c:v>
                </c:pt>
                <c:pt idx="177">
                  <c:v>W2229AB</c:v>
                </c:pt>
                <c:pt idx="178">
                  <c:v>W5048AA</c:v>
                </c:pt>
                <c:pt idx="179">
                  <c:v>W2248AB</c:v>
                </c:pt>
                <c:pt idx="180">
                  <c:v>W2249AHT</c:v>
                </c:pt>
                <c:pt idx="181">
                  <c:v>W2249AB</c:v>
                </c:pt>
                <c:pt idx="182">
                  <c:v>W2249AC</c:v>
                </c:pt>
                <c:pt idx="183">
                  <c:v>W2232AET</c:v>
                </c:pt>
                <c:pt idx="184">
                  <c:v>W2232AC</c:v>
                </c:pt>
                <c:pt idx="185">
                  <c:v>W2229AFT</c:v>
                </c:pt>
                <c:pt idx="186">
                  <c:v>W2232AFT</c:v>
                </c:pt>
                <c:pt idx="187">
                  <c:v>W2229AJT</c:v>
                </c:pt>
                <c:pt idx="188">
                  <c:v>W5039AB</c:v>
                </c:pt>
                <c:pt idx="189">
                  <c:v>W2240AT</c:v>
                </c:pt>
                <c:pt idx="190">
                  <c:v>W5021AA</c:v>
                </c:pt>
                <c:pt idx="191">
                  <c:v>W2250AQ</c:v>
                </c:pt>
                <c:pt idx="192">
                  <c:v>W2249AGT</c:v>
                </c:pt>
                <c:pt idx="193">
                  <c:v>W2251AHT</c:v>
                </c:pt>
                <c:pt idx="194">
                  <c:v>W2250ART</c:v>
                </c:pt>
                <c:pt idx="195">
                  <c:v>W2250AU</c:v>
                </c:pt>
                <c:pt idx="196">
                  <c:v>W2225AE</c:v>
                </c:pt>
                <c:pt idx="197">
                  <c:v>W2225AFT</c:v>
                </c:pt>
                <c:pt idx="198">
                  <c:v>W2225AHT</c:v>
                </c:pt>
                <c:pt idx="199">
                  <c:v>W5021AB</c:v>
                </c:pt>
                <c:pt idx="200">
                  <c:v>W2256AET</c:v>
                </c:pt>
                <c:pt idx="201">
                  <c:v>W2256AC</c:v>
                </c:pt>
                <c:pt idx="202">
                  <c:v>W2257ADT</c:v>
                </c:pt>
                <c:pt idx="203">
                  <c:v>W2258AHT</c:v>
                </c:pt>
                <c:pt idx="204">
                  <c:v>W5023AB</c:v>
                </c:pt>
                <c:pt idx="205">
                  <c:v>W5023AA</c:v>
                </c:pt>
                <c:pt idx="206">
                  <c:v>W2255AA</c:v>
                </c:pt>
                <c:pt idx="207">
                  <c:v>W2260AHT</c:v>
                </c:pt>
                <c:pt idx="208">
                  <c:v>W2260ACT</c:v>
                </c:pt>
                <c:pt idx="209">
                  <c:v>W2260AF</c:v>
                </c:pt>
                <c:pt idx="210">
                  <c:v>W2260AD</c:v>
                </c:pt>
                <c:pt idx="211">
                  <c:v>W2241AC</c:v>
                </c:pt>
                <c:pt idx="212">
                  <c:v>W2236AC</c:v>
                </c:pt>
                <c:pt idx="213">
                  <c:v>W2258AB</c:v>
                </c:pt>
                <c:pt idx="214">
                  <c:v>W2232AJ</c:v>
                </c:pt>
                <c:pt idx="215">
                  <c:v>W2252AQT</c:v>
                </c:pt>
                <c:pt idx="216">
                  <c:v>W2244AA</c:v>
                </c:pt>
                <c:pt idx="217">
                  <c:v>W2256AA</c:v>
                </c:pt>
                <c:pt idx="218">
                  <c:v>W2256AGT</c:v>
                </c:pt>
                <c:pt idx="219">
                  <c:v>W2240AOT</c:v>
                </c:pt>
                <c:pt idx="220">
                  <c:v>W2264AF</c:v>
                </c:pt>
                <c:pt idx="221">
                  <c:v>W2235AKT</c:v>
                </c:pt>
                <c:pt idx="222">
                  <c:v>W2233ACT</c:v>
                </c:pt>
                <c:pt idx="223">
                  <c:v>W5056AA</c:v>
                </c:pt>
                <c:pt idx="224">
                  <c:v>W2256AFT</c:v>
                </c:pt>
                <c:pt idx="225">
                  <c:v>W2247AET</c:v>
                </c:pt>
                <c:pt idx="226">
                  <c:v>W2256AB</c:v>
                </c:pt>
                <c:pt idx="227">
                  <c:v>W2258AG</c:v>
                </c:pt>
                <c:pt idx="228">
                  <c:v>W2258AD</c:v>
                </c:pt>
                <c:pt idx="229">
                  <c:v>W2260AKT</c:v>
                </c:pt>
                <c:pt idx="230">
                  <c:v>W2266AA</c:v>
                </c:pt>
                <c:pt idx="231">
                  <c:v>W2223ADT</c:v>
                </c:pt>
                <c:pt idx="232">
                  <c:v>W2258AJT</c:v>
                </c:pt>
                <c:pt idx="233">
                  <c:v>W2256AJT</c:v>
                </c:pt>
                <c:pt idx="234">
                  <c:v>W2230AFT</c:v>
                </c:pt>
                <c:pt idx="235">
                  <c:v>W2232AKT</c:v>
                </c:pt>
                <c:pt idx="236">
                  <c:v>W2235AI</c:v>
                </c:pt>
                <c:pt idx="237">
                  <c:v>W2235AJ</c:v>
                </c:pt>
                <c:pt idx="238">
                  <c:v>W2246AFT</c:v>
                </c:pt>
                <c:pt idx="239">
                  <c:v>W2246AB</c:v>
                </c:pt>
                <c:pt idx="240">
                  <c:v>W2262AHT</c:v>
                </c:pt>
                <c:pt idx="241">
                  <c:v>W5062AC</c:v>
                </c:pt>
                <c:pt idx="242">
                  <c:v>W2262AIT</c:v>
                </c:pt>
                <c:pt idx="243">
                  <c:v>W2240AU</c:v>
                </c:pt>
                <c:pt idx="244">
                  <c:v>W2240AG</c:v>
                </c:pt>
                <c:pt idx="245">
                  <c:v>W2249ALT</c:v>
                </c:pt>
                <c:pt idx="246">
                  <c:v>W2249AE</c:v>
                </c:pt>
                <c:pt idx="247">
                  <c:v>W5075AA</c:v>
                </c:pt>
                <c:pt idx="248">
                  <c:v>W5017AB</c:v>
                </c:pt>
                <c:pt idx="249">
                  <c:v>W2229AG</c:v>
                </c:pt>
                <c:pt idx="250">
                  <c:v>W2221AD</c:v>
                </c:pt>
                <c:pt idx="251">
                  <c:v>W2227AK</c:v>
                </c:pt>
                <c:pt idx="252">
                  <c:v>W2234AAT</c:v>
                </c:pt>
                <c:pt idx="253">
                  <c:v>W2265AET</c:v>
                </c:pt>
                <c:pt idx="254">
                  <c:v>W2245AB</c:v>
                </c:pt>
                <c:pt idx="255">
                  <c:v>W5065AB</c:v>
                </c:pt>
                <c:pt idx="256">
                  <c:v>W5056AC</c:v>
                </c:pt>
                <c:pt idx="257">
                  <c:v>W2240AF</c:v>
                </c:pt>
                <c:pt idx="258">
                  <c:v>W2219AA</c:v>
                </c:pt>
                <c:pt idx="259">
                  <c:v>W2218AAT</c:v>
                </c:pt>
                <c:pt idx="260">
                  <c:v>W2225ACT</c:v>
                </c:pt>
                <c:pt idx="261">
                  <c:v>W2264AE</c:v>
                </c:pt>
                <c:pt idx="262">
                  <c:v>W2258AET</c:v>
                </c:pt>
                <c:pt idx="263">
                  <c:v>W5048AD</c:v>
                </c:pt>
                <c:pt idx="264">
                  <c:v>W5048AB</c:v>
                </c:pt>
                <c:pt idx="265">
                  <c:v>W2260AB</c:v>
                </c:pt>
                <c:pt idx="266">
                  <c:v>W2236AB</c:v>
                </c:pt>
                <c:pt idx="267">
                  <c:v>W5062AB</c:v>
                </c:pt>
                <c:pt idx="268">
                  <c:v>W5062AD</c:v>
                </c:pt>
                <c:pt idx="269">
                  <c:v>W5068AB</c:v>
                </c:pt>
                <c:pt idx="270">
                  <c:v>W5072AA</c:v>
                </c:pt>
                <c:pt idx="271">
                  <c:v>W2262AF</c:v>
                </c:pt>
                <c:pt idx="272">
                  <c:v>W2237AB (copy)</c:v>
                </c:pt>
                <c:pt idx="273">
                  <c:v>W2266AB (copy)</c:v>
                </c:pt>
                <c:pt idx="274">
                  <c:v>W2250APT</c:v>
                </c:pt>
                <c:pt idx="275">
                  <c:v>W2229AAT</c:v>
                </c:pt>
                <c:pt idx="276">
                  <c:v>W2233AA</c:v>
                </c:pt>
                <c:pt idx="277">
                  <c:v>W2233ABT</c:v>
                </c:pt>
                <c:pt idx="278">
                  <c:v>W5040AA</c:v>
                </c:pt>
                <c:pt idx="279">
                  <c:v>W2240AP</c:v>
                </c:pt>
                <c:pt idx="280">
                  <c:v>W2242AA</c:v>
                </c:pt>
                <c:pt idx="281">
                  <c:v>W2248AGT</c:v>
                </c:pt>
                <c:pt idx="282">
                  <c:v>W5048AC</c:v>
                </c:pt>
                <c:pt idx="283">
                  <c:v>W2232ADT</c:v>
                </c:pt>
                <c:pt idx="284">
                  <c:v>W5027AA</c:v>
                </c:pt>
                <c:pt idx="285">
                  <c:v>W5056AB</c:v>
                </c:pt>
                <c:pt idx="286">
                  <c:v>W2230ABT</c:v>
                </c:pt>
                <c:pt idx="287">
                  <c:v>W2222ACT</c:v>
                </c:pt>
                <c:pt idx="288">
                  <c:v>W2227AAT</c:v>
                </c:pt>
                <c:pt idx="289">
                  <c:v>W2228AET</c:v>
                </c:pt>
                <c:pt idx="290">
                  <c:v>W2228AC</c:v>
                </c:pt>
                <c:pt idx="291">
                  <c:v>W2235AFT</c:v>
                </c:pt>
                <c:pt idx="292">
                  <c:v>W2251ADT</c:v>
                </c:pt>
                <c:pt idx="293">
                  <c:v>W2253AB</c:v>
                </c:pt>
                <c:pt idx="294">
                  <c:v>W2227AQT</c:v>
                </c:pt>
                <c:pt idx="295">
                  <c:v>W2225AB</c:v>
                </c:pt>
                <c:pt idx="296">
                  <c:v>W2244AJ</c:v>
                </c:pt>
                <c:pt idx="297">
                  <c:v>W2247ADT</c:v>
                </c:pt>
                <c:pt idx="298">
                  <c:v>W2239AEH (copy)</c:v>
                </c:pt>
                <c:pt idx="299">
                  <c:v>W5063AA</c:v>
                </c:pt>
                <c:pt idx="300">
                  <c:v>W5048AB (copy)</c:v>
                </c:pt>
                <c:pt idx="301">
                  <c:v>W2229AB (copy)</c:v>
                </c:pt>
                <c:pt idx="302">
                  <c:v>W5046AA</c:v>
                </c:pt>
                <c:pt idx="303">
                  <c:v>W5044AB</c:v>
                </c:pt>
                <c:pt idx="304">
                  <c:v>W2249AF</c:v>
                </c:pt>
                <c:pt idx="305">
                  <c:v>W2251AB</c:v>
                </c:pt>
                <c:pt idx="306">
                  <c:v>W2251AC</c:v>
                </c:pt>
                <c:pt idx="307">
                  <c:v>W2232ALT</c:v>
                </c:pt>
                <c:pt idx="308">
                  <c:v>W2222ADT</c:v>
                </c:pt>
                <c:pt idx="309">
                  <c:v>W2231ACT</c:v>
                </c:pt>
                <c:pt idx="310">
                  <c:v>W2231ADT</c:v>
                </c:pt>
                <c:pt idx="311">
                  <c:v>W2232AIT</c:v>
                </c:pt>
                <c:pt idx="312">
                  <c:v>W2224ACT</c:v>
                </c:pt>
                <c:pt idx="313">
                  <c:v>W2255AF</c:v>
                </c:pt>
                <c:pt idx="314">
                  <c:v>W2247AHT</c:v>
                </c:pt>
                <c:pt idx="315">
                  <c:v>W2232AGT</c:v>
                </c:pt>
                <c:pt idx="316">
                  <c:v>W2238ABT</c:v>
                </c:pt>
                <c:pt idx="317">
                  <c:v>W2240ART</c:v>
                </c:pt>
                <c:pt idx="318">
                  <c:v>W2232AMT</c:v>
                </c:pt>
                <c:pt idx="319">
                  <c:v>W5047AA</c:v>
                </c:pt>
                <c:pt idx="320">
                  <c:v>W5047AB</c:v>
                </c:pt>
                <c:pt idx="321">
                  <c:v>W2246AGT</c:v>
                </c:pt>
                <c:pt idx="322">
                  <c:v>W2225AJT</c:v>
                </c:pt>
                <c:pt idx="323">
                  <c:v>W2246AIT</c:v>
                </c:pt>
                <c:pt idx="324">
                  <c:v>W2219AC</c:v>
                </c:pt>
                <c:pt idx="325">
                  <c:v>W2226AD</c:v>
                </c:pt>
                <c:pt idx="326">
                  <c:v>W2228AAT</c:v>
                </c:pt>
                <c:pt idx="327">
                  <c:v>W5029AA</c:v>
                </c:pt>
                <c:pt idx="328">
                  <c:v>W2240AWT</c:v>
                </c:pt>
                <c:pt idx="329">
                  <c:v>W2240AS</c:v>
                </c:pt>
                <c:pt idx="330">
                  <c:v>W5063AB</c:v>
                </c:pt>
                <c:pt idx="331">
                  <c:v>W2239AD</c:v>
                </c:pt>
                <c:pt idx="332">
                  <c:v>W2241AF</c:v>
                </c:pt>
                <c:pt idx="333">
                  <c:v>W2043</c:v>
                </c:pt>
                <c:pt idx="334">
                  <c:v>W2045AA</c:v>
                </c:pt>
                <c:pt idx="335">
                  <c:v>W1340AA</c:v>
                </c:pt>
                <c:pt idx="336">
                  <c:v>W1342AA</c:v>
                </c:pt>
                <c:pt idx="337">
                  <c:v>W1353</c:v>
                </c:pt>
                <c:pt idx="338">
                  <c:v>W1353AA</c:v>
                </c:pt>
                <c:pt idx="339">
                  <c:v>W1355AA</c:v>
                </c:pt>
                <c:pt idx="340">
                  <c:v>W2246AE</c:v>
                </c:pt>
                <c:pt idx="341">
                  <c:v>W2250AS</c:v>
                </c:pt>
                <c:pt idx="342">
                  <c:v>W2258AF</c:v>
                </c:pt>
                <c:pt idx="343">
                  <c:v>W2260AG</c:v>
                </c:pt>
                <c:pt idx="344">
                  <c:v>W2217AB</c:v>
                </c:pt>
                <c:pt idx="345">
                  <c:v>W2217AC</c:v>
                </c:pt>
                <c:pt idx="346">
                  <c:v>W2241AG</c:v>
                </c:pt>
                <c:pt idx="347">
                  <c:v>W2212AB</c:v>
                </c:pt>
                <c:pt idx="348">
                  <c:v>W2217AA</c:v>
                </c:pt>
                <c:pt idx="349">
                  <c:v>W2245AF</c:v>
                </c:pt>
                <c:pt idx="350">
                  <c:v>W2241AG</c:v>
                </c:pt>
                <c:pt idx="351">
                  <c:v>W2240AH</c:v>
                </c:pt>
                <c:pt idx="352">
                  <c:v>W2240AN</c:v>
                </c:pt>
                <c:pt idx="353">
                  <c:v>W2251AF</c:v>
                </c:pt>
                <c:pt idx="354">
                  <c:v>W2251AG</c:v>
                </c:pt>
                <c:pt idx="355">
                  <c:v>W1240AA</c:v>
                </c:pt>
                <c:pt idx="356">
                  <c:v>W5043</c:v>
                </c:pt>
                <c:pt idx="357">
                  <c:v>W1340AB</c:v>
                </c:pt>
                <c:pt idx="358">
                  <c:v>W2340</c:v>
                </c:pt>
                <c:pt idx="359">
                  <c:v>W1342AB</c:v>
                </c:pt>
                <c:pt idx="360">
                  <c:v>W1340</c:v>
                </c:pt>
                <c:pt idx="361">
                  <c:v>W2240AC</c:v>
                </c:pt>
                <c:pt idx="362">
                  <c:v>W2240AD</c:v>
                </c:pt>
                <c:pt idx="363">
                  <c:v>W1240</c:v>
                </c:pt>
                <c:pt idx="364">
                  <c:v>W1240AB</c:v>
                </c:pt>
                <c:pt idx="365">
                  <c:v>W1240AC</c:v>
                </c:pt>
                <c:pt idx="366">
                  <c:v>W1240AD</c:v>
                </c:pt>
                <c:pt idx="367">
                  <c:v>W2242AB</c:v>
                </c:pt>
                <c:pt idx="368">
                  <c:v>W1242AA</c:v>
                </c:pt>
                <c:pt idx="369">
                  <c:v>W2245AC</c:v>
                </c:pt>
                <c:pt idx="370">
                  <c:v>W2249AK</c:v>
                </c:pt>
                <c:pt idx="371">
                  <c:v>W2251AI</c:v>
                </c:pt>
                <c:pt idx="372">
                  <c:v>W2256AI</c:v>
                </c:pt>
                <c:pt idx="373">
                  <c:v>W2233AH</c:v>
                </c:pt>
                <c:pt idx="374">
                  <c:v>W2233AG</c:v>
                </c:pt>
                <c:pt idx="375">
                  <c:v>W2233AE</c:v>
                </c:pt>
                <c:pt idx="376">
                  <c:v>W2238AA</c:v>
                </c:pt>
                <c:pt idx="377">
                  <c:v>W2243AB</c:v>
                </c:pt>
                <c:pt idx="378">
                  <c:v>W1338</c:v>
                </c:pt>
                <c:pt idx="379">
                  <c:v>W1340AC</c:v>
                </c:pt>
                <c:pt idx="380">
                  <c:v>W2252AL</c:v>
                </c:pt>
                <c:pt idx="381">
                  <c:v>W2254AG</c:v>
                </c:pt>
                <c:pt idx="382">
                  <c:v>W2263AA</c:v>
                </c:pt>
                <c:pt idx="383">
                  <c:v>W2257AF</c:v>
                </c:pt>
                <c:pt idx="384">
                  <c:v>W2260AL</c:v>
                </c:pt>
                <c:pt idx="385">
                  <c:v>W2263AB</c:v>
                </c:pt>
                <c:pt idx="386">
                  <c:v>W2249AA</c:v>
                </c:pt>
                <c:pt idx="387">
                  <c:v>W2255AB</c:v>
                </c:pt>
                <c:pt idx="388">
                  <c:v>W2257AE</c:v>
                </c:pt>
                <c:pt idx="389">
                  <c:v>W2262AG</c:v>
                </c:pt>
                <c:pt idx="390">
                  <c:v>W2267AB</c:v>
                </c:pt>
                <c:pt idx="391">
                  <c:v>W2255AG</c:v>
                </c:pt>
                <c:pt idx="392">
                  <c:v>W2243AA</c:v>
                </c:pt>
                <c:pt idx="393">
                  <c:v>W1243AB</c:v>
                </c:pt>
                <c:pt idx="394">
                  <c:v>W1243</c:v>
                </c:pt>
                <c:pt idx="395">
                  <c:v>W1243AA</c:v>
                </c:pt>
                <c:pt idx="396">
                  <c:v>W1245AA</c:v>
                </c:pt>
                <c:pt idx="397">
                  <c:v>W2249AI</c:v>
                </c:pt>
                <c:pt idx="398">
                  <c:v>W2248AC</c:v>
                </c:pt>
                <c:pt idx="399">
                  <c:v>W2248AI</c:v>
                </c:pt>
                <c:pt idx="400">
                  <c:v>W2257AB</c:v>
                </c:pt>
                <c:pt idx="401">
                  <c:v>W2254AC</c:v>
                </c:pt>
                <c:pt idx="402">
                  <c:v>W2220AF</c:v>
                </c:pt>
                <c:pt idx="403">
                  <c:v>W2248AF</c:v>
                </c:pt>
                <c:pt idx="404">
                  <c:v>W2239AF</c:v>
                </c:pt>
                <c:pt idx="405">
                  <c:v>W2238AC</c:v>
                </c:pt>
                <c:pt idx="406">
                  <c:v>W2243AC</c:v>
                </c:pt>
                <c:pt idx="407">
                  <c:v>W2243ACH</c:v>
                </c:pt>
                <c:pt idx="408">
                  <c:v>W2248AHH</c:v>
                </c:pt>
                <c:pt idx="409">
                  <c:v>W2237AF</c:v>
                </c:pt>
                <c:pt idx="410">
                  <c:v>W2237AG</c:v>
                </c:pt>
                <c:pt idx="411">
                  <c:v>W2237ADH</c:v>
                </c:pt>
                <c:pt idx="412">
                  <c:v>W2237AAH</c:v>
                </c:pt>
                <c:pt idx="413">
                  <c:v>W2237ACH</c:v>
                </c:pt>
                <c:pt idx="414">
                  <c:v>W2237AEH</c:v>
                </c:pt>
                <c:pt idx="415">
                  <c:v>W2256AH</c:v>
                </c:pt>
                <c:pt idx="416">
                  <c:v>W2265AC</c:v>
                </c:pt>
                <c:pt idx="417">
                  <c:v>W2240AM</c:v>
                </c:pt>
                <c:pt idx="418">
                  <c:v>W2240AV</c:v>
                </c:pt>
                <c:pt idx="419">
                  <c:v>W2256AD</c:v>
                </c:pt>
                <c:pt idx="420">
                  <c:v>W2256AK</c:v>
                </c:pt>
                <c:pt idx="421">
                  <c:v>W2244AI</c:v>
                </c:pt>
                <c:pt idx="422">
                  <c:v>W2244AO</c:v>
                </c:pt>
                <c:pt idx="423">
                  <c:v>W2248AE</c:v>
                </c:pt>
                <c:pt idx="424">
                  <c:v>W2248AJ</c:v>
                </c:pt>
                <c:pt idx="425">
                  <c:v>W2248AL</c:v>
                </c:pt>
                <c:pt idx="426">
                  <c:v>W2248AM</c:v>
                </c:pt>
                <c:pt idx="427">
                  <c:v>W2348AA</c:v>
                </c:pt>
                <c:pt idx="428">
                  <c:v>W2362AA</c:v>
                </c:pt>
                <c:pt idx="429">
                  <c:v>W2264AH</c:v>
                </c:pt>
                <c:pt idx="430">
                  <c:v>W2252AF</c:v>
                </c:pt>
                <c:pt idx="431">
                  <c:v>W2252AN</c:v>
                </c:pt>
                <c:pt idx="432">
                  <c:v>W2252AS</c:v>
                </c:pt>
                <c:pt idx="433">
                  <c:v>W2342AB</c:v>
                </c:pt>
                <c:pt idx="434">
                  <c:v>W2344AA</c:v>
                </c:pt>
                <c:pt idx="435">
                  <c:v>W2050AA</c:v>
                </c:pt>
                <c:pt idx="436">
                  <c:v>W2045AC</c:v>
                </c:pt>
                <c:pt idx="437">
                  <c:v>W2045AD</c:v>
                </c:pt>
                <c:pt idx="438">
                  <c:v>W2241AI</c:v>
                </c:pt>
                <c:pt idx="439">
                  <c:v>W2249AJ</c:v>
                </c:pt>
                <c:pt idx="440">
                  <c:v>W2241AB</c:v>
                </c:pt>
                <c:pt idx="441">
                  <c:v>W2245AD</c:v>
                </c:pt>
                <c:pt idx="442">
                  <c:v>W2034AA</c:v>
                </c:pt>
                <c:pt idx="443">
                  <c:v>W1034AA</c:v>
                </c:pt>
                <c:pt idx="444">
                  <c:v>W2030AA</c:v>
                </c:pt>
                <c:pt idx="445">
                  <c:v>W2040AA</c:v>
                </c:pt>
                <c:pt idx="446">
                  <c:v>W1040AA</c:v>
                </c:pt>
                <c:pt idx="447">
                  <c:v>W2040AB</c:v>
                </c:pt>
                <c:pt idx="448">
                  <c:v>W2240AQ</c:v>
                </c:pt>
                <c:pt idx="449">
                  <c:v>W2240AB</c:v>
                </c:pt>
                <c:pt idx="450">
                  <c:v>W2240AA</c:v>
                </c:pt>
                <c:pt idx="451">
                  <c:v>W2232AB</c:v>
                </c:pt>
                <c:pt idx="452">
                  <c:v>W2038AA</c:v>
                </c:pt>
                <c:pt idx="453">
                  <c:v>W2248AA</c:v>
                </c:pt>
                <c:pt idx="454">
                  <c:v>W5036</c:v>
                </c:pt>
                <c:pt idx="455">
                  <c:v>W5036AB</c:v>
                </c:pt>
                <c:pt idx="456">
                  <c:v>W2260AE</c:v>
                </c:pt>
                <c:pt idx="457">
                  <c:v>W2036AA</c:v>
                </c:pt>
                <c:pt idx="458">
                  <c:v>W2236AA</c:v>
                </c:pt>
                <c:pt idx="459">
                  <c:v>W2252AB</c:v>
                </c:pt>
                <c:pt idx="460">
                  <c:v>W5045AA</c:v>
                </c:pt>
                <c:pt idx="461">
                  <c:v>W5022AB</c:v>
                </c:pt>
                <c:pt idx="462">
                  <c:v>W2272AD</c:v>
                </c:pt>
                <c:pt idx="463">
                  <c:v>W2244AM</c:v>
                </c:pt>
                <c:pt idx="464">
                  <c:v>W2250AV</c:v>
                </c:pt>
                <c:pt idx="465">
                  <c:v>W2241AK</c:v>
                </c:pt>
                <c:pt idx="466">
                  <c:v>W2245AG</c:v>
                </c:pt>
                <c:pt idx="467">
                  <c:v>W2264AA</c:v>
                </c:pt>
                <c:pt idx="468">
                  <c:v>W2267AA</c:v>
                </c:pt>
                <c:pt idx="469">
                  <c:v>W2262AC</c:v>
                </c:pt>
                <c:pt idx="470">
                  <c:v>W2264AD</c:v>
                </c:pt>
                <c:pt idx="471">
                  <c:v>W2272AB</c:v>
                </c:pt>
                <c:pt idx="472">
                  <c:v>W2272AC</c:v>
                </c:pt>
                <c:pt idx="473">
                  <c:v>W2272AE</c:v>
                </c:pt>
                <c:pt idx="474">
                  <c:v>W2254AF</c:v>
                </c:pt>
                <c:pt idx="475">
                  <c:v>W2254AK</c:v>
                </c:pt>
                <c:pt idx="476">
                  <c:v>W2220AE</c:v>
                </c:pt>
                <c:pt idx="477">
                  <c:v>W2222AF</c:v>
                </c:pt>
                <c:pt idx="478">
                  <c:v>W2225AG</c:v>
                </c:pt>
                <c:pt idx="479">
                  <c:v>W2254AJ</c:v>
                </c:pt>
                <c:pt idx="480">
                  <c:v>W2240AE</c:v>
                </c:pt>
                <c:pt idx="481">
                  <c:v>W2041AA</c:v>
                </c:pt>
                <c:pt idx="482">
                  <c:v>W2267AC</c:v>
                </c:pt>
                <c:pt idx="483">
                  <c:v>W2260AJ</c:v>
                </c:pt>
                <c:pt idx="484">
                  <c:v>W2235AA</c:v>
                </c:pt>
                <c:pt idx="485">
                  <c:v>W2251AE</c:v>
                </c:pt>
                <c:pt idx="486">
                  <c:v>W2241AA</c:v>
                </c:pt>
                <c:pt idx="487">
                  <c:v>W1241</c:v>
                </c:pt>
                <c:pt idx="488">
                  <c:v>W1241AC</c:v>
                </c:pt>
                <c:pt idx="489">
                  <c:v>W2231AA</c:v>
                </c:pt>
              </c:strCache>
            </c:strRef>
          </c:cat>
          <c:val>
            <c:numRef>
              <c:f>'W-code list'!$W$6:$W$500</c:f>
              <c:numCache>
                <c:formatCode>General</c:formatCode>
                <c:ptCount val="495"/>
                <c:pt idx="0">
                  <c:v>300</c:v>
                </c:pt>
                <c:pt idx="1">
                  <c:v>330</c:v>
                </c:pt>
                <c:pt idx="2">
                  <c:v>330</c:v>
                </c:pt>
                <c:pt idx="3">
                  <c:v>187</c:v>
                </c:pt>
                <c:pt idx="4">
                  <c:v>187</c:v>
                </c:pt>
                <c:pt idx="5">
                  <c:v>350</c:v>
                </c:pt>
                <c:pt idx="6">
                  <c:v>312</c:v>
                </c:pt>
                <c:pt idx="7">
                  <c:v>260</c:v>
                </c:pt>
                <c:pt idx="8">
                  <c:v>226</c:v>
                </c:pt>
                <c:pt idx="9">
                  <c:v>277</c:v>
                </c:pt>
                <c:pt idx="10">
                  <c:v>430</c:v>
                </c:pt>
                <c:pt idx="11">
                  <c:v>550</c:v>
                </c:pt>
                <c:pt idx="12">
                  <c:v>460</c:v>
                </c:pt>
                <c:pt idx="13">
                  <c:v>460</c:v>
                </c:pt>
                <c:pt idx="14">
                  <c:v>460</c:v>
                </c:pt>
                <c:pt idx="15">
                  <c:v>460</c:v>
                </c:pt>
                <c:pt idx="16">
                  <c:v>460</c:v>
                </c:pt>
                <c:pt idx="17">
                  <c:v>400</c:v>
                </c:pt>
                <c:pt idx="18">
                  <c:v>450</c:v>
                </c:pt>
                <c:pt idx="19">
                  <c:v>450</c:v>
                </c:pt>
                <c:pt idx="20">
                  <c:v>300</c:v>
                </c:pt>
                <c:pt idx="21">
                  <c:v>400</c:v>
                </c:pt>
                <c:pt idx="22">
                  <c:v>450</c:v>
                </c:pt>
                <c:pt idx="23">
                  <c:v>400</c:v>
                </c:pt>
                <c:pt idx="24">
                  <c:v>360</c:v>
                </c:pt>
                <c:pt idx="25">
                  <c:v>360</c:v>
                </c:pt>
                <c:pt idx="26">
                  <c:v>210</c:v>
                </c:pt>
                <c:pt idx="27">
                  <c:v>220</c:v>
                </c:pt>
                <c:pt idx="28">
                  <c:v>400</c:v>
                </c:pt>
                <c:pt idx="29">
                  <c:v>400</c:v>
                </c:pt>
                <c:pt idx="30">
                  <c:v>0</c:v>
                </c:pt>
                <c:pt idx="31">
                  <c:v>0</c:v>
                </c:pt>
                <c:pt idx="32">
                  <c:v>0</c:v>
                </c:pt>
                <c:pt idx="33">
                  <c:v>0</c:v>
                </c:pt>
                <c:pt idx="34">
                  <c:v>264</c:v>
                </c:pt>
                <c:pt idx="35">
                  <c:v>250</c:v>
                </c:pt>
                <c:pt idx="36">
                  <c:v>400</c:v>
                </c:pt>
                <c:pt idx="37">
                  <c:v>240</c:v>
                </c:pt>
                <c:pt idx="38">
                  <c:v>400</c:v>
                </c:pt>
                <c:pt idx="39">
                  <c:v>400</c:v>
                </c:pt>
                <c:pt idx="40">
                  <c:v>400</c:v>
                </c:pt>
                <c:pt idx="41">
                  <c:v>500</c:v>
                </c:pt>
                <c:pt idx="42">
                  <c:v>560</c:v>
                </c:pt>
                <c:pt idx="43">
                  <c:v>500</c:v>
                </c:pt>
                <c:pt idx="44">
                  <c:v>450</c:v>
                </c:pt>
                <c:pt idx="45">
                  <c:v>400</c:v>
                </c:pt>
                <c:pt idx="46">
                  <c:v>550</c:v>
                </c:pt>
                <c:pt idx="47">
                  <c:v>394</c:v>
                </c:pt>
                <c:pt idx="48">
                  <c:v>300</c:v>
                </c:pt>
                <c:pt idx="49">
                  <c:v>275</c:v>
                </c:pt>
                <c:pt idx="50">
                  <c:v>0</c:v>
                </c:pt>
                <c:pt idx="51">
                  <c:v>0</c:v>
                </c:pt>
                <c:pt idx="52">
                  <c:v>0</c:v>
                </c:pt>
                <c:pt idx="53">
                  <c:v>0</c:v>
                </c:pt>
                <c:pt idx="54">
                  <c:v>0</c:v>
                </c:pt>
                <c:pt idx="55">
                  <c:v>0</c:v>
                </c:pt>
                <c:pt idx="56">
                  <c:v>350</c:v>
                </c:pt>
                <c:pt idx="57">
                  <c:v>440</c:v>
                </c:pt>
                <c:pt idx="58">
                  <c:v>433</c:v>
                </c:pt>
                <c:pt idx="59">
                  <c:v>445</c:v>
                </c:pt>
                <c:pt idx="60">
                  <c:v>445</c:v>
                </c:pt>
                <c:pt idx="61">
                  <c:v>445</c:v>
                </c:pt>
                <c:pt idx="62">
                  <c:v>360</c:v>
                </c:pt>
                <c:pt idx="63">
                  <c:v>350</c:v>
                </c:pt>
                <c:pt idx="64">
                  <c:v>450</c:v>
                </c:pt>
                <c:pt idx="65">
                  <c:v>450</c:v>
                </c:pt>
                <c:pt idx="66">
                  <c:v>290</c:v>
                </c:pt>
                <c:pt idx="67">
                  <c:v>400</c:v>
                </c:pt>
                <c:pt idx="68">
                  <c:v>400</c:v>
                </c:pt>
                <c:pt idx="69">
                  <c:v>570</c:v>
                </c:pt>
                <c:pt idx="70">
                  <c:v>650</c:v>
                </c:pt>
                <c:pt idx="71">
                  <c:v>620</c:v>
                </c:pt>
                <c:pt idx="72">
                  <c:v>690</c:v>
                </c:pt>
                <c:pt idx="73">
                  <c:v>530</c:v>
                </c:pt>
                <c:pt idx="74">
                  <c:v>275</c:v>
                </c:pt>
                <c:pt idx="75">
                  <c:v>400</c:v>
                </c:pt>
                <c:pt idx="76">
                  <c:v>400</c:v>
                </c:pt>
                <c:pt idx="77">
                  <c:v>400</c:v>
                </c:pt>
                <c:pt idx="78">
                  <c:v>0</c:v>
                </c:pt>
                <c:pt idx="79">
                  <c:v>400</c:v>
                </c:pt>
                <c:pt idx="80">
                  <c:v>400</c:v>
                </c:pt>
                <c:pt idx="81">
                  <c:v>400</c:v>
                </c:pt>
                <c:pt idx="82">
                  <c:v>220</c:v>
                </c:pt>
                <c:pt idx="83">
                  <c:v>220</c:v>
                </c:pt>
                <c:pt idx="84">
                  <c:v>400</c:v>
                </c:pt>
                <c:pt idx="85">
                  <c:v>400</c:v>
                </c:pt>
                <c:pt idx="86">
                  <c:v>400</c:v>
                </c:pt>
                <c:pt idx="87">
                  <c:v>400</c:v>
                </c:pt>
                <c:pt idx="88">
                  <c:v>400</c:v>
                </c:pt>
                <c:pt idx="89">
                  <c:v>400</c:v>
                </c:pt>
                <c:pt idx="90">
                  <c:v>400</c:v>
                </c:pt>
                <c:pt idx="91">
                  <c:v>400</c:v>
                </c:pt>
                <c:pt idx="92">
                  <c:v>450</c:v>
                </c:pt>
                <c:pt idx="93">
                  <c:v>0</c:v>
                </c:pt>
                <c:pt idx="94">
                  <c:v>0</c:v>
                </c:pt>
                <c:pt idx="95">
                  <c:v>0</c:v>
                </c:pt>
                <c:pt idx="96">
                  <c:v>450</c:v>
                </c:pt>
                <c:pt idx="97">
                  <c:v>450</c:v>
                </c:pt>
                <c:pt idx="98">
                  <c:v>450</c:v>
                </c:pt>
                <c:pt idx="99">
                  <c:v>450</c:v>
                </c:pt>
                <c:pt idx="100">
                  <c:v>500</c:v>
                </c:pt>
                <c:pt idx="101">
                  <c:v>500</c:v>
                </c:pt>
                <c:pt idx="102">
                  <c:v>400</c:v>
                </c:pt>
                <c:pt idx="103">
                  <c:v>200</c:v>
                </c:pt>
                <c:pt idx="104">
                  <c:v>320</c:v>
                </c:pt>
                <c:pt idx="105">
                  <c:v>500</c:v>
                </c:pt>
                <c:pt idx="106">
                  <c:v>450</c:v>
                </c:pt>
                <c:pt idx="107">
                  <c:v>400</c:v>
                </c:pt>
                <c:pt idx="108">
                  <c:v>400</c:v>
                </c:pt>
                <c:pt idx="109">
                  <c:v>400</c:v>
                </c:pt>
                <c:pt idx="110">
                  <c:v>440</c:v>
                </c:pt>
                <c:pt idx="111">
                  <c:v>218</c:v>
                </c:pt>
                <c:pt idx="112">
                  <c:v>400</c:v>
                </c:pt>
                <c:pt idx="113">
                  <c:v>400</c:v>
                </c:pt>
                <c:pt idx="114">
                  <c:v>400</c:v>
                </c:pt>
                <c:pt idx="115">
                  <c:v>400</c:v>
                </c:pt>
                <c:pt idx="116">
                  <c:v>400</c:v>
                </c:pt>
                <c:pt idx="117">
                  <c:v>400</c:v>
                </c:pt>
                <c:pt idx="118">
                  <c:v>400</c:v>
                </c:pt>
                <c:pt idx="119">
                  <c:v>350</c:v>
                </c:pt>
                <c:pt idx="120">
                  <c:v>400</c:v>
                </c:pt>
                <c:pt idx="121">
                  <c:v>400</c:v>
                </c:pt>
                <c:pt idx="122">
                  <c:v>400</c:v>
                </c:pt>
                <c:pt idx="123">
                  <c:v>400</c:v>
                </c:pt>
                <c:pt idx="124">
                  <c:v>400</c:v>
                </c:pt>
                <c:pt idx="125">
                  <c:v>350</c:v>
                </c:pt>
                <c:pt idx="126">
                  <c:v>400</c:v>
                </c:pt>
                <c:pt idx="127">
                  <c:v>470</c:v>
                </c:pt>
                <c:pt idx="128">
                  <c:v>470</c:v>
                </c:pt>
                <c:pt idx="129">
                  <c:v>400</c:v>
                </c:pt>
                <c:pt idx="130">
                  <c:v>400</c:v>
                </c:pt>
                <c:pt idx="131">
                  <c:v>400</c:v>
                </c:pt>
                <c:pt idx="132">
                  <c:v>400</c:v>
                </c:pt>
                <c:pt idx="133">
                  <c:v>400</c:v>
                </c:pt>
                <c:pt idx="134">
                  <c:v>400</c:v>
                </c:pt>
                <c:pt idx="135">
                  <c:v>350</c:v>
                </c:pt>
                <c:pt idx="136">
                  <c:v>480</c:v>
                </c:pt>
                <c:pt idx="137">
                  <c:v>480</c:v>
                </c:pt>
                <c:pt idx="138">
                  <c:v>480</c:v>
                </c:pt>
                <c:pt idx="139">
                  <c:v>400</c:v>
                </c:pt>
                <c:pt idx="140">
                  <c:v>400</c:v>
                </c:pt>
                <c:pt idx="141">
                  <c:v>350</c:v>
                </c:pt>
                <c:pt idx="142">
                  <c:v>400</c:v>
                </c:pt>
                <c:pt idx="143">
                  <c:v>400</c:v>
                </c:pt>
                <c:pt idx="144">
                  <c:v>480</c:v>
                </c:pt>
                <c:pt idx="145">
                  <c:v>400</c:v>
                </c:pt>
                <c:pt idx="146">
                  <c:v>400</c:v>
                </c:pt>
                <c:pt idx="147">
                  <c:v>400</c:v>
                </c:pt>
                <c:pt idx="148">
                  <c:v>400</c:v>
                </c:pt>
                <c:pt idx="149">
                  <c:v>400</c:v>
                </c:pt>
                <c:pt idx="150">
                  <c:v>400</c:v>
                </c:pt>
                <c:pt idx="151">
                  <c:v>400</c:v>
                </c:pt>
                <c:pt idx="152">
                  <c:v>500</c:v>
                </c:pt>
                <c:pt idx="153">
                  <c:v>400</c:v>
                </c:pt>
                <c:pt idx="154">
                  <c:v>400</c:v>
                </c:pt>
                <c:pt idx="155">
                  <c:v>400</c:v>
                </c:pt>
                <c:pt idx="156">
                  <c:v>400</c:v>
                </c:pt>
                <c:pt idx="157">
                  <c:v>400</c:v>
                </c:pt>
                <c:pt idx="158">
                  <c:v>400</c:v>
                </c:pt>
                <c:pt idx="159">
                  <c:v>400</c:v>
                </c:pt>
                <c:pt idx="160">
                  <c:v>500</c:v>
                </c:pt>
                <c:pt idx="161">
                  <c:v>400</c:v>
                </c:pt>
                <c:pt idx="162">
                  <c:v>400</c:v>
                </c:pt>
                <c:pt idx="163">
                  <c:v>215</c:v>
                </c:pt>
                <c:pt idx="164">
                  <c:v>0</c:v>
                </c:pt>
                <c:pt idx="165">
                  <c:v>0</c:v>
                </c:pt>
                <c:pt idx="166">
                  <c:v>163</c:v>
                </c:pt>
                <c:pt idx="167">
                  <c:v>163</c:v>
                </c:pt>
                <c:pt idx="168">
                  <c:v>400</c:v>
                </c:pt>
                <c:pt idx="169">
                  <c:v>400</c:v>
                </c:pt>
                <c:pt idx="170">
                  <c:v>400</c:v>
                </c:pt>
                <c:pt idx="171">
                  <c:v>400</c:v>
                </c:pt>
                <c:pt idx="172">
                  <c:v>204</c:v>
                </c:pt>
                <c:pt idx="173">
                  <c:v>350</c:v>
                </c:pt>
                <c:pt idx="174">
                  <c:v>400</c:v>
                </c:pt>
                <c:pt idx="175">
                  <c:v>400</c:v>
                </c:pt>
                <c:pt idx="176">
                  <c:v>400</c:v>
                </c:pt>
                <c:pt idx="177">
                  <c:v>400</c:v>
                </c:pt>
                <c:pt idx="178">
                  <c:v>400</c:v>
                </c:pt>
                <c:pt idx="179">
                  <c:v>192</c:v>
                </c:pt>
                <c:pt idx="180">
                  <c:v>400</c:v>
                </c:pt>
                <c:pt idx="181">
                  <c:v>400</c:v>
                </c:pt>
                <c:pt idx="182">
                  <c:v>211</c:v>
                </c:pt>
                <c:pt idx="183">
                  <c:v>175</c:v>
                </c:pt>
                <c:pt idx="184">
                  <c:v>175</c:v>
                </c:pt>
                <c:pt idx="185">
                  <c:v>400</c:v>
                </c:pt>
                <c:pt idx="186">
                  <c:v>400</c:v>
                </c:pt>
                <c:pt idx="187">
                  <c:v>600</c:v>
                </c:pt>
                <c:pt idx="188">
                  <c:v>550</c:v>
                </c:pt>
                <c:pt idx="189">
                  <c:v>400</c:v>
                </c:pt>
                <c:pt idx="190">
                  <c:v>300</c:v>
                </c:pt>
                <c:pt idx="191">
                  <c:v>500</c:v>
                </c:pt>
                <c:pt idx="192">
                  <c:v>400</c:v>
                </c:pt>
                <c:pt idx="193">
                  <c:v>500</c:v>
                </c:pt>
                <c:pt idx="194">
                  <c:v>500</c:v>
                </c:pt>
                <c:pt idx="195">
                  <c:v>500</c:v>
                </c:pt>
                <c:pt idx="196">
                  <c:v>400</c:v>
                </c:pt>
                <c:pt idx="197">
                  <c:v>450</c:v>
                </c:pt>
                <c:pt idx="198">
                  <c:v>500</c:v>
                </c:pt>
                <c:pt idx="199">
                  <c:v>300</c:v>
                </c:pt>
                <c:pt idx="200">
                  <c:v>400</c:v>
                </c:pt>
                <c:pt idx="201">
                  <c:v>400</c:v>
                </c:pt>
                <c:pt idx="202">
                  <c:v>400</c:v>
                </c:pt>
                <c:pt idx="203">
                  <c:v>400</c:v>
                </c:pt>
                <c:pt idx="204">
                  <c:v>400</c:v>
                </c:pt>
                <c:pt idx="205">
                  <c:v>400</c:v>
                </c:pt>
                <c:pt idx="206">
                  <c:v>400</c:v>
                </c:pt>
                <c:pt idx="207">
                  <c:v>400</c:v>
                </c:pt>
                <c:pt idx="208">
                  <c:v>220</c:v>
                </c:pt>
                <c:pt idx="209">
                  <c:v>400</c:v>
                </c:pt>
                <c:pt idx="210">
                  <c:v>400</c:v>
                </c:pt>
                <c:pt idx="211">
                  <c:v>400</c:v>
                </c:pt>
                <c:pt idx="212">
                  <c:v>400</c:v>
                </c:pt>
                <c:pt idx="213">
                  <c:v>400</c:v>
                </c:pt>
                <c:pt idx="214">
                  <c:v>500</c:v>
                </c:pt>
                <c:pt idx="215">
                  <c:v>400</c:v>
                </c:pt>
                <c:pt idx="216">
                  <c:v>400</c:v>
                </c:pt>
                <c:pt idx="217">
                  <c:v>146</c:v>
                </c:pt>
                <c:pt idx="218">
                  <c:v>400</c:v>
                </c:pt>
                <c:pt idx="219">
                  <c:v>400</c:v>
                </c:pt>
                <c:pt idx="220">
                  <c:v>400</c:v>
                </c:pt>
                <c:pt idx="221">
                  <c:v>400</c:v>
                </c:pt>
                <c:pt idx="222">
                  <c:v>400</c:v>
                </c:pt>
                <c:pt idx="223">
                  <c:v>400</c:v>
                </c:pt>
                <c:pt idx="224">
                  <c:v>390</c:v>
                </c:pt>
                <c:pt idx="225">
                  <c:v>400</c:v>
                </c:pt>
                <c:pt idx="226">
                  <c:v>400</c:v>
                </c:pt>
                <c:pt idx="227">
                  <c:v>400</c:v>
                </c:pt>
                <c:pt idx="228">
                  <c:v>400</c:v>
                </c:pt>
                <c:pt idx="229">
                  <c:v>550</c:v>
                </c:pt>
                <c:pt idx="230">
                  <c:v>400</c:v>
                </c:pt>
                <c:pt idx="231">
                  <c:v>450</c:v>
                </c:pt>
                <c:pt idx="232">
                  <c:v>550</c:v>
                </c:pt>
                <c:pt idx="233">
                  <c:v>550</c:v>
                </c:pt>
                <c:pt idx="234">
                  <c:v>500</c:v>
                </c:pt>
                <c:pt idx="235">
                  <c:v>500</c:v>
                </c:pt>
                <c:pt idx="236">
                  <c:v>450</c:v>
                </c:pt>
                <c:pt idx="237">
                  <c:v>500</c:v>
                </c:pt>
                <c:pt idx="238">
                  <c:v>400</c:v>
                </c:pt>
                <c:pt idx="239">
                  <c:v>400</c:v>
                </c:pt>
                <c:pt idx="240">
                  <c:v>400</c:v>
                </c:pt>
                <c:pt idx="241">
                  <c:v>400</c:v>
                </c:pt>
                <c:pt idx="242">
                  <c:v>400</c:v>
                </c:pt>
                <c:pt idx="243">
                  <c:v>500</c:v>
                </c:pt>
                <c:pt idx="244">
                  <c:v>400</c:v>
                </c:pt>
                <c:pt idx="245">
                  <c:v>500</c:v>
                </c:pt>
                <c:pt idx="246">
                  <c:v>400</c:v>
                </c:pt>
                <c:pt idx="247">
                  <c:v>500</c:v>
                </c:pt>
                <c:pt idx="248">
                  <c:v>400</c:v>
                </c:pt>
                <c:pt idx="249">
                  <c:v>500</c:v>
                </c:pt>
                <c:pt idx="250">
                  <c:v>400</c:v>
                </c:pt>
                <c:pt idx="251">
                  <c:v>500</c:v>
                </c:pt>
                <c:pt idx="252">
                  <c:v>350</c:v>
                </c:pt>
                <c:pt idx="253">
                  <c:v>350</c:v>
                </c:pt>
                <c:pt idx="254">
                  <c:v>400</c:v>
                </c:pt>
                <c:pt idx="255">
                  <c:v>400</c:v>
                </c:pt>
                <c:pt idx="256">
                  <c:v>400</c:v>
                </c:pt>
                <c:pt idx="257">
                  <c:v>400</c:v>
                </c:pt>
                <c:pt idx="258">
                  <c:v>400</c:v>
                </c:pt>
                <c:pt idx="259">
                  <c:v>400</c:v>
                </c:pt>
                <c:pt idx="260">
                  <c:v>400</c:v>
                </c:pt>
                <c:pt idx="261">
                  <c:v>400</c:v>
                </c:pt>
                <c:pt idx="262">
                  <c:v>400</c:v>
                </c:pt>
                <c:pt idx="263">
                  <c:v>400</c:v>
                </c:pt>
                <c:pt idx="264">
                  <c:v>400</c:v>
                </c:pt>
                <c:pt idx="265">
                  <c:v>200</c:v>
                </c:pt>
                <c:pt idx="266">
                  <c:v>200</c:v>
                </c:pt>
                <c:pt idx="267">
                  <c:v>350</c:v>
                </c:pt>
                <c:pt idx="268">
                  <c:v>400</c:v>
                </c:pt>
                <c:pt idx="269">
                  <c:v>400</c:v>
                </c:pt>
                <c:pt idx="270">
                  <c:v>400</c:v>
                </c:pt>
                <c:pt idx="271">
                  <c:v>400</c:v>
                </c:pt>
                <c:pt idx="272">
                  <c:v>0</c:v>
                </c:pt>
                <c:pt idx="273">
                  <c:v>0</c:v>
                </c:pt>
                <c:pt idx="274">
                  <c:v>400</c:v>
                </c:pt>
                <c:pt idx="275">
                  <c:v>400</c:v>
                </c:pt>
                <c:pt idx="276">
                  <c:v>197</c:v>
                </c:pt>
                <c:pt idx="277">
                  <c:v>197</c:v>
                </c:pt>
                <c:pt idx="278">
                  <c:v>400</c:v>
                </c:pt>
                <c:pt idx="279">
                  <c:v>400</c:v>
                </c:pt>
                <c:pt idx="280">
                  <c:v>400</c:v>
                </c:pt>
                <c:pt idx="281">
                  <c:v>400</c:v>
                </c:pt>
                <c:pt idx="282">
                  <c:v>400</c:v>
                </c:pt>
                <c:pt idx="283">
                  <c:v>400</c:v>
                </c:pt>
                <c:pt idx="284">
                  <c:v>400</c:v>
                </c:pt>
                <c:pt idx="285">
                  <c:v>400</c:v>
                </c:pt>
                <c:pt idx="286">
                  <c:v>400</c:v>
                </c:pt>
                <c:pt idx="287">
                  <c:v>400</c:v>
                </c:pt>
                <c:pt idx="288">
                  <c:v>400</c:v>
                </c:pt>
                <c:pt idx="289">
                  <c:v>400</c:v>
                </c:pt>
                <c:pt idx="290">
                  <c:v>400</c:v>
                </c:pt>
                <c:pt idx="291">
                  <c:v>400</c:v>
                </c:pt>
                <c:pt idx="292">
                  <c:v>400</c:v>
                </c:pt>
                <c:pt idx="293">
                  <c:v>400</c:v>
                </c:pt>
                <c:pt idx="294">
                  <c:v>500</c:v>
                </c:pt>
                <c:pt idx="295">
                  <c:v>400</c:v>
                </c:pt>
                <c:pt idx="296">
                  <c:v>400</c:v>
                </c:pt>
                <c:pt idx="297">
                  <c:v>400</c:v>
                </c:pt>
                <c:pt idx="298">
                  <c:v>0</c:v>
                </c:pt>
                <c:pt idx="299">
                  <c:v>254</c:v>
                </c:pt>
                <c:pt idx="300">
                  <c:v>0</c:v>
                </c:pt>
                <c:pt idx="301">
                  <c:v>0</c:v>
                </c:pt>
                <c:pt idx="302">
                  <c:v>400</c:v>
                </c:pt>
                <c:pt idx="303">
                  <c:v>400</c:v>
                </c:pt>
                <c:pt idx="304">
                  <c:v>400</c:v>
                </c:pt>
                <c:pt idx="305">
                  <c:v>308</c:v>
                </c:pt>
                <c:pt idx="306">
                  <c:v>308</c:v>
                </c:pt>
                <c:pt idx="307">
                  <c:v>400</c:v>
                </c:pt>
                <c:pt idx="308">
                  <c:v>400</c:v>
                </c:pt>
                <c:pt idx="309">
                  <c:v>400</c:v>
                </c:pt>
                <c:pt idx="310">
                  <c:v>500</c:v>
                </c:pt>
                <c:pt idx="311">
                  <c:v>450</c:v>
                </c:pt>
                <c:pt idx="312">
                  <c:v>500</c:v>
                </c:pt>
                <c:pt idx="313">
                  <c:v>400</c:v>
                </c:pt>
                <c:pt idx="314">
                  <c:v>450</c:v>
                </c:pt>
                <c:pt idx="315">
                  <c:v>400</c:v>
                </c:pt>
                <c:pt idx="316">
                  <c:v>400</c:v>
                </c:pt>
                <c:pt idx="317">
                  <c:v>400</c:v>
                </c:pt>
                <c:pt idx="318">
                  <c:v>500</c:v>
                </c:pt>
                <c:pt idx="319">
                  <c:v>400</c:v>
                </c:pt>
                <c:pt idx="320">
                  <c:v>500</c:v>
                </c:pt>
                <c:pt idx="321">
                  <c:v>400</c:v>
                </c:pt>
                <c:pt idx="322">
                  <c:v>550</c:v>
                </c:pt>
                <c:pt idx="323">
                  <c:v>500</c:v>
                </c:pt>
                <c:pt idx="324">
                  <c:v>400</c:v>
                </c:pt>
                <c:pt idx="325">
                  <c:v>400</c:v>
                </c:pt>
                <c:pt idx="326">
                  <c:v>400</c:v>
                </c:pt>
                <c:pt idx="327">
                  <c:v>400</c:v>
                </c:pt>
                <c:pt idx="328">
                  <c:v>400</c:v>
                </c:pt>
                <c:pt idx="329">
                  <c:v>400</c:v>
                </c:pt>
                <c:pt idx="330">
                  <c:v>400</c:v>
                </c:pt>
                <c:pt idx="331">
                  <c:v>400</c:v>
                </c:pt>
                <c:pt idx="332">
                  <c:v>400</c:v>
                </c:pt>
                <c:pt idx="333">
                  <c:v>270</c:v>
                </c:pt>
                <c:pt idx="334">
                  <c:v>270</c:v>
                </c:pt>
                <c:pt idx="335">
                  <c:v>270</c:v>
                </c:pt>
                <c:pt idx="336">
                  <c:v>270</c:v>
                </c:pt>
                <c:pt idx="337">
                  <c:v>270</c:v>
                </c:pt>
                <c:pt idx="338">
                  <c:v>320</c:v>
                </c:pt>
                <c:pt idx="339">
                  <c:v>270</c:v>
                </c:pt>
                <c:pt idx="340">
                  <c:v>290</c:v>
                </c:pt>
                <c:pt idx="341">
                  <c:v>290</c:v>
                </c:pt>
                <c:pt idx="342">
                  <c:v>400</c:v>
                </c:pt>
                <c:pt idx="343">
                  <c:v>400</c:v>
                </c:pt>
                <c:pt idx="344">
                  <c:v>400</c:v>
                </c:pt>
                <c:pt idx="345">
                  <c:v>400</c:v>
                </c:pt>
                <c:pt idx="346">
                  <c:v>410</c:v>
                </c:pt>
                <c:pt idx="347">
                  <c:v>400</c:v>
                </c:pt>
                <c:pt idx="348">
                  <c:v>370</c:v>
                </c:pt>
                <c:pt idx="349">
                  <c:v>400</c:v>
                </c:pt>
                <c:pt idx="350">
                  <c:v>410</c:v>
                </c:pt>
                <c:pt idx="351">
                  <c:v>410</c:v>
                </c:pt>
                <c:pt idx="352">
                  <c:v>410</c:v>
                </c:pt>
                <c:pt idx="353">
                  <c:v>410</c:v>
                </c:pt>
                <c:pt idx="354">
                  <c:v>410</c:v>
                </c:pt>
                <c:pt idx="355">
                  <c:v>0</c:v>
                </c:pt>
                <c:pt idx="356">
                  <c:v>0</c:v>
                </c:pt>
                <c:pt idx="357">
                  <c:v>350</c:v>
                </c:pt>
                <c:pt idx="358">
                  <c:v>350</c:v>
                </c:pt>
                <c:pt idx="359">
                  <c:v>350</c:v>
                </c:pt>
                <c:pt idx="360">
                  <c:v>345</c:v>
                </c:pt>
                <c:pt idx="361">
                  <c:v>350</c:v>
                </c:pt>
                <c:pt idx="362">
                  <c:v>375</c:v>
                </c:pt>
                <c:pt idx="363">
                  <c:v>350</c:v>
                </c:pt>
                <c:pt idx="364">
                  <c:v>350</c:v>
                </c:pt>
                <c:pt idx="365">
                  <c:v>350</c:v>
                </c:pt>
                <c:pt idx="366">
                  <c:v>375</c:v>
                </c:pt>
                <c:pt idx="367">
                  <c:v>375</c:v>
                </c:pt>
                <c:pt idx="368">
                  <c:v>350</c:v>
                </c:pt>
                <c:pt idx="369">
                  <c:v>310</c:v>
                </c:pt>
                <c:pt idx="370">
                  <c:v>400</c:v>
                </c:pt>
                <c:pt idx="371">
                  <c:v>310</c:v>
                </c:pt>
                <c:pt idx="372">
                  <c:v>310</c:v>
                </c:pt>
                <c:pt idx="373">
                  <c:v>330</c:v>
                </c:pt>
                <c:pt idx="374">
                  <c:v>310</c:v>
                </c:pt>
                <c:pt idx="375">
                  <c:v>310</c:v>
                </c:pt>
                <c:pt idx="376">
                  <c:v>310</c:v>
                </c:pt>
                <c:pt idx="377">
                  <c:v>310</c:v>
                </c:pt>
                <c:pt idx="378">
                  <c:v>260</c:v>
                </c:pt>
                <c:pt idx="379">
                  <c:v>260</c:v>
                </c:pt>
                <c:pt idx="380">
                  <c:v>400</c:v>
                </c:pt>
                <c:pt idx="381">
                  <c:v>400</c:v>
                </c:pt>
                <c:pt idx="382">
                  <c:v>400</c:v>
                </c:pt>
                <c:pt idx="383">
                  <c:v>200</c:v>
                </c:pt>
                <c:pt idx="384">
                  <c:v>400</c:v>
                </c:pt>
                <c:pt idx="385">
                  <c:v>200</c:v>
                </c:pt>
                <c:pt idx="386">
                  <c:v>290</c:v>
                </c:pt>
                <c:pt idx="387">
                  <c:v>340</c:v>
                </c:pt>
                <c:pt idx="388">
                  <c:v>340</c:v>
                </c:pt>
                <c:pt idx="389">
                  <c:v>340</c:v>
                </c:pt>
                <c:pt idx="390">
                  <c:v>340</c:v>
                </c:pt>
                <c:pt idx="391">
                  <c:v>240</c:v>
                </c:pt>
                <c:pt idx="392">
                  <c:v>230</c:v>
                </c:pt>
                <c:pt idx="393">
                  <c:v>230</c:v>
                </c:pt>
                <c:pt idx="394">
                  <c:v>200</c:v>
                </c:pt>
                <c:pt idx="395">
                  <c:v>200</c:v>
                </c:pt>
                <c:pt idx="396">
                  <c:v>200</c:v>
                </c:pt>
                <c:pt idx="397">
                  <c:v>270</c:v>
                </c:pt>
                <c:pt idx="398">
                  <c:v>400</c:v>
                </c:pt>
                <c:pt idx="399">
                  <c:v>400</c:v>
                </c:pt>
                <c:pt idx="400">
                  <c:v>218</c:v>
                </c:pt>
                <c:pt idx="401">
                  <c:v>218</c:v>
                </c:pt>
                <c:pt idx="402">
                  <c:v>500</c:v>
                </c:pt>
                <c:pt idx="403">
                  <c:v>218</c:v>
                </c:pt>
                <c:pt idx="404">
                  <c:v>400</c:v>
                </c:pt>
                <c:pt idx="405">
                  <c:v>400</c:v>
                </c:pt>
                <c:pt idx="406">
                  <c:v>400</c:v>
                </c:pt>
                <c:pt idx="407">
                  <c:v>400</c:v>
                </c:pt>
                <c:pt idx="408">
                  <c:v>400</c:v>
                </c:pt>
                <c:pt idx="409">
                  <c:v>450</c:v>
                </c:pt>
                <c:pt idx="410">
                  <c:v>450</c:v>
                </c:pt>
                <c:pt idx="411">
                  <c:v>450</c:v>
                </c:pt>
                <c:pt idx="412">
                  <c:v>450</c:v>
                </c:pt>
                <c:pt idx="413">
                  <c:v>450</c:v>
                </c:pt>
                <c:pt idx="414">
                  <c:v>450</c:v>
                </c:pt>
                <c:pt idx="415">
                  <c:v>600</c:v>
                </c:pt>
                <c:pt idx="416">
                  <c:v>600</c:v>
                </c:pt>
                <c:pt idx="417">
                  <c:v>600</c:v>
                </c:pt>
                <c:pt idx="418">
                  <c:v>600</c:v>
                </c:pt>
                <c:pt idx="419">
                  <c:v>600</c:v>
                </c:pt>
                <c:pt idx="420">
                  <c:v>600</c:v>
                </c:pt>
                <c:pt idx="421">
                  <c:v>600</c:v>
                </c:pt>
                <c:pt idx="422">
                  <c:v>600</c:v>
                </c:pt>
                <c:pt idx="423">
                  <c:v>600</c:v>
                </c:pt>
                <c:pt idx="424">
                  <c:v>600</c:v>
                </c:pt>
                <c:pt idx="425">
                  <c:v>600</c:v>
                </c:pt>
                <c:pt idx="426">
                  <c:v>400</c:v>
                </c:pt>
                <c:pt idx="427">
                  <c:v>400</c:v>
                </c:pt>
                <c:pt idx="428">
                  <c:v>400</c:v>
                </c:pt>
                <c:pt idx="429">
                  <c:v>600</c:v>
                </c:pt>
                <c:pt idx="430">
                  <c:v>600</c:v>
                </c:pt>
                <c:pt idx="431">
                  <c:v>600</c:v>
                </c:pt>
                <c:pt idx="432">
                  <c:v>600</c:v>
                </c:pt>
                <c:pt idx="433">
                  <c:v>400</c:v>
                </c:pt>
                <c:pt idx="434">
                  <c:v>440</c:v>
                </c:pt>
                <c:pt idx="435">
                  <c:v>300</c:v>
                </c:pt>
                <c:pt idx="436">
                  <c:v>300</c:v>
                </c:pt>
                <c:pt idx="437">
                  <c:v>400</c:v>
                </c:pt>
                <c:pt idx="438">
                  <c:v>371</c:v>
                </c:pt>
                <c:pt idx="439">
                  <c:v>260</c:v>
                </c:pt>
                <c:pt idx="440">
                  <c:v>400</c:v>
                </c:pt>
                <c:pt idx="441">
                  <c:v>300</c:v>
                </c:pt>
                <c:pt idx="442">
                  <c:v>400</c:v>
                </c:pt>
                <c:pt idx="443">
                  <c:v>400</c:v>
                </c:pt>
                <c:pt idx="444">
                  <c:v>400</c:v>
                </c:pt>
                <c:pt idx="445">
                  <c:v>360</c:v>
                </c:pt>
                <c:pt idx="446">
                  <c:v>400</c:v>
                </c:pt>
                <c:pt idx="447">
                  <c:v>400</c:v>
                </c:pt>
                <c:pt idx="448">
                  <c:v>360</c:v>
                </c:pt>
                <c:pt idx="449">
                  <c:v>360</c:v>
                </c:pt>
                <c:pt idx="450">
                  <c:v>360</c:v>
                </c:pt>
                <c:pt idx="451">
                  <c:v>360</c:v>
                </c:pt>
                <c:pt idx="452">
                  <c:v>300</c:v>
                </c:pt>
                <c:pt idx="453">
                  <c:v>400</c:v>
                </c:pt>
                <c:pt idx="454">
                  <c:v>350</c:v>
                </c:pt>
                <c:pt idx="455">
                  <c:v>350</c:v>
                </c:pt>
                <c:pt idx="456">
                  <c:v>400</c:v>
                </c:pt>
                <c:pt idx="457">
                  <c:v>350</c:v>
                </c:pt>
                <c:pt idx="458">
                  <c:v>350</c:v>
                </c:pt>
                <c:pt idx="459">
                  <c:v>400</c:v>
                </c:pt>
                <c:pt idx="460">
                  <c:v>0</c:v>
                </c:pt>
                <c:pt idx="461">
                  <c:v>500</c:v>
                </c:pt>
                <c:pt idx="462">
                  <c:v>390</c:v>
                </c:pt>
                <c:pt idx="463">
                  <c:v>350</c:v>
                </c:pt>
                <c:pt idx="464">
                  <c:v>350</c:v>
                </c:pt>
                <c:pt idx="465">
                  <c:v>350</c:v>
                </c:pt>
                <c:pt idx="466">
                  <c:v>400</c:v>
                </c:pt>
                <c:pt idx="467">
                  <c:v>390</c:v>
                </c:pt>
                <c:pt idx="468">
                  <c:v>390</c:v>
                </c:pt>
                <c:pt idx="469">
                  <c:v>230</c:v>
                </c:pt>
                <c:pt idx="470">
                  <c:v>240</c:v>
                </c:pt>
                <c:pt idx="471">
                  <c:v>227</c:v>
                </c:pt>
                <c:pt idx="472">
                  <c:v>227</c:v>
                </c:pt>
                <c:pt idx="473">
                  <c:v>227</c:v>
                </c:pt>
                <c:pt idx="474">
                  <c:v>260</c:v>
                </c:pt>
                <c:pt idx="475">
                  <c:v>260</c:v>
                </c:pt>
                <c:pt idx="476">
                  <c:v>390</c:v>
                </c:pt>
                <c:pt idx="477">
                  <c:v>630</c:v>
                </c:pt>
                <c:pt idx="478">
                  <c:v>616</c:v>
                </c:pt>
                <c:pt idx="479">
                  <c:v>280</c:v>
                </c:pt>
                <c:pt idx="480">
                  <c:v>381</c:v>
                </c:pt>
                <c:pt idx="481">
                  <c:v>380</c:v>
                </c:pt>
                <c:pt idx="482">
                  <c:v>320</c:v>
                </c:pt>
                <c:pt idx="483">
                  <c:v>320</c:v>
                </c:pt>
                <c:pt idx="484">
                  <c:v>310</c:v>
                </c:pt>
                <c:pt idx="485">
                  <c:v>400</c:v>
                </c:pt>
                <c:pt idx="486">
                  <c:v>320</c:v>
                </c:pt>
                <c:pt idx="487">
                  <c:v>320</c:v>
                </c:pt>
                <c:pt idx="488">
                  <c:v>320</c:v>
                </c:pt>
                <c:pt idx="489">
                  <c:v>615</c:v>
                </c:pt>
                <c:pt idx="490">
                  <c:v>620</c:v>
                </c:pt>
                <c:pt idx="491">
                  <c:v>400</c:v>
                </c:pt>
                <c:pt idx="492">
                  <c:v>300</c:v>
                </c:pt>
                <c:pt idx="493">
                  <c:v>320</c:v>
                </c:pt>
                <c:pt idx="494">
                  <c:v>230</c:v>
                </c:pt>
              </c:numCache>
            </c:numRef>
          </c:val>
          <c:smooth val="0"/>
          <c:extLst>
            <c:ext xmlns:c16="http://schemas.microsoft.com/office/drawing/2014/chart" uri="{C3380CC4-5D6E-409C-BE32-E72D297353CC}">
              <c16:uniqueId val="{00000000-2EC1-4A66-B693-C311E60CCCE6}"/>
            </c:ext>
          </c:extLst>
        </c:ser>
        <c:dLbls>
          <c:showLegendKey val="0"/>
          <c:showVal val="0"/>
          <c:showCatName val="0"/>
          <c:showSerName val="0"/>
          <c:showPercent val="0"/>
          <c:showBubbleSize val="0"/>
        </c:dLbls>
        <c:marker val="1"/>
        <c:smooth val="0"/>
        <c:axId val="1649186624"/>
        <c:axId val="1701439200"/>
      </c:lineChart>
      <c:catAx>
        <c:axId val="164918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701439200"/>
        <c:crosses val="autoZero"/>
        <c:auto val="1"/>
        <c:lblAlgn val="ctr"/>
        <c:lblOffset val="100"/>
        <c:noMultiLvlLbl val="0"/>
      </c:catAx>
      <c:valAx>
        <c:axId val="1701439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HUD </a:t>
                </a:r>
                <a:r>
                  <a:rPr lang="en-US" sz="1400" baseline="0"/>
                  <a:t>span (mm)</a:t>
                </a:r>
                <a:endParaRPr lang="en-US" sz="1400"/>
              </a:p>
            </c:rich>
          </c:tx>
          <c:layout>
            <c:manualLayout>
              <c:xMode val="edge"/>
              <c:yMode val="edge"/>
              <c:x val="9.3013856226530425E-3"/>
              <c:y val="0.37333722428929256"/>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649186624"/>
        <c:crosses val="autoZero"/>
        <c:crossBetween val="between"/>
      </c:valAx>
      <c:spPr>
        <a:noFill/>
        <a:ln>
          <a:noFill/>
        </a:ln>
        <a:effectLst/>
      </c:spPr>
    </c:plotArea>
    <c:legend>
      <c:legendPos val="r"/>
      <c:layout>
        <c:manualLayout>
          <c:xMode val="edge"/>
          <c:yMode val="edge"/>
          <c:x val="0.82048229151096075"/>
          <c:y val="0.10075682348026294"/>
          <c:w val="0.1098551220088321"/>
          <c:h val="7.7881612512162288E-2"/>
        </c:manualLayout>
      </c:layout>
      <c:overlay val="0"/>
      <c:spPr>
        <a:solidFill>
          <a:sysClr val="window" lastClr="FFFFFF"/>
        </a:solidFill>
        <a:ln>
          <a:solidFill>
            <a:sysClr val="windowText" lastClr="000000"/>
          </a:solid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Plateau Widths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manualLayout>
          <c:layoutTarget val="inner"/>
          <c:xMode val="edge"/>
          <c:yMode val="edge"/>
          <c:x val="8.7230870723209619E-2"/>
          <c:y val="7.7627144479879145E-2"/>
          <c:w val="0.87822720596202486"/>
          <c:h val="0.82265240304423415"/>
        </c:manualLayout>
      </c:layout>
      <c:lineChart>
        <c:grouping val="standard"/>
        <c:varyColors val="0"/>
        <c:ser>
          <c:idx val="1"/>
          <c:order val="0"/>
          <c:tx>
            <c:v>Roll width</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'W-code list'!$P$6:$P$495</c:f>
              <c:numCache>
                <c:formatCode>General</c:formatCode>
                <c:ptCount val="490"/>
                <c:pt idx="0">
                  <c:v>109</c:v>
                </c:pt>
                <c:pt idx="1">
                  <c:v>109</c:v>
                </c:pt>
                <c:pt idx="2">
                  <c:v>108</c:v>
                </c:pt>
                <c:pt idx="3">
                  <c:v>100</c:v>
                </c:pt>
                <c:pt idx="4">
                  <c:v>100</c:v>
                </c:pt>
                <c:pt idx="5">
                  <c:v>92</c:v>
                </c:pt>
                <c:pt idx="6">
                  <c:v>100</c:v>
                </c:pt>
                <c:pt idx="7">
                  <c:v>98</c:v>
                </c:pt>
                <c:pt idx="8">
                  <c:v>100</c:v>
                </c:pt>
                <c:pt idx="9">
                  <c:v>111</c:v>
                </c:pt>
                <c:pt idx="10">
                  <c:v>113</c:v>
                </c:pt>
                <c:pt idx="11">
                  <c:v>116</c:v>
                </c:pt>
                <c:pt idx="12">
                  <c:v>116</c:v>
                </c:pt>
                <c:pt idx="13">
                  <c:v>116</c:v>
                </c:pt>
                <c:pt idx="14">
                  <c:v>116</c:v>
                </c:pt>
                <c:pt idx="15">
                  <c:v>116</c:v>
                </c:pt>
                <c:pt idx="16">
                  <c:v>116</c:v>
                </c:pt>
                <c:pt idx="17">
                  <c:v>104</c:v>
                </c:pt>
                <c:pt idx="18">
                  <c:v>108</c:v>
                </c:pt>
                <c:pt idx="19">
                  <c:v>108</c:v>
                </c:pt>
                <c:pt idx="20">
                  <c:v>100</c:v>
                </c:pt>
                <c:pt idx="21">
                  <c:v>105</c:v>
                </c:pt>
                <c:pt idx="22">
                  <c:v>113</c:v>
                </c:pt>
                <c:pt idx="23">
                  <c:v>110</c:v>
                </c:pt>
                <c:pt idx="24">
                  <c:v>97</c:v>
                </c:pt>
                <c:pt idx="25">
                  <c:v>88</c:v>
                </c:pt>
                <c:pt idx="26">
                  <c:v>115</c:v>
                </c:pt>
                <c:pt idx="27">
                  <c:v>110</c:v>
                </c:pt>
                <c:pt idx="28">
                  <c:v>115</c:v>
                </c:pt>
                <c:pt idx="29">
                  <c:v>97</c:v>
                </c:pt>
                <c:pt idx="30">
                  <c:v>104</c:v>
                </c:pt>
                <c:pt idx="31">
                  <c:v>104</c:v>
                </c:pt>
                <c:pt idx="32">
                  <c:v>111</c:v>
                </c:pt>
                <c:pt idx="33">
                  <c:v>108</c:v>
                </c:pt>
                <c:pt idx="34">
                  <c:v>93</c:v>
                </c:pt>
                <c:pt idx="35">
                  <c:v>93</c:v>
                </c:pt>
                <c:pt idx="36">
                  <c:v>100</c:v>
                </c:pt>
                <c:pt idx="37">
                  <c:v>98</c:v>
                </c:pt>
                <c:pt idx="38">
                  <c:v>102</c:v>
                </c:pt>
                <c:pt idx="39">
                  <c:v>102</c:v>
                </c:pt>
                <c:pt idx="40">
                  <c:v>102</c:v>
                </c:pt>
                <c:pt idx="41">
                  <c:v>98</c:v>
                </c:pt>
                <c:pt idx="42">
                  <c:v>111</c:v>
                </c:pt>
                <c:pt idx="43">
                  <c:v>115</c:v>
                </c:pt>
                <c:pt idx="44">
                  <c:v>105</c:v>
                </c:pt>
                <c:pt idx="45">
                  <c:v>103</c:v>
                </c:pt>
                <c:pt idx="46">
                  <c:v>113</c:v>
                </c:pt>
                <c:pt idx="47">
                  <c:v>113</c:v>
                </c:pt>
                <c:pt idx="48">
                  <c:v>115</c:v>
                </c:pt>
                <c:pt idx="49">
                  <c:v>120</c:v>
                </c:pt>
                <c:pt idx="50">
                  <c:v>130</c:v>
                </c:pt>
                <c:pt idx="51" formatCode="0">
                  <c:v>181</c:v>
                </c:pt>
                <c:pt idx="52">
                  <c:v>194</c:v>
                </c:pt>
                <c:pt idx="53">
                  <c:v>183</c:v>
                </c:pt>
                <c:pt idx="54" formatCode="0">
                  <c:v>194</c:v>
                </c:pt>
                <c:pt idx="55" formatCode="0">
                  <c:v>183</c:v>
                </c:pt>
                <c:pt idx="56">
                  <c:v>183</c:v>
                </c:pt>
                <c:pt idx="57">
                  <c:v>110</c:v>
                </c:pt>
                <c:pt idx="58">
                  <c:v>107</c:v>
                </c:pt>
                <c:pt idx="59">
                  <c:v>99</c:v>
                </c:pt>
                <c:pt idx="60">
                  <c:v>99</c:v>
                </c:pt>
                <c:pt idx="61">
                  <c:v>99</c:v>
                </c:pt>
                <c:pt idx="62">
                  <c:v>99</c:v>
                </c:pt>
                <c:pt idx="63">
                  <c:v>99</c:v>
                </c:pt>
                <c:pt idx="64">
                  <c:v>100</c:v>
                </c:pt>
                <c:pt idx="65">
                  <c:v>100</c:v>
                </c:pt>
                <c:pt idx="66">
                  <c:v>110</c:v>
                </c:pt>
                <c:pt idx="67">
                  <c:v>109</c:v>
                </c:pt>
                <c:pt idx="68">
                  <c:v>109</c:v>
                </c:pt>
                <c:pt idx="69">
                  <c:v>98</c:v>
                </c:pt>
                <c:pt idx="70">
                  <c:v>108</c:v>
                </c:pt>
                <c:pt idx="71">
                  <c:v>103</c:v>
                </c:pt>
                <c:pt idx="72">
                  <c:v>112</c:v>
                </c:pt>
                <c:pt idx="73">
                  <c:v>92</c:v>
                </c:pt>
                <c:pt idx="74">
                  <c:v>102</c:v>
                </c:pt>
                <c:pt idx="75">
                  <c:v>130</c:v>
                </c:pt>
                <c:pt idx="76">
                  <c:v>98</c:v>
                </c:pt>
                <c:pt idx="77">
                  <c:v>100</c:v>
                </c:pt>
                <c:pt idx="79">
                  <c:v>106</c:v>
                </c:pt>
                <c:pt idx="80">
                  <c:v>105</c:v>
                </c:pt>
                <c:pt idx="81">
                  <c:v>105</c:v>
                </c:pt>
                <c:pt idx="82">
                  <c:v>103</c:v>
                </c:pt>
                <c:pt idx="83">
                  <c:v>103</c:v>
                </c:pt>
                <c:pt idx="84">
                  <c:v>103</c:v>
                </c:pt>
                <c:pt idx="85">
                  <c:v>100</c:v>
                </c:pt>
                <c:pt idx="86">
                  <c:v>105</c:v>
                </c:pt>
                <c:pt idx="87">
                  <c:v>94</c:v>
                </c:pt>
                <c:pt idx="88">
                  <c:v>94</c:v>
                </c:pt>
                <c:pt idx="89">
                  <c:v>110</c:v>
                </c:pt>
                <c:pt idx="90">
                  <c:v>108</c:v>
                </c:pt>
                <c:pt idx="91">
                  <c:v>112</c:v>
                </c:pt>
                <c:pt idx="92">
                  <c:v>112</c:v>
                </c:pt>
                <c:pt idx="95">
                  <c:v>0</c:v>
                </c:pt>
                <c:pt idx="96">
                  <c:v>115</c:v>
                </c:pt>
                <c:pt idx="97">
                  <c:v>115</c:v>
                </c:pt>
                <c:pt idx="98">
                  <c:v>107</c:v>
                </c:pt>
                <c:pt idx="99">
                  <c:v>107</c:v>
                </c:pt>
                <c:pt idx="100">
                  <c:v>104</c:v>
                </c:pt>
                <c:pt idx="101">
                  <c:v>102</c:v>
                </c:pt>
                <c:pt idx="102">
                  <c:v>130</c:v>
                </c:pt>
                <c:pt idx="103">
                  <c:v>119</c:v>
                </c:pt>
                <c:pt idx="104">
                  <c:v>115</c:v>
                </c:pt>
                <c:pt idx="105">
                  <c:v>104</c:v>
                </c:pt>
                <c:pt idx="106">
                  <c:v>104</c:v>
                </c:pt>
                <c:pt idx="107">
                  <c:v>104</c:v>
                </c:pt>
                <c:pt idx="108">
                  <c:v>115</c:v>
                </c:pt>
                <c:pt idx="109">
                  <c:v>112</c:v>
                </c:pt>
                <c:pt idx="110">
                  <c:v>107</c:v>
                </c:pt>
                <c:pt idx="111">
                  <c:v>103</c:v>
                </c:pt>
                <c:pt idx="112">
                  <c:v>103</c:v>
                </c:pt>
                <c:pt idx="113" formatCode="0">
                  <c:v>124</c:v>
                </c:pt>
                <c:pt idx="114">
                  <c:v>110</c:v>
                </c:pt>
                <c:pt idx="115">
                  <c:v>120</c:v>
                </c:pt>
                <c:pt idx="116">
                  <c:v>120</c:v>
                </c:pt>
                <c:pt idx="117">
                  <c:v>99</c:v>
                </c:pt>
                <c:pt idx="118">
                  <c:v>120</c:v>
                </c:pt>
                <c:pt idx="119">
                  <c:v>85</c:v>
                </c:pt>
                <c:pt idx="120">
                  <c:v>99</c:v>
                </c:pt>
                <c:pt idx="121" formatCode="0">
                  <c:v>120</c:v>
                </c:pt>
                <c:pt idx="122">
                  <c:v>99</c:v>
                </c:pt>
                <c:pt idx="123">
                  <c:v>99</c:v>
                </c:pt>
                <c:pt idx="124">
                  <c:v>106</c:v>
                </c:pt>
                <c:pt idx="125">
                  <c:v>91</c:v>
                </c:pt>
                <c:pt idx="126">
                  <c:v>115</c:v>
                </c:pt>
                <c:pt idx="127">
                  <c:v>99</c:v>
                </c:pt>
                <c:pt idx="128">
                  <c:v>106</c:v>
                </c:pt>
                <c:pt idx="129">
                  <c:v>100</c:v>
                </c:pt>
                <c:pt idx="130">
                  <c:v>90</c:v>
                </c:pt>
                <c:pt idx="131">
                  <c:v>100</c:v>
                </c:pt>
                <c:pt idx="132">
                  <c:v>100</c:v>
                </c:pt>
                <c:pt idx="133">
                  <c:v>103</c:v>
                </c:pt>
                <c:pt idx="134">
                  <c:v>107</c:v>
                </c:pt>
                <c:pt idx="135">
                  <c:v>85</c:v>
                </c:pt>
                <c:pt idx="136">
                  <c:v>100</c:v>
                </c:pt>
                <c:pt idx="137">
                  <c:v>103</c:v>
                </c:pt>
                <c:pt idx="138">
                  <c:v>107</c:v>
                </c:pt>
                <c:pt idx="139">
                  <c:v>91</c:v>
                </c:pt>
                <c:pt idx="140">
                  <c:v>115</c:v>
                </c:pt>
                <c:pt idx="141">
                  <c:v>85</c:v>
                </c:pt>
                <c:pt idx="142" formatCode="0">
                  <c:v>117</c:v>
                </c:pt>
                <c:pt idx="143">
                  <c:v>100</c:v>
                </c:pt>
                <c:pt idx="144">
                  <c:v>100</c:v>
                </c:pt>
                <c:pt idx="145">
                  <c:v>108</c:v>
                </c:pt>
                <c:pt idx="146">
                  <c:v>120</c:v>
                </c:pt>
                <c:pt idx="147">
                  <c:v>100</c:v>
                </c:pt>
                <c:pt idx="148">
                  <c:v>100</c:v>
                </c:pt>
                <c:pt idx="149">
                  <c:v>115</c:v>
                </c:pt>
                <c:pt idx="150">
                  <c:v>100</c:v>
                </c:pt>
                <c:pt idx="151">
                  <c:v>115</c:v>
                </c:pt>
                <c:pt idx="152">
                  <c:v>115</c:v>
                </c:pt>
                <c:pt idx="153">
                  <c:v>116</c:v>
                </c:pt>
                <c:pt idx="154" formatCode="0">
                  <c:v>116</c:v>
                </c:pt>
                <c:pt idx="155">
                  <c:v>116</c:v>
                </c:pt>
                <c:pt idx="156">
                  <c:v>110</c:v>
                </c:pt>
                <c:pt idx="157">
                  <c:v>108</c:v>
                </c:pt>
                <c:pt idx="158">
                  <c:v>107</c:v>
                </c:pt>
                <c:pt idx="159">
                  <c:v>107</c:v>
                </c:pt>
                <c:pt idx="160">
                  <c:v>108</c:v>
                </c:pt>
                <c:pt idx="161">
                  <c:v>110</c:v>
                </c:pt>
                <c:pt idx="162">
                  <c:v>105</c:v>
                </c:pt>
                <c:pt idx="163">
                  <c:v>107</c:v>
                </c:pt>
                <c:pt idx="164" formatCode="0">
                  <c:v>131</c:v>
                </c:pt>
                <c:pt idx="165" formatCode="0">
                  <c:v>122</c:v>
                </c:pt>
                <c:pt idx="166">
                  <c:v>102</c:v>
                </c:pt>
                <c:pt idx="167">
                  <c:v>104</c:v>
                </c:pt>
                <c:pt idx="168">
                  <c:v>105</c:v>
                </c:pt>
                <c:pt idx="169">
                  <c:v>102</c:v>
                </c:pt>
                <c:pt idx="170">
                  <c:v>115</c:v>
                </c:pt>
                <c:pt idx="171">
                  <c:v>109</c:v>
                </c:pt>
                <c:pt idx="172">
                  <c:v>96</c:v>
                </c:pt>
                <c:pt idx="173">
                  <c:v>96</c:v>
                </c:pt>
                <c:pt idx="174">
                  <c:v>96</c:v>
                </c:pt>
                <c:pt idx="175">
                  <c:v>96</c:v>
                </c:pt>
                <c:pt idx="176">
                  <c:v>96</c:v>
                </c:pt>
                <c:pt idx="177">
                  <c:v>110</c:v>
                </c:pt>
                <c:pt idx="178">
                  <c:v>106</c:v>
                </c:pt>
                <c:pt idx="179">
                  <c:v>106</c:v>
                </c:pt>
                <c:pt idx="180">
                  <c:v>102</c:v>
                </c:pt>
                <c:pt idx="181">
                  <c:v>102</c:v>
                </c:pt>
                <c:pt idx="182">
                  <c:v>104</c:v>
                </c:pt>
                <c:pt idx="183" formatCode="0">
                  <c:v>118</c:v>
                </c:pt>
                <c:pt idx="184">
                  <c:v>115</c:v>
                </c:pt>
                <c:pt idx="185">
                  <c:v>108</c:v>
                </c:pt>
                <c:pt idx="186">
                  <c:v>105</c:v>
                </c:pt>
                <c:pt idx="187" formatCode="0">
                  <c:v>118</c:v>
                </c:pt>
                <c:pt idx="188">
                  <c:v>108</c:v>
                </c:pt>
                <c:pt idx="189">
                  <c:v>108</c:v>
                </c:pt>
                <c:pt idx="190">
                  <c:v>110</c:v>
                </c:pt>
                <c:pt idx="191" formatCode="0">
                  <c:v>131</c:v>
                </c:pt>
                <c:pt idx="192">
                  <c:v>116</c:v>
                </c:pt>
                <c:pt idx="193">
                  <c:v>116</c:v>
                </c:pt>
                <c:pt idx="194">
                  <c:v>116</c:v>
                </c:pt>
                <c:pt idx="195">
                  <c:v>114</c:v>
                </c:pt>
                <c:pt idx="196">
                  <c:v>106</c:v>
                </c:pt>
                <c:pt idx="197">
                  <c:v>106</c:v>
                </c:pt>
                <c:pt idx="198">
                  <c:v>106</c:v>
                </c:pt>
                <c:pt idx="199">
                  <c:v>113</c:v>
                </c:pt>
                <c:pt idx="200">
                  <c:v>101</c:v>
                </c:pt>
                <c:pt idx="201">
                  <c:v>100</c:v>
                </c:pt>
                <c:pt idx="202">
                  <c:v>102</c:v>
                </c:pt>
                <c:pt idx="203">
                  <c:v>100</c:v>
                </c:pt>
                <c:pt idx="204" formatCode="0">
                  <c:v>112</c:v>
                </c:pt>
                <c:pt idx="205">
                  <c:v>113</c:v>
                </c:pt>
                <c:pt idx="206">
                  <c:v>105</c:v>
                </c:pt>
                <c:pt idx="207">
                  <c:v>101</c:v>
                </c:pt>
                <c:pt idx="208">
                  <c:v>103</c:v>
                </c:pt>
                <c:pt idx="209">
                  <c:v>100</c:v>
                </c:pt>
                <c:pt idx="210">
                  <c:v>97</c:v>
                </c:pt>
                <c:pt idx="211">
                  <c:v>88</c:v>
                </c:pt>
                <c:pt idx="212">
                  <c:v>95</c:v>
                </c:pt>
                <c:pt idx="213">
                  <c:v>106</c:v>
                </c:pt>
                <c:pt idx="214">
                  <c:v>113</c:v>
                </c:pt>
                <c:pt idx="215">
                  <c:v>115</c:v>
                </c:pt>
                <c:pt idx="216">
                  <c:v>110</c:v>
                </c:pt>
                <c:pt idx="217">
                  <c:v>105</c:v>
                </c:pt>
                <c:pt idx="218">
                  <c:v>105</c:v>
                </c:pt>
                <c:pt idx="219">
                  <c:v>105</c:v>
                </c:pt>
                <c:pt idx="220">
                  <c:v>98</c:v>
                </c:pt>
                <c:pt idx="221">
                  <c:v>130</c:v>
                </c:pt>
                <c:pt idx="222">
                  <c:v>103</c:v>
                </c:pt>
                <c:pt idx="223">
                  <c:v>93</c:v>
                </c:pt>
                <c:pt idx="224">
                  <c:v>96</c:v>
                </c:pt>
                <c:pt idx="225">
                  <c:v>105</c:v>
                </c:pt>
                <c:pt idx="226" formatCode="0">
                  <c:v>98</c:v>
                </c:pt>
                <c:pt idx="227">
                  <c:v>105</c:v>
                </c:pt>
                <c:pt idx="228">
                  <c:v>107</c:v>
                </c:pt>
                <c:pt idx="229" formatCode="0">
                  <c:v>110</c:v>
                </c:pt>
                <c:pt idx="230">
                  <c:v>99</c:v>
                </c:pt>
                <c:pt idx="231">
                  <c:v>121</c:v>
                </c:pt>
                <c:pt idx="232" formatCode="0">
                  <c:v>107</c:v>
                </c:pt>
                <c:pt idx="233" formatCode="0">
                  <c:v>107</c:v>
                </c:pt>
                <c:pt idx="234" formatCode="0">
                  <c:v>108</c:v>
                </c:pt>
                <c:pt idx="235">
                  <c:v>123</c:v>
                </c:pt>
                <c:pt idx="236">
                  <c:v>123</c:v>
                </c:pt>
                <c:pt idx="237">
                  <c:v>123</c:v>
                </c:pt>
                <c:pt idx="238" formatCode="0">
                  <c:v>108</c:v>
                </c:pt>
                <c:pt idx="239">
                  <c:v>100</c:v>
                </c:pt>
                <c:pt idx="240">
                  <c:v>96</c:v>
                </c:pt>
                <c:pt idx="241">
                  <c:v>96</c:v>
                </c:pt>
                <c:pt idx="242">
                  <c:v>101</c:v>
                </c:pt>
                <c:pt idx="243" formatCode="0">
                  <c:v>122</c:v>
                </c:pt>
                <c:pt idx="244" formatCode="0">
                  <c:v>123</c:v>
                </c:pt>
                <c:pt idx="245">
                  <c:v>110</c:v>
                </c:pt>
                <c:pt idx="246">
                  <c:v>115</c:v>
                </c:pt>
                <c:pt idx="247">
                  <c:v>102</c:v>
                </c:pt>
                <c:pt idx="248" formatCode="0">
                  <c:v>121</c:v>
                </c:pt>
                <c:pt idx="249">
                  <c:v>109</c:v>
                </c:pt>
                <c:pt idx="250">
                  <c:v>113</c:v>
                </c:pt>
                <c:pt idx="251">
                  <c:v>100</c:v>
                </c:pt>
                <c:pt idx="252">
                  <c:v>87</c:v>
                </c:pt>
                <c:pt idx="253">
                  <c:v>87</c:v>
                </c:pt>
                <c:pt idx="254">
                  <c:v>107</c:v>
                </c:pt>
                <c:pt idx="255">
                  <c:v>93</c:v>
                </c:pt>
                <c:pt idx="256">
                  <c:v>101</c:v>
                </c:pt>
                <c:pt idx="257">
                  <c:v>113</c:v>
                </c:pt>
                <c:pt idx="258">
                  <c:v>130</c:v>
                </c:pt>
                <c:pt idx="259">
                  <c:v>122</c:v>
                </c:pt>
                <c:pt idx="260">
                  <c:v>102</c:v>
                </c:pt>
                <c:pt idx="261">
                  <c:v>110</c:v>
                </c:pt>
                <c:pt idx="262">
                  <c:v>110</c:v>
                </c:pt>
                <c:pt idx="263">
                  <c:v>98</c:v>
                </c:pt>
                <c:pt idx="264">
                  <c:v>98</c:v>
                </c:pt>
                <c:pt idx="265">
                  <c:v>91</c:v>
                </c:pt>
                <c:pt idx="266">
                  <c:v>97</c:v>
                </c:pt>
                <c:pt idx="267">
                  <c:v>95</c:v>
                </c:pt>
                <c:pt idx="268">
                  <c:v>95</c:v>
                </c:pt>
                <c:pt idx="269">
                  <c:v>95</c:v>
                </c:pt>
                <c:pt idx="270">
                  <c:v>86</c:v>
                </c:pt>
                <c:pt idx="271">
                  <c:v>94</c:v>
                </c:pt>
                <c:pt idx="274">
                  <c:v>107</c:v>
                </c:pt>
                <c:pt idx="275">
                  <c:v>115</c:v>
                </c:pt>
                <c:pt idx="276">
                  <c:v>91</c:v>
                </c:pt>
                <c:pt idx="277">
                  <c:v>91</c:v>
                </c:pt>
                <c:pt idx="278">
                  <c:v>110</c:v>
                </c:pt>
                <c:pt idx="279">
                  <c:v>135</c:v>
                </c:pt>
                <c:pt idx="280">
                  <c:v>135</c:v>
                </c:pt>
                <c:pt idx="281">
                  <c:v>103</c:v>
                </c:pt>
                <c:pt idx="282">
                  <c:v>98</c:v>
                </c:pt>
                <c:pt idx="283">
                  <c:v>121</c:v>
                </c:pt>
                <c:pt idx="284">
                  <c:v>108</c:v>
                </c:pt>
                <c:pt idx="285">
                  <c:v>98</c:v>
                </c:pt>
                <c:pt idx="286">
                  <c:v>105</c:v>
                </c:pt>
                <c:pt idx="287">
                  <c:v>112</c:v>
                </c:pt>
                <c:pt idx="288">
                  <c:v>83</c:v>
                </c:pt>
                <c:pt idx="289">
                  <c:v>83</c:v>
                </c:pt>
                <c:pt idx="290">
                  <c:v>92</c:v>
                </c:pt>
                <c:pt idx="291">
                  <c:v>105</c:v>
                </c:pt>
                <c:pt idx="292">
                  <c:v>105</c:v>
                </c:pt>
                <c:pt idx="293">
                  <c:v>105</c:v>
                </c:pt>
                <c:pt idx="294">
                  <c:v>114</c:v>
                </c:pt>
                <c:pt idx="295">
                  <c:v>130</c:v>
                </c:pt>
                <c:pt idx="296">
                  <c:v>107</c:v>
                </c:pt>
                <c:pt idx="297">
                  <c:v>106</c:v>
                </c:pt>
                <c:pt idx="299">
                  <c:v>120</c:v>
                </c:pt>
                <c:pt idx="302">
                  <c:v>105</c:v>
                </c:pt>
                <c:pt idx="303">
                  <c:v>105</c:v>
                </c:pt>
                <c:pt idx="304">
                  <c:v>120</c:v>
                </c:pt>
                <c:pt idx="305">
                  <c:v>107</c:v>
                </c:pt>
                <c:pt idx="306">
                  <c:v>107</c:v>
                </c:pt>
                <c:pt idx="307">
                  <c:v>83</c:v>
                </c:pt>
                <c:pt idx="308" formatCode="0">
                  <c:v>118</c:v>
                </c:pt>
                <c:pt idx="309">
                  <c:v>92</c:v>
                </c:pt>
                <c:pt idx="310">
                  <c:v>107</c:v>
                </c:pt>
                <c:pt idx="311">
                  <c:v>114</c:v>
                </c:pt>
                <c:pt idx="312">
                  <c:v>90</c:v>
                </c:pt>
                <c:pt idx="313">
                  <c:v>90</c:v>
                </c:pt>
                <c:pt idx="314">
                  <c:v>97</c:v>
                </c:pt>
                <c:pt idx="315">
                  <c:v>101</c:v>
                </c:pt>
                <c:pt idx="316">
                  <c:v>94</c:v>
                </c:pt>
                <c:pt idx="317">
                  <c:v>94</c:v>
                </c:pt>
                <c:pt idx="318">
                  <c:v>101</c:v>
                </c:pt>
                <c:pt idx="319">
                  <c:v>105</c:v>
                </c:pt>
                <c:pt idx="320">
                  <c:v>105</c:v>
                </c:pt>
                <c:pt idx="321">
                  <c:v>105</c:v>
                </c:pt>
                <c:pt idx="322">
                  <c:v>108</c:v>
                </c:pt>
                <c:pt idx="323">
                  <c:v>105</c:v>
                </c:pt>
                <c:pt idx="324">
                  <c:v>98</c:v>
                </c:pt>
                <c:pt idx="325">
                  <c:v>110</c:v>
                </c:pt>
                <c:pt idx="326">
                  <c:v>92</c:v>
                </c:pt>
                <c:pt idx="327">
                  <c:v>110</c:v>
                </c:pt>
                <c:pt idx="328" formatCode="0">
                  <c:v>94</c:v>
                </c:pt>
                <c:pt idx="329">
                  <c:v>118</c:v>
                </c:pt>
                <c:pt idx="330">
                  <c:v>91</c:v>
                </c:pt>
                <c:pt idx="331">
                  <c:v>113</c:v>
                </c:pt>
                <c:pt idx="332">
                  <c:v>113</c:v>
                </c:pt>
                <c:pt idx="333">
                  <c:v>101</c:v>
                </c:pt>
                <c:pt idx="334">
                  <c:v>101</c:v>
                </c:pt>
                <c:pt idx="335">
                  <c:v>102</c:v>
                </c:pt>
                <c:pt idx="336">
                  <c:v>102</c:v>
                </c:pt>
                <c:pt idx="337">
                  <c:v>100</c:v>
                </c:pt>
                <c:pt idx="338">
                  <c:v>104</c:v>
                </c:pt>
                <c:pt idx="339">
                  <c:v>100</c:v>
                </c:pt>
                <c:pt idx="340" formatCode="0">
                  <c:v>122</c:v>
                </c:pt>
                <c:pt idx="341" formatCode="0">
                  <c:v>119</c:v>
                </c:pt>
                <c:pt idx="342">
                  <c:v>113</c:v>
                </c:pt>
                <c:pt idx="343">
                  <c:v>113</c:v>
                </c:pt>
                <c:pt idx="344">
                  <c:v>119</c:v>
                </c:pt>
                <c:pt idx="345">
                  <c:v>119</c:v>
                </c:pt>
                <c:pt idx="346">
                  <c:v>119</c:v>
                </c:pt>
                <c:pt idx="347">
                  <c:v>119</c:v>
                </c:pt>
                <c:pt idx="348">
                  <c:v>119</c:v>
                </c:pt>
                <c:pt idx="349">
                  <c:v>107</c:v>
                </c:pt>
                <c:pt idx="350">
                  <c:v>119</c:v>
                </c:pt>
                <c:pt idx="351">
                  <c:v>113</c:v>
                </c:pt>
                <c:pt idx="352">
                  <c:v>119</c:v>
                </c:pt>
                <c:pt idx="353">
                  <c:v>113</c:v>
                </c:pt>
                <c:pt idx="354">
                  <c:v>119</c:v>
                </c:pt>
                <c:pt idx="355">
                  <c:v>107</c:v>
                </c:pt>
                <c:pt idx="356">
                  <c:v>108</c:v>
                </c:pt>
                <c:pt idx="357">
                  <c:v>105</c:v>
                </c:pt>
                <c:pt idx="358">
                  <c:v>105</c:v>
                </c:pt>
                <c:pt idx="359">
                  <c:v>105</c:v>
                </c:pt>
                <c:pt idx="360">
                  <c:v>107</c:v>
                </c:pt>
                <c:pt idx="361">
                  <c:v>108</c:v>
                </c:pt>
                <c:pt idx="362">
                  <c:v>108</c:v>
                </c:pt>
                <c:pt idx="363">
                  <c:v>104</c:v>
                </c:pt>
                <c:pt idx="364">
                  <c:v>108</c:v>
                </c:pt>
                <c:pt idx="365">
                  <c:v>106</c:v>
                </c:pt>
                <c:pt idx="366">
                  <c:v>108</c:v>
                </c:pt>
                <c:pt idx="367">
                  <c:v>108</c:v>
                </c:pt>
                <c:pt idx="368">
                  <c:v>104</c:v>
                </c:pt>
                <c:pt idx="369">
                  <c:v>111</c:v>
                </c:pt>
                <c:pt idx="370">
                  <c:v>111</c:v>
                </c:pt>
                <c:pt idx="371">
                  <c:v>111</c:v>
                </c:pt>
                <c:pt idx="372">
                  <c:v>111</c:v>
                </c:pt>
                <c:pt idx="373" formatCode="0">
                  <c:v>122</c:v>
                </c:pt>
                <c:pt idx="374" formatCode="0">
                  <c:v>120</c:v>
                </c:pt>
                <c:pt idx="375">
                  <c:v>116</c:v>
                </c:pt>
                <c:pt idx="376">
                  <c:v>116</c:v>
                </c:pt>
                <c:pt idx="377">
                  <c:v>115</c:v>
                </c:pt>
                <c:pt idx="378">
                  <c:v>104</c:v>
                </c:pt>
                <c:pt idx="379">
                  <c:v>104</c:v>
                </c:pt>
                <c:pt idx="380" formatCode="0">
                  <c:v>119</c:v>
                </c:pt>
                <c:pt idx="381">
                  <c:v>119</c:v>
                </c:pt>
                <c:pt idx="382">
                  <c:v>119</c:v>
                </c:pt>
                <c:pt idx="383">
                  <c:v>107</c:v>
                </c:pt>
                <c:pt idx="384">
                  <c:v>107</c:v>
                </c:pt>
                <c:pt idx="385">
                  <c:v>107</c:v>
                </c:pt>
                <c:pt idx="386">
                  <c:v>109</c:v>
                </c:pt>
                <c:pt idx="387">
                  <c:v>104</c:v>
                </c:pt>
                <c:pt idx="388">
                  <c:v>104</c:v>
                </c:pt>
                <c:pt idx="389">
                  <c:v>104</c:v>
                </c:pt>
                <c:pt idx="390">
                  <c:v>104</c:v>
                </c:pt>
                <c:pt idx="391">
                  <c:v>115</c:v>
                </c:pt>
                <c:pt idx="392">
                  <c:v>109</c:v>
                </c:pt>
                <c:pt idx="393">
                  <c:v>109</c:v>
                </c:pt>
                <c:pt idx="394">
                  <c:v>105</c:v>
                </c:pt>
                <c:pt idx="395">
                  <c:v>107</c:v>
                </c:pt>
                <c:pt idx="396">
                  <c:v>105</c:v>
                </c:pt>
                <c:pt idx="397">
                  <c:v>106</c:v>
                </c:pt>
                <c:pt idx="398">
                  <c:v>106</c:v>
                </c:pt>
                <c:pt idx="399">
                  <c:v>108</c:v>
                </c:pt>
                <c:pt idx="400">
                  <c:v>111</c:v>
                </c:pt>
                <c:pt idx="401">
                  <c:v>111</c:v>
                </c:pt>
                <c:pt idx="402">
                  <c:v>110</c:v>
                </c:pt>
                <c:pt idx="403">
                  <c:v>111</c:v>
                </c:pt>
                <c:pt idx="404">
                  <c:v>112</c:v>
                </c:pt>
                <c:pt idx="405">
                  <c:v>112</c:v>
                </c:pt>
                <c:pt idx="406">
                  <c:v>112</c:v>
                </c:pt>
                <c:pt idx="407">
                  <c:v>112</c:v>
                </c:pt>
                <c:pt idx="408">
                  <c:v>112</c:v>
                </c:pt>
                <c:pt idx="409">
                  <c:v>136</c:v>
                </c:pt>
                <c:pt idx="410">
                  <c:v>136</c:v>
                </c:pt>
                <c:pt idx="411">
                  <c:v>136</c:v>
                </c:pt>
                <c:pt idx="412">
                  <c:v>139</c:v>
                </c:pt>
                <c:pt idx="413">
                  <c:v>136</c:v>
                </c:pt>
                <c:pt idx="414">
                  <c:v>136</c:v>
                </c:pt>
                <c:pt idx="415">
                  <c:v>105</c:v>
                </c:pt>
                <c:pt idx="416" formatCode="0">
                  <c:v>118</c:v>
                </c:pt>
                <c:pt idx="417" formatCode="0">
                  <c:v>115</c:v>
                </c:pt>
                <c:pt idx="418" formatCode="0">
                  <c:v>115</c:v>
                </c:pt>
                <c:pt idx="419" formatCode="0">
                  <c:v>115</c:v>
                </c:pt>
                <c:pt idx="420" formatCode="0">
                  <c:v>115</c:v>
                </c:pt>
                <c:pt idx="421" formatCode="0">
                  <c:v>115</c:v>
                </c:pt>
                <c:pt idx="422" formatCode="0">
                  <c:v>115</c:v>
                </c:pt>
                <c:pt idx="423" formatCode="0">
                  <c:v>115</c:v>
                </c:pt>
                <c:pt idx="424">
                  <c:v>117</c:v>
                </c:pt>
                <c:pt idx="425">
                  <c:v>117</c:v>
                </c:pt>
                <c:pt idx="426">
                  <c:v>118</c:v>
                </c:pt>
                <c:pt idx="427">
                  <c:v>118</c:v>
                </c:pt>
                <c:pt idx="428" formatCode="0">
                  <c:v>92</c:v>
                </c:pt>
                <c:pt idx="429" formatCode="0">
                  <c:v>115</c:v>
                </c:pt>
                <c:pt idx="430" formatCode="0">
                  <c:v>113</c:v>
                </c:pt>
                <c:pt idx="431" formatCode="0">
                  <c:v>115</c:v>
                </c:pt>
                <c:pt idx="432" formatCode="0">
                  <c:v>115</c:v>
                </c:pt>
                <c:pt idx="433" formatCode="0">
                  <c:v>115</c:v>
                </c:pt>
                <c:pt idx="434" formatCode="0">
                  <c:v>97</c:v>
                </c:pt>
                <c:pt idx="435">
                  <c:v>110</c:v>
                </c:pt>
                <c:pt idx="436">
                  <c:v>110</c:v>
                </c:pt>
                <c:pt idx="437">
                  <c:v>104</c:v>
                </c:pt>
                <c:pt idx="438">
                  <c:v>110</c:v>
                </c:pt>
                <c:pt idx="439">
                  <c:v>110</c:v>
                </c:pt>
                <c:pt idx="440">
                  <c:v>102</c:v>
                </c:pt>
                <c:pt idx="441">
                  <c:v>92</c:v>
                </c:pt>
                <c:pt idx="442">
                  <c:v>98</c:v>
                </c:pt>
                <c:pt idx="443">
                  <c:v>98</c:v>
                </c:pt>
                <c:pt idx="444">
                  <c:v>98</c:v>
                </c:pt>
                <c:pt idx="445">
                  <c:v>92</c:v>
                </c:pt>
                <c:pt idx="446">
                  <c:v>92</c:v>
                </c:pt>
                <c:pt idx="447">
                  <c:v>98</c:v>
                </c:pt>
                <c:pt idx="448">
                  <c:v>90</c:v>
                </c:pt>
                <c:pt idx="449">
                  <c:v>92</c:v>
                </c:pt>
                <c:pt idx="450">
                  <c:v>96</c:v>
                </c:pt>
                <c:pt idx="451">
                  <c:v>92</c:v>
                </c:pt>
                <c:pt idx="452">
                  <c:v>86</c:v>
                </c:pt>
                <c:pt idx="453">
                  <c:v>82</c:v>
                </c:pt>
                <c:pt idx="454">
                  <c:v>96</c:v>
                </c:pt>
                <c:pt idx="455">
                  <c:v>98</c:v>
                </c:pt>
                <c:pt idx="456">
                  <c:v>98</c:v>
                </c:pt>
                <c:pt idx="457">
                  <c:v>98</c:v>
                </c:pt>
                <c:pt idx="458">
                  <c:v>98</c:v>
                </c:pt>
                <c:pt idx="459">
                  <c:v>98</c:v>
                </c:pt>
                <c:pt idx="460">
                  <c:v>98</c:v>
                </c:pt>
                <c:pt idx="461" formatCode="0">
                  <c:v>183</c:v>
                </c:pt>
                <c:pt idx="462">
                  <c:v>118</c:v>
                </c:pt>
                <c:pt idx="463">
                  <c:v>92</c:v>
                </c:pt>
                <c:pt idx="464">
                  <c:v>87</c:v>
                </c:pt>
                <c:pt idx="465">
                  <c:v>92</c:v>
                </c:pt>
                <c:pt idx="466">
                  <c:v>110</c:v>
                </c:pt>
                <c:pt idx="467">
                  <c:v>116</c:v>
                </c:pt>
                <c:pt idx="468">
                  <c:v>116</c:v>
                </c:pt>
                <c:pt idx="469">
                  <c:v>93</c:v>
                </c:pt>
                <c:pt idx="470">
                  <c:v>96</c:v>
                </c:pt>
                <c:pt idx="471">
                  <c:v>96</c:v>
                </c:pt>
                <c:pt idx="472">
                  <c:v>96</c:v>
                </c:pt>
                <c:pt idx="473">
                  <c:v>96</c:v>
                </c:pt>
                <c:pt idx="474">
                  <c:v>99</c:v>
                </c:pt>
                <c:pt idx="475">
                  <c:v>99</c:v>
                </c:pt>
                <c:pt idx="476">
                  <c:v>103</c:v>
                </c:pt>
                <c:pt idx="477">
                  <c:v>121</c:v>
                </c:pt>
                <c:pt idx="478">
                  <c:v>119</c:v>
                </c:pt>
                <c:pt idx="479">
                  <c:v>104</c:v>
                </c:pt>
                <c:pt idx="480">
                  <c:v>98</c:v>
                </c:pt>
                <c:pt idx="481">
                  <c:v>105</c:v>
                </c:pt>
                <c:pt idx="482">
                  <c:v>110</c:v>
                </c:pt>
                <c:pt idx="483">
                  <c:v>110</c:v>
                </c:pt>
                <c:pt idx="484">
                  <c:v>98</c:v>
                </c:pt>
                <c:pt idx="485">
                  <c:v>101</c:v>
                </c:pt>
                <c:pt idx="486">
                  <c:v>111</c:v>
                </c:pt>
                <c:pt idx="487">
                  <c:v>107</c:v>
                </c:pt>
                <c:pt idx="488">
                  <c:v>111</c:v>
                </c:pt>
                <c:pt idx="489">
                  <c:v>110</c:v>
                </c:pt>
              </c:numCache>
            </c:numRef>
          </c:val>
          <c:smooth val="0"/>
          <c:extLst>
            <c:ext xmlns:c16="http://schemas.microsoft.com/office/drawing/2014/chart" uri="{C3380CC4-5D6E-409C-BE32-E72D297353CC}">
              <c16:uniqueId val="{00000001-4D17-4C3F-BC2F-B3FDE513861A}"/>
            </c:ext>
          </c:extLst>
        </c:ser>
        <c:ser>
          <c:idx val="0"/>
          <c:order val="1"/>
          <c:tx>
            <c:v>Plateau width</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'W-code list'!$G$6:$G$495</c:f>
              <c:strCache>
                <c:ptCount val="490"/>
                <c:pt idx="0">
                  <c:v>W2227AEH</c:v>
                </c:pt>
                <c:pt idx="1">
                  <c:v>W2251ALH</c:v>
                </c:pt>
                <c:pt idx="2">
                  <c:v>W2251AMH</c:v>
                </c:pt>
                <c:pt idx="3">
                  <c:v>W5062AA</c:v>
                </c:pt>
                <c:pt idx="4">
                  <c:v>W2262AE</c:v>
                </c:pt>
                <c:pt idx="5">
                  <c:v>W2045AB</c:v>
                </c:pt>
                <c:pt idx="6">
                  <c:v>W2218AB</c:v>
                </c:pt>
                <c:pt idx="7">
                  <c:v>W2227AL</c:v>
                </c:pt>
                <c:pt idx="8">
                  <c:v>W2218AC</c:v>
                </c:pt>
                <c:pt idx="9">
                  <c:v>W2214AB</c:v>
                </c:pt>
                <c:pt idx="10">
                  <c:v>W2211AA</c:v>
                </c:pt>
                <c:pt idx="11">
                  <c:v>W2235AH</c:v>
                </c:pt>
                <c:pt idx="12">
                  <c:v>W2214AA</c:v>
                </c:pt>
                <c:pt idx="13">
                  <c:v>W2214AC</c:v>
                </c:pt>
                <c:pt idx="14">
                  <c:v>W2219AD</c:v>
                </c:pt>
                <c:pt idx="15">
                  <c:v>W2223AA</c:v>
                </c:pt>
                <c:pt idx="16">
                  <c:v>W2227AD</c:v>
                </c:pt>
                <c:pt idx="17">
                  <c:v>W2245AA</c:v>
                </c:pt>
                <c:pt idx="18">
                  <c:v>W2239AC</c:v>
                </c:pt>
                <c:pt idx="19">
                  <c:v>W2239AG</c:v>
                </c:pt>
                <c:pt idx="20">
                  <c:v>W2264AB</c:v>
                </c:pt>
                <c:pt idx="21">
                  <c:v>W2219AB</c:v>
                </c:pt>
                <c:pt idx="22">
                  <c:v>W2219AF</c:v>
                </c:pt>
                <c:pt idx="23">
                  <c:v>W2209AA</c:v>
                </c:pt>
                <c:pt idx="24">
                  <c:v>W2220</c:v>
                </c:pt>
                <c:pt idx="25">
                  <c:v>W2230</c:v>
                </c:pt>
                <c:pt idx="26">
                  <c:v>W2239AB</c:v>
                </c:pt>
                <c:pt idx="27">
                  <c:v>W2239AA</c:v>
                </c:pt>
                <c:pt idx="28">
                  <c:v>W2236AF</c:v>
                </c:pt>
                <c:pt idx="29">
                  <c:v>W2244AK</c:v>
                </c:pt>
                <c:pt idx="30">
                  <c:v>W5149</c:v>
                </c:pt>
                <c:pt idx="31">
                  <c:v>W5142</c:v>
                </c:pt>
                <c:pt idx="32">
                  <c:v>W5124</c:v>
                </c:pt>
                <c:pt idx="33">
                  <c:v>W5121</c:v>
                </c:pt>
                <c:pt idx="34">
                  <c:v>W2260AI</c:v>
                </c:pt>
                <c:pt idx="35">
                  <c:v>W2263AC</c:v>
                </c:pt>
                <c:pt idx="36">
                  <c:v>W2255AC</c:v>
                </c:pt>
                <c:pt idx="37">
                  <c:v>W1030AA</c:v>
                </c:pt>
                <c:pt idx="38">
                  <c:v>W1235</c:v>
                </c:pt>
                <c:pt idx="39">
                  <c:v>W1241AA</c:v>
                </c:pt>
                <c:pt idx="40">
                  <c:v>W1247</c:v>
                </c:pt>
                <c:pt idx="41">
                  <c:v>W2228AH</c:v>
                </c:pt>
                <c:pt idx="42">
                  <c:v>W2214AD</c:v>
                </c:pt>
                <c:pt idx="43">
                  <c:v>W2218AD</c:v>
                </c:pt>
                <c:pt idx="44">
                  <c:v>W2224AD</c:v>
                </c:pt>
                <c:pt idx="45">
                  <c:v>W2233AC</c:v>
                </c:pt>
                <c:pt idx="46">
                  <c:v>W2233AK</c:v>
                </c:pt>
                <c:pt idx="47">
                  <c:v>W2239AEH</c:v>
                </c:pt>
                <c:pt idx="48">
                  <c:v>W2252AA</c:v>
                </c:pt>
                <c:pt idx="49">
                  <c:v>W2250</c:v>
                </c:pt>
                <c:pt idx="50">
                  <c:v>W2264AC</c:v>
                </c:pt>
                <c:pt idx="51">
                  <c:v>W5025AC</c:v>
                </c:pt>
                <c:pt idx="52">
                  <c:v>W2225AA</c:v>
                </c:pt>
                <c:pt idx="53">
                  <c:v>W1260AA</c:v>
                </c:pt>
                <c:pt idx="54">
                  <c:v>W5025AA</c:v>
                </c:pt>
                <c:pt idx="55">
                  <c:v>W5060</c:v>
                </c:pt>
                <c:pt idx="56">
                  <c:v>W2260AA</c:v>
                </c:pt>
                <c:pt idx="57">
                  <c:v>W2237AH</c:v>
                </c:pt>
                <c:pt idx="58">
                  <c:v>W2228AF</c:v>
                </c:pt>
                <c:pt idx="59">
                  <c:v>W1244</c:v>
                </c:pt>
                <c:pt idx="60">
                  <c:v>W2244</c:v>
                </c:pt>
                <c:pt idx="61">
                  <c:v>W2244AB</c:v>
                </c:pt>
                <c:pt idx="62">
                  <c:v>W2262AA</c:v>
                </c:pt>
                <c:pt idx="63">
                  <c:v>W2272AA</c:v>
                </c:pt>
                <c:pt idx="64">
                  <c:v>W2264AJ</c:v>
                </c:pt>
                <c:pt idx="65">
                  <c:v>W2268AE</c:v>
                </c:pt>
                <c:pt idx="66">
                  <c:v>W2229AL</c:v>
                </c:pt>
                <c:pt idx="67">
                  <c:v>W2251AA</c:v>
                </c:pt>
                <c:pt idx="68">
                  <c:v>W2253AC</c:v>
                </c:pt>
                <c:pt idx="69">
                  <c:v>W2227AM</c:v>
                </c:pt>
                <c:pt idx="70">
                  <c:v>W2227AOT</c:v>
                </c:pt>
                <c:pt idx="71">
                  <c:v>W2227AN</c:v>
                </c:pt>
                <c:pt idx="72">
                  <c:v>W2227APT</c:v>
                </c:pt>
                <c:pt idx="73">
                  <c:v>W2247AIT</c:v>
                </c:pt>
                <c:pt idx="74">
                  <c:v>W2270AA</c:v>
                </c:pt>
                <c:pt idx="75">
                  <c:v>W2246AC</c:v>
                </c:pt>
                <c:pt idx="76">
                  <c:v>W2250AJ</c:v>
                </c:pt>
                <c:pt idx="77">
                  <c:v>W2254AD</c:v>
                </c:pt>
                <c:pt idx="78">
                  <c:v>W2262AB from SYPKA passed validation</c:v>
                </c:pt>
                <c:pt idx="79">
                  <c:v>W2220AA</c:v>
                </c:pt>
                <c:pt idx="80">
                  <c:v>W2254AE</c:v>
                </c:pt>
                <c:pt idx="81">
                  <c:v>W5054AA</c:v>
                </c:pt>
                <c:pt idx="82">
                  <c:v>W2258AA</c:v>
                </c:pt>
                <c:pt idx="83">
                  <c:v>W5058AA</c:v>
                </c:pt>
                <c:pt idx="84">
                  <c:v>W5060AB</c:v>
                </c:pt>
                <c:pt idx="85">
                  <c:v>W5068AA</c:v>
                </c:pt>
                <c:pt idx="86">
                  <c:v>W2258AC</c:v>
                </c:pt>
                <c:pt idx="87">
                  <c:v>W2251AJT</c:v>
                </c:pt>
                <c:pt idx="88">
                  <c:v>W2254AI</c:v>
                </c:pt>
                <c:pt idx="89">
                  <c:v>W5017AA</c:v>
                </c:pt>
                <c:pt idx="90">
                  <c:v>W5020AB</c:v>
                </c:pt>
                <c:pt idx="91">
                  <c:v>W2233ADT</c:v>
                </c:pt>
                <c:pt idx="92">
                  <c:v>W2222AGT</c:v>
                </c:pt>
                <c:pt idx="93">
                  <c:v>W2232AHT</c:v>
                </c:pt>
                <c:pt idx="94">
                  <c:v>W2233AFT</c:v>
                </c:pt>
                <c:pt idx="95">
                  <c:v>W2260AA</c:v>
                </c:pt>
                <c:pt idx="96">
                  <c:v>W5025AE</c:v>
                </c:pt>
                <c:pt idx="97">
                  <c:v>W5027AD</c:v>
                </c:pt>
                <c:pt idx="98">
                  <c:v>W5027AC</c:v>
                </c:pt>
                <c:pt idx="99">
                  <c:v>W5029AB</c:v>
                </c:pt>
                <c:pt idx="100">
                  <c:v>W5026AAT</c:v>
                </c:pt>
                <c:pt idx="101">
                  <c:v>W5026ABT</c:v>
                </c:pt>
                <c:pt idx="102">
                  <c:v>W5025AB</c:v>
                </c:pt>
                <c:pt idx="103">
                  <c:v>W2240AX</c:v>
                </c:pt>
                <c:pt idx="104">
                  <c:v>W5023AC</c:v>
                </c:pt>
                <c:pt idx="105">
                  <c:v>W5027AB</c:v>
                </c:pt>
                <c:pt idx="106">
                  <c:v>W5028AB</c:v>
                </c:pt>
                <c:pt idx="107">
                  <c:v>W5028AA</c:v>
                </c:pt>
                <c:pt idx="108">
                  <c:v>W5022AA</c:v>
                </c:pt>
                <c:pt idx="109">
                  <c:v>W5025AD</c:v>
                </c:pt>
                <c:pt idx="110">
                  <c:v>W5071AA</c:v>
                </c:pt>
                <c:pt idx="111">
                  <c:v>W2262AD</c:v>
                </c:pt>
                <c:pt idx="112">
                  <c:v>W2264AGT</c:v>
                </c:pt>
                <c:pt idx="113">
                  <c:v>W5031AA</c:v>
                </c:pt>
                <c:pt idx="114">
                  <c:v>W2247AA</c:v>
                </c:pt>
                <c:pt idx="115">
                  <c:v>W2220ABT</c:v>
                </c:pt>
                <c:pt idx="116">
                  <c:v>W2230AAT</c:v>
                </c:pt>
                <c:pt idx="117">
                  <c:v>W2235ABT</c:v>
                </c:pt>
                <c:pt idx="118">
                  <c:v>W2235ACT</c:v>
                </c:pt>
                <c:pt idx="119">
                  <c:v>W2240AIT</c:v>
                </c:pt>
                <c:pt idx="120">
                  <c:v>W2240AJT</c:v>
                </c:pt>
                <c:pt idx="121">
                  <c:v>W2240ALT</c:v>
                </c:pt>
                <c:pt idx="122">
                  <c:v>W2244AET</c:v>
                </c:pt>
                <c:pt idx="123">
                  <c:v>W2244AL</c:v>
                </c:pt>
                <c:pt idx="124">
                  <c:v>W2244AFT</c:v>
                </c:pt>
                <c:pt idx="125">
                  <c:v>W2244AGT</c:v>
                </c:pt>
                <c:pt idx="126">
                  <c:v>W2244AHT</c:v>
                </c:pt>
                <c:pt idx="127">
                  <c:v>W2244AC</c:v>
                </c:pt>
                <c:pt idx="128">
                  <c:v>W2244AD</c:v>
                </c:pt>
                <c:pt idx="129">
                  <c:v>W2248ADT</c:v>
                </c:pt>
                <c:pt idx="130">
                  <c:v>W2252AHT</c:v>
                </c:pt>
                <c:pt idx="131">
                  <c:v>W2252AIT</c:v>
                </c:pt>
                <c:pt idx="132">
                  <c:v>W2252AR</c:v>
                </c:pt>
                <c:pt idx="133">
                  <c:v>W2252AJT</c:v>
                </c:pt>
                <c:pt idx="134">
                  <c:v>W2252AKT</c:v>
                </c:pt>
                <c:pt idx="135">
                  <c:v>W2252AMT</c:v>
                </c:pt>
                <c:pt idx="136">
                  <c:v>W2252AC</c:v>
                </c:pt>
                <c:pt idx="137">
                  <c:v>W2252AD</c:v>
                </c:pt>
                <c:pt idx="138">
                  <c:v>W2252AE</c:v>
                </c:pt>
                <c:pt idx="139">
                  <c:v>W2259ABT</c:v>
                </c:pt>
                <c:pt idx="140">
                  <c:v>W2259ACT</c:v>
                </c:pt>
                <c:pt idx="141">
                  <c:v>W2259ADT</c:v>
                </c:pt>
                <c:pt idx="142">
                  <c:v>W2259AET</c:v>
                </c:pt>
                <c:pt idx="143">
                  <c:v>W2259AFT</c:v>
                </c:pt>
                <c:pt idx="144">
                  <c:v>W2259AA</c:v>
                </c:pt>
                <c:pt idx="145">
                  <c:v>W2265AAT</c:v>
                </c:pt>
                <c:pt idx="146">
                  <c:v>W2265ABT</c:v>
                </c:pt>
                <c:pt idx="147">
                  <c:v>W2268AAT</c:v>
                </c:pt>
                <c:pt idx="148">
                  <c:v>W2268AD</c:v>
                </c:pt>
                <c:pt idx="149">
                  <c:v>W2268ABT</c:v>
                </c:pt>
                <c:pt idx="150">
                  <c:v>W5044AA</c:v>
                </c:pt>
                <c:pt idx="151">
                  <c:v>W2222AA</c:v>
                </c:pt>
                <c:pt idx="152">
                  <c:v>W2230AC</c:v>
                </c:pt>
                <c:pt idx="153">
                  <c:v>W2233AFT</c:v>
                </c:pt>
                <c:pt idx="154">
                  <c:v>W2232AHT</c:v>
                </c:pt>
                <c:pt idx="155">
                  <c:v>W2235AD</c:v>
                </c:pt>
                <c:pt idx="156">
                  <c:v>W2240AKT</c:v>
                </c:pt>
                <c:pt idx="157">
                  <c:v>W2223AB</c:v>
                </c:pt>
                <c:pt idx="158">
                  <c:v>W5037AA</c:v>
                </c:pt>
                <c:pt idx="159">
                  <c:v>W5039AA</c:v>
                </c:pt>
                <c:pt idx="160">
                  <c:v>W2239AHT</c:v>
                </c:pt>
                <c:pt idx="161">
                  <c:v>W2228ADT</c:v>
                </c:pt>
                <c:pt idx="162">
                  <c:v>W2236ADT</c:v>
                </c:pt>
                <c:pt idx="163">
                  <c:v>W2237AB</c:v>
                </c:pt>
                <c:pt idx="164">
                  <c:v>W2221AET</c:v>
                </c:pt>
                <c:pt idx="165">
                  <c:v>W2229AC</c:v>
                </c:pt>
                <c:pt idx="166">
                  <c:v>W2250AKT</c:v>
                </c:pt>
                <c:pt idx="167">
                  <c:v>W2250AI</c:v>
                </c:pt>
                <c:pt idx="168">
                  <c:v>W2219AET</c:v>
                </c:pt>
                <c:pt idx="169">
                  <c:v>W2227AF</c:v>
                </c:pt>
                <c:pt idx="170">
                  <c:v>W2222ABT</c:v>
                </c:pt>
                <c:pt idx="171">
                  <c:v>W2230ADT</c:v>
                </c:pt>
                <c:pt idx="172">
                  <c:v>W2247AB</c:v>
                </c:pt>
                <c:pt idx="173">
                  <c:v>W2247AC</c:v>
                </c:pt>
                <c:pt idx="174">
                  <c:v>W2250AOT</c:v>
                </c:pt>
                <c:pt idx="175">
                  <c:v>W2252APT</c:v>
                </c:pt>
                <c:pt idx="176">
                  <c:v>W2252AOT</c:v>
                </c:pt>
                <c:pt idx="177">
                  <c:v>W2229AB</c:v>
                </c:pt>
                <c:pt idx="178">
                  <c:v>W5048AA</c:v>
                </c:pt>
                <c:pt idx="179">
                  <c:v>W2248AB</c:v>
                </c:pt>
                <c:pt idx="180">
                  <c:v>W2249AHT</c:v>
                </c:pt>
                <c:pt idx="181">
                  <c:v>W2249AB</c:v>
                </c:pt>
                <c:pt idx="182">
                  <c:v>W2249AC</c:v>
                </c:pt>
                <c:pt idx="183">
                  <c:v>W2232AET</c:v>
                </c:pt>
                <c:pt idx="184">
                  <c:v>W2232AC</c:v>
                </c:pt>
                <c:pt idx="185">
                  <c:v>W2229AFT</c:v>
                </c:pt>
                <c:pt idx="186">
                  <c:v>W2232AFT</c:v>
                </c:pt>
                <c:pt idx="187">
                  <c:v>W2229AJT</c:v>
                </c:pt>
                <c:pt idx="188">
                  <c:v>W5039AB</c:v>
                </c:pt>
                <c:pt idx="189">
                  <c:v>W2240AT</c:v>
                </c:pt>
                <c:pt idx="190">
                  <c:v>W5021AA</c:v>
                </c:pt>
                <c:pt idx="191">
                  <c:v>W2250AQ</c:v>
                </c:pt>
                <c:pt idx="192">
                  <c:v>W2249AGT</c:v>
                </c:pt>
                <c:pt idx="193">
                  <c:v>W2251AHT</c:v>
                </c:pt>
                <c:pt idx="194">
                  <c:v>W2250ART</c:v>
                </c:pt>
                <c:pt idx="195">
                  <c:v>W2250AU</c:v>
                </c:pt>
                <c:pt idx="196">
                  <c:v>W2225AE</c:v>
                </c:pt>
                <c:pt idx="197">
                  <c:v>W2225AFT</c:v>
                </c:pt>
                <c:pt idx="198">
                  <c:v>W2225AHT</c:v>
                </c:pt>
                <c:pt idx="199">
                  <c:v>W5021AB</c:v>
                </c:pt>
                <c:pt idx="200">
                  <c:v>W2256AET</c:v>
                </c:pt>
                <c:pt idx="201">
                  <c:v>W2256AC</c:v>
                </c:pt>
                <c:pt idx="202">
                  <c:v>W2257ADT</c:v>
                </c:pt>
                <c:pt idx="203">
                  <c:v>W2258AHT</c:v>
                </c:pt>
                <c:pt idx="204">
                  <c:v>W5023AB</c:v>
                </c:pt>
                <c:pt idx="205">
                  <c:v>W5023AA</c:v>
                </c:pt>
                <c:pt idx="206">
                  <c:v>W2255AA</c:v>
                </c:pt>
                <c:pt idx="207">
                  <c:v>W2260AHT</c:v>
                </c:pt>
                <c:pt idx="208">
                  <c:v>W2260ACT</c:v>
                </c:pt>
                <c:pt idx="209">
                  <c:v>W2260AF</c:v>
                </c:pt>
                <c:pt idx="210">
                  <c:v>W2260AD</c:v>
                </c:pt>
                <c:pt idx="211">
                  <c:v>W2241AC</c:v>
                </c:pt>
                <c:pt idx="212">
                  <c:v>W2236AC</c:v>
                </c:pt>
                <c:pt idx="213">
                  <c:v>W2258AB</c:v>
                </c:pt>
                <c:pt idx="214">
                  <c:v>W2232AJ</c:v>
                </c:pt>
                <c:pt idx="215">
                  <c:v>W2252AQT</c:v>
                </c:pt>
                <c:pt idx="216">
                  <c:v>W2244AA</c:v>
                </c:pt>
                <c:pt idx="217">
                  <c:v>W2256AA</c:v>
                </c:pt>
                <c:pt idx="218">
                  <c:v>W2256AGT</c:v>
                </c:pt>
                <c:pt idx="219">
                  <c:v>W2240AOT</c:v>
                </c:pt>
                <c:pt idx="220">
                  <c:v>W2264AF</c:v>
                </c:pt>
                <c:pt idx="221">
                  <c:v>W2235AKT</c:v>
                </c:pt>
                <c:pt idx="222">
                  <c:v>W2233ACT</c:v>
                </c:pt>
                <c:pt idx="223">
                  <c:v>W5056AA</c:v>
                </c:pt>
                <c:pt idx="224">
                  <c:v>W2256AFT</c:v>
                </c:pt>
                <c:pt idx="225">
                  <c:v>W2247AET</c:v>
                </c:pt>
                <c:pt idx="226">
                  <c:v>W2256AB</c:v>
                </c:pt>
                <c:pt idx="227">
                  <c:v>W2258AG</c:v>
                </c:pt>
                <c:pt idx="228">
                  <c:v>W2258AD</c:v>
                </c:pt>
                <c:pt idx="229">
                  <c:v>W2260AKT</c:v>
                </c:pt>
                <c:pt idx="230">
                  <c:v>W2266AA</c:v>
                </c:pt>
                <c:pt idx="231">
                  <c:v>W2223ADT</c:v>
                </c:pt>
                <c:pt idx="232">
                  <c:v>W2258AJT</c:v>
                </c:pt>
                <c:pt idx="233">
                  <c:v>W2256AJT</c:v>
                </c:pt>
                <c:pt idx="234">
                  <c:v>W2230AFT</c:v>
                </c:pt>
                <c:pt idx="235">
                  <c:v>W2232AKT</c:v>
                </c:pt>
                <c:pt idx="236">
                  <c:v>W2235AI</c:v>
                </c:pt>
                <c:pt idx="237">
                  <c:v>W2235AJ</c:v>
                </c:pt>
                <c:pt idx="238">
                  <c:v>W2246AFT</c:v>
                </c:pt>
                <c:pt idx="239">
                  <c:v>W2246AB</c:v>
                </c:pt>
                <c:pt idx="240">
                  <c:v>W2262AHT</c:v>
                </c:pt>
                <c:pt idx="241">
                  <c:v>W5062AC</c:v>
                </c:pt>
                <c:pt idx="242">
                  <c:v>W2262AIT</c:v>
                </c:pt>
                <c:pt idx="243">
                  <c:v>W2240AU</c:v>
                </c:pt>
                <c:pt idx="244">
                  <c:v>W2240AG</c:v>
                </c:pt>
                <c:pt idx="245">
                  <c:v>W2249ALT</c:v>
                </c:pt>
                <c:pt idx="246">
                  <c:v>W2249AE</c:v>
                </c:pt>
                <c:pt idx="247">
                  <c:v>W5075AA</c:v>
                </c:pt>
                <c:pt idx="248">
                  <c:v>W5017AB</c:v>
                </c:pt>
                <c:pt idx="249">
                  <c:v>W2229AG</c:v>
                </c:pt>
                <c:pt idx="250">
                  <c:v>W2221AD</c:v>
                </c:pt>
                <c:pt idx="251">
                  <c:v>W2227AK</c:v>
                </c:pt>
                <c:pt idx="252">
                  <c:v>W2234AAT</c:v>
                </c:pt>
                <c:pt idx="253">
                  <c:v>W2265AET</c:v>
                </c:pt>
                <c:pt idx="254">
                  <c:v>W2245AB</c:v>
                </c:pt>
                <c:pt idx="255">
                  <c:v>W5065AB</c:v>
                </c:pt>
                <c:pt idx="256">
                  <c:v>W5056AC</c:v>
                </c:pt>
                <c:pt idx="257">
                  <c:v>W2240AF</c:v>
                </c:pt>
                <c:pt idx="258">
                  <c:v>W2219AA</c:v>
                </c:pt>
                <c:pt idx="259">
                  <c:v>W2218AAT</c:v>
                </c:pt>
                <c:pt idx="260">
                  <c:v>W2225ACT</c:v>
                </c:pt>
                <c:pt idx="261">
                  <c:v>W2264AE</c:v>
                </c:pt>
                <c:pt idx="262">
                  <c:v>W2258AET</c:v>
                </c:pt>
                <c:pt idx="263">
                  <c:v>W5048AD</c:v>
                </c:pt>
                <c:pt idx="264">
                  <c:v>W5048AB</c:v>
                </c:pt>
                <c:pt idx="265">
                  <c:v>W2260AB</c:v>
                </c:pt>
                <c:pt idx="266">
                  <c:v>W2236AB</c:v>
                </c:pt>
                <c:pt idx="267">
                  <c:v>W5062AB</c:v>
                </c:pt>
                <c:pt idx="268">
                  <c:v>W5062AD</c:v>
                </c:pt>
                <c:pt idx="269">
                  <c:v>W5068AB</c:v>
                </c:pt>
                <c:pt idx="270">
                  <c:v>W5072AA</c:v>
                </c:pt>
                <c:pt idx="271">
                  <c:v>W2262AF</c:v>
                </c:pt>
                <c:pt idx="272">
                  <c:v>W2237AB (copy)</c:v>
                </c:pt>
                <c:pt idx="273">
                  <c:v>W2266AB (copy)</c:v>
                </c:pt>
                <c:pt idx="274">
                  <c:v>W2250APT</c:v>
                </c:pt>
                <c:pt idx="275">
                  <c:v>W2229AAT</c:v>
                </c:pt>
                <c:pt idx="276">
                  <c:v>W2233AA</c:v>
                </c:pt>
                <c:pt idx="277">
                  <c:v>W2233ABT</c:v>
                </c:pt>
                <c:pt idx="278">
                  <c:v>W5040AA</c:v>
                </c:pt>
                <c:pt idx="279">
                  <c:v>W2240AP</c:v>
                </c:pt>
                <c:pt idx="280">
                  <c:v>W2242AA</c:v>
                </c:pt>
                <c:pt idx="281">
                  <c:v>W2248AGT</c:v>
                </c:pt>
                <c:pt idx="282">
                  <c:v>W5048AC</c:v>
                </c:pt>
                <c:pt idx="283">
                  <c:v>W2232ADT</c:v>
                </c:pt>
                <c:pt idx="284">
                  <c:v>W5027AA</c:v>
                </c:pt>
                <c:pt idx="285">
                  <c:v>W5056AB</c:v>
                </c:pt>
                <c:pt idx="286">
                  <c:v>W2230ABT</c:v>
                </c:pt>
                <c:pt idx="287">
                  <c:v>W2222ACT</c:v>
                </c:pt>
                <c:pt idx="288">
                  <c:v>W2227AAT</c:v>
                </c:pt>
                <c:pt idx="289">
                  <c:v>W2228AET</c:v>
                </c:pt>
                <c:pt idx="290">
                  <c:v>W2228AC</c:v>
                </c:pt>
                <c:pt idx="291">
                  <c:v>W2235AFT</c:v>
                </c:pt>
                <c:pt idx="292">
                  <c:v>W2251ADT</c:v>
                </c:pt>
                <c:pt idx="293">
                  <c:v>W2253AB</c:v>
                </c:pt>
                <c:pt idx="294">
                  <c:v>W2227AQT</c:v>
                </c:pt>
                <c:pt idx="295">
                  <c:v>W2225AB</c:v>
                </c:pt>
                <c:pt idx="296">
                  <c:v>W2244AJ</c:v>
                </c:pt>
                <c:pt idx="297">
                  <c:v>W2247ADT</c:v>
                </c:pt>
                <c:pt idx="298">
                  <c:v>W2239AEH (copy)</c:v>
                </c:pt>
                <c:pt idx="299">
                  <c:v>W5063AA</c:v>
                </c:pt>
                <c:pt idx="300">
                  <c:v>W5048AB (copy)</c:v>
                </c:pt>
                <c:pt idx="301">
                  <c:v>W2229AB (copy)</c:v>
                </c:pt>
                <c:pt idx="302">
                  <c:v>W5046AA</c:v>
                </c:pt>
                <c:pt idx="303">
                  <c:v>W5044AB</c:v>
                </c:pt>
                <c:pt idx="304">
                  <c:v>W2249AF</c:v>
                </c:pt>
                <c:pt idx="305">
                  <c:v>W2251AB</c:v>
                </c:pt>
                <c:pt idx="306">
                  <c:v>W2251AC</c:v>
                </c:pt>
                <c:pt idx="307">
                  <c:v>W2232ALT</c:v>
                </c:pt>
                <c:pt idx="308">
                  <c:v>W2222ADT</c:v>
                </c:pt>
                <c:pt idx="309">
                  <c:v>W2231ACT</c:v>
                </c:pt>
                <c:pt idx="310">
                  <c:v>W2231ADT</c:v>
                </c:pt>
                <c:pt idx="311">
                  <c:v>W2232AIT</c:v>
                </c:pt>
                <c:pt idx="312">
                  <c:v>W2224ACT</c:v>
                </c:pt>
                <c:pt idx="313">
                  <c:v>W2255AF</c:v>
                </c:pt>
                <c:pt idx="314">
                  <c:v>W2247AHT</c:v>
                </c:pt>
                <c:pt idx="315">
                  <c:v>W2232AGT</c:v>
                </c:pt>
                <c:pt idx="316">
                  <c:v>W2238ABT</c:v>
                </c:pt>
                <c:pt idx="317">
                  <c:v>W2240ART</c:v>
                </c:pt>
                <c:pt idx="318">
                  <c:v>W2232AMT</c:v>
                </c:pt>
                <c:pt idx="319">
                  <c:v>W5047AA</c:v>
                </c:pt>
                <c:pt idx="320">
                  <c:v>W5047AB</c:v>
                </c:pt>
                <c:pt idx="321">
                  <c:v>W2246AGT</c:v>
                </c:pt>
                <c:pt idx="322">
                  <c:v>W2225AJT</c:v>
                </c:pt>
                <c:pt idx="323">
                  <c:v>W2246AIT</c:v>
                </c:pt>
                <c:pt idx="324">
                  <c:v>W2219AC</c:v>
                </c:pt>
                <c:pt idx="325">
                  <c:v>W2226AD</c:v>
                </c:pt>
                <c:pt idx="326">
                  <c:v>W2228AAT</c:v>
                </c:pt>
                <c:pt idx="327">
                  <c:v>W5029AA</c:v>
                </c:pt>
                <c:pt idx="328">
                  <c:v>W2240AWT</c:v>
                </c:pt>
                <c:pt idx="329">
                  <c:v>W2240AS</c:v>
                </c:pt>
                <c:pt idx="330">
                  <c:v>W5063AB</c:v>
                </c:pt>
                <c:pt idx="331">
                  <c:v>W2239AD</c:v>
                </c:pt>
                <c:pt idx="332">
                  <c:v>W2241AF</c:v>
                </c:pt>
                <c:pt idx="333">
                  <c:v>W2043</c:v>
                </c:pt>
                <c:pt idx="334">
                  <c:v>W2045AA</c:v>
                </c:pt>
                <c:pt idx="335">
                  <c:v>W1340AA</c:v>
                </c:pt>
                <c:pt idx="336">
                  <c:v>W1342AA</c:v>
                </c:pt>
                <c:pt idx="337">
                  <c:v>W1353</c:v>
                </c:pt>
                <c:pt idx="338">
                  <c:v>W1353AA</c:v>
                </c:pt>
                <c:pt idx="339">
                  <c:v>W1355AA</c:v>
                </c:pt>
                <c:pt idx="340">
                  <c:v>W2246AE</c:v>
                </c:pt>
                <c:pt idx="341">
                  <c:v>W2250AS</c:v>
                </c:pt>
                <c:pt idx="342">
                  <c:v>W2258AF</c:v>
                </c:pt>
                <c:pt idx="343">
                  <c:v>W2260AG</c:v>
                </c:pt>
                <c:pt idx="344">
                  <c:v>W2217AB</c:v>
                </c:pt>
                <c:pt idx="345">
                  <c:v>W2217AC</c:v>
                </c:pt>
                <c:pt idx="346">
                  <c:v>W2241AG</c:v>
                </c:pt>
                <c:pt idx="347">
                  <c:v>W2212AB</c:v>
                </c:pt>
                <c:pt idx="348">
                  <c:v>W2217AA</c:v>
                </c:pt>
                <c:pt idx="349">
                  <c:v>W2245AF</c:v>
                </c:pt>
                <c:pt idx="350">
                  <c:v>W2241AG</c:v>
                </c:pt>
                <c:pt idx="351">
                  <c:v>W2240AH</c:v>
                </c:pt>
                <c:pt idx="352">
                  <c:v>W2240AN</c:v>
                </c:pt>
                <c:pt idx="353">
                  <c:v>W2251AF</c:v>
                </c:pt>
                <c:pt idx="354">
                  <c:v>W2251AG</c:v>
                </c:pt>
                <c:pt idx="355">
                  <c:v>W1240AA</c:v>
                </c:pt>
                <c:pt idx="356">
                  <c:v>W5043</c:v>
                </c:pt>
                <c:pt idx="357">
                  <c:v>W1340AB</c:v>
                </c:pt>
                <c:pt idx="358">
                  <c:v>W2340</c:v>
                </c:pt>
                <c:pt idx="359">
                  <c:v>W1342AB</c:v>
                </c:pt>
                <c:pt idx="360">
                  <c:v>W1340</c:v>
                </c:pt>
                <c:pt idx="361">
                  <c:v>W2240AC</c:v>
                </c:pt>
                <c:pt idx="362">
                  <c:v>W2240AD</c:v>
                </c:pt>
                <c:pt idx="363">
                  <c:v>W1240</c:v>
                </c:pt>
                <c:pt idx="364">
                  <c:v>W1240AB</c:v>
                </c:pt>
                <c:pt idx="365">
                  <c:v>W1240AC</c:v>
                </c:pt>
                <c:pt idx="366">
                  <c:v>W1240AD</c:v>
                </c:pt>
                <c:pt idx="367">
                  <c:v>W2242AB</c:v>
                </c:pt>
                <c:pt idx="368">
                  <c:v>W1242AA</c:v>
                </c:pt>
                <c:pt idx="369">
                  <c:v>W2245AC</c:v>
                </c:pt>
                <c:pt idx="370">
                  <c:v>W2249AK</c:v>
                </c:pt>
                <c:pt idx="371">
                  <c:v>W2251AI</c:v>
                </c:pt>
                <c:pt idx="372">
                  <c:v>W2256AI</c:v>
                </c:pt>
                <c:pt idx="373">
                  <c:v>W2233AH</c:v>
                </c:pt>
                <c:pt idx="374">
                  <c:v>W2233AG</c:v>
                </c:pt>
                <c:pt idx="375">
                  <c:v>W2233AE</c:v>
                </c:pt>
                <c:pt idx="376">
                  <c:v>W2238AA</c:v>
                </c:pt>
                <c:pt idx="377">
                  <c:v>W2243AB</c:v>
                </c:pt>
                <c:pt idx="378">
                  <c:v>W1338</c:v>
                </c:pt>
                <c:pt idx="379">
                  <c:v>W1340AC</c:v>
                </c:pt>
                <c:pt idx="380">
                  <c:v>W2252AL</c:v>
                </c:pt>
                <c:pt idx="381">
                  <c:v>W2254AG</c:v>
                </c:pt>
                <c:pt idx="382">
                  <c:v>W2263AA</c:v>
                </c:pt>
                <c:pt idx="383">
                  <c:v>W2257AF</c:v>
                </c:pt>
                <c:pt idx="384">
                  <c:v>W2260AL</c:v>
                </c:pt>
                <c:pt idx="385">
                  <c:v>W2263AB</c:v>
                </c:pt>
                <c:pt idx="386">
                  <c:v>W2249AA</c:v>
                </c:pt>
                <c:pt idx="387">
                  <c:v>W2255AB</c:v>
                </c:pt>
                <c:pt idx="388">
                  <c:v>W2257AE</c:v>
                </c:pt>
                <c:pt idx="389">
                  <c:v>W2262AG</c:v>
                </c:pt>
                <c:pt idx="390">
                  <c:v>W2267AB</c:v>
                </c:pt>
                <c:pt idx="391">
                  <c:v>W2255AG</c:v>
                </c:pt>
                <c:pt idx="392">
                  <c:v>W2243AA</c:v>
                </c:pt>
                <c:pt idx="393">
                  <c:v>W1243AB</c:v>
                </c:pt>
                <c:pt idx="394">
                  <c:v>W1243</c:v>
                </c:pt>
                <c:pt idx="395">
                  <c:v>W1243AA</c:v>
                </c:pt>
                <c:pt idx="396">
                  <c:v>W1245AA</c:v>
                </c:pt>
                <c:pt idx="397">
                  <c:v>W2249AI</c:v>
                </c:pt>
                <c:pt idx="398">
                  <c:v>W2248AC</c:v>
                </c:pt>
                <c:pt idx="399">
                  <c:v>W2248AI</c:v>
                </c:pt>
                <c:pt idx="400">
                  <c:v>W2257AB</c:v>
                </c:pt>
                <c:pt idx="401">
                  <c:v>W2254AC</c:v>
                </c:pt>
                <c:pt idx="402">
                  <c:v>W2220AF</c:v>
                </c:pt>
                <c:pt idx="403">
                  <c:v>W2248AF</c:v>
                </c:pt>
                <c:pt idx="404">
                  <c:v>W2239AF</c:v>
                </c:pt>
                <c:pt idx="405">
                  <c:v>W2238AC</c:v>
                </c:pt>
                <c:pt idx="406">
                  <c:v>W2243AC</c:v>
                </c:pt>
                <c:pt idx="407">
                  <c:v>W2243ACH</c:v>
                </c:pt>
                <c:pt idx="408">
                  <c:v>W2248AHH</c:v>
                </c:pt>
                <c:pt idx="409">
                  <c:v>W2237AF</c:v>
                </c:pt>
                <c:pt idx="410">
                  <c:v>W2237AG</c:v>
                </c:pt>
                <c:pt idx="411">
                  <c:v>W2237ADH</c:v>
                </c:pt>
                <c:pt idx="412">
                  <c:v>W2237AAH</c:v>
                </c:pt>
                <c:pt idx="413">
                  <c:v>W2237ACH</c:v>
                </c:pt>
                <c:pt idx="414">
                  <c:v>W2237AEH</c:v>
                </c:pt>
                <c:pt idx="415">
                  <c:v>W2256AH</c:v>
                </c:pt>
                <c:pt idx="416">
                  <c:v>W2265AC</c:v>
                </c:pt>
                <c:pt idx="417">
                  <c:v>W2240AM</c:v>
                </c:pt>
                <c:pt idx="418">
                  <c:v>W2240AV</c:v>
                </c:pt>
                <c:pt idx="419">
                  <c:v>W2256AD</c:v>
                </c:pt>
                <c:pt idx="420">
                  <c:v>W2256AK</c:v>
                </c:pt>
                <c:pt idx="421">
                  <c:v>W2244AI</c:v>
                </c:pt>
                <c:pt idx="422">
                  <c:v>W2244AO</c:v>
                </c:pt>
                <c:pt idx="423">
                  <c:v>W2248AE</c:v>
                </c:pt>
                <c:pt idx="424">
                  <c:v>W2248AJ</c:v>
                </c:pt>
                <c:pt idx="425">
                  <c:v>W2248AL</c:v>
                </c:pt>
                <c:pt idx="426">
                  <c:v>W2248AM</c:v>
                </c:pt>
                <c:pt idx="427">
                  <c:v>W2348AA</c:v>
                </c:pt>
                <c:pt idx="428">
                  <c:v>W2362AA</c:v>
                </c:pt>
                <c:pt idx="429">
                  <c:v>W2264AH</c:v>
                </c:pt>
                <c:pt idx="430">
                  <c:v>W2252AF</c:v>
                </c:pt>
                <c:pt idx="431">
                  <c:v>W2252AN</c:v>
                </c:pt>
                <c:pt idx="432">
                  <c:v>W2252AS</c:v>
                </c:pt>
                <c:pt idx="433">
                  <c:v>W2342AB</c:v>
                </c:pt>
                <c:pt idx="434">
                  <c:v>W2344AA</c:v>
                </c:pt>
                <c:pt idx="435">
                  <c:v>W2050AA</c:v>
                </c:pt>
                <c:pt idx="436">
                  <c:v>W2045AC</c:v>
                </c:pt>
                <c:pt idx="437">
                  <c:v>W2045AD</c:v>
                </c:pt>
                <c:pt idx="438">
                  <c:v>W2241AI</c:v>
                </c:pt>
                <c:pt idx="439">
                  <c:v>W2249AJ</c:v>
                </c:pt>
                <c:pt idx="440">
                  <c:v>W2241AB</c:v>
                </c:pt>
                <c:pt idx="441">
                  <c:v>W2245AD</c:v>
                </c:pt>
                <c:pt idx="442">
                  <c:v>W2034AA</c:v>
                </c:pt>
                <c:pt idx="443">
                  <c:v>W1034AA</c:v>
                </c:pt>
                <c:pt idx="444">
                  <c:v>W2030AA</c:v>
                </c:pt>
                <c:pt idx="445">
                  <c:v>W2040AA</c:v>
                </c:pt>
                <c:pt idx="446">
                  <c:v>W1040AA</c:v>
                </c:pt>
                <c:pt idx="447">
                  <c:v>W2040AB</c:v>
                </c:pt>
                <c:pt idx="448">
                  <c:v>W2240AQ</c:v>
                </c:pt>
                <c:pt idx="449">
                  <c:v>W2240AB</c:v>
                </c:pt>
                <c:pt idx="450">
                  <c:v>W2240AA</c:v>
                </c:pt>
                <c:pt idx="451">
                  <c:v>W2232AB</c:v>
                </c:pt>
                <c:pt idx="452">
                  <c:v>W2038AA</c:v>
                </c:pt>
                <c:pt idx="453">
                  <c:v>W2248AA</c:v>
                </c:pt>
                <c:pt idx="454">
                  <c:v>W5036</c:v>
                </c:pt>
                <c:pt idx="455">
                  <c:v>W5036AB</c:v>
                </c:pt>
                <c:pt idx="456">
                  <c:v>W2260AE</c:v>
                </c:pt>
                <c:pt idx="457">
                  <c:v>W2036AA</c:v>
                </c:pt>
                <c:pt idx="458">
                  <c:v>W2236AA</c:v>
                </c:pt>
                <c:pt idx="459">
                  <c:v>W2252AB</c:v>
                </c:pt>
                <c:pt idx="460">
                  <c:v>W5045AA</c:v>
                </c:pt>
                <c:pt idx="461">
                  <c:v>W5022AB</c:v>
                </c:pt>
                <c:pt idx="462">
                  <c:v>W2272AD</c:v>
                </c:pt>
                <c:pt idx="463">
                  <c:v>W2244AM</c:v>
                </c:pt>
                <c:pt idx="464">
                  <c:v>W2250AV</c:v>
                </c:pt>
                <c:pt idx="465">
                  <c:v>W2241AK</c:v>
                </c:pt>
                <c:pt idx="466">
                  <c:v>W2245AG</c:v>
                </c:pt>
                <c:pt idx="467">
                  <c:v>W2264AA</c:v>
                </c:pt>
                <c:pt idx="468">
                  <c:v>W2267AA</c:v>
                </c:pt>
                <c:pt idx="469">
                  <c:v>W2262AC</c:v>
                </c:pt>
                <c:pt idx="470">
                  <c:v>W2264AD</c:v>
                </c:pt>
                <c:pt idx="471">
                  <c:v>W2272AB</c:v>
                </c:pt>
                <c:pt idx="472">
                  <c:v>W2272AC</c:v>
                </c:pt>
                <c:pt idx="473">
                  <c:v>W2272AE</c:v>
                </c:pt>
                <c:pt idx="474">
                  <c:v>W2254AF</c:v>
                </c:pt>
                <c:pt idx="475">
                  <c:v>W2254AK</c:v>
                </c:pt>
                <c:pt idx="476">
                  <c:v>W2220AE</c:v>
                </c:pt>
                <c:pt idx="477">
                  <c:v>W2222AF</c:v>
                </c:pt>
                <c:pt idx="478">
                  <c:v>W2225AG</c:v>
                </c:pt>
                <c:pt idx="479">
                  <c:v>W2254AJ</c:v>
                </c:pt>
                <c:pt idx="480">
                  <c:v>W2240AE</c:v>
                </c:pt>
                <c:pt idx="481">
                  <c:v>W2041AA</c:v>
                </c:pt>
                <c:pt idx="482">
                  <c:v>W2267AC</c:v>
                </c:pt>
                <c:pt idx="483">
                  <c:v>W2260AJ</c:v>
                </c:pt>
                <c:pt idx="484">
                  <c:v>W2235AA</c:v>
                </c:pt>
                <c:pt idx="485">
                  <c:v>W2251AE</c:v>
                </c:pt>
                <c:pt idx="486">
                  <c:v>W2241AA</c:v>
                </c:pt>
                <c:pt idx="487">
                  <c:v>W1241</c:v>
                </c:pt>
                <c:pt idx="488">
                  <c:v>W1241AC</c:v>
                </c:pt>
                <c:pt idx="489">
                  <c:v>W2231AA</c:v>
                </c:pt>
              </c:strCache>
            </c:strRef>
          </c:cat>
          <c:val>
            <c:numRef>
              <c:f>'W-code list'!$Q$6:$Q$495</c:f>
              <c:numCache>
                <c:formatCode>General</c:formatCode>
                <c:ptCount val="490"/>
                <c:pt idx="0">
                  <c:v>30</c:v>
                </c:pt>
                <c:pt idx="1">
                  <c:v>20</c:v>
                </c:pt>
                <c:pt idx="2">
                  <c:v>20</c:v>
                </c:pt>
                <c:pt idx="3">
                  <c:v>30</c:v>
                </c:pt>
                <c:pt idx="4">
                  <c:v>30</c:v>
                </c:pt>
                <c:pt idx="5">
                  <c:v>25</c:v>
                </c:pt>
                <c:pt idx="6">
                  <c:v>20</c:v>
                </c:pt>
                <c:pt idx="7">
                  <c:v>27</c:v>
                </c:pt>
                <c:pt idx="8">
                  <c:v>20</c:v>
                </c:pt>
                <c:pt idx="9">
                  <c:v>20</c:v>
                </c:pt>
                <c:pt idx="10">
                  <c:v>29</c:v>
                </c:pt>
                <c:pt idx="11">
                  <c:v>28</c:v>
                </c:pt>
                <c:pt idx="12">
                  <c:v>30</c:v>
                </c:pt>
                <c:pt idx="13">
                  <c:v>29</c:v>
                </c:pt>
                <c:pt idx="14">
                  <c:v>30</c:v>
                </c:pt>
                <c:pt idx="15">
                  <c:v>30</c:v>
                </c:pt>
                <c:pt idx="16">
                  <c:v>30</c:v>
                </c:pt>
                <c:pt idx="17">
                  <c:v>27</c:v>
                </c:pt>
                <c:pt idx="18">
                  <c:v>25</c:v>
                </c:pt>
                <c:pt idx="19">
                  <c:v>24</c:v>
                </c:pt>
                <c:pt idx="20">
                  <c:v>30</c:v>
                </c:pt>
                <c:pt idx="21">
                  <c:v>30</c:v>
                </c:pt>
                <c:pt idx="22">
                  <c:v>30</c:v>
                </c:pt>
                <c:pt idx="23">
                  <c:v>30</c:v>
                </c:pt>
                <c:pt idx="24">
                  <c:v>27</c:v>
                </c:pt>
                <c:pt idx="25">
                  <c:v>18</c:v>
                </c:pt>
                <c:pt idx="26">
                  <c:v>35</c:v>
                </c:pt>
                <c:pt idx="27">
                  <c:v>30</c:v>
                </c:pt>
                <c:pt idx="28">
                  <c:v>30</c:v>
                </c:pt>
                <c:pt idx="29">
                  <c:v>30</c:v>
                </c:pt>
                <c:pt idx="30">
                  <c:v>38</c:v>
                </c:pt>
                <c:pt idx="31">
                  <c:v>37</c:v>
                </c:pt>
                <c:pt idx="32">
                  <c:v>37</c:v>
                </c:pt>
                <c:pt idx="33">
                  <c:v>37</c:v>
                </c:pt>
                <c:pt idx="34">
                  <c:v>29</c:v>
                </c:pt>
                <c:pt idx="35">
                  <c:v>29</c:v>
                </c:pt>
                <c:pt idx="36">
                  <c:v>20</c:v>
                </c:pt>
                <c:pt idx="37">
                  <c:v>30</c:v>
                </c:pt>
                <c:pt idx="38">
                  <c:v>32</c:v>
                </c:pt>
                <c:pt idx="39">
                  <c:v>32</c:v>
                </c:pt>
                <c:pt idx="40">
                  <c:v>32</c:v>
                </c:pt>
                <c:pt idx="41">
                  <c:v>15</c:v>
                </c:pt>
                <c:pt idx="42">
                  <c:v>22</c:v>
                </c:pt>
                <c:pt idx="43">
                  <c:v>27</c:v>
                </c:pt>
                <c:pt idx="44">
                  <c:v>17</c:v>
                </c:pt>
                <c:pt idx="45">
                  <c:v>30</c:v>
                </c:pt>
                <c:pt idx="46">
                  <c:v>25</c:v>
                </c:pt>
                <c:pt idx="47">
                  <c:v>30</c:v>
                </c:pt>
                <c:pt idx="48">
                  <c:v>30</c:v>
                </c:pt>
                <c:pt idx="49">
                  <c:v>30</c:v>
                </c:pt>
                <c:pt idx="50">
                  <c:v>30</c:v>
                </c:pt>
                <c:pt idx="51">
                  <c:v>68</c:v>
                </c:pt>
                <c:pt idx="52">
                  <c:v>86</c:v>
                </c:pt>
                <c:pt idx="53">
                  <c:v>65</c:v>
                </c:pt>
                <c:pt idx="54">
                  <c:v>86</c:v>
                </c:pt>
                <c:pt idx="55">
                  <c:v>65</c:v>
                </c:pt>
                <c:pt idx="56">
                  <c:v>65</c:v>
                </c:pt>
                <c:pt idx="57">
                  <c:v>30</c:v>
                </c:pt>
                <c:pt idx="58">
                  <c:v>30</c:v>
                </c:pt>
                <c:pt idx="59">
                  <c:v>34</c:v>
                </c:pt>
                <c:pt idx="60">
                  <c:v>33</c:v>
                </c:pt>
                <c:pt idx="61">
                  <c:v>28</c:v>
                </c:pt>
                <c:pt idx="62">
                  <c:v>28</c:v>
                </c:pt>
                <c:pt idx="63">
                  <c:v>30</c:v>
                </c:pt>
                <c:pt idx="64">
                  <c:v>27</c:v>
                </c:pt>
                <c:pt idx="65">
                  <c:v>27</c:v>
                </c:pt>
                <c:pt idx="66">
                  <c:v>30</c:v>
                </c:pt>
                <c:pt idx="67">
                  <c:v>30</c:v>
                </c:pt>
                <c:pt idx="68">
                  <c:v>30</c:v>
                </c:pt>
                <c:pt idx="69">
                  <c:v>5</c:v>
                </c:pt>
                <c:pt idx="70">
                  <c:v>10</c:v>
                </c:pt>
                <c:pt idx="71">
                  <c:v>5</c:v>
                </c:pt>
                <c:pt idx="72">
                  <c:v>10</c:v>
                </c:pt>
                <c:pt idx="73">
                  <c:v>16</c:v>
                </c:pt>
                <c:pt idx="74">
                  <c:v>30</c:v>
                </c:pt>
                <c:pt idx="75">
                  <c:v>30</c:v>
                </c:pt>
                <c:pt idx="76">
                  <c:v>30</c:v>
                </c:pt>
                <c:pt idx="77">
                  <c:v>30</c:v>
                </c:pt>
                <c:pt idx="79">
                  <c:v>30</c:v>
                </c:pt>
                <c:pt idx="80">
                  <c:v>30</c:v>
                </c:pt>
                <c:pt idx="81">
                  <c:v>30</c:v>
                </c:pt>
                <c:pt idx="82">
                  <c:v>30</c:v>
                </c:pt>
                <c:pt idx="83">
                  <c:v>30</c:v>
                </c:pt>
                <c:pt idx="84">
                  <c:v>30</c:v>
                </c:pt>
                <c:pt idx="85">
                  <c:v>30</c:v>
                </c:pt>
                <c:pt idx="86">
                  <c:v>30</c:v>
                </c:pt>
                <c:pt idx="87">
                  <c:v>25</c:v>
                </c:pt>
                <c:pt idx="88">
                  <c:v>25</c:v>
                </c:pt>
                <c:pt idx="89">
                  <c:v>30</c:v>
                </c:pt>
                <c:pt idx="90">
                  <c:v>30</c:v>
                </c:pt>
                <c:pt idx="91">
                  <c:v>30</c:v>
                </c:pt>
                <c:pt idx="92">
                  <c:v>30</c:v>
                </c:pt>
                <c:pt idx="96">
                  <c:v>27</c:v>
                </c:pt>
                <c:pt idx="97">
                  <c:v>27</c:v>
                </c:pt>
                <c:pt idx="98">
                  <c:v>24</c:v>
                </c:pt>
                <c:pt idx="99">
                  <c:v>24</c:v>
                </c:pt>
                <c:pt idx="100">
                  <c:v>20</c:v>
                </c:pt>
                <c:pt idx="101">
                  <c:v>19</c:v>
                </c:pt>
                <c:pt idx="102">
                  <c:v>30</c:v>
                </c:pt>
                <c:pt idx="103">
                  <c:v>15</c:v>
                </c:pt>
                <c:pt idx="104">
                  <c:v>10</c:v>
                </c:pt>
                <c:pt idx="105">
                  <c:v>20</c:v>
                </c:pt>
                <c:pt idx="106">
                  <c:v>15</c:v>
                </c:pt>
                <c:pt idx="107">
                  <c:v>30</c:v>
                </c:pt>
                <c:pt idx="108">
                  <c:v>30</c:v>
                </c:pt>
                <c:pt idx="109">
                  <c:v>30</c:v>
                </c:pt>
                <c:pt idx="110">
                  <c:v>30</c:v>
                </c:pt>
                <c:pt idx="111">
                  <c:v>30</c:v>
                </c:pt>
                <c:pt idx="112">
                  <c:v>30</c:v>
                </c:pt>
                <c:pt idx="113">
                  <c:v>30</c:v>
                </c:pt>
                <c:pt idx="114">
                  <c:v>30</c:v>
                </c:pt>
                <c:pt idx="115">
                  <c:v>30</c:v>
                </c:pt>
                <c:pt idx="116">
                  <c:v>30</c:v>
                </c:pt>
                <c:pt idx="117">
                  <c:v>30</c:v>
                </c:pt>
                <c:pt idx="118">
                  <c:v>30</c:v>
                </c:pt>
                <c:pt idx="119">
                  <c:v>20</c:v>
                </c:pt>
                <c:pt idx="120">
                  <c:v>30</c:v>
                </c:pt>
                <c:pt idx="121">
                  <c:v>30</c:v>
                </c:pt>
                <c:pt idx="122">
                  <c:v>30</c:v>
                </c:pt>
                <c:pt idx="123">
                  <c:v>25</c:v>
                </c:pt>
                <c:pt idx="124">
                  <c:v>30</c:v>
                </c:pt>
                <c:pt idx="125">
                  <c:v>25</c:v>
                </c:pt>
                <c:pt idx="126">
                  <c:v>30</c:v>
                </c:pt>
                <c:pt idx="127">
                  <c:v>25</c:v>
                </c:pt>
                <c:pt idx="128">
                  <c:v>30</c:v>
                </c:pt>
                <c:pt idx="129">
                  <c:v>30</c:v>
                </c:pt>
                <c:pt idx="130">
                  <c:v>30</c:v>
                </c:pt>
                <c:pt idx="131">
                  <c:v>30</c:v>
                </c:pt>
                <c:pt idx="132">
                  <c:v>25</c:v>
                </c:pt>
                <c:pt idx="133">
                  <c:v>30</c:v>
                </c:pt>
                <c:pt idx="134">
                  <c:v>30</c:v>
                </c:pt>
                <c:pt idx="135">
                  <c:v>20</c:v>
                </c:pt>
                <c:pt idx="136">
                  <c:v>25</c:v>
                </c:pt>
                <c:pt idx="137">
                  <c:v>28</c:v>
                </c:pt>
                <c:pt idx="138">
                  <c:v>30</c:v>
                </c:pt>
                <c:pt idx="139">
                  <c:v>30</c:v>
                </c:pt>
                <c:pt idx="140">
                  <c:v>30</c:v>
                </c:pt>
                <c:pt idx="141">
                  <c:v>20</c:v>
                </c:pt>
                <c:pt idx="142">
                  <c:v>30</c:v>
                </c:pt>
                <c:pt idx="143">
                  <c:v>30</c:v>
                </c:pt>
                <c:pt idx="144">
                  <c:v>25</c:v>
                </c:pt>
                <c:pt idx="145">
                  <c:v>30</c:v>
                </c:pt>
                <c:pt idx="146">
                  <c:v>30</c:v>
                </c:pt>
                <c:pt idx="147">
                  <c:v>30</c:v>
                </c:pt>
                <c:pt idx="148">
                  <c:v>25</c:v>
                </c:pt>
                <c:pt idx="149">
                  <c:v>30</c:v>
                </c:pt>
                <c:pt idx="150">
                  <c:v>30</c:v>
                </c:pt>
                <c:pt idx="151">
                  <c:v>30</c:v>
                </c:pt>
                <c:pt idx="152">
                  <c:v>25</c:v>
                </c:pt>
                <c:pt idx="153">
                  <c:v>30</c:v>
                </c:pt>
                <c:pt idx="154">
                  <c:v>30</c:v>
                </c:pt>
                <c:pt idx="155">
                  <c:v>30</c:v>
                </c:pt>
                <c:pt idx="156">
                  <c:v>30</c:v>
                </c:pt>
                <c:pt idx="157">
                  <c:v>30</c:v>
                </c:pt>
                <c:pt idx="158">
                  <c:v>30</c:v>
                </c:pt>
                <c:pt idx="159">
                  <c:v>30</c:v>
                </c:pt>
                <c:pt idx="160">
                  <c:v>30</c:v>
                </c:pt>
                <c:pt idx="161">
                  <c:v>30</c:v>
                </c:pt>
                <c:pt idx="162">
                  <c:v>30</c:v>
                </c:pt>
                <c:pt idx="163">
                  <c:v>30</c:v>
                </c:pt>
                <c:pt idx="164">
                  <c:v>25</c:v>
                </c:pt>
                <c:pt idx="165">
                  <c:v>15</c:v>
                </c:pt>
                <c:pt idx="166">
                  <c:v>30</c:v>
                </c:pt>
                <c:pt idx="167">
                  <c:v>30</c:v>
                </c:pt>
                <c:pt idx="168">
                  <c:v>25</c:v>
                </c:pt>
                <c:pt idx="169">
                  <c:v>25</c:v>
                </c:pt>
                <c:pt idx="170">
                  <c:v>30</c:v>
                </c:pt>
                <c:pt idx="171">
                  <c:v>30</c:v>
                </c:pt>
                <c:pt idx="172">
                  <c:v>30</c:v>
                </c:pt>
                <c:pt idx="173">
                  <c:v>30</c:v>
                </c:pt>
                <c:pt idx="174">
                  <c:v>25</c:v>
                </c:pt>
                <c:pt idx="175">
                  <c:v>25</c:v>
                </c:pt>
                <c:pt idx="176">
                  <c:v>30</c:v>
                </c:pt>
                <c:pt idx="177">
                  <c:v>30</c:v>
                </c:pt>
                <c:pt idx="178">
                  <c:v>30</c:v>
                </c:pt>
                <c:pt idx="179">
                  <c:v>30</c:v>
                </c:pt>
                <c:pt idx="180">
                  <c:v>30</c:v>
                </c:pt>
                <c:pt idx="181">
                  <c:v>30</c:v>
                </c:pt>
                <c:pt idx="182">
                  <c:v>30</c:v>
                </c:pt>
                <c:pt idx="183">
                  <c:v>30</c:v>
                </c:pt>
                <c:pt idx="184">
                  <c:v>30</c:v>
                </c:pt>
                <c:pt idx="185">
                  <c:v>30</c:v>
                </c:pt>
                <c:pt idx="186">
                  <c:v>30</c:v>
                </c:pt>
                <c:pt idx="187">
                  <c:v>30</c:v>
                </c:pt>
                <c:pt idx="188">
                  <c:v>20</c:v>
                </c:pt>
                <c:pt idx="189">
                  <c:v>25</c:v>
                </c:pt>
                <c:pt idx="190">
                  <c:v>30</c:v>
                </c:pt>
                <c:pt idx="191">
                  <c:v>30</c:v>
                </c:pt>
                <c:pt idx="192">
                  <c:v>30</c:v>
                </c:pt>
                <c:pt idx="193">
                  <c:v>30</c:v>
                </c:pt>
                <c:pt idx="194">
                  <c:v>30</c:v>
                </c:pt>
                <c:pt idx="195">
                  <c:v>30</c:v>
                </c:pt>
                <c:pt idx="196">
                  <c:v>25</c:v>
                </c:pt>
                <c:pt idx="197">
                  <c:v>20</c:v>
                </c:pt>
                <c:pt idx="198">
                  <c:v>10</c:v>
                </c:pt>
                <c:pt idx="199">
                  <c:v>30</c:v>
                </c:pt>
                <c:pt idx="200">
                  <c:v>30</c:v>
                </c:pt>
                <c:pt idx="201">
                  <c:v>30</c:v>
                </c:pt>
                <c:pt idx="202">
                  <c:v>30</c:v>
                </c:pt>
                <c:pt idx="203">
                  <c:v>30</c:v>
                </c:pt>
                <c:pt idx="204">
                  <c:v>30</c:v>
                </c:pt>
                <c:pt idx="205">
                  <c:v>30</c:v>
                </c:pt>
                <c:pt idx="206">
                  <c:v>30</c:v>
                </c:pt>
                <c:pt idx="207">
                  <c:v>30</c:v>
                </c:pt>
                <c:pt idx="208">
                  <c:v>30</c:v>
                </c:pt>
                <c:pt idx="209">
                  <c:v>30</c:v>
                </c:pt>
                <c:pt idx="210">
                  <c:v>30</c:v>
                </c:pt>
                <c:pt idx="211">
                  <c:v>20</c:v>
                </c:pt>
                <c:pt idx="212">
                  <c:v>25</c:v>
                </c:pt>
                <c:pt idx="213">
                  <c:v>30</c:v>
                </c:pt>
                <c:pt idx="214">
                  <c:v>25</c:v>
                </c:pt>
                <c:pt idx="215">
                  <c:v>30</c:v>
                </c:pt>
                <c:pt idx="216">
                  <c:v>30</c:v>
                </c:pt>
                <c:pt idx="217">
                  <c:v>30</c:v>
                </c:pt>
                <c:pt idx="218">
                  <c:v>30</c:v>
                </c:pt>
                <c:pt idx="219">
                  <c:v>30</c:v>
                </c:pt>
                <c:pt idx="220">
                  <c:v>30</c:v>
                </c:pt>
                <c:pt idx="221">
                  <c:v>30</c:v>
                </c:pt>
                <c:pt idx="222">
                  <c:v>30</c:v>
                </c:pt>
                <c:pt idx="223">
                  <c:v>30</c:v>
                </c:pt>
                <c:pt idx="224">
                  <c:v>30</c:v>
                </c:pt>
                <c:pt idx="225">
                  <c:v>30</c:v>
                </c:pt>
                <c:pt idx="226">
                  <c:v>30</c:v>
                </c:pt>
                <c:pt idx="227">
                  <c:v>30</c:v>
                </c:pt>
                <c:pt idx="228">
                  <c:v>30</c:v>
                </c:pt>
                <c:pt idx="229">
                  <c:v>27</c:v>
                </c:pt>
                <c:pt idx="230">
                  <c:v>30</c:v>
                </c:pt>
                <c:pt idx="231">
                  <c:v>30</c:v>
                </c:pt>
                <c:pt idx="232">
                  <c:v>24</c:v>
                </c:pt>
                <c:pt idx="233">
                  <c:v>24</c:v>
                </c:pt>
                <c:pt idx="234">
                  <c:v>25</c:v>
                </c:pt>
                <c:pt idx="235">
                  <c:v>10</c:v>
                </c:pt>
                <c:pt idx="236">
                  <c:v>30</c:v>
                </c:pt>
                <c:pt idx="237">
                  <c:v>10</c:v>
                </c:pt>
                <c:pt idx="238">
                  <c:v>30</c:v>
                </c:pt>
                <c:pt idx="239">
                  <c:v>30</c:v>
                </c:pt>
                <c:pt idx="240">
                  <c:v>25</c:v>
                </c:pt>
                <c:pt idx="241">
                  <c:v>25</c:v>
                </c:pt>
                <c:pt idx="242">
                  <c:v>25</c:v>
                </c:pt>
                <c:pt idx="243">
                  <c:v>30</c:v>
                </c:pt>
                <c:pt idx="244">
                  <c:v>30</c:v>
                </c:pt>
                <c:pt idx="245">
                  <c:v>27</c:v>
                </c:pt>
                <c:pt idx="246">
                  <c:v>30</c:v>
                </c:pt>
                <c:pt idx="247">
                  <c:v>19</c:v>
                </c:pt>
                <c:pt idx="248">
                  <c:v>30</c:v>
                </c:pt>
                <c:pt idx="249">
                  <c:v>26</c:v>
                </c:pt>
                <c:pt idx="250">
                  <c:v>30</c:v>
                </c:pt>
                <c:pt idx="251">
                  <c:v>17</c:v>
                </c:pt>
                <c:pt idx="252">
                  <c:v>20</c:v>
                </c:pt>
                <c:pt idx="253">
                  <c:v>20</c:v>
                </c:pt>
                <c:pt idx="254">
                  <c:v>30</c:v>
                </c:pt>
                <c:pt idx="255">
                  <c:v>20</c:v>
                </c:pt>
                <c:pt idx="256">
                  <c:v>30</c:v>
                </c:pt>
                <c:pt idx="257">
                  <c:v>30</c:v>
                </c:pt>
                <c:pt idx="258">
                  <c:v>30</c:v>
                </c:pt>
                <c:pt idx="259">
                  <c:v>30</c:v>
                </c:pt>
                <c:pt idx="260">
                  <c:v>30</c:v>
                </c:pt>
                <c:pt idx="261">
                  <c:v>30</c:v>
                </c:pt>
                <c:pt idx="262">
                  <c:v>30</c:v>
                </c:pt>
                <c:pt idx="263">
                  <c:v>30</c:v>
                </c:pt>
                <c:pt idx="264">
                  <c:v>30</c:v>
                </c:pt>
                <c:pt idx="265">
                  <c:v>30</c:v>
                </c:pt>
                <c:pt idx="266">
                  <c:v>30</c:v>
                </c:pt>
                <c:pt idx="267">
                  <c:v>25</c:v>
                </c:pt>
                <c:pt idx="268">
                  <c:v>25</c:v>
                </c:pt>
                <c:pt idx="269">
                  <c:v>20</c:v>
                </c:pt>
                <c:pt idx="270">
                  <c:v>15</c:v>
                </c:pt>
                <c:pt idx="271">
                  <c:v>30</c:v>
                </c:pt>
                <c:pt idx="274">
                  <c:v>30</c:v>
                </c:pt>
                <c:pt idx="275">
                  <c:v>30</c:v>
                </c:pt>
                <c:pt idx="276">
                  <c:v>30</c:v>
                </c:pt>
                <c:pt idx="277">
                  <c:v>30</c:v>
                </c:pt>
                <c:pt idx="278">
                  <c:v>30</c:v>
                </c:pt>
                <c:pt idx="279">
                  <c:v>30</c:v>
                </c:pt>
                <c:pt idx="280">
                  <c:v>30</c:v>
                </c:pt>
                <c:pt idx="281">
                  <c:v>30</c:v>
                </c:pt>
                <c:pt idx="282">
                  <c:v>25</c:v>
                </c:pt>
                <c:pt idx="283">
                  <c:v>30</c:v>
                </c:pt>
                <c:pt idx="284">
                  <c:v>30</c:v>
                </c:pt>
                <c:pt idx="285">
                  <c:v>30</c:v>
                </c:pt>
                <c:pt idx="286">
                  <c:v>30</c:v>
                </c:pt>
                <c:pt idx="287">
                  <c:v>30</c:v>
                </c:pt>
                <c:pt idx="288">
                  <c:v>20</c:v>
                </c:pt>
                <c:pt idx="289">
                  <c:v>15</c:v>
                </c:pt>
                <c:pt idx="290">
                  <c:v>24</c:v>
                </c:pt>
                <c:pt idx="291">
                  <c:v>30</c:v>
                </c:pt>
                <c:pt idx="292">
                  <c:v>30</c:v>
                </c:pt>
                <c:pt idx="293">
                  <c:v>25</c:v>
                </c:pt>
                <c:pt idx="294">
                  <c:v>30</c:v>
                </c:pt>
                <c:pt idx="295">
                  <c:v>30</c:v>
                </c:pt>
                <c:pt idx="296">
                  <c:v>30</c:v>
                </c:pt>
                <c:pt idx="297">
                  <c:v>30</c:v>
                </c:pt>
                <c:pt idx="299">
                  <c:v>30</c:v>
                </c:pt>
                <c:pt idx="301">
                  <c:v>0</c:v>
                </c:pt>
                <c:pt idx="302">
                  <c:v>30</c:v>
                </c:pt>
                <c:pt idx="303">
                  <c:v>30</c:v>
                </c:pt>
                <c:pt idx="304">
                  <c:v>30</c:v>
                </c:pt>
                <c:pt idx="305">
                  <c:v>30</c:v>
                </c:pt>
                <c:pt idx="306">
                  <c:v>30</c:v>
                </c:pt>
                <c:pt idx="307">
                  <c:v>20</c:v>
                </c:pt>
                <c:pt idx="308">
                  <c:v>30</c:v>
                </c:pt>
                <c:pt idx="309">
                  <c:v>20</c:v>
                </c:pt>
                <c:pt idx="310">
                  <c:v>24</c:v>
                </c:pt>
                <c:pt idx="311">
                  <c:v>30</c:v>
                </c:pt>
                <c:pt idx="312">
                  <c:v>17</c:v>
                </c:pt>
                <c:pt idx="313">
                  <c:v>20</c:v>
                </c:pt>
                <c:pt idx="314">
                  <c:v>24</c:v>
                </c:pt>
                <c:pt idx="315">
                  <c:v>30</c:v>
                </c:pt>
                <c:pt idx="316">
                  <c:v>25</c:v>
                </c:pt>
                <c:pt idx="317">
                  <c:v>25</c:v>
                </c:pt>
                <c:pt idx="318">
                  <c:v>23</c:v>
                </c:pt>
                <c:pt idx="319">
                  <c:v>27</c:v>
                </c:pt>
                <c:pt idx="320">
                  <c:v>27</c:v>
                </c:pt>
                <c:pt idx="321">
                  <c:v>27</c:v>
                </c:pt>
                <c:pt idx="322">
                  <c:v>20</c:v>
                </c:pt>
                <c:pt idx="323">
                  <c:v>27</c:v>
                </c:pt>
                <c:pt idx="324">
                  <c:v>25</c:v>
                </c:pt>
                <c:pt idx="325">
                  <c:v>30</c:v>
                </c:pt>
                <c:pt idx="326">
                  <c:v>25</c:v>
                </c:pt>
                <c:pt idx="327">
                  <c:v>30</c:v>
                </c:pt>
                <c:pt idx="328">
                  <c:v>21</c:v>
                </c:pt>
                <c:pt idx="329">
                  <c:v>30</c:v>
                </c:pt>
                <c:pt idx="330">
                  <c:v>25</c:v>
                </c:pt>
                <c:pt idx="331">
                  <c:v>25</c:v>
                </c:pt>
                <c:pt idx="332">
                  <c:v>25</c:v>
                </c:pt>
                <c:pt idx="333">
                  <c:v>30</c:v>
                </c:pt>
                <c:pt idx="334" formatCode="0">
                  <c:v>30</c:v>
                </c:pt>
                <c:pt idx="335" formatCode="0">
                  <c:v>30</c:v>
                </c:pt>
                <c:pt idx="336" formatCode="0">
                  <c:v>30</c:v>
                </c:pt>
                <c:pt idx="337" formatCode="0">
                  <c:v>30</c:v>
                </c:pt>
                <c:pt idx="338" formatCode="0">
                  <c:v>30</c:v>
                </c:pt>
                <c:pt idx="339" formatCode="0">
                  <c:v>30</c:v>
                </c:pt>
                <c:pt idx="340">
                  <c:v>30</c:v>
                </c:pt>
                <c:pt idx="341">
                  <c:v>30</c:v>
                </c:pt>
                <c:pt idx="342">
                  <c:v>28</c:v>
                </c:pt>
                <c:pt idx="343">
                  <c:v>28</c:v>
                </c:pt>
                <c:pt idx="344">
                  <c:v>20</c:v>
                </c:pt>
                <c:pt idx="345">
                  <c:v>20</c:v>
                </c:pt>
                <c:pt idx="346">
                  <c:v>28</c:v>
                </c:pt>
                <c:pt idx="347">
                  <c:v>21</c:v>
                </c:pt>
                <c:pt idx="348">
                  <c:v>21</c:v>
                </c:pt>
                <c:pt idx="349">
                  <c:v>30</c:v>
                </c:pt>
                <c:pt idx="350">
                  <c:v>28</c:v>
                </c:pt>
                <c:pt idx="351">
                  <c:v>28</c:v>
                </c:pt>
                <c:pt idx="352">
                  <c:v>28</c:v>
                </c:pt>
                <c:pt idx="353">
                  <c:v>28</c:v>
                </c:pt>
                <c:pt idx="354">
                  <c:v>28</c:v>
                </c:pt>
                <c:pt idx="356">
                  <c:v>30</c:v>
                </c:pt>
                <c:pt idx="357">
                  <c:v>25</c:v>
                </c:pt>
                <c:pt idx="358">
                  <c:v>25</c:v>
                </c:pt>
                <c:pt idx="359">
                  <c:v>25</c:v>
                </c:pt>
                <c:pt idx="360">
                  <c:v>25</c:v>
                </c:pt>
                <c:pt idx="361">
                  <c:v>25</c:v>
                </c:pt>
                <c:pt idx="362">
                  <c:v>25</c:v>
                </c:pt>
                <c:pt idx="363">
                  <c:v>25</c:v>
                </c:pt>
                <c:pt idx="364">
                  <c:v>25</c:v>
                </c:pt>
                <c:pt idx="365">
                  <c:v>25</c:v>
                </c:pt>
                <c:pt idx="366">
                  <c:v>25</c:v>
                </c:pt>
                <c:pt idx="367">
                  <c:v>25</c:v>
                </c:pt>
                <c:pt idx="368">
                  <c:v>25</c:v>
                </c:pt>
                <c:pt idx="369">
                  <c:v>30</c:v>
                </c:pt>
                <c:pt idx="370">
                  <c:v>30</c:v>
                </c:pt>
                <c:pt idx="371">
                  <c:v>30</c:v>
                </c:pt>
                <c:pt idx="372">
                  <c:v>30</c:v>
                </c:pt>
                <c:pt idx="373">
                  <c:v>30</c:v>
                </c:pt>
                <c:pt idx="374">
                  <c:v>30</c:v>
                </c:pt>
                <c:pt idx="375">
                  <c:v>30</c:v>
                </c:pt>
                <c:pt idx="376">
                  <c:v>30</c:v>
                </c:pt>
                <c:pt idx="377">
                  <c:v>30</c:v>
                </c:pt>
                <c:pt idx="378" formatCode="0">
                  <c:v>30</c:v>
                </c:pt>
                <c:pt idx="379" formatCode="0">
                  <c:v>30</c:v>
                </c:pt>
                <c:pt idx="380">
                  <c:v>30</c:v>
                </c:pt>
                <c:pt idx="381">
                  <c:v>30</c:v>
                </c:pt>
                <c:pt idx="382">
                  <c:v>30</c:v>
                </c:pt>
                <c:pt idx="383" formatCode="0">
                  <c:v>30</c:v>
                </c:pt>
                <c:pt idx="384" formatCode="0">
                  <c:v>28</c:v>
                </c:pt>
                <c:pt idx="385" formatCode="0">
                  <c:v>30</c:v>
                </c:pt>
                <c:pt idx="386">
                  <c:v>30</c:v>
                </c:pt>
                <c:pt idx="387">
                  <c:v>30</c:v>
                </c:pt>
                <c:pt idx="388">
                  <c:v>30</c:v>
                </c:pt>
                <c:pt idx="389">
                  <c:v>30</c:v>
                </c:pt>
                <c:pt idx="390">
                  <c:v>30</c:v>
                </c:pt>
                <c:pt idx="391" formatCode="0">
                  <c:v>30</c:v>
                </c:pt>
                <c:pt idx="392" formatCode="0">
                  <c:v>30</c:v>
                </c:pt>
                <c:pt idx="393" formatCode="0">
                  <c:v>30</c:v>
                </c:pt>
                <c:pt idx="394" formatCode="0">
                  <c:v>30</c:v>
                </c:pt>
                <c:pt idx="395" formatCode="0">
                  <c:v>30</c:v>
                </c:pt>
                <c:pt idx="396" formatCode="0">
                  <c:v>30</c:v>
                </c:pt>
                <c:pt idx="397">
                  <c:v>29</c:v>
                </c:pt>
                <c:pt idx="398">
                  <c:v>25</c:v>
                </c:pt>
                <c:pt idx="399">
                  <c:v>25</c:v>
                </c:pt>
                <c:pt idx="400">
                  <c:v>30</c:v>
                </c:pt>
                <c:pt idx="401">
                  <c:v>30</c:v>
                </c:pt>
                <c:pt idx="402">
                  <c:v>30</c:v>
                </c:pt>
                <c:pt idx="403">
                  <c:v>30</c:v>
                </c:pt>
                <c:pt idx="404">
                  <c:v>30</c:v>
                </c:pt>
                <c:pt idx="405">
                  <c:v>30</c:v>
                </c:pt>
                <c:pt idx="406">
                  <c:v>20</c:v>
                </c:pt>
                <c:pt idx="407">
                  <c:v>20</c:v>
                </c:pt>
                <c:pt idx="408">
                  <c:v>25</c:v>
                </c:pt>
                <c:pt idx="409">
                  <c:v>15</c:v>
                </c:pt>
                <c:pt idx="410">
                  <c:v>15</c:v>
                </c:pt>
                <c:pt idx="411">
                  <c:v>20</c:v>
                </c:pt>
                <c:pt idx="412">
                  <c:v>30</c:v>
                </c:pt>
                <c:pt idx="413">
                  <c:v>30</c:v>
                </c:pt>
                <c:pt idx="414">
                  <c:v>5</c:v>
                </c:pt>
                <c:pt idx="415">
                  <c:v>13</c:v>
                </c:pt>
                <c:pt idx="416">
                  <c:v>25</c:v>
                </c:pt>
                <c:pt idx="417">
                  <c:v>23</c:v>
                </c:pt>
                <c:pt idx="418">
                  <c:v>22</c:v>
                </c:pt>
                <c:pt idx="419">
                  <c:v>23</c:v>
                </c:pt>
                <c:pt idx="420">
                  <c:v>22</c:v>
                </c:pt>
                <c:pt idx="421">
                  <c:v>23</c:v>
                </c:pt>
                <c:pt idx="422">
                  <c:v>22</c:v>
                </c:pt>
                <c:pt idx="423">
                  <c:v>23</c:v>
                </c:pt>
                <c:pt idx="424">
                  <c:v>25</c:v>
                </c:pt>
                <c:pt idx="425">
                  <c:v>24</c:v>
                </c:pt>
                <c:pt idx="426">
                  <c:v>30</c:v>
                </c:pt>
                <c:pt idx="427">
                  <c:v>30</c:v>
                </c:pt>
                <c:pt idx="428">
                  <c:v>24</c:v>
                </c:pt>
                <c:pt idx="429">
                  <c:v>23</c:v>
                </c:pt>
                <c:pt idx="430">
                  <c:v>21</c:v>
                </c:pt>
                <c:pt idx="431">
                  <c:v>23</c:v>
                </c:pt>
                <c:pt idx="432">
                  <c:v>22</c:v>
                </c:pt>
                <c:pt idx="433">
                  <c:v>30</c:v>
                </c:pt>
                <c:pt idx="434">
                  <c:v>20</c:v>
                </c:pt>
                <c:pt idx="435">
                  <c:v>25</c:v>
                </c:pt>
                <c:pt idx="436">
                  <c:v>25</c:v>
                </c:pt>
                <c:pt idx="437">
                  <c:v>26</c:v>
                </c:pt>
                <c:pt idx="438">
                  <c:v>30</c:v>
                </c:pt>
                <c:pt idx="439">
                  <c:v>30</c:v>
                </c:pt>
                <c:pt idx="440">
                  <c:v>30</c:v>
                </c:pt>
                <c:pt idx="441">
                  <c:v>30</c:v>
                </c:pt>
                <c:pt idx="442">
                  <c:v>26</c:v>
                </c:pt>
                <c:pt idx="443">
                  <c:v>25</c:v>
                </c:pt>
                <c:pt idx="444">
                  <c:v>26</c:v>
                </c:pt>
                <c:pt idx="445">
                  <c:v>24</c:v>
                </c:pt>
                <c:pt idx="446">
                  <c:v>20</c:v>
                </c:pt>
                <c:pt idx="447">
                  <c:v>26</c:v>
                </c:pt>
                <c:pt idx="448">
                  <c:v>22</c:v>
                </c:pt>
                <c:pt idx="449">
                  <c:v>24</c:v>
                </c:pt>
                <c:pt idx="450">
                  <c:v>28</c:v>
                </c:pt>
                <c:pt idx="451">
                  <c:v>24</c:v>
                </c:pt>
                <c:pt idx="452">
                  <c:v>24</c:v>
                </c:pt>
                <c:pt idx="453">
                  <c:v>15</c:v>
                </c:pt>
                <c:pt idx="454">
                  <c:v>33</c:v>
                </c:pt>
                <c:pt idx="455">
                  <c:v>30</c:v>
                </c:pt>
                <c:pt idx="456">
                  <c:v>25</c:v>
                </c:pt>
                <c:pt idx="457">
                  <c:v>30</c:v>
                </c:pt>
                <c:pt idx="458">
                  <c:v>30</c:v>
                </c:pt>
                <c:pt idx="459">
                  <c:v>26</c:v>
                </c:pt>
                <c:pt idx="461">
                  <c:v>60</c:v>
                </c:pt>
                <c:pt idx="462">
                  <c:v>30</c:v>
                </c:pt>
                <c:pt idx="463">
                  <c:v>22</c:v>
                </c:pt>
                <c:pt idx="464">
                  <c:v>17</c:v>
                </c:pt>
                <c:pt idx="465">
                  <c:v>22</c:v>
                </c:pt>
                <c:pt idx="466">
                  <c:v>30</c:v>
                </c:pt>
                <c:pt idx="467">
                  <c:v>30</c:v>
                </c:pt>
                <c:pt idx="468">
                  <c:v>30</c:v>
                </c:pt>
                <c:pt idx="469">
                  <c:v>30</c:v>
                </c:pt>
                <c:pt idx="470">
                  <c:v>30</c:v>
                </c:pt>
                <c:pt idx="471">
                  <c:v>30</c:v>
                </c:pt>
                <c:pt idx="472">
                  <c:v>30</c:v>
                </c:pt>
                <c:pt idx="473">
                  <c:v>30</c:v>
                </c:pt>
                <c:pt idx="474">
                  <c:v>28</c:v>
                </c:pt>
                <c:pt idx="475">
                  <c:v>27</c:v>
                </c:pt>
                <c:pt idx="476">
                  <c:v>20</c:v>
                </c:pt>
                <c:pt idx="477">
                  <c:v>20</c:v>
                </c:pt>
                <c:pt idx="478">
                  <c:v>20</c:v>
                </c:pt>
                <c:pt idx="479">
                  <c:v>30</c:v>
                </c:pt>
                <c:pt idx="480">
                  <c:v>26</c:v>
                </c:pt>
                <c:pt idx="481">
                  <c:v>25</c:v>
                </c:pt>
                <c:pt idx="482">
                  <c:v>30</c:v>
                </c:pt>
                <c:pt idx="483">
                  <c:v>30</c:v>
                </c:pt>
                <c:pt idx="484">
                  <c:v>28</c:v>
                </c:pt>
                <c:pt idx="485">
                  <c:v>25</c:v>
                </c:pt>
                <c:pt idx="486">
                  <c:v>34</c:v>
                </c:pt>
                <c:pt idx="487">
                  <c:v>30</c:v>
                </c:pt>
                <c:pt idx="488">
                  <c:v>34</c:v>
                </c:pt>
                <c:pt idx="489">
                  <c:v>16</c:v>
                </c:pt>
              </c:numCache>
            </c:numRef>
          </c:val>
          <c:smooth val="0"/>
          <c:extLst>
            <c:ext xmlns:c16="http://schemas.microsoft.com/office/drawing/2014/chart" uri="{C3380CC4-5D6E-409C-BE32-E72D297353CC}">
              <c16:uniqueId val="{00000000-4D17-4C3F-BC2F-B3FDE513861A}"/>
            </c:ext>
          </c:extLst>
        </c:ser>
        <c:dLbls>
          <c:showLegendKey val="0"/>
          <c:showVal val="0"/>
          <c:showCatName val="0"/>
          <c:showSerName val="0"/>
          <c:showPercent val="0"/>
          <c:showBubbleSize val="0"/>
        </c:dLbls>
        <c:marker val="1"/>
        <c:smooth val="0"/>
        <c:axId val="2009945296"/>
        <c:axId val="2009943216"/>
      </c:lineChart>
      <c:catAx>
        <c:axId val="200994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009943216"/>
        <c:crosses val="autoZero"/>
        <c:auto val="1"/>
        <c:lblAlgn val="ctr"/>
        <c:lblOffset val="100"/>
        <c:noMultiLvlLbl val="0"/>
      </c:catAx>
      <c:valAx>
        <c:axId val="200994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Plateau and Roll Width (cm)</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ko-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2009945296"/>
        <c:crosses val="autoZero"/>
        <c:crossBetween val="between"/>
        <c:majorUnit val="10"/>
      </c:valAx>
      <c:spPr>
        <a:noFill/>
        <a:ln>
          <a:noFill/>
        </a:ln>
        <a:effectLst/>
      </c:spPr>
    </c:plotArea>
    <c:legend>
      <c:legendPos val="r"/>
      <c:layout>
        <c:manualLayout>
          <c:xMode val="edge"/>
          <c:yMode val="edge"/>
          <c:x val="0.621000499766164"/>
          <c:y val="0.11438558922411252"/>
          <c:w val="0.14278294526144497"/>
          <c:h val="8.2865020822463858E-2"/>
        </c:manualLayout>
      </c:layout>
      <c:overlay val="0"/>
      <c:spPr>
        <a:solidFill>
          <a:sysClr val="window" lastClr="FFFFFF"/>
        </a:solidFill>
        <a:ln>
          <a:solidFill>
            <a:sysClr val="windowText" lastClr="000000"/>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Top of HUD Area vs. Roll Width</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panose="020F0502020204030204"/>
            </a:rPr>
            <a:t>Top of HUD Area vs. Roll Width</a:t>
          </a:r>
        </a:p>
      </cx:txPr>
    </cx:title>
    <cx:plotArea>
      <cx:plotAreaRegion>
        <cx:series layoutId="clusteredColumn" hidden="1" uniqueId="{86BFD549-CBC6-4AE8-B4B2-4112A3FF08B9}" formatIdx="0">
          <cx:dataId val="0"/>
          <cx:layoutPr>
            <cx:binning intervalClosed="r"/>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82EB0D3-83D8-4F0A-9BA1-6B2C43F01D9E}">
  <sheetPr/>
  <sheetViews>
    <sheetView zoomScale="108"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7A369B9-5AC5-49A7-ADA4-46EA094E7A9E}">
  <sheetPr/>
  <sheetViews>
    <sheetView zoomScale="107"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465EDC9-A63B-4E23-AEBE-0AFE945D2012}">
  <sheetPr/>
  <sheetViews>
    <sheetView zoomScale="107"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1401E82-8295-45E5-9A5C-D890C2630838}">
  <sheetPr/>
  <sheetViews>
    <sheetView zoomScale="107" workbookViewId="0" zoomToFit="1"/>
  </sheetViews>
  <pageMargins left="0.7" right="0.7" top="0.75" bottom="0.75" header="0.3" footer="0.3"/>
  <pageSetup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0CD4DA6-D4A0-49B1-BBAB-40B6C810847B}">
  <sheetPr/>
  <sheetViews>
    <sheetView zoomScale="107"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6.xml"/><Relationship Id="rId1" Type="http://schemas.microsoft.com/office/2014/relationships/chartEx" Target="../charts/chartEx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352425</xdr:colOff>
      <xdr:row>3</xdr:row>
      <xdr:rowOff>66675</xdr:rowOff>
    </xdr:from>
    <xdr:to>
      <xdr:col>9</xdr:col>
      <xdr:colOff>104775</xdr:colOff>
      <xdr:row>7</xdr:row>
      <xdr:rowOff>95250</xdr:rowOff>
    </xdr:to>
    <xdr:sp macro="" textlink="">
      <xdr:nvSpPr>
        <xdr:cNvPr id="2" name="TextBox 1">
          <a:extLst>
            <a:ext uri="{FF2B5EF4-FFF2-40B4-BE49-F238E27FC236}">
              <a16:creationId xmlns:a16="http://schemas.microsoft.com/office/drawing/2014/main" id="{720CE68D-F96B-D5A8-FBD2-8FB3B8788FB5}"/>
            </a:ext>
          </a:extLst>
        </xdr:cNvPr>
        <xdr:cNvSpPr txBox="1"/>
      </xdr:nvSpPr>
      <xdr:spPr>
        <a:xfrm>
          <a:off x="1190625" y="1057275"/>
          <a:ext cx="8229600" cy="752475"/>
        </a:xfrm>
        <a:prstGeom prst="rect">
          <a:avLst/>
        </a:prstGeom>
        <a:solidFill>
          <a:schemeClr val="accent4">
            <a:lumMod val="40000"/>
            <a:lumOff val="60000"/>
            <a:alpha val="67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400" kern="1200"/>
            <a:t>Horizontal interleaved is not recommended for HUD usage since the LWA</a:t>
          </a:r>
          <a:r>
            <a:rPr lang="en-US" sz="1400" kern="1200" baseline="0"/>
            <a:t> may be affected during shipment</a:t>
          </a:r>
          <a:endParaRPr lang="en-US" sz="1400" kern="1200"/>
        </a:p>
      </xdr:txBody>
    </xdr:sp>
    <xdr:clientData/>
  </xdr:twoCellAnchor>
  <xdr:twoCellAnchor>
    <xdr:from>
      <xdr:col>1</xdr:col>
      <xdr:colOff>161925</xdr:colOff>
      <xdr:row>22</xdr:row>
      <xdr:rowOff>95250</xdr:rowOff>
    </xdr:from>
    <xdr:to>
      <xdr:col>8</xdr:col>
      <xdr:colOff>904875</xdr:colOff>
      <xdr:row>26</xdr:row>
      <xdr:rowOff>123825</xdr:rowOff>
    </xdr:to>
    <xdr:sp macro="" textlink="">
      <xdr:nvSpPr>
        <xdr:cNvPr id="3" name="TextBox 2">
          <a:extLst>
            <a:ext uri="{FF2B5EF4-FFF2-40B4-BE49-F238E27FC236}">
              <a16:creationId xmlns:a16="http://schemas.microsoft.com/office/drawing/2014/main" id="{75C8B243-640A-45BF-8634-73197B2D9DCA}"/>
            </a:ext>
          </a:extLst>
        </xdr:cNvPr>
        <xdr:cNvSpPr txBox="1"/>
      </xdr:nvSpPr>
      <xdr:spPr>
        <a:xfrm>
          <a:off x="1000125" y="4543425"/>
          <a:ext cx="8210550" cy="752475"/>
        </a:xfrm>
        <a:prstGeom prst="rect">
          <a:avLst/>
        </a:prstGeom>
        <a:solidFill>
          <a:schemeClr val="accent4">
            <a:lumMod val="40000"/>
            <a:lumOff val="60000"/>
            <a:alpha val="67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400" kern="1200"/>
            <a:t>Horizontal interleaved is not recommended for HUD usage since the LWA</a:t>
          </a:r>
          <a:r>
            <a:rPr lang="en-US" sz="1400" kern="1200" baseline="0"/>
            <a:t> may be affected during shipment</a:t>
          </a:r>
          <a:endParaRPr lang="en-US" sz="1400" kern="1200"/>
        </a:p>
      </xdr:txBody>
    </xdr:sp>
    <xdr:clientData/>
  </xdr:twoCellAnchor>
</xdr:wsDr>
</file>

<file path=xl/drawings/drawing2.xml><?xml version="1.0" encoding="utf-8"?>
<xdr:wsDr xmlns:xdr="http://schemas.openxmlformats.org/drawingml/2006/spreadsheetDrawing" xmlns:a="http://schemas.openxmlformats.org/drawingml/2006/main">
  <xdr:absoluteAnchor>
    <xdr:pos x="0" y="0"/>
    <xdr:ext cx="8678333" cy="6297083"/>
    <xdr:graphicFrame macro="">
      <xdr:nvGraphicFramePr>
        <xdr:cNvPr id="2" name="Chart 1">
          <a:extLst>
            <a:ext uri="{FF2B5EF4-FFF2-40B4-BE49-F238E27FC236}">
              <a16:creationId xmlns:a16="http://schemas.microsoft.com/office/drawing/2014/main" id="{C2ADF44B-E129-1A80-A376-14AEBF46A24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c:userShapes xmlns:c="http://schemas.openxmlformats.org/drawingml/2006/chart">
  <cdr:relSizeAnchor xmlns:cdr="http://schemas.openxmlformats.org/drawingml/2006/chartDrawing">
    <cdr:from>
      <cdr:x>0.26101</cdr:x>
      <cdr:y>0.60573</cdr:y>
    </cdr:from>
    <cdr:to>
      <cdr:x>0.82927</cdr:x>
      <cdr:y>0.76226</cdr:y>
    </cdr:to>
    <cdr:sp macro="" textlink="">
      <cdr:nvSpPr>
        <cdr:cNvPr id="2" name="Oval 1">
          <a:extLst xmlns:a="http://schemas.openxmlformats.org/drawingml/2006/main">
            <a:ext uri="{FF2B5EF4-FFF2-40B4-BE49-F238E27FC236}">
              <a16:creationId xmlns:a16="http://schemas.microsoft.com/office/drawing/2014/main" id="{21202649-DBFA-E71A-8DC1-01F842B47C15}"/>
            </a:ext>
          </a:extLst>
        </cdr:cNvPr>
        <cdr:cNvSpPr/>
      </cdr:nvSpPr>
      <cdr:spPr>
        <a:xfrm xmlns:a="http://schemas.openxmlformats.org/drawingml/2006/main" rot="19882197">
          <a:off x="2260866" y="3811860"/>
          <a:ext cx="4922318" cy="985064"/>
        </a:xfrm>
        <a:prstGeom xmlns:a="http://schemas.openxmlformats.org/drawingml/2006/main" prst="ellipse">
          <a:avLst/>
        </a:prstGeom>
        <a:noFill xmlns:a="http://schemas.openxmlformats.org/drawingml/2006/main"/>
        <a:ln xmlns:a="http://schemas.openxmlformats.org/drawingml/2006/main">
          <a:solidFill>
            <a:srgbClr val="FF0000"/>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0.51598</cdr:x>
      <cdr:y>0.73997</cdr:y>
    </cdr:from>
    <cdr:to>
      <cdr:x>0.66688</cdr:x>
      <cdr:y>0.78201</cdr:y>
    </cdr:to>
    <cdr:sp macro="" textlink="">
      <cdr:nvSpPr>
        <cdr:cNvPr id="3" name="TextBox 2">
          <a:extLst xmlns:a="http://schemas.openxmlformats.org/drawingml/2006/main">
            <a:ext uri="{FF2B5EF4-FFF2-40B4-BE49-F238E27FC236}">
              <a16:creationId xmlns:a16="http://schemas.microsoft.com/office/drawing/2014/main" id="{5473735E-B1D3-4AB1-C033-9A7703B339B1}"/>
            </a:ext>
          </a:extLst>
        </cdr:cNvPr>
        <cdr:cNvSpPr txBox="1"/>
      </cdr:nvSpPr>
      <cdr:spPr>
        <a:xfrm xmlns:a="http://schemas.openxmlformats.org/drawingml/2006/main" rot="19856187">
          <a:off x="4469423" y="4656667"/>
          <a:ext cx="1307153" cy="264560"/>
        </a:xfrm>
        <a:prstGeom xmlns:a="http://schemas.openxmlformats.org/drawingml/2006/main" prst="rect">
          <a:avLst/>
        </a:prstGeom>
      </cdr:spPr>
      <cdr:txBody>
        <a:bodyPr xmlns:a="http://schemas.openxmlformats.org/drawingml/2006/main" vertOverflow="clip" wrap="none" rtlCol="0">
          <a:spAutoFit/>
        </a:bodyPr>
        <a:lstStyle xmlns:a="http://schemas.openxmlformats.org/drawingml/2006/main"/>
        <a:p xmlns:a="http://schemas.openxmlformats.org/drawingml/2006/main">
          <a:r>
            <a:rPr lang="en-US" sz="1100">
              <a:solidFill>
                <a:srgbClr val="FF0000"/>
              </a:solidFill>
            </a:rPr>
            <a:t>Thin wedge designs</a:t>
          </a:r>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117475</xdr:colOff>
      <xdr:row>2</xdr:row>
      <xdr:rowOff>174625</xdr:rowOff>
    </xdr:from>
    <xdr:to>
      <xdr:col>10</xdr:col>
      <xdr:colOff>422275</xdr:colOff>
      <xdr:row>17</xdr:row>
      <xdr:rowOff>155575</xdr:rowOff>
    </xdr:to>
    <xdr:graphicFrame macro="">
      <xdr:nvGraphicFramePr>
        <xdr:cNvPr id="2" name="Chart 1">
          <a:extLst>
            <a:ext uri="{FF2B5EF4-FFF2-40B4-BE49-F238E27FC236}">
              <a16:creationId xmlns:a16="http://schemas.microsoft.com/office/drawing/2014/main" id="{196E9D32-A3D2-2025-5564-5B7AEBB2F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196850</xdr:colOff>
      <xdr:row>1</xdr:row>
      <xdr:rowOff>57150</xdr:rowOff>
    </xdr:from>
    <xdr:to>
      <xdr:col>10</xdr:col>
      <xdr:colOff>501650</xdr:colOff>
      <xdr:row>15</xdr:row>
      <xdr:rowOff>133350</xdr:rowOff>
    </xdr:to>
    <xdr:graphicFrame macro="">
      <xdr:nvGraphicFramePr>
        <xdr:cNvPr id="2" name="Chart 1">
          <a:extLst>
            <a:ext uri="{FF2B5EF4-FFF2-40B4-BE49-F238E27FC236}">
              <a16:creationId xmlns:a16="http://schemas.microsoft.com/office/drawing/2014/main" id="{6FBF1E24-57A9-93FB-E067-91A6326DE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id="{F4ECE8D3-46AE-456C-12B3-2A40D9ADE1E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0.10704</cdr:x>
      <cdr:y>0.10063</cdr:y>
    </cdr:from>
    <cdr:to>
      <cdr:x>0.51975</cdr:x>
      <cdr:y>0.14516</cdr:y>
    </cdr:to>
    <cdr:sp macro="" textlink="">
      <cdr:nvSpPr>
        <cdr:cNvPr id="2" name="TextBox 1">
          <a:extLst xmlns:a="http://schemas.openxmlformats.org/drawingml/2006/main">
            <a:ext uri="{FF2B5EF4-FFF2-40B4-BE49-F238E27FC236}">
              <a16:creationId xmlns:a16="http://schemas.microsoft.com/office/drawing/2014/main" id="{BBFABD3C-BDF5-9477-EF06-A639F7E4620A}"/>
            </a:ext>
          </a:extLst>
        </cdr:cNvPr>
        <cdr:cNvSpPr txBox="1"/>
      </cdr:nvSpPr>
      <cdr:spPr>
        <a:xfrm xmlns:a="http://schemas.openxmlformats.org/drawingml/2006/main">
          <a:off x="928077" y="633294"/>
          <a:ext cx="3578287" cy="280205"/>
        </a:xfrm>
        <a:prstGeom xmlns:a="http://schemas.openxmlformats.org/drawingml/2006/main" prst="rect">
          <a:avLst/>
        </a:prstGeom>
        <a:solidFill xmlns:a="http://schemas.openxmlformats.org/drawingml/2006/main">
          <a:srgbClr val="FFFF00"/>
        </a:solidFill>
      </cdr:spPr>
      <cdr:txBody>
        <a:bodyPr xmlns:a="http://schemas.openxmlformats.org/drawingml/2006/main" vertOverflow="clip" horzOverflow="clip" wrap="none" rtlCol="0" anchor="ctr">
          <a:spAutoFit/>
        </a:bodyPr>
        <a:lstStyle xmlns:a="http://schemas.openxmlformats.org/drawingml/2006/main"/>
        <a:p xmlns:a="http://schemas.openxmlformats.org/drawingml/2006/main">
          <a:pPr algn="l"/>
          <a:r>
            <a:rPr lang="en-US" sz="1200"/>
            <a:t>Note</a:t>
          </a:r>
          <a:r>
            <a:rPr lang="en-US" sz="1200" baseline="0"/>
            <a:t> which set of data is being displayed (dropdowns)</a:t>
          </a:r>
          <a:endParaRPr lang="en-US" sz="1200"/>
        </a:p>
      </cdr:txBody>
    </cdr:sp>
  </cdr:relSizeAnchor>
</c:userShapes>
</file>

<file path=xl/drawings/drawing8.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id="{928A7379-5635-1D8B-B5CE-F52B1E548AF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0.10704</cdr:x>
      <cdr:y>0.10063</cdr:y>
    </cdr:from>
    <cdr:to>
      <cdr:x>0.51975</cdr:x>
      <cdr:y>0.14516</cdr:y>
    </cdr:to>
    <cdr:sp macro="" textlink="">
      <cdr:nvSpPr>
        <cdr:cNvPr id="2" name="TextBox 1">
          <a:extLst xmlns:a="http://schemas.openxmlformats.org/drawingml/2006/main">
            <a:ext uri="{FF2B5EF4-FFF2-40B4-BE49-F238E27FC236}">
              <a16:creationId xmlns:a16="http://schemas.microsoft.com/office/drawing/2014/main" id="{BBFABD3C-BDF5-9477-EF06-A639F7E4620A}"/>
            </a:ext>
          </a:extLst>
        </cdr:cNvPr>
        <cdr:cNvSpPr txBox="1"/>
      </cdr:nvSpPr>
      <cdr:spPr>
        <a:xfrm xmlns:a="http://schemas.openxmlformats.org/drawingml/2006/main">
          <a:off x="928077" y="633294"/>
          <a:ext cx="3578287" cy="280205"/>
        </a:xfrm>
        <a:prstGeom xmlns:a="http://schemas.openxmlformats.org/drawingml/2006/main" prst="rect">
          <a:avLst/>
        </a:prstGeom>
        <a:solidFill xmlns:a="http://schemas.openxmlformats.org/drawingml/2006/main">
          <a:srgbClr val="FFFF00"/>
        </a:solidFill>
      </cdr:spPr>
      <cdr:txBody>
        <a:bodyPr xmlns:a="http://schemas.openxmlformats.org/drawingml/2006/main" vertOverflow="clip" horzOverflow="clip" wrap="none" rtlCol="0" anchor="ctr">
          <a:spAutoFit/>
        </a:bodyPr>
        <a:lstStyle xmlns:a="http://schemas.openxmlformats.org/drawingml/2006/main"/>
        <a:p xmlns:a="http://schemas.openxmlformats.org/drawingml/2006/main">
          <a:pPr algn="l"/>
          <a:r>
            <a:rPr lang="en-US" sz="1200"/>
            <a:t>Note</a:t>
          </a:r>
          <a:r>
            <a:rPr lang="en-US" sz="1200" baseline="0"/>
            <a:t> which set of data is being displayed (dropdowns)</a:t>
          </a:r>
          <a:endParaRPr lang="en-US" sz="1200"/>
        </a:p>
      </cdr:txBody>
    </cdr:sp>
  </cdr:relSizeAnchor>
</c:userShapes>
</file>

<file path=xl/drawings/drawing10.xml><?xml version="1.0" encoding="utf-8"?>
<xdr:wsDr xmlns:xdr="http://schemas.openxmlformats.org/drawingml/2006/spreadsheetDrawing" xmlns:a="http://schemas.openxmlformats.org/drawingml/2006/main">
  <xdr:absoluteAnchor>
    <xdr:pos x="0" y="0"/>
    <xdr:ext cx="8670421" cy="6302523"/>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8894D78-221A-3608-2964-02E12BD314AE}"/>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11.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
          <a:extLst xmlns:a="http://schemas.openxmlformats.org/drawingml/2006/main">
            <a:ext uri="{FF2B5EF4-FFF2-40B4-BE49-F238E27FC236}">
              <a16:creationId xmlns:a16="http://schemas.microsoft.com/office/drawing/2014/main" id="{F6CA8A48-1976-E41B-8920-3DA6A2F9E72F}"/>
            </a:ext>
          </a:extLst>
        </cdr:cNvPr>
        <cdr:cNvSpPr>
          <a:spLocks xmlns:a="http://schemas.openxmlformats.org/drawingml/2006/main" noTextEdit="1"/>
        </cdr:cNvSpPr>
      </cdr:nvSpPr>
      <cdr:spPr>
        <a:xfrm xmlns:a="http://schemas.openxmlformats.org/drawingml/2006/main">
          <a:off x="0" y="0"/>
          <a:ext cx="0" cy="0"/>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sz="1100"/>
            <a:t>Excel 버전에서는 이 차트를 사용할 수 없습니다.
이 도형을 편집하거나 이 통합 문서를 다른 파일 형식으로 저장하면 차트가 영구적으로 손상됩니다.</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id="{C823D162-220E-931F-958C-B53177F8EE8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xdr:wsDr xmlns:xdr="http://schemas.openxmlformats.org/drawingml/2006/spreadsheetDrawing" xmlns:a="http://schemas.openxmlformats.org/drawingml/2006/main">
  <xdr:oneCellAnchor>
    <xdr:from>
      <xdr:col>2</xdr:col>
      <xdr:colOff>1307682</xdr:colOff>
      <xdr:row>9</xdr:row>
      <xdr:rowOff>49276</xdr:rowOff>
    </xdr:from>
    <xdr:ext cx="2804614" cy="718466"/>
    <xdr:sp macro="" textlink="">
      <xdr:nvSpPr>
        <xdr:cNvPr id="2" name="TextBox 1">
          <a:extLst>
            <a:ext uri="{FF2B5EF4-FFF2-40B4-BE49-F238E27FC236}">
              <a16:creationId xmlns:a16="http://schemas.microsoft.com/office/drawing/2014/main" id="{334534E7-8C36-AFC2-316C-9D7973F6DB9B}"/>
            </a:ext>
          </a:extLst>
        </xdr:cNvPr>
        <xdr:cNvSpPr txBox="1"/>
      </xdr:nvSpPr>
      <xdr:spPr>
        <a:xfrm rot="20179309">
          <a:off x="4469982" y="2240026"/>
          <a:ext cx="2804614" cy="718466"/>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000"/>
            <a:t>Out</a:t>
          </a:r>
          <a:r>
            <a:rPr lang="en-US" sz="4000" baseline="0"/>
            <a:t> of date?</a:t>
          </a:r>
          <a:endParaRPr lang="en-US" sz="40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iss, Kevin" refreshedDate="46156.601302083334" createdVersion="5" refreshedVersion="8" minRefreshableVersion="3" recordCount="663" xr:uid="{00000000-000A-0000-FFFF-FFFF01000000}">
  <cacheSource type="worksheet">
    <worksheetSource ref="A5:BB672" sheet="W-code list"/>
  </cacheSource>
  <cacheFields count="54">
    <cacheField name="Customer" numFmtId="0">
      <sharedItems/>
    </cacheField>
    <cacheField name="Lamination Plant" numFmtId="0">
      <sharedItems containsBlank="1"/>
    </cacheField>
    <cacheField name="Car Make (BMW, Ford, etc.)" numFmtId="0">
      <sharedItems containsBlank="1"/>
    </cacheField>
    <cacheField name="Car Model_x000a_(5 series, Focus, etc.)" numFmtId="0">
      <sharedItems containsBlank="1" containsMixedTypes="1" containsNumber="1" containsInteger="1" minValue="3" maxValue="3"/>
    </cacheField>
    <cacheField name="OEM or ARG?" numFmtId="0">
      <sharedItems containsBlank="1"/>
    </cacheField>
    <cacheField name="Developmental, Commercial, Obsolete" numFmtId="0">
      <sharedItems containsBlank="1" count="4">
        <s v="D"/>
        <s v="O"/>
        <s v="C"/>
        <m u="1"/>
      </sharedItems>
    </cacheField>
    <cacheField name="Product Code" numFmtId="0">
      <sharedItems/>
    </cacheField>
    <cacheField name="Adh. Grade" numFmtId="0">
      <sharedItems containsBlank="1"/>
    </cacheField>
    <cacheField name="Pattern" numFmtId="0">
      <sharedItems containsBlank="1"/>
    </cacheField>
    <cacheField name="Band color" numFmtId="0">
      <sharedItems containsBlank="1"/>
    </cacheField>
    <cacheField name="PVB Type" numFmtId="0">
      <sharedItems containsBlank="1" count="4">
        <s v="Acoustic"/>
        <s v="Standard"/>
        <s v="Gen 2 acou." u="1"/>
        <m u="1"/>
      </sharedItems>
    </cacheField>
    <cacheField name="BF Code(s)" numFmtId="0">
      <sharedItems containsBlank="1"/>
    </cacheField>
    <cacheField name="Smoothed Transition" numFmtId="0">
      <sharedItems containsBlank="1"/>
    </cacheField>
    <cacheField name="Extr. Line" numFmtId="0">
      <sharedItems containsBlank="1"/>
    </cacheField>
    <cacheField name="Wedge Angle (mrad)" numFmtId="0">
      <sharedItems containsString="0" containsBlank="1" containsNumber="1" minValue="0.09" maxValue="0.75" count="62">
        <n v="0.27"/>
        <n v="0.51"/>
        <n v="0.62"/>
        <n v="0.45"/>
        <n v="0.18"/>
        <n v="0.14000000000000001"/>
        <n v="0.11"/>
        <n v="0.35"/>
        <n v="0.19"/>
        <n v="0.23"/>
        <n v="0.39"/>
        <n v="0.64"/>
        <n v="0.09"/>
        <n v="0.2"/>
        <n v="0.3"/>
        <n v="0.36"/>
        <n v="0.44"/>
        <n v="0.49"/>
        <n v="0.42"/>
        <n v="0.24"/>
        <n v="0.21"/>
        <n v="0.6"/>
        <n v="0.63"/>
        <n v="0.55000000000000004"/>
        <n v="0.41"/>
        <n v="0.47"/>
        <n v="0.28000000000000003"/>
        <n v="0.33"/>
        <n v="0.52"/>
        <n v="0.5"/>
        <n v="0.25"/>
        <n v="0.37"/>
        <n v="0.72"/>
        <n v="0.68"/>
        <n v="0.28999999999999998"/>
        <n v="0.53"/>
        <n v="0.7"/>
        <n v="0.46"/>
        <n v="0.54"/>
        <m/>
        <n v="0.57999999999999996"/>
        <n v="0.17"/>
        <n v="0.22"/>
        <n v="0.26"/>
        <n v="0.4"/>
        <n v="0.71"/>
        <n v="0.31"/>
        <n v="0.48"/>
        <n v="0.59"/>
        <n v="0.65"/>
        <n v="0.32"/>
        <n v="0.56000000000000005"/>
        <n v="0.56999999999999995"/>
        <n v="0.66"/>
        <n v="0.75"/>
        <n v="0.34"/>
        <n v="0.38"/>
        <n v="0.43"/>
        <n v="0.12"/>
        <n v="0.67"/>
        <n v="0.61"/>
        <n v="0.16"/>
      </sharedItems>
    </cacheField>
    <cacheField name="Roll Width (cm)" numFmtId="0">
      <sharedItems containsBlank="1" containsMixedTypes="1" containsNumber="1" containsInteger="1" minValue="81" maxValue="194"/>
    </cacheField>
    <cacheField name="Flat Width (cm)" numFmtId="0">
      <sharedItems containsBlank="1" containsMixedTypes="1" containsNumber="1" containsInteger="1" minValue="5" maxValue="86"/>
    </cacheField>
    <cacheField name="Band Width (cm)" numFmtId="0">
      <sharedItems containsBlank="1" containsMixedTypes="1" containsNumber="1" containsInteger="1" minValue="10" maxValue="26"/>
    </cacheField>
    <cacheField name="Clear width (cm)" numFmtId="0">
      <sharedItems containsMixedTypes="1" containsNumber="1" containsInteger="1" minValue="0" maxValue="106"/>
    </cacheField>
    <cacheField name="Thin Edge Cal. (mm)" numFmtId="2">
      <sharedItems containsString="0" containsBlank="1" containsNumber="1" minValue="0.38" maxValue="0.87"/>
    </cacheField>
    <cacheField name="HUD Bot. (mm)" numFmtId="0">
      <sharedItems containsBlank="1" containsMixedTypes="1" containsNumber="1" containsInteger="1" minValue="80" maxValue="710"/>
    </cacheField>
    <cacheField name="HUD Top (mm)" numFmtId="0">
      <sharedItems containsBlank="1" containsMixedTypes="1" containsNumber="1" containsInteger="1" minValue="356" maxValue="920"/>
    </cacheField>
    <cacheField name="HUD Span (mm)" numFmtId="0">
      <sharedItems containsMixedTypes="1" containsNumber="1" containsInteger="1" minValue="0" maxValue="690"/>
    </cacheField>
    <cacheField name="HUD Top to Trans'n (mm)" numFmtId="0">
      <sharedItems containsMixedTypes="1" containsNumber="1" containsInteger="1" minValue="0" maxValue="1320"/>
    </cacheField>
    <cacheField name="GWA Bot. (mm)" numFmtId="0">
      <sharedItems containsBlank="1" containsMixedTypes="1" containsNumber="1" containsInteger="1" minValue="20" maxValue="540"/>
    </cacheField>
    <cacheField name="GWA Top (mm)" numFmtId="0">
      <sharedItems containsBlank="1" containsMixedTypes="1" containsNumber="1" containsInteger="1" minValue="500" maxValue="940"/>
    </cacheField>
    <cacheField name="GWA Span (mm)" numFmtId="0">
      <sharedItems containsMixedTypes="1" containsNumber="1" containsInteger="1" minValue="0" maxValue="690"/>
    </cacheField>
    <cacheField name="GWA Top to Trans'n (mm)" numFmtId="0">
      <sharedItems containsMixedTypes="1" containsNumber="1" containsInteger="1" minValue="0" maxValue="1320"/>
    </cacheField>
    <cacheField name="Shade Band to Trans'n (mm)" numFmtId="0">
      <sharedItems containsMixedTypes="1" containsNumber="1" containsInteger="1" minValue="-150" maxValue="230"/>
    </cacheField>
    <cacheField name="Wedge Portion (cm)" numFmtId="0">
      <sharedItems containsMixedTypes="1" containsNumber="1" containsInteger="1" minValue="0" maxValue="132"/>
    </cacheField>
    <cacheField name="Max/ Flat Edge Cal. (mm)" numFmtId="165">
      <sharedItems containsMixedTypes="1" containsNumber="1" minValue="0" maxValue="1.5896000000000001"/>
    </cacheField>
    <cacheField name="Thickness delta" numFmtId="165">
      <sharedItems containsNonDate="0" containsString="0" containsBlank="1"/>
    </cacheField>
    <cacheField name="Avg Cal. (mm)" numFmtId="165">
      <sharedItems containsMixedTypes="1" containsNumber="1" minValue="0.13200000000000001" maxValue="1.1973423728813561"/>
    </cacheField>
    <cacheField name="Overall Area Wt (kg/m2)" numFmtId="165">
      <sharedItems containsMixedTypes="1" containsNumber="1" minValue="0" maxValue="1.2691829152542375"/>
    </cacheField>
    <cacheField name="Thin Edge Area Wt (g/m2)" numFmtId="1">
      <sharedItems containsMixedTypes="1" containsNumber="1" minValue="0" maxValue="946.28892399999995"/>
    </cacheField>
    <cacheField name="Min Short Roll Length (m)" numFmtId="1">
      <sharedItems containsMixedTypes="1" containsNumber="1" minValue="105.16212131344868" maxValue="633.20343954491682"/>
    </cacheField>
    <cacheField name="Max Short Roll Length (m)" numFmtId="1">
      <sharedItems containsMixedTypes="1" containsNumber="1" minValue="114.98666748288133" maxValue="692.35911602571275"/>
    </cacheField>
    <cacheField name="Max Long Roll Length (m)" numFmtId="1">
      <sharedItems containsMixedTypes="1" containsNumber="1" minValue="228.57690261440703" maxValue="1376.3100166509903"/>
    </cacheField>
    <cacheField name="Chosen roll Length (m)" numFmtId="0">
      <sharedItems containsBlank="1" containsMixedTypes="1" containsNumber="1" containsInteger="1" minValue="15" maxValue="399"/>
    </cacheField>
    <cacheField name="Sqm per roll" numFmtId="1">
      <sharedItems containsMixedTypes="1" containsNumber="1" minValue="0" maxValue="545.14"/>
    </cacheField>
    <cacheField name="Roll wt. (kg)" numFmtId="1">
      <sharedItems containsMixedTypes="1" containsNumber="1" minValue="0" maxValue="448.27579775999999"/>
    </cacheField>
    <cacheField name="Core slip potential" numFmtId="1">
      <sharedItems containsMixedTypes="1" containsNumber="1" minValue="0" maxValue="3525.6458176000001"/>
    </cacheField>
    <cacheField name="First Extrusion Date" numFmtId="0">
      <sharedItems containsDate="1" containsBlank="1" containsMixedTypes="1" minDate="2018-04-01T00:00:00" maxDate="2024-08-02T00:00:00"/>
    </cacheField>
    <cacheField name="BPCM Request(s)" numFmtId="0">
      <sharedItems containsBlank="1"/>
    </cacheField>
    <cacheField name="Product Description(s)" numFmtId="0">
      <sharedItems containsBlank="1"/>
    </cacheField>
    <cacheField name="Comment" numFmtId="0">
      <sharedItems containsBlank="1"/>
    </cacheField>
    <cacheField name="Quantity of sample rolls sent" numFmtId="1">
      <sharedItems containsBlank="1" containsMixedTypes="1" containsNumber="1" containsInteger="1" minValue="1" maxValue="16"/>
    </cacheField>
    <cacheField name="Qualification status of sample rolls" numFmtId="0">
      <sharedItems containsBlank="1"/>
    </cacheField>
    <cacheField name="Old BE code" numFmtId="0">
      <sharedItems containsBlank="1"/>
    </cacheField>
    <cacheField name="First commercial sale (even small quantity)" numFmtId="0">
      <sharedItems containsDate="1" containsBlank="1" containsMixedTypes="1" minDate="2020-02-01T00:00:00" maxDate="2022-05-02T00:00:00"/>
    </cacheField>
    <cacheField name="HUD Top % of w/s height" numFmtId="0">
      <sharedItems containsBlank="1" containsMixedTypes="1" containsNumber="1" minValue="0.34230769230769231" maxValue="0.76190476190476186"/>
    </cacheField>
    <cacheField name="Predicted Annual Volume (thou w/s)" numFmtId="0">
      <sharedItems containsBlank="1" containsMixedTypes="1" containsNumber="1" minValue="1.46" maxValue="9375"/>
    </cacheField>
    <cacheField name="Resin Type" numFmtId="0">
      <sharedItems containsBlank="1" count="21">
        <s v="W22"/>
        <m/>
        <s v="W50"/>
        <s v="W20"/>
        <s v="W51"/>
        <s v="W10"/>
        <s v="W12"/>
        <s v="W13"/>
        <s v="W23"/>
        <s v="W14" u="1"/>
        <s v="" u="1"/>
        <s v="20" u="1"/>
        <s v="22" u="1"/>
        <s v="13" u="1"/>
        <s v="50" u="1"/>
        <s v="23" u="1"/>
        <s v="10" u="1"/>
        <s v="12" u="1"/>
        <s v="14" u="1"/>
        <s v="Tes" u="1"/>
        <s v="51" u="1"/>
      </sharedItems>
    </cacheField>
    <cacheField name="Clear or Shadeban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iss, Kevin" refreshedDate="46156.601302546296" createdVersion="8" refreshedVersion="8" minRefreshableVersion="3" recordCount="526" xr:uid="{2E6FCCC5-FB0F-4D34-A4F6-939E01778A80}">
  <cacheSource type="worksheet">
    <worksheetSource ref="A5:AZ533" sheet="W-code list"/>
  </cacheSource>
  <cacheFields count="52">
    <cacheField name="Customer" numFmtId="0">
      <sharedItems/>
    </cacheField>
    <cacheField name="Lamination Plant" numFmtId="0">
      <sharedItems/>
    </cacheField>
    <cacheField name="Car Make (BMW, Ford, etc.)" numFmtId="0">
      <sharedItems containsBlank="1"/>
    </cacheField>
    <cacheField name="Car Model_x000a_(5 series, Focus, etc.)" numFmtId="0">
      <sharedItems containsBlank="1" containsMixedTypes="1" containsNumber="1" containsInteger="1" minValue="3" maxValue="3"/>
    </cacheField>
    <cacheField name="OEM or ARG?" numFmtId="0">
      <sharedItems containsBlank="1"/>
    </cacheField>
    <cacheField name="Developmental, Commercial, Obsolete" numFmtId="0">
      <sharedItems containsBlank="1" count="4">
        <s v="D"/>
        <s v="O"/>
        <s v="C"/>
        <m u="1"/>
      </sharedItems>
    </cacheField>
    <cacheField name="Product Code" numFmtId="0">
      <sharedItems/>
    </cacheField>
    <cacheField name="Adh. Grade" numFmtId="0">
      <sharedItems containsBlank="1"/>
    </cacheField>
    <cacheField name="Pattern" numFmtId="0">
      <sharedItems containsBlank="1"/>
    </cacheField>
    <cacheField name="Band color" numFmtId="0">
      <sharedItems containsBlank="1"/>
    </cacheField>
    <cacheField name="PVB Type" numFmtId="0">
      <sharedItems/>
    </cacheField>
    <cacheField name="BF Code(s)" numFmtId="0">
      <sharedItems containsBlank="1"/>
    </cacheField>
    <cacheField name="Smoothed Transition" numFmtId="0">
      <sharedItems containsBlank="1"/>
    </cacheField>
    <cacheField name="Extr. Line" numFmtId="0">
      <sharedItems containsBlank="1" count="6">
        <s v="L9"/>
        <s v="L6"/>
        <s v="L8"/>
        <s v="L8 &amp; L9"/>
        <s v="L4"/>
        <m u="1"/>
      </sharedItems>
    </cacheField>
    <cacheField name="Wedge Angle (mrad)" numFmtId="0">
      <sharedItems containsString="0" containsBlank="1" containsNumber="1" minValue="0.09" maxValue="0.75"/>
    </cacheField>
    <cacheField name="Roll Width (cm)" numFmtId="0">
      <sharedItems containsBlank="1" containsMixedTypes="1" containsNumber="1" containsInteger="1" minValue="82" maxValue="194"/>
    </cacheField>
    <cacheField name="Flat Width (cm)" numFmtId="0">
      <sharedItems containsBlank="1" containsMixedTypes="1" containsNumber="1" containsInteger="1" minValue="5" maxValue="86"/>
    </cacheField>
    <cacheField name="Band Width (cm)" numFmtId="0">
      <sharedItems containsBlank="1" containsMixedTypes="1" containsNumber="1" containsInteger="1" minValue="12" maxValue="25"/>
    </cacheField>
    <cacheField name="Clear width (cm)" numFmtId="0">
      <sharedItems containsMixedTypes="1" containsNumber="1" containsInteger="1" minValue="0" maxValue="106"/>
    </cacheField>
    <cacheField name="Thin Edge Cal. (mm)" numFmtId="2">
      <sharedItems containsString="0" containsBlank="1" containsNumber="1" minValue="0.38" maxValue="0.87"/>
    </cacheField>
    <cacheField name="HUD Bot. (mm)" numFmtId="0">
      <sharedItems containsBlank="1" containsMixedTypes="1" containsNumber="1" containsInteger="1" minValue="80" maxValue="710"/>
    </cacheField>
    <cacheField name="HUD Top (mm)" numFmtId="0">
      <sharedItems containsBlank="1" containsMixedTypes="1" containsNumber="1" containsInteger="1" minValue="356" maxValue="920"/>
    </cacheField>
    <cacheField name="HUD Span (mm)" numFmtId="0">
      <sharedItems containsMixedTypes="1" containsNumber="1" containsInteger="1" minValue="0" maxValue="690"/>
    </cacheField>
    <cacheField name="HUD Top to Trans'n (mm)" numFmtId="0">
      <sharedItems containsMixedTypes="1" containsNumber="1" containsInteger="1" minValue="0" maxValue="1070"/>
    </cacheField>
    <cacheField name="GWA Bot. (mm)" numFmtId="0">
      <sharedItems containsBlank="1" containsMixedTypes="1" containsNumber="1" containsInteger="1" minValue="80" maxValue="540"/>
    </cacheField>
    <cacheField name="GWA Top (mm)" numFmtId="0">
      <sharedItems containsBlank="1" containsMixedTypes="1" containsNumber="1" containsInteger="1" minValue="500" maxValue="940"/>
    </cacheField>
    <cacheField name="GWA Span (mm)" numFmtId="0">
      <sharedItems containsMixedTypes="1" containsNumber="1" containsInteger="1" minValue="0" maxValue="690"/>
    </cacheField>
    <cacheField name="GWA Top to Trans'n (mm)" numFmtId="0">
      <sharedItems containsMixedTypes="1" containsNumber="1" containsInteger="1" minValue="0" maxValue="1070"/>
    </cacheField>
    <cacheField name="Shade Band to Trans'n (mm)" numFmtId="0">
      <sharedItems containsMixedTypes="1" containsNumber="1" containsInteger="1" minValue="0" maxValue="200"/>
    </cacheField>
    <cacheField name="Wedge Portion (cm)" numFmtId="0">
      <sharedItems containsMixedTypes="1" containsNumber="1" containsInteger="1" minValue="0" maxValue="131"/>
    </cacheField>
    <cacheField name="Max/ Flat Edge Cal. (mm)" numFmtId="165">
      <sharedItems containsMixedTypes="1" containsNumber="1" minValue="0" maxValue="1.44"/>
    </cacheField>
    <cacheField name="Thickness delta" numFmtId="165">
      <sharedItems containsNonDate="0" containsString="0" containsBlank="1"/>
    </cacheField>
    <cacheField name="Avg Cal. (mm)" numFmtId="165">
      <sharedItems containsMixedTypes="1" containsNumber="1" minValue="0.22050000000000003" maxValue="1.1973423728813561"/>
    </cacheField>
    <cacheField name="Overall Area Wt (kg/m2)" numFmtId="165">
      <sharedItems containsMixedTypes="1" containsNumber="1" minValue="0" maxValue="1.2691829152542375"/>
    </cacheField>
    <cacheField name="Thin Edge Area Wt (g/m2)" numFmtId="1">
      <sharedItems containsMixedTypes="1" containsNumber="1" minValue="0" maxValue="946.28892399999995"/>
    </cacheField>
    <cacheField name="Min Short Roll Length (m)" numFmtId="1">
      <sharedItems containsMixedTypes="1" containsNumber="1" minValue="116.08729724990143" maxValue="379.06056244865761"/>
    </cacheField>
    <cacheField name="Max Short Roll Length (m)" numFmtId="1">
      <sharedItems containsMixedTypes="1" containsNumber="1" minValue="126.93250460471401" maxValue="414.47348442355587"/>
    </cacheField>
    <cacheField name="Max Long Roll Length (m)" numFmtId="1">
      <sharedItems containsMixedTypes="1" containsNumber="1" minValue="252.32350305268159" maxValue="823.9134793556949"/>
    </cacheField>
    <cacheField name="Chosen roll Length (m)" numFmtId="0">
      <sharedItems containsBlank="1" containsMixedTypes="1" containsNumber="1" containsInteger="1" minValue="15" maxValue="399"/>
    </cacheField>
    <cacheField name="Sqm per roll" numFmtId="1">
      <sharedItems containsMixedTypes="1" containsNumber="1" minValue="0" maxValue="545.14"/>
    </cacheField>
    <cacheField name="Roll wt. (kg)" numFmtId="1">
      <sharedItems containsMixedTypes="1" containsNumber="1" minValue="0" maxValue="448.27579775999999"/>
    </cacheField>
    <cacheField name="Core slip potential" numFmtId="1">
      <sharedItems containsMixedTypes="1" containsNumber="1" minValue="0" maxValue="3525.6458176000001"/>
    </cacheField>
    <cacheField name="First Extrusion Date" numFmtId="0">
      <sharedItems containsDate="1" containsBlank="1" containsMixedTypes="1" minDate="2018-04-01T00:00:00" maxDate="2025-08-02T00:00:00"/>
    </cacheField>
    <cacheField name="BPCM Request(s)" numFmtId="0">
      <sharedItems containsBlank="1"/>
    </cacheField>
    <cacheField name="Product Description(s)" numFmtId="0">
      <sharedItems containsBlank="1"/>
    </cacheField>
    <cacheField name="Comment" numFmtId="0">
      <sharedItems containsBlank="1"/>
    </cacheField>
    <cacheField name="Quantity of sample rolls sent" numFmtId="1">
      <sharedItems containsBlank="1" containsMixedTypes="1" containsNumber="1" containsInteger="1" minValue="1" maxValue="16"/>
    </cacheField>
    <cacheField name="Qualification status of sample rolls" numFmtId="0">
      <sharedItems containsBlank="1"/>
    </cacheField>
    <cacheField name="Old BE code" numFmtId="0">
      <sharedItems containsBlank="1"/>
    </cacheField>
    <cacheField name="First commercial sale (even small quantity)" numFmtId="164">
      <sharedItems containsDate="1" containsBlank="1" containsMixedTypes="1" minDate="2020-02-01T00:00:00" maxDate="2022-05-02T00:00:00"/>
    </cacheField>
    <cacheField name="HUD Top % of w/s height" numFmtId="9">
      <sharedItems containsBlank="1" containsMixedTypes="1" containsNumber="1" minValue="0.34230769230769231" maxValue="0.76190476190476186"/>
    </cacheField>
    <cacheField name="Predicted Annual Volume (thou w/s)" numFmtId="0">
      <sharedItems containsBlank="1" containsMixedTypes="1" containsNumber="1" containsInteger="1" minValue="10" maxValue="937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iss, Kevin" refreshedDate="46156.601302777781" createdVersion="8" refreshedVersion="8" minRefreshableVersion="3" recordCount="526" xr:uid="{7D5CDD17-749E-4D74-83AF-9961545797A8}">
  <cacheSource type="worksheet">
    <worksheetSource ref="A5:R533" sheet="W-code list"/>
  </cacheSource>
  <cacheFields count="18">
    <cacheField name="Customer" numFmtId="0">
      <sharedItems containsBlank="1" count="18">
        <s v="AGC"/>
        <s v="AGP"/>
        <s v="Asahi India"/>
        <s v="Carlex"/>
        <s v="Dr. Greiche Glass"/>
        <s v="Fuyao"/>
        <s v="KCC"/>
        <s v="NSG"/>
        <s v="SGS"/>
        <s v="SYPKA" u="1"/>
        <s v="SVOS" u="1"/>
        <s v="Vitro" u="1"/>
        <s v="Webasto" u="1"/>
        <s v="Xinyi" u="1"/>
        <s v="Internal" u="1"/>
        <s v="?" u="1"/>
        <m u="1"/>
        <s v="Fuyao " u="1"/>
      </sharedItems>
    </cacheField>
    <cacheField name="Lamination Plant" numFmtId="0">
      <sharedItems/>
    </cacheField>
    <cacheField name="Car Make (BMW, Ford, etc.)" numFmtId="0">
      <sharedItems containsBlank="1"/>
    </cacheField>
    <cacheField name="Car Model_x000a_(5 series, Focus, etc.)" numFmtId="0">
      <sharedItems containsBlank="1" containsMixedTypes="1" containsNumber="1" containsInteger="1" minValue="3" maxValue="3"/>
    </cacheField>
    <cacheField name="OEM or ARG?" numFmtId="0">
      <sharedItems containsBlank="1"/>
    </cacheField>
    <cacheField name="Developmental, Commercial, Obsolete" numFmtId="0">
      <sharedItems containsBlank="1" count="4">
        <s v="D"/>
        <s v="O"/>
        <s v="C"/>
        <m u="1"/>
      </sharedItems>
    </cacheField>
    <cacheField name="Product Code" numFmtId="0">
      <sharedItems/>
    </cacheField>
    <cacheField name="Adh. Grade" numFmtId="0">
      <sharedItems containsBlank="1"/>
    </cacheField>
    <cacheField name="Pattern" numFmtId="0">
      <sharedItems containsBlank="1"/>
    </cacheField>
    <cacheField name="Band color" numFmtId="0">
      <sharedItems containsBlank="1"/>
    </cacheField>
    <cacheField name="PVB Type" numFmtId="0">
      <sharedItems containsBlank="1" count="4">
        <s v="Acoustic"/>
        <s v="Standard"/>
        <s v="Gen 2 acou." u="1"/>
        <m u="1"/>
      </sharedItems>
    </cacheField>
    <cacheField name="BF Code(s)" numFmtId="0">
      <sharedItems containsBlank="1"/>
    </cacheField>
    <cacheField name="Smoothed Transition" numFmtId="0">
      <sharedItems containsBlank="1"/>
    </cacheField>
    <cacheField name="Extr. Line" numFmtId="0">
      <sharedItems containsBlank="1" count="7">
        <s v="L9"/>
        <s v="L6"/>
        <s v="L8"/>
        <s v="L8 &amp; L9"/>
        <s v="L4"/>
        <m u="1"/>
        <s v="L8? &amp; L9" u="1"/>
      </sharedItems>
    </cacheField>
    <cacheField name="Wedge Angle (mrad)" numFmtId="0">
      <sharedItems containsString="0" containsBlank="1" containsNumber="1" minValue="0.09" maxValue="0.75"/>
    </cacheField>
    <cacheField name="Roll Width (cm)" numFmtId="0">
      <sharedItems containsBlank="1" containsMixedTypes="1" containsNumber="1" containsInteger="1" minValue="82" maxValue="194"/>
    </cacheField>
    <cacheField name="Flat Width (cm)" numFmtId="0">
      <sharedItems containsBlank="1" containsMixedTypes="1" containsNumber="1" containsInteger="1" minValue="5" maxValue="86"/>
    </cacheField>
    <cacheField name="Band Width (cm)" numFmtId="0">
      <sharedItems containsBlank="1" containsMixedTypes="1" containsNumber="1" containsInteger="1" minValue="12" maxValue="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3">
  <r>
    <s v="AGC"/>
    <s v="Aichi"/>
    <m/>
    <m/>
    <s v="OEM"/>
    <x v="0"/>
    <s v="W2227AEH"/>
    <s v="L"/>
    <s v="R"/>
    <s v="Clear"/>
    <x v="0"/>
    <s v="BF012338"/>
    <s v="Y"/>
    <s v="L9"/>
    <x v="0"/>
    <n v="109"/>
    <n v="30"/>
    <s v="N/A"/>
    <s v="N/A"/>
    <n v="0.8"/>
    <n v="150"/>
    <n v="450"/>
    <n v="300"/>
    <n v="340"/>
    <n v="100"/>
    <n v="500"/>
    <n v="400"/>
    <n v="290"/>
    <s v="N/A"/>
    <n v="79"/>
    <n v="1.0133000000000001"/>
    <m/>
    <n v="0.93600321100917439"/>
    <n v="0.99216340366972477"/>
    <n v="865.57840400000009"/>
    <n v="164.97158594676603"/>
    <n v="180.38370337588884"/>
    <n v="358.57677331082749"/>
    <n v="120"/>
    <n v="130.80000000000001"/>
    <n v="129.77497320000001"/>
    <n v="432.58324400000004"/>
    <d v="2024-06-01T00:00:00"/>
    <s v="2024_2555_03612"/>
    <s v="W2227AE H LR CLEAR r109x0120 CB1P"/>
    <m/>
    <m/>
    <m/>
    <m/>
    <m/>
    <n v="0.41284403669724773"/>
    <m/>
    <x v="0"/>
    <m/>
  </r>
  <r>
    <s v="AGC"/>
    <s v="Aichi"/>
    <s v="Mitsubishi"/>
    <m/>
    <s v="OEM"/>
    <x v="0"/>
    <s v="W2251ALH"/>
    <s v="L"/>
    <s v="R"/>
    <s v="Clear"/>
    <x v="0"/>
    <m/>
    <s v="Y"/>
    <s v="L9"/>
    <x v="1"/>
    <n v="109"/>
    <n v="20"/>
    <s v="N/A"/>
    <s v="N/A"/>
    <n v="0.8"/>
    <n v="170"/>
    <n v="500"/>
    <n v="330"/>
    <n v="390"/>
    <n v="170"/>
    <n v="570"/>
    <n v="400"/>
    <n v="320"/>
    <s v="N/A"/>
    <n v="89"/>
    <n v="1.2539"/>
    <m/>
    <n v="1.0685922018348624"/>
    <n v="1.1327077339449541"/>
    <n v="881.20365200000003"/>
    <n v="133.31661858191086"/>
    <n v="145.77143841677022"/>
    <n v="289.77258505132903"/>
    <n v="290"/>
    <n v="316.10000000000002"/>
    <n v="358.04891470000001"/>
    <n v="1790.2445734999999"/>
    <s v="?"/>
    <m/>
    <m/>
    <m/>
    <m/>
    <m/>
    <m/>
    <m/>
    <m/>
    <m/>
    <x v="1"/>
    <m/>
  </r>
  <r>
    <s v="AGC"/>
    <s v="Aichi"/>
    <s v="Mitsubishi"/>
    <m/>
    <s v="OEM"/>
    <x v="0"/>
    <s v="W2251AMH"/>
    <s v="L"/>
    <s v="R"/>
    <s v="Clear"/>
    <x v="0"/>
    <m/>
    <s v="Y"/>
    <s v="L9"/>
    <x v="1"/>
    <n v="108"/>
    <n v="20"/>
    <s v="N/A"/>
    <s v="N/A"/>
    <n v="0.8"/>
    <n v="170"/>
    <n v="500"/>
    <n v="330"/>
    <n v="380"/>
    <n v="170"/>
    <n v="570"/>
    <n v="400"/>
    <n v="310"/>
    <s v="N/A"/>
    <n v="88"/>
    <n v="1.2488000000000001"/>
    <m/>
    <n v="1.0659555555555555"/>
    <n v="1.1299128888888887"/>
    <n v="881.20365200000003"/>
    <n v="133.86107306202595"/>
    <n v="146.36675739172657"/>
    <n v="290.95599327022853"/>
    <n v="291"/>
    <n v="314.27999999999997"/>
    <n v="355.10902271999993"/>
    <n v="1775.5451135999995"/>
    <m/>
    <m/>
    <m/>
    <m/>
    <m/>
    <m/>
    <m/>
    <m/>
    <m/>
    <m/>
    <x v="1"/>
    <m/>
  </r>
  <r>
    <s v="AGC"/>
    <s v="Brazil"/>
    <s v="Great Wall"/>
    <s v="Haval"/>
    <s v="ARG"/>
    <x v="0"/>
    <s v="W5062AA"/>
    <s v="D"/>
    <s v="R3"/>
    <s v="Clear"/>
    <x v="1"/>
    <s v="BF011484"/>
    <m/>
    <s v="L6"/>
    <x v="2"/>
    <n v="100"/>
    <n v="30"/>
    <s v="N/A"/>
    <s v="N/A"/>
    <n v="0.76"/>
    <n v="253"/>
    <n v="440"/>
    <n v="187"/>
    <n v="260"/>
    <n v="180"/>
    <n v="580"/>
    <n v="400"/>
    <n v="120"/>
    <s v="N/A"/>
    <n v="70"/>
    <n v="1.194"/>
    <m/>
    <n v="1.0421"/>
    <n v="1.1098365000000001"/>
    <n v="849.95562600000005"/>
    <n v="140.00478060289618"/>
    <n v="153.08442766397673"/>
    <n v="304.30975242534464"/>
    <n v="153"/>
    <n v="153"/>
    <n v="169.80498450000002"/>
    <n v="566.01661500000012"/>
    <s v="Dec 22?"/>
    <s v="2022_1770_02826"/>
    <m/>
    <m/>
    <m/>
    <m/>
    <s v="N/A"/>
    <m/>
    <n v="0.44"/>
    <m/>
    <x v="2"/>
    <s v="Clear"/>
  </r>
  <r>
    <s v="AGC"/>
    <s v="Brazil"/>
    <s v="Great Wall"/>
    <s v="Haval"/>
    <s v="ARG"/>
    <x v="0"/>
    <s v="W2262AE"/>
    <s v="K"/>
    <s v="E2"/>
    <s v="Clear"/>
    <x v="0"/>
    <s v="BF011445"/>
    <s v="Y"/>
    <s v="L9"/>
    <x v="2"/>
    <n v="100"/>
    <n v="30"/>
    <s v="N/A"/>
    <s v="N/A"/>
    <n v="0.8"/>
    <n v="253"/>
    <n v="440"/>
    <n v="187"/>
    <n v="260"/>
    <n v="180"/>
    <n v="580"/>
    <n v="400"/>
    <n v="120"/>
    <s v="N/A"/>
    <n v="70"/>
    <n v="1.234"/>
    <m/>
    <n v="1.0820999999999998"/>
    <n v="1.1470259999999999"/>
    <n v="888.36522400000001"/>
    <n v="135.46653811982011"/>
    <n v="148.12220958734861"/>
    <n v="294.44557892695417"/>
    <n v="148"/>
    <n v="148"/>
    <n v="169.75984799999998"/>
    <n v="565.86615999999992"/>
    <d v="2023-01-23T00:00:00"/>
    <s v="2022_1770_02826"/>
    <m/>
    <s v="If it goes commercial, we should switch them to W2262AJ"/>
    <m/>
    <m/>
    <s v="N/A"/>
    <m/>
    <n v="0.44"/>
    <m/>
    <x v="0"/>
    <s v="Clear"/>
  </r>
  <r>
    <s v="AGC"/>
    <s v="Chuderice"/>
    <s v="BMW"/>
    <s v="3-series (F30)"/>
    <s v="ARG"/>
    <x v="0"/>
    <s v="W2045AB"/>
    <s v="K"/>
    <s v="E2"/>
    <s v="Clear"/>
    <x v="1"/>
    <s v="BF010777"/>
    <s v="Y"/>
    <s v="L8"/>
    <x v="3"/>
    <n v="92"/>
    <n v="25"/>
    <s v="N/A"/>
    <s v="N/A"/>
    <n v="0.76"/>
    <n v="200"/>
    <n v="550"/>
    <n v="350"/>
    <n v="120"/>
    <n v="150"/>
    <n v="550"/>
    <n v="400"/>
    <n v="120"/>
    <s v="N/A"/>
    <n v="67"/>
    <n v="1.0615000000000001"/>
    <m/>
    <n v="0.95171467391304343"/>
    <n v="1.0135761277173911"/>
    <n v="838.83553499999994"/>
    <n v="157.48064817697411"/>
    <n v="172.19294077323426"/>
    <n v="342.29471916708565"/>
    <n v="170"/>
    <n v="156.4"/>
    <n v="158.52330637499998"/>
    <n v="634.0932254999999"/>
    <d v="2022-03-01T00:00:00"/>
    <s v="2022_1333_02389"/>
    <s v="W2045AB KE2 CLEAR r092x0170 MT4P"/>
    <m/>
    <m/>
    <m/>
    <s v="N/A"/>
    <s v="?"/>
    <n v="0.59782608695652173"/>
    <m/>
    <x v="3"/>
    <s v="Clear"/>
  </r>
  <r>
    <s v="AGC"/>
    <s v="Chuderice"/>
    <s v="BMW"/>
    <s v="3-series (G50), 5-series (G60, 2023-)"/>
    <s v="OEM"/>
    <x v="0"/>
    <s v="W2218AB"/>
    <s v="K"/>
    <s v="E2"/>
    <s v="Clear"/>
    <x v="0"/>
    <s v="BF012221"/>
    <s v="Y"/>
    <s v="L8"/>
    <x v="4"/>
    <n v="100"/>
    <n v="20"/>
    <s v="N/A"/>
    <s v="N/A"/>
    <n v="0.8"/>
    <n v="305"/>
    <n v="617"/>
    <n v="312"/>
    <n v="183"/>
    <n v="250"/>
    <n v="650"/>
    <n v="400"/>
    <n v="150"/>
    <s v="N/A"/>
    <n v="80"/>
    <n v="0.94400000000000006"/>
    <m/>
    <n v="0.88640000000000019"/>
    <n v="0.9395840000000002"/>
    <n v="859.7189360000001"/>
    <n v="177.08231783883264"/>
    <n v="193.62585448176708"/>
    <n v="384.90025889392098"/>
    <n v="385"/>
    <n v="385"/>
    <n v="361.73984000000007"/>
    <n v="1808.6992000000002"/>
    <d v="2024-03-01T00:00:00"/>
    <s v="2024_2443_03500"/>
    <s v="W2218AB KE2 CLEAR r100x0385 MT2P"/>
    <m/>
    <m/>
    <m/>
    <m/>
    <m/>
    <n v="0.61699999999999999"/>
    <m/>
    <x v="1"/>
    <m/>
  </r>
  <r>
    <s v="AGC"/>
    <s v="Chuderice"/>
    <s v="BMW"/>
    <s v="5-series (G60, 2023-)"/>
    <s v="OEM"/>
    <x v="0"/>
    <s v="W2227AL"/>
    <s v="K"/>
    <s v="E2"/>
    <s v="Clear"/>
    <x v="0"/>
    <s v="BF012858"/>
    <s v="Y"/>
    <s v="L8"/>
    <x v="0"/>
    <n v="98"/>
    <n v="27"/>
    <s v="N/A"/>
    <s v="N/A"/>
    <n v="0.8"/>
    <n v="320"/>
    <n v="580"/>
    <n v="260"/>
    <n v="130"/>
    <n v="220"/>
    <n v="620"/>
    <n v="400"/>
    <n v="90"/>
    <s v="N/A"/>
    <n v="71"/>
    <n v="0.99170000000000003"/>
    <m/>
    <n v="0.92225765306122442"/>
    <n v="0.97759311224489798"/>
    <n v="865.57840400000009"/>
    <n v="168.56479584537462"/>
    <n v="184.31260122092183"/>
    <n v="366.38685529480836"/>
    <n v="184"/>
    <n v="180.32"/>
    <n v="176.27958999999998"/>
    <n v="652.88737037037026"/>
    <s v="?"/>
    <s v="2025-0144-0284"/>
    <s v="W2227AL KE2 CLEAR r098x0184 CT1P"/>
    <m/>
    <m/>
    <m/>
    <m/>
    <m/>
    <m/>
    <m/>
    <x v="1"/>
    <m/>
  </r>
  <r>
    <s v="AGC"/>
    <s v="Chuderice"/>
    <s v="BMW"/>
    <s v="5-series (G60, 2023-)"/>
    <s v="OEM"/>
    <x v="1"/>
    <s v="W2218AC"/>
    <s v="K"/>
    <s v="E2"/>
    <s v="Clear"/>
    <x v="0"/>
    <s v="BF012222"/>
    <s v="Y"/>
    <s v="L8"/>
    <x v="4"/>
    <n v="100"/>
    <n v="20"/>
    <s v="N/A"/>
    <s v="N/A"/>
    <n v="0.8"/>
    <n v="372"/>
    <n v="598"/>
    <n v="226"/>
    <n v="202"/>
    <n v="300"/>
    <n v="700"/>
    <n v="400"/>
    <n v="100"/>
    <s v="N/A"/>
    <n v="80"/>
    <n v="0.94400000000000006"/>
    <m/>
    <n v="0.88640000000000019"/>
    <n v="0.9395840000000002"/>
    <n v="859.7189360000001"/>
    <n v="177.08231783883264"/>
    <n v="193.62585448176708"/>
    <n v="384.90025889392098"/>
    <n v="385"/>
    <n v="385"/>
    <n v="361.73984000000007"/>
    <n v="1808.6992000000002"/>
    <s v="Never"/>
    <s v="2024_2443_03500"/>
    <s v="W2218AC KE2 CLEAR r100x0385 MT2P"/>
    <s v="They may use W2218AB for this windshield"/>
    <m/>
    <m/>
    <m/>
    <m/>
    <n v="0.59799999999999998"/>
    <m/>
    <x v="1"/>
    <m/>
  </r>
  <r>
    <s v="AGC"/>
    <s v="Chuderice"/>
    <s v="BMW"/>
    <s v="i3 (NA0)"/>
    <s v="OEM"/>
    <x v="0"/>
    <s v="W2214AB"/>
    <s v="K"/>
    <s v="E2"/>
    <s v="Clear"/>
    <x v="0"/>
    <s v="BF012223"/>
    <s v="Y"/>
    <s v="L8"/>
    <x v="5"/>
    <n v="111"/>
    <n v="20"/>
    <s v="N/A"/>
    <s v="N/A"/>
    <n v="0.8"/>
    <n v="408"/>
    <n v="685"/>
    <n v="277"/>
    <n v="225"/>
    <n v="350"/>
    <n v="750"/>
    <n v="400"/>
    <n v="160"/>
    <s v="N/A"/>
    <n v="91"/>
    <n v="0.9274"/>
    <m/>
    <n v="0.87517747747747743"/>
    <n v="0.92768812612612617"/>
    <n v="857.11472800000001"/>
    <n v="180.25200349348503"/>
    <n v="197.0916612365626"/>
    <n v="391.78978261360947"/>
    <n v="392"/>
    <n v="435.12"/>
    <n v="403.65565744000003"/>
    <n v="2018.2782872"/>
    <d v="2024-03-01T00:00:00"/>
    <s v="2024_2443_03500"/>
    <s v="W2214AB KE2 CLEAR r111x0392 MT2P"/>
    <m/>
    <m/>
    <m/>
    <m/>
    <m/>
    <n v="0.61711711711711714"/>
    <m/>
    <x v="1"/>
    <m/>
  </r>
  <r>
    <s v="AGC"/>
    <s v="Chuderice"/>
    <s v="BMW"/>
    <s v="iX3 (NA5)"/>
    <s v="OEM"/>
    <x v="0"/>
    <s v="W2211AA"/>
    <s v="K"/>
    <s v="E2"/>
    <s v="Clear"/>
    <x v="0"/>
    <m/>
    <m/>
    <s v="L8"/>
    <x v="6"/>
    <n v="113"/>
    <n v="29"/>
    <s v="N/A"/>
    <s v="N/A"/>
    <n v="0.8"/>
    <n v="280"/>
    <n v="710"/>
    <n v="430"/>
    <n v="130"/>
    <n v="280"/>
    <n v="710"/>
    <n v="430"/>
    <n v="130"/>
    <s v="N/A"/>
    <n v="84"/>
    <n v="0.89240000000000008"/>
    <m/>
    <n v="0.85805663716814173"/>
    <n v="0.90954003539823025"/>
    <n v="855.16157200000009"/>
    <n v="187.32150161346703"/>
    <n v="204.82161209187376"/>
    <n v="407.15580949782765"/>
    <s v="205, 407"/>
    <e v="#VALUE!"/>
    <e v="#VALUE!"/>
    <e v="#VALUE!"/>
    <m/>
    <m/>
    <m/>
    <m/>
    <m/>
    <m/>
    <m/>
    <m/>
    <m/>
    <m/>
    <x v="1"/>
    <m/>
  </r>
  <r>
    <s v="AGC"/>
    <s v="Chuderice"/>
    <s v="BMW"/>
    <s v="iX4 (NA7)"/>
    <s v="OEM"/>
    <x v="0"/>
    <s v="W2235AH"/>
    <s v="K"/>
    <s v="E2"/>
    <s v="Clear"/>
    <x v="0"/>
    <s v="BF012773"/>
    <s v="Y"/>
    <s v="L8"/>
    <x v="7"/>
    <n v="116"/>
    <n v="28"/>
    <s v="N/A"/>
    <s v="N/A"/>
    <n v="0.8"/>
    <n v="200"/>
    <n v="750"/>
    <n v="550"/>
    <n v="130"/>
    <n v="200"/>
    <n v="750"/>
    <n v="550"/>
    <n v="130"/>
    <s v="N/A"/>
    <n v="88"/>
    <n v="1.1080000000000001"/>
    <m/>
    <n v="0.99117241379310361"/>
    <n v="1.0506427586206897"/>
    <n v="870.78682000000003"/>
    <n v="150.87157765330147"/>
    <n v="164.96643197724563"/>
    <n v="327.92946245113848"/>
    <n v="328"/>
    <n v="380.48"/>
    <n v="399.74855680000002"/>
    <n v="1427.673417142857"/>
    <d v="2025-03-01T00:00:00"/>
    <s v="2024_2980_04038"/>
    <s v="W2235AH KE2 CLEAR r116x0328 MT2P"/>
    <m/>
    <m/>
    <m/>
    <m/>
    <m/>
    <n v="0.64655172413793105"/>
    <m/>
    <x v="1"/>
    <m/>
  </r>
  <r>
    <s v="AGC"/>
    <s v="Chuderice"/>
    <s v="BMW"/>
    <s v="NA5 (2025 3-series electric sedan)"/>
    <s v="OEM"/>
    <x v="2"/>
    <s v="W2214AA"/>
    <s v="K"/>
    <s v="E2"/>
    <s v="Clear"/>
    <x v="0"/>
    <s v="BF011588 (CT1P), BF012379 (CT4P)"/>
    <s v="Y"/>
    <s v="L8"/>
    <x v="5"/>
    <n v="116"/>
    <n v="30"/>
    <s v="N/A"/>
    <s v="N/A"/>
    <n v="0.8"/>
    <n v="280"/>
    <n v="740"/>
    <n v="460"/>
    <n v="120"/>
    <n v="280"/>
    <n v="740"/>
    <n v="460"/>
    <n v="120"/>
    <s v="N/A"/>
    <n v="86"/>
    <n v="0.92040000000000011"/>
    <m/>
    <n v="0.87576896551724137"/>
    <n v="0.92831510344827584"/>
    <n v="857.11472800000001"/>
    <n v="181.62289009111038"/>
    <n v="198.5906199812996"/>
    <n v="394.76949630145742"/>
    <n v="200"/>
    <n v="232"/>
    <n v="215.36910399999999"/>
    <n v="717.89701333333335"/>
    <d v="2023-03-23T00:00:00"/>
    <s v="2023_1866_02923, 2024_2609_03667"/>
    <s v="W2214AA KE2 CLEAR r116x0200 CT1P, W2214AA KE2 CLEAR r116x0200 MT4P"/>
    <s v="discontinued L8 supply due to patent litigation"/>
    <m/>
    <m/>
    <s v="N/A"/>
    <m/>
    <n v="0.63793103448275867"/>
    <m/>
    <x v="0"/>
    <s v="Clear"/>
  </r>
  <r>
    <s v="AGC"/>
    <s v="Chuderice"/>
    <s v="BMW"/>
    <s v="NA5 (2025 3-series electric sedan)"/>
    <s v="OEM"/>
    <x v="0"/>
    <s v="W2214AC"/>
    <s v="K"/>
    <s v="E2"/>
    <s v="Clear"/>
    <x v="0"/>
    <m/>
    <s v="Y"/>
    <s v="L9"/>
    <x v="5"/>
    <n v="116"/>
    <n v="29"/>
    <s v="N/A"/>
    <s v="N/A"/>
    <n v="0.8"/>
    <n v="280"/>
    <n v="740"/>
    <n v="460"/>
    <n v="130"/>
    <n v="280"/>
    <n v="740"/>
    <n v="460"/>
    <n v="130"/>
    <s v="N/A"/>
    <n v="87"/>
    <n v="0.92180000000000006"/>
    <m/>
    <n v="0.87612500000000015"/>
    <n v="0.92869250000000014"/>
    <n v="857.11472800000001"/>
    <n v="181.34704712503583"/>
    <n v="198.28900697633776"/>
    <n v="394.16993316973463"/>
    <n v="200"/>
    <n v="232"/>
    <n v="215.45666000000003"/>
    <n v="742.95400000000018"/>
    <s v="?"/>
    <s v="2025-0201-0346"/>
    <m/>
    <m/>
    <m/>
    <m/>
    <m/>
    <m/>
    <m/>
    <m/>
    <x v="1"/>
    <m/>
  </r>
  <r>
    <s v="AGC"/>
    <s v="Chuderice"/>
    <s v="BMW"/>
    <s v="NA5 (2025 3-series electric sedan)"/>
    <s v="OEM"/>
    <x v="1"/>
    <s v="W2219AD"/>
    <s v="K"/>
    <s v="E2"/>
    <s v="Clear"/>
    <x v="0"/>
    <s v="BF012134"/>
    <s v="Y"/>
    <s v="L8"/>
    <x v="8"/>
    <n v="116"/>
    <n v="30"/>
    <s v="N/A"/>
    <s v="N/A"/>
    <n v="0.8"/>
    <n v="280"/>
    <n v="740"/>
    <n v="460"/>
    <n v="120"/>
    <n v="280"/>
    <n v="740"/>
    <n v="460"/>
    <n v="120"/>
    <s v="N/A"/>
    <n v="86"/>
    <n v="0.96340000000000003"/>
    <m/>
    <n v="0.90282931034482761"/>
    <n v="0.95699906896551723"/>
    <n v="860.36998800000003"/>
    <n v="173.51640859441355"/>
    <n v="189.72680779612637"/>
    <n v="377.14951670735047"/>
    <n v="190"/>
    <n v="220.4"/>
    <n v="210.92259480000001"/>
    <n v="703.07531600000004"/>
    <d v="2023-12-01T00:00:00"/>
    <s v="2023_2315_03372"/>
    <s v="W2219AD KE2 CLEAR r116x0190 CT1P"/>
    <m/>
    <m/>
    <m/>
    <m/>
    <m/>
    <n v="0.63793103448275867"/>
    <m/>
    <x v="0"/>
    <m/>
  </r>
  <r>
    <s v="AGC"/>
    <s v="Chuderice"/>
    <s v="BMW"/>
    <s v="NA5 (2025 3-series electric sedan)"/>
    <s v="OEM"/>
    <x v="1"/>
    <s v="W2223AA"/>
    <s v="K"/>
    <s v="E2"/>
    <s v="Clear"/>
    <x v="0"/>
    <s v="BF012133"/>
    <s v="Y"/>
    <s v="L8"/>
    <x v="9"/>
    <n v="116"/>
    <n v="30"/>
    <s v="N/A"/>
    <s v="N/A"/>
    <n v="0.8"/>
    <n v="280"/>
    <n v="740"/>
    <n v="460"/>
    <n v="120"/>
    <n v="280"/>
    <n v="740"/>
    <n v="460"/>
    <n v="120"/>
    <s v="N/A"/>
    <n v="86"/>
    <n v="0.99780000000000002"/>
    <m/>
    <n v="0.92447758620689657"/>
    <n v="0.9799462413793103"/>
    <n v="862.97419600000001"/>
    <n v="167.53428346347766"/>
    <n v="183.18581542472253"/>
    <n v="364.14696772485615"/>
    <n v="183"/>
    <n v="212.28"/>
    <n v="208.02298811999998"/>
    <n v="693.40996039999993"/>
    <d v="2023-12-01T00:00:00"/>
    <s v="2023_2315_03372"/>
    <s v="W2223AA KE2 CLEAR r116x0183 CT1P"/>
    <m/>
    <m/>
    <m/>
    <m/>
    <m/>
    <n v="0.63793103448275867"/>
    <m/>
    <x v="0"/>
    <m/>
  </r>
  <r>
    <s v="AGC"/>
    <s v="Chuderice"/>
    <s v="BMW"/>
    <s v="NA5 (2025 3-series electric sedan)"/>
    <s v="OEM"/>
    <x v="1"/>
    <s v="W2227AD"/>
    <s v="K"/>
    <s v="E2"/>
    <s v="Clear"/>
    <x v="0"/>
    <s v="BF012135"/>
    <s v="Y"/>
    <s v="L8"/>
    <x v="0"/>
    <n v="116"/>
    <n v="30"/>
    <s v="N/A"/>
    <s v="N/A"/>
    <n v="0.8"/>
    <n v="280"/>
    <n v="740"/>
    <n v="460"/>
    <n v="120"/>
    <n v="280"/>
    <n v="740"/>
    <n v="460"/>
    <n v="120"/>
    <s v="N/A"/>
    <n v="86"/>
    <n v="1.0322"/>
    <m/>
    <n v="0.94612586206896543"/>
    <n v="1.0028934137931034"/>
    <n v="865.57840400000009"/>
    <n v="161.95088940114127"/>
    <n v="177.08080471884148"/>
    <n v="352.01108738215606"/>
    <n v="177"/>
    <n v="205.32"/>
    <n v="205.91407571999997"/>
    <n v="686.3802523999999"/>
    <d v="2023-12-01T00:00:00"/>
    <s v="2023_2315_03372"/>
    <s v="W2227AD KE2 CLEAR r116x0177 CT1P"/>
    <m/>
    <m/>
    <m/>
    <m/>
    <m/>
    <n v="0.63793103448275867"/>
    <m/>
    <x v="0"/>
    <m/>
  </r>
  <r>
    <s v="AGC"/>
    <s v="Chuderice"/>
    <s v="Mazda"/>
    <n v="3"/>
    <s v="ARG"/>
    <x v="0"/>
    <s v="W2245AA"/>
    <s v="K"/>
    <s v="E2"/>
    <s v="Clear"/>
    <x v="0"/>
    <s v="BF010776"/>
    <s v="Y"/>
    <s v="L8"/>
    <x v="3"/>
    <n v="104"/>
    <n v="27"/>
    <s v="N/A"/>
    <s v="N/A"/>
    <n v="0.8"/>
    <n v="250"/>
    <n v="650"/>
    <n v="400"/>
    <n v="120"/>
    <n v="250"/>
    <n v="650"/>
    <n v="400"/>
    <n v="120"/>
    <s v="N/A"/>
    <n v="77"/>
    <n v="1.1465000000000001"/>
    <m/>
    <n v="1.0182283653846154"/>
    <n v="1.0793220673076922"/>
    <n v="877.29733999999996"/>
    <n v="145.80524033131968"/>
    <n v="159.426782931346"/>
    <n v="316.91743950794722"/>
    <n v="160"/>
    <n v="166.4"/>
    <n v="179.59919199999999"/>
    <n v="665.18219259259251"/>
    <d v="2022-03-01T00:00:00"/>
    <s v="2022_1333_02389"/>
    <s v="W2245AA KE2 CLEAR r104x0160 MT4P"/>
    <m/>
    <m/>
    <m/>
    <s v="N/A"/>
    <d v="2022-05-01T00:00:00"/>
    <n v="0.625"/>
    <m/>
    <x v="0"/>
    <s v="Clear"/>
  </r>
  <r>
    <s v="AGC"/>
    <s v="Chuderice"/>
    <s v="Mercedes"/>
    <s v="B-Class (W247)"/>
    <s v="OEM"/>
    <x v="2"/>
    <s v="W2239AC"/>
    <s v="K"/>
    <s v="E2"/>
    <s v="Clear"/>
    <x v="0"/>
    <s v="BF009649"/>
    <s v="Y"/>
    <s v="L8"/>
    <x v="10"/>
    <n v="108"/>
    <n v="25"/>
    <s v="N/A"/>
    <s v="N/A"/>
    <n v="0.8"/>
    <n v="255"/>
    <n v="705"/>
    <n v="450"/>
    <n v="125"/>
    <n v="255"/>
    <n v="705"/>
    <n v="450"/>
    <n v="125"/>
    <s v="N/A"/>
    <n v="83"/>
    <n v="1.1237000000000001"/>
    <m/>
    <n v="0.99931527777777784"/>
    <n v="1.0592741944444444"/>
    <n v="873.39102800000012"/>
    <n v="148.76364513647593"/>
    <n v="162.66157037535655"/>
    <n v="323.34773017341058"/>
    <n v="162"/>
    <n v="174.96"/>
    <n v="185.33061305999999"/>
    <n v="741.32245223999996"/>
    <d v="2021-02-01T00:00:00"/>
    <s v="2021_0620_01672"/>
    <s v="W2239AC KE2 CLEAR r108x0162 MT4P"/>
    <s v="Recorded April '21 rolls as first commercial sales, assuming previous rolls were free._x000a_discontinued L8 supply due to patent litigation"/>
    <n v="8"/>
    <m/>
    <s v="N/A"/>
    <d v="2021-05-01T00:00:00"/>
    <n v="0.65277777777777779"/>
    <m/>
    <x v="0"/>
    <s v="Clear"/>
  </r>
  <r>
    <s v="AGC"/>
    <s v="Chuderice"/>
    <s v="Mercedes"/>
    <s v="B-Class (W247)"/>
    <s v="OEM"/>
    <x v="0"/>
    <s v="W2239AG"/>
    <s v="K"/>
    <s v="E2"/>
    <s v="Clear"/>
    <x v="0"/>
    <m/>
    <s v="Y"/>
    <s v="L9"/>
    <x v="10"/>
    <n v="108"/>
    <n v="24"/>
    <s v="N/A"/>
    <s v="N/A"/>
    <n v="0.8"/>
    <n v="255"/>
    <n v="705"/>
    <n v="450"/>
    <n v="135"/>
    <n v="255"/>
    <n v="705"/>
    <n v="450"/>
    <n v="135"/>
    <s v="N/A"/>
    <n v="84"/>
    <n v="1.1276000000000002"/>
    <m/>
    <n v="1.0002"/>
    <n v="1.0602119999999999"/>
    <n v="873.39102800000012"/>
    <n v="148.24912029075736"/>
    <n v="162.09897714685007"/>
    <n v="322.22937601619492"/>
    <n v="162"/>
    <n v="174.96"/>
    <n v="185.49469152"/>
    <n v="772.8945480000001"/>
    <s v="?"/>
    <s v="2025-0201-0346"/>
    <m/>
    <s v="Had to reduce flat distance for L9"/>
    <m/>
    <m/>
    <m/>
    <m/>
    <m/>
    <m/>
    <x v="0"/>
    <m/>
  </r>
  <r>
    <s v="AGC"/>
    <s v="Chuderice"/>
    <s v="Mercedes"/>
    <s v="C-Class (W206)"/>
    <s v="ARG"/>
    <x v="1"/>
    <s v="W2264AB"/>
    <s v="K"/>
    <s v="E2"/>
    <s v="Clear"/>
    <x v="0"/>
    <s v="BF009565"/>
    <s v="Y"/>
    <s v="L8"/>
    <x v="11"/>
    <n v="100"/>
    <n v="30"/>
    <s v="N/A"/>
    <s v="N/A"/>
    <n v="0.8"/>
    <n v="250"/>
    <n v="550"/>
    <n v="300"/>
    <n v="150"/>
    <m/>
    <m/>
    <n v="0"/>
    <n v="700"/>
    <s v="N/A"/>
    <n v="70"/>
    <n v="1.248"/>
    <m/>
    <n v="1.0911999999999999"/>
    <n v="1.1566719999999999"/>
    <n v="889.66732800000011"/>
    <n v="133.94688144219393"/>
    <n v="146.4605822362085"/>
    <n v="291.14250352232489"/>
    <n v="146"/>
    <n v="146"/>
    <n v="168.874112"/>
    <n v="562.91370666666671"/>
    <s v="Never"/>
    <s v="2020_0529_01581"/>
    <m/>
    <s v="Never extruded. Probably lost this opportunity."/>
    <m/>
    <m/>
    <s v="N/A"/>
    <m/>
    <n v="0.55000000000000004"/>
    <m/>
    <x v="0"/>
    <s v="Clear"/>
  </r>
  <r>
    <s v="AGC"/>
    <s v="Chuderice"/>
    <s v="Mercedes"/>
    <s v="C-Class (W520)"/>
    <s v="OEM"/>
    <x v="0"/>
    <s v="W2219AB"/>
    <s v="K"/>
    <s v="E2"/>
    <s v="Clear"/>
    <x v="0"/>
    <s v="BF012100"/>
    <s v="Y"/>
    <s v="L8"/>
    <x v="8"/>
    <n v="105"/>
    <n v="30"/>
    <s v="N/A"/>
    <s v="N/A"/>
    <n v="0.8"/>
    <n v="200"/>
    <n v="600"/>
    <n v="400"/>
    <n v="150"/>
    <n v="200"/>
    <n v="600"/>
    <n v="400"/>
    <n v="150"/>
    <s v="N/A"/>
    <n v="75"/>
    <n v="0.9425"/>
    <m/>
    <n v="0.89160714285714293"/>
    <n v="0.94510357142857149"/>
    <n v="860.36998800000003"/>
    <n v="177.36414646138783"/>
    <n v="193.93401234035878"/>
    <n v="385.51283225025088"/>
    <n v="386"/>
    <n v="405.3"/>
    <n v="383.05047750000006"/>
    <n v="1276.8349250000003"/>
    <d v="2023-12-01T00:00:00"/>
    <s v="2023_2272_03329"/>
    <s v="W2219AB KE2 CLEAR r105x0386 MT2P"/>
    <m/>
    <m/>
    <m/>
    <m/>
    <m/>
    <n v="0.5714285714285714"/>
    <m/>
    <x v="0"/>
    <m/>
  </r>
  <r>
    <s v="AGC"/>
    <s v="Chuderice"/>
    <s v="Mercedes"/>
    <s v="C-Class (W520)"/>
    <s v="OEM"/>
    <x v="0"/>
    <s v="W2219AF"/>
    <s v="K"/>
    <s v="E2"/>
    <s v="Clear"/>
    <x v="0"/>
    <s v="tbd"/>
    <s v="Y"/>
    <s v="L8"/>
    <x v="8"/>
    <n v="113"/>
    <n v="30"/>
    <s v="N/A"/>
    <s v="N/A"/>
    <n v="0.8"/>
    <n v="220"/>
    <n v="670"/>
    <n v="450"/>
    <n v="160"/>
    <n v="220"/>
    <n v="670"/>
    <n v="450"/>
    <n v="160"/>
    <s v="N/A"/>
    <n v="83"/>
    <n v="0.9577"/>
    <m/>
    <n v="0.89978362831858416"/>
    <n v="0.95377064601769923"/>
    <n v="860.36998800000003"/>
    <n v="174.54913651441791"/>
    <n v="190.85601611234017"/>
    <n v="379.39421989752685"/>
    <n v="379"/>
    <n v="428.27"/>
    <n v="408.47135457000002"/>
    <n v="1361.5711819000001"/>
    <d v="2025-02-01T00:00:00"/>
    <s v="2024_2930_03988"/>
    <m/>
    <m/>
    <m/>
    <m/>
    <m/>
    <m/>
    <m/>
    <m/>
    <x v="1"/>
    <m/>
  </r>
  <r>
    <s v="AGC"/>
    <s v="Chuderice"/>
    <s v="Mercedes"/>
    <s v="C-Class (W520)"/>
    <s v="OEM"/>
    <x v="1"/>
    <s v="W2209AA"/>
    <s v="K"/>
    <s v="E2"/>
    <s v="Clear"/>
    <x v="0"/>
    <s v="BF011829"/>
    <s v="Y"/>
    <s v="L8"/>
    <x v="12"/>
    <n v="110"/>
    <n v="30"/>
    <s v="N/A"/>
    <s v="N/A"/>
    <n v="0.8"/>
    <n v="200"/>
    <n v="600"/>
    <n v="400"/>
    <n v="200"/>
    <n v="200"/>
    <n v="600"/>
    <n v="400"/>
    <n v="200"/>
    <s v="N/A"/>
    <n v="80"/>
    <n v="0.872"/>
    <m/>
    <n v="0.84581818181818191"/>
    <n v="0.89656727272727288"/>
    <n v="853.85946799999999"/>
    <n v="191.70379362369039"/>
    <n v="209.61331035640845"/>
    <n v="416.68101421543747"/>
    <n v="210"/>
    <n v="231"/>
    <n v="207.10704000000004"/>
    <n v="690.35680000000013"/>
    <d v="2023-06-23T00:00:00"/>
    <s v="2023_2037_03094"/>
    <s v="W2209AA KE2 CLEAR r110x0210 CT1P"/>
    <m/>
    <m/>
    <m/>
    <s v="N/A"/>
    <m/>
    <n v="0.54545454545454541"/>
    <m/>
    <x v="0"/>
    <s v="Clear"/>
  </r>
  <r>
    <s v="AGC"/>
    <s v="Chuderice"/>
    <s v="Mercedes"/>
    <s v="GLC (X254)"/>
    <s v="OEM"/>
    <x v="1"/>
    <s v="W2220"/>
    <s v="K"/>
    <s v="E2"/>
    <s v="Clear"/>
    <x v="0"/>
    <s v="BF008708, BF008535"/>
    <s v="Y"/>
    <s v="L8"/>
    <x v="13"/>
    <n v="97"/>
    <n v="27"/>
    <s v="N/A"/>
    <s v="N/A"/>
    <n v="0.8"/>
    <n v="200"/>
    <n v="560"/>
    <n v="360"/>
    <n v="140"/>
    <m/>
    <m/>
    <n v="0"/>
    <n v="700"/>
    <s v="N/A"/>
    <n v="70"/>
    <n v="0.94000000000000006"/>
    <m/>
    <n v="0.88948453608247424"/>
    <n v="0.9428536082474227"/>
    <n v="861.02103999999997"/>
    <n v="177.83585961687027"/>
    <n v="194.44979428807252"/>
    <n v="386.53813233602284"/>
    <n v="193"/>
    <n v="187.21"/>
    <n v="176.51162400000001"/>
    <n v="653.74675555555552"/>
    <d v="2019-01-01T00:00:00"/>
    <s v="Old"/>
    <s v="W2220 KE2 CLEAR R097X0.95X0193 CT1P, W2220 KE2 CLEAR R097X0.95X0193 CT4P"/>
    <s v="Unshaped"/>
    <n v="1"/>
    <s v="blocking issue, laminated w/ good results, F5 HST issue"/>
    <s v="N/A"/>
    <m/>
    <n v="0.57731958762886593"/>
    <m/>
    <x v="0"/>
    <s v="Clear"/>
  </r>
  <r>
    <s v="AGC"/>
    <s v="Chuderice"/>
    <s v="Mercedes"/>
    <s v="GLC (X254)"/>
    <s v="OEM"/>
    <x v="1"/>
    <s v="W2230"/>
    <s v="K"/>
    <s v="E2"/>
    <s v="Clear"/>
    <x v="0"/>
    <s v="BF008709, BF008710"/>
    <s v="Y"/>
    <s v="L8"/>
    <x v="14"/>
    <n v="88"/>
    <n v="18"/>
    <s v="N/A"/>
    <s v="N/A"/>
    <n v="0.8"/>
    <n v="200"/>
    <n v="560"/>
    <n v="360"/>
    <n v="140"/>
    <m/>
    <m/>
    <n v="0"/>
    <n v="700"/>
    <s v="N/A"/>
    <n v="70"/>
    <n v="1.01"/>
    <m/>
    <n v="0.92647727272727276"/>
    <n v="0.98206590909090907"/>
    <n v="867.53156000000013"/>
    <n v="165.51060201966141"/>
    <n v="180.97307587206748"/>
    <n v="359.74836078798165"/>
    <n v="179"/>
    <n v="157.52000000000001"/>
    <n v="154.69502199999999"/>
    <n v="859.41678888888885"/>
    <d v="2019-01-01T00:00:00"/>
    <s v="Old"/>
    <s v="W2230 KE2 CLEAR R088X0.95X0179 CT1P, W2230 KE2 CLEAR R08X0.95X0179 CT4P"/>
    <s v="Shaped"/>
    <n v="1"/>
    <s v="no yet laminated"/>
    <s v="N/A"/>
    <m/>
    <n v="0.63636363636363635"/>
    <m/>
    <x v="0"/>
    <s v="Clear"/>
  </r>
  <r>
    <s v="AGC"/>
    <s v="Chuderice"/>
    <s v="Renault"/>
    <s v="Kadjar (HHN)"/>
    <s v="OEM"/>
    <x v="2"/>
    <s v="W2239AB"/>
    <s v="K"/>
    <s v="E2"/>
    <s v="Clear"/>
    <x v="0"/>
    <s v="BF009475 (L8), ________"/>
    <s v="Y"/>
    <s v="L8 &amp; L9"/>
    <x v="10"/>
    <n v="115"/>
    <n v="35"/>
    <s v="N/A"/>
    <s v="N/A"/>
    <n v="0.8"/>
    <n v="390"/>
    <n v="600"/>
    <n v="210"/>
    <n v="200"/>
    <n v="200"/>
    <n v="600"/>
    <n v="400"/>
    <n v="200"/>
    <s v="N/A"/>
    <n v="80"/>
    <n v="1.1120000000000001"/>
    <m/>
    <n v="1.0034782608695654"/>
    <n v="1.0636869565217393"/>
    <n v="873.39102800000012"/>
    <n v="150.32887413656297"/>
    <n v="164.37302754567281"/>
    <n v="326.74986006822076"/>
    <n v="164"/>
    <n v="188.6"/>
    <n v="200.61136000000002"/>
    <n v="573.17531428571442"/>
    <d v="2021-02-01T00:00:00"/>
    <s v="2020_0459_01511"/>
    <s v="W2239AB KE2 r115x164 MT4P"/>
    <s v="discontinued L8 supply due to patent litigation"/>
    <n v="4"/>
    <m/>
    <s v="N/A"/>
    <d v="2021-02-01T00:00:00"/>
    <n v="0.52173913043478259"/>
    <m/>
    <x v="0"/>
    <s v="Clear"/>
  </r>
  <r>
    <s v="AGC"/>
    <s v="Chuderice"/>
    <s v="Renault"/>
    <s v="Kadjar (HHN)"/>
    <s v="OEM"/>
    <x v="1"/>
    <s v="W2239AA"/>
    <s v="K"/>
    <s v="E2"/>
    <s v="Clear"/>
    <x v="0"/>
    <s v="BF009228, BF009229"/>
    <s v="Y"/>
    <s v="L8"/>
    <x v="10"/>
    <n v="110"/>
    <n v="30"/>
    <s v="N/A"/>
    <s v="N/A"/>
    <n v="0.8"/>
    <n v="300"/>
    <n v="520"/>
    <n v="220"/>
    <n v="280"/>
    <m/>
    <m/>
    <n v="0"/>
    <n v="800"/>
    <s v="N/A"/>
    <n v="80"/>
    <n v="1.1120000000000001"/>
    <m/>
    <n v="0.99854545454545462"/>
    <n v="1.058458181818182"/>
    <n v="873.39102800000012"/>
    <n v="150.32887413656297"/>
    <n v="164.37302754567281"/>
    <n v="326.74986006822076"/>
    <n v="164"/>
    <n v="180.4"/>
    <n v="190.94585600000002"/>
    <n v="636.48618666666675"/>
    <d v="2020-09-01T00:00:00"/>
    <s v="2020_0241_01293"/>
    <s v="W2239AA KE2 r110x164 CT1P, W2239AA KE2 r110x164 CT4P"/>
    <m/>
    <n v="1"/>
    <s v="good results"/>
    <s v="N/A"/>
    <d v="2020-09-01T00:00:00"/>
    <n v="0.47272727272727272"/>
    <m/>
    <x v="0"/>
    <s v="Clear"/>
  </r>
  <r>
    <s v="AGC"/>
    <s v="Foshang"/>
    <s v="BYD"/>
    <s v="BAO 7"/>
    <s v="OEM"/>
    <x v="0"/>
    <s v="W2236AF"/>
    <s v="L"/>
    <s v="E2"/>
    <s v="Clear"/>
    <x v="0"/>
    <m/>
    <m/>
    <s v="L9"/>
    <x v="15"/>
    <n v="115"/>
    <n v="30"/>
    <s v="N/A"/>
    <s v="N/A"/>
    <n v="0.8"/>
    <n v="300"/>
    <n v="700"/>
    <n v="400"/>
    <n v="150"/>
    <n v="300"/>
    <n v="700"/>
    <n v="400"/>
    <n v="150"/>
    <s v="N/A"/>
    <n v="85"/>
    <n v="1.1060000000000001"/>
    <m/>
    <n v="0.99291304347826093"/>
    <n v="1.0524878260869566"/>
    <n v="871.43787200000008"/>
    <n v="151.14440148269261"/>
    <n v="165.2647437891394"/>
    <n v="328.52246328739733"/>
    <n v="165"/>
    <n v="189.75"/>
    <n v="199.709565"/>
    <n v="665.69855000000007"/>
    <m/>
    <m/>
    <m/>
    <m/>
    <m/>
    <m/>
    <m/>
    <m/>
    <m/>
    <m/>
    <x v="1"/>
    <m/>
  </r>
  <r>
    <s v="AGC"/>
    <s v="Kentucky"/>
    <s v="?"/>
    <s v="? (A2LL)"/>
    <m/>
    <x v="0"/>
    <s v="W2244AK"/>
    <s v="K"/>
    <s v="E2"/>
    <s v="Clear"/>
    <x v="0"/>
    <s v="BF011809"/>
    <s v="Y"/>
    <s v="L9"/>
    <x v="16"/>
    <n v="97"/>
    <n v="30"/>
    <s v="N/A"/>
    <s v="N/A"/>
    <n v="0.8"/>
    <n v="150"/>
    <n v="550"/>
    <n v="400"/>
    <n v="120"/>
    <n v="150"/>
    <n v="550"/>
    <n v="400"/>
    <n v="120"/>
    <s v="N/A"/>
    <n v="67"/>
    <n v="1.0948"/>
    <m/>
    <n v="0.99298762886597935"/>
    <n v="1.0525668865979381"/>
    <n v="876.64628800000003"/>
    <n v="152.69063576896059"/>
    <n v="166.95543170514082"/>
    <n v="331.88330690159069"/>
    <n v="120"/>
    <n v="116.4"/>
    <n v="122.5187856"/>
    <n v="408.39595200000002"/>
    <d v="2023-05-23T00:00:00"/>
    <s v="2023_2023_03080"/>
    <s v="W2244AK KE2 CLEAR r097x0.95x0120 CB1P"/>
    <m/>
    <m/>
    <m/>
    <m/>
    <m/>
    <n v="0.5670103092783505"/>
    <m/>
    <x v="0"/>
    <m/>
  </r>
  <r>
    <s v="AGC"/>
    <s v="Kentucky"/>
    <s v="Buick"/>
    <s v="Park Ave (GC10)"/>
    <s v="ARG"/>
    <x v="2"/>
    <s v="W5149"/>
    <s v="B"/>
    <s v="R4"/>
    <s v="Blue"/>
    <x v="1"/>
    <s v="BF005525"/>
    <s v="N"/>
    <s v="L6"/>
    <x v="17"/>
    <n v="104"/>
    <n v="38"/>
    <n v="20"/>
    <n v="84"/>
    <n v="0.76"/>
    <s v="N/A"/>
    <s v="N/A"/>
    <e v="#VALUE!"/>
    <e v="#VALUE!"/>
    <s v="N/A"/>
    <s v="N/A"/>
    <e v="#VALUE!"/>
    <e v="#VALUE!"/>
    <n v="180"/>
    <n v="66"/>
    <n v="1.0833999999999999"/>
    <m/>
    <n v="0.98078269230769222"/>
    <n v="1.0445335673076923"/>
    <n v="841.45202700000004"/>
    <n v="154.297312202195"/>
    <n v="168.71220844636161"/>
    <n v="335.37552556383741"/>
    <n v="335"/>
    <n v="348.4"/>
    <n v="363.91549484999996"/>
    <n v="957.67235486842094"/>
    <s v="1996"/>
    <s v="Old"/>
    <s v="W5149 BR4 BLUE R104/20X0.95X0335 CB2A"/>
    <m/>
    <m/>
    <m/>
    <s v="BE8480B"/>
    <m/>
    <m/>
    <m/>
    <x v="4"/>
    <s v="S/B"/>
  </r>
  <r>
    <s v="AGC"/>
    <s v="Kentucky"/>
    <s v="Cadillac"/>
    <s v="XLR"/>
    <s v="ARG"/>
    <x v="1"/>
    <s v="W5142"/>
    <s v="B"/>
    <s v="R3"/>
    <s v="Blue"/>
    <x v="1"/>
    <s v="BF008672"/>
    <s v="N"/>
    <s v="L6"/>
    <x v="18"/>
    <n v="104"/>
    <n v="37"/>
    <n v="17"/>
    <n v="87"/>
    <n v="0.76"/>
    <s v="N/A"/>
    <s v="N/A"/>
    <e v="#VALUE!"/>
    <e v="#VALUE!"/>
    <s v="N/A"/>
    <s v="N/A"/>
    <e v="#VALUE!"/>
    <e v="#VALUE!"/>
    <n v="200"/>
    <n v="67"/>
    <n v="1.0413999999999999"/>
    <m/>
    <n v="0.95075673076923073"/>
    <n v="1.0125559182692307"/>
    <n v="836.87316600000008"/>
    <n v="160.52017288252165"/>
    <n v="175.51642657075877"/>
    <n v="348.90132936034331"/>
    <n v="335"/>
    <n v="348.4"/>
    <n v="352.77448192499998"/>
    <n v="953.44454574324322"/>
    <s v="2004"/>
    <s v="Old"/>
    <s v="W5142 BR3 BLUE R104/17X0.95X0335 CB2A"/>
    <m/>
    <m/>
    <m/>
    <s v="BE8340B"/>
    <m/>
    <m/>
    <m/>
    <x v="4"/>
    <s v="S/B"/>
  </r>
  <r>
    <s v="AGC"/>
    <s v="Kentucky"/>
    <s v="Chevrolet"/>
    <s v="C5 Corvette (GY15)"/>
    <s v="ARG"/>
    <x v="2"/>
    <s v="W5124"/>
    <s v="B"/>
    <s v="R2"/>
    <s v="Blue"/>
    <x v="1"/>
    <s v="BF005571"/>
    <s v="N"/>
    <s v="L6"/>
    <x v="19"/>
    <n v="111"/>
    <n v="37"/>
    <n v="25"/>
    <n v="86"/>
    <n v="0.76"/>
    <s v="N/A"/>
    <s v="N/A"/>
    <e v="#VALUE!"/>
    <e v="#VALUE!"/>
    <s v="N/A"/>
    <s v="N/A"/>
    <e v="#VALUE!"/>
    <e v="#VALUE!"/>
    <n v="120"/>
    <n v="74"/>
    <n v="0.93759999999999999"/>
    <m/>
    <n v="0.87839999999999996"/>
    <n v="0.93549599999999999"/>
    <n v="825.09895200000005"/>
    <n v="178.29107086162333"/>
    <n v="194.94753266935601"/>
    <n v="387.52756441538128"/>
    <n v="335"/>
    <n v="371.85"/>
    <n v="347.86418760000004"/>
    <n v="940.17348000000015"/>
    <s v="1996"/>
    <s v="Old"/>
    <m/>
    <m/>
    <m/>
    <m/>
    <s v="BE8220B"/>
    <m/>
    <m/>
    <m/>
    <x v="4"/>
    <s v="S/B"/>
  </r>
  <r>
    <s v="AGC"/>
    <s v="Kentucky"/>
    <s v="Chevrolet"/>
    <s v="C6 Corvette (2005-2013)"/>
    <s v="ARG"/>
    <x v="2"/>
    <s v="W5121"/>
    <s v="B"/>
    <s v="R3"/>
    <s v="Blue"/>
    <x v="1"/>
    <s v="BF005522"/>
    <s v="N"/>
    <s v="L6"/>
    <x v="20"/>
    <n v="108"/>
    <n v="37"/>
    <n v="17"/>
    <n v="91"/>
    <n v="0.76"/>
    <s v="N/A"/>
    <s v="N/A"/>
    <e v="#VALUE!"/>
    <e v="#VALUE!"/>
    <s v="N/A"/>
    <s v="N/A"/>
    <e v="#VALUE!"/>
    <e v="#VALUE!"/>
    <n v="200"/>
    <n v="71"/>
    <n v="0.90910000000000002"/>
    <m/>
    <n v="0.86009027777777769"/>
    <n v="0.91599614583333322"/>
    <n v="823.13658299999997"/>
    <n v="183.88044003944341"/>
    <n v="201.05907670309998"/>
    <n v="399.6764320711269"/>
    <n v="335"/>
    <n v="361.8"/>
    <n v="331.40740556249995"/>
    <n v="895.69569070945931"/>
    <s v="2004"/>
    <s v="Old"/>
    <s v="W5121 BR3 BLUE R108/17X0.95X0335 CB2A"/>
    <s v="Last made in Mar 2019 (only 4 rolls)"/>
    <m/>
    <m/>
    <s v="BE8350B"/>
    <m/>
    <m/>
    <m/>
    <x v="4"/>
    <s v="S/B"/>
  </r>
  <r>
    <s v="AGC"/>
    <s v="Mexico"/>
    <s v="Mercedes"/>
    <s v="GLC"/>
    <s v="OEM"/>
    <x v="1"/>
    <s v="W2260AI"/>
    <s v="L"/>
    <s v="R"/>
    <s v="Clear"/>
    <x v="0"/>
    <s v="BF011948"/>
    <s v="Y"/>
    <s v="L9"/>
    <x v="21"/>
    <n v="93"/>
    <n v="29"/>
    <s v="N/A"/>
    <s v="N/A"/>
    <n v="0.8"/>
    <n v="256"/>
    <n v="520"/>
    <n v="264"/>
    <n v="120"/>
    <n v="150"/>
    <n v="550"/>
    <n v="400"/>
    <n v="90"/>
    <s v="N/A"/>
    <n v="64"/>
    <n v="1.1840000000000002"/>
    <m/>
    <n v="1.0518709677419356"/>
    <n v="1.1149832258064516"/>
    <n v="887.06312000000003"/>
    <n v="141.18725341204222"/>
    <n v="154.37737046519268"/>
    <n v="306.87993614515324"/>
    <n v="307"/>
    <n v="285.51"/>
    <n v="318.33886079999996"/>
    <n v="1097.7202096551723"/>
    <d v="2023-08-01T00:00:00"/>
    <s v="2023_2127_03184"/>
    <s v="W2260AI LR CLEAR r093x0307 CB1P"/>
    <s v="Air bags were inserted to make a long roll in a single package"/>
    <m/>
    <m/>
    <m/>
    <m/>
    <n v="0.55913978494623651"/>
    <m/>
    <x v="0"/>
    <m/>
  </r>
  <r>
    <s v="AGC"/>
    <s v="Mexico"/>
    <s v="Mercedes"/>
    <s v="GLC"/>
    <s v="OEM"/>
    <x v="0"/>
    <s v="W2263AC"/>
    <s v="L"/>
    <s v="R"/>
    <s v="Clear"/>
    <x v="0"/>
    <m/>
    <s v="Y"/>
    <s v="L8"/>
    <x v="22"/>
    <n v="93"/>
    <n v="29"/>
    <s v="N/A"/>
    <s v="N/A"/>
    <n v="0.8"/>
    <n v="200"/>
    <n v="450"/>
    <n v="250"/>
    <n v="190"/>
    <n v="150"/>
    <n v="550"/>
    <n v="400"/>
    <n v="90"/>
    <s v="N/A"/>
    <n v="64"/>
    <n v="1.2032"/>
    <m/>
    <n v="1.0644645161290325"/>
    <n v="1.1283323870967745"/>
    <n v="889.01627600000006"/>
    <n v="138.93426532567986"/>
    <n v="151.91390178755665"/>
    <n v="301.98291588751783"/>
    <n v="152"/>
    <n v="141.36000000000001"/>
    <n v="159.50106624000006"/>
    <n v="550.00367668965544"/>
    <d v="2024-11-01T00:00:00"/>
    <s v="2024_2850_03908"/>
    <m/>
    <m/>
    <m/>
    <m/>
    <m/>
    <m/>
    <m/>
    <m/>
    <x v="0"/>
    <m/>
  </r>
  <r>
    <s v="AGC"/>
    <s v="NordGlass"/>
    <s v="Skoda"/>
    <s v="Octavia"/>
    <s v="ARG"/>
    <x v="0"/>
    <s v="W2255AC"/>
    <s v="L"/>
    <s v="R &amp; E2"/>
    <s v="Clear"/>
    <x v="0"/>
    <s v="BF012206 (LR), BF012207 (LE2)"/>
    <s v="Y"/>
    <s v="L8"/>
    <x v="23"/>
    <n v="100"/>
    <n v="20"/>
    <s v="N/A"/>
    <s v="N/A"/>
    <n v="0.8"/>
    <n v="200"/>
    <n v="600"/>
    <n v="400"/>
    <n v="200"/>
    <n v="200"/>
    <n v="600"/>
    <n v="400"/>
    <n v="200"/>
    <s v="N/A"/>
    <n v="80"/>
    <n v="1.2400000000000002"/>
    <m/>
    <n v="1.0640000000000001"/>
    <n v="1.12784"/>
    <n v="883.80786000000012"/>
    <n v="134.81105487085321"/>
    <n v="147.40548921837754"/>
    <n v="293.02084225472692"/>
    <n v="147"/>
    <n v="147"/>
    <n v="165.79247999999998"/>
    <n v="828.96239999999989"/>
    <d v="2024-03-01T00:00:00"/>
    <s v="2024_2427_03484"/>
    <s v="W2255AC LR CLEAR r100x0147 CT1P, W2255AC LE2 CLEAR r100x0147 CT1P"/>
    <s v="Initially created both R and E2 patterns"/>
    <m/>
    <m/>
    <m/>
    <m/>
    <n v="0.6"/>
    <m/>
    <x v="0"/>
    <s v="Clear"/>
  </r>
  <r>
    <s v="AGC"/>
    <s v="NordGlass"/>
    <s v="BMW"/>
    <s v="5-series"/>
    <s v="ARG"/>
    <x v="1"/>
    <s v="W1030AA"/>
    <s v="L"/>
    <s v="R"/>
    <s v="Clear"/>
    <x v="1"/>
    <s v="BF009154, BF009155"/>
    <s v="Y"/>
    <s v="L8"/>
    <x v="14"/>
    <n v="98"/>
    <n v="30"/>
    <s v="N/A"/>
    <s v="N/A"/>
    <n v="0.76"/>
    <n v="265"/>
    <n v="505"/>
    <n v="240"/>
    <n v="175"/>
    <m/>
    <m/>
    <n v="0"/>
    <n v="680"/>
    <s v="N/A"/>
    <n v="68"/>
    <n v="0.96399999999999997"/>
    <m/>
    <n v="0.8932244897959184"/>
    <n v="0"/>
    <n v="0"/>
    <n v="173.40841082972824"/>
    <n v="189.60872057135705"/>
    <n v="376.91477634425462"/>
    <n v="190"/>
    <n v="186.2"/>
    <n v="0"/>
    <n v="0"/>
    <s v="TBD"/>
    <s v="2020_0149_01201"/>
    <s v="W1030AA LR CLEAR R098x0190 CT4P, W1030AA LR CLEAR R098x0190 CT1P"/>
    <s v="Program canceled/postponed in Mar '20"/>
    <m/>
    <m/>
    <s v="N/A"/>
    <s v="Possibly"/>
    <n v="0.51530612244897955"/>
    <m/>
    <x v="5"/>
    <s v="Clear"/>
  </r>
  <r>
    <s v="AGC"/>
    <s v="NordGlass"/>
    <s v="Opel"/>
    <s v="Insignia"/>
    <s v="ARG"/>
    <x v="1"/>
    <s v="W1235"/>
    <s v="L"/>
    <s v="E2"/>
    <s v="Clear"/>
    <x v="0"/>
    <s v="BF007396"/>
    <s v="Y"/>
    <s v="L8"/>
    <x v="7"/>
    <n v="102"/>
    <n v="32"/>
    <s v="N/A"/>
    <s v="N/A"/>
    <n v="0.8"/>
    <n v="150"/>
    <n v="550"/>
    <n v="400"/>
    <n v="150"/>
    <m/>
    <m/>
    <n v="0"/>
    <n v="700"/>
    <s v="N/A"/>
    <n v="70"/>
    <n v="1.0449999999999999"/>
    <m/>
    <n v="0.96093137254901961"/>
    <n v="0"/>
    <n v="0"/>
    <n v="159.9671847271369"/>
    <n v="174.91177668018008"/>
    <n v="347.69937262761863"/>
    <s v="150, 50"/>
    <e v="#VALUE!"/>
    <e v="#VALUE!"/>
    <e v="#VALUE!"/>
    <d v="2019-02-01T00:00:00"/>
    <s v="Old"/>
    <m/>
    <s v="Initial testing"/>
    <n v="1"/>
    <s v="??"/>
    <s v="N/A"/>
    <s v="Possibly"/>
    <n v="0.53921568627450978"/>
    <m/>
    <x v="6"/>
    <s v="Clear"/>
  </r>
  <r>
    <s v="AGC"/>
    <s v="NordGlass"/>
    <s v="Opel"/>
    <s v="Insignia"/>
    <s v="ARG"/>
    <x v="1"/>
    <s v="W1241AA"/>
    <s v="L"/>
    <s v="E2"/>
    <s v="Clear"/>
    <x v="0"/>
    <s v="BF007395, BF007652"/>
    <s v="Y"/>
    <s v="L8"/>
    <x v="24"/>
    <n v="102"/>
    <n v="32"/>
    <s v="N/A"/>
    <s v="N/A"/>
    <n v="0.8"/>
    <n v="150"/>
    <n v="550"/>
    <n v="400"/>
    <n v="150"/>
    <m/>
    <m/>
    <n v="0"/>
    <n v="700"/>
    <s v="N/A"/>
    <n v="70"/>
    <n v="1.087"/>
    <m/>
    <n v="0.9885196078431373"/>
    <n v="0"/>
    <n v="0"/>
    <n v="153.78629994467161"/>
    <n v="168.15345596208667"/>
    <n v="334.2648062519425"/>
    <s v="50, 150"/>
    <e v="#VALUE!"/>
    <e v="#VALUE!"/>
    <e v="#VALUE!"/>
    <d v="2019-02-01T00:00:00"/>
    <s v="Old"/>
    <s v="W1241 LE2 CLEAR r102x0.95x0050 W18P"/>
    <s v="Initial testing"/>
    <n v="1"/>
    <s v="??"/>
    <s v="N/A"/>
    <s v="Possibly"/>
    <n v="0.53921568627450978"/>
    <m/>
    <x v="6"/>
    <s v="Clear"/>
  </r>
  <r>
    <s v="AGC"/>
    <s v="NordGlass"/>
    <s v="Opel"/>
    <s v="Insignia"/>
    <s v="ARG"/>
    <x v="1"/>
    <s v="W1247"/>
    <s v="L"/>
    <s v="E2"/>
    <s v="Clear"/>
    <x v="0"/>
    <s v="BF007397, BF007654"/>
    <s v="Y"/>
    <s v="L8"/>
    <x v="25"/>
    <n v="102"/>
    <n v="32"/>
    <s v="N/A"/>
    <s v="N/A"/>
    <n v="0.8"/>
    <n v="150"/>
    <n v="550"/>
    <n v="400"/>
    <n v="150"/>
    <m/>
    <m/>
    <n v="0"/>
    <n v="700"/>
    <s v="N/A"/>
    <n v="70"/>
    <n v="1.129"/>
    <m/>
    <n v="1.016107843137255"/>
    <n v="0"/>
    <n v="0"/>
    <n v="148.06528612919223"/>
    <n v="161.89796867208872"/>
    <n v="321.82980017348223"/>
    <s v="50, 150"/>
    <e v="#VALUE!"/>
    <e v="#VALUE!"/>
    <e v="#VALUE!"/>
    <d v="2019-02-01T00:00:00"/>
    <s v="Old"/>
    <s v="W1247 LE2 CLEAR R102X0.95X0050 CT1P, W1247 LE2 CLEAR R102X0.95X0150 CT4P"/>
    <s v="Initial testing"/>
    <n v="1"/>
    <s v="??"/>
    <s v="N/A"/>
    <s v="Possibly"/>
    <n v="0.53921568627450978"/>
    <m/>
    <x v="6"/>
    <s v="Clear"/>
  </r>
  <r>
    <s v="AGC"/>
    <s v="HQ - Suzhou"/>
    <s v="BMW"/>
    <s v="G68 2027"/>
    <s v="OEM"/>
    <x v="0"/>
    <s v="W2228AH"/>
    <s v="L"/>
    <s v="E2"/>
    <s v="Clear"/>
    <x v="0"/>
    <s v="BF012981"/>
    <s v="Y"/>
    <s v="L9"/>
    <x v="26"/>
    <n v="98"/>
    <n v="15"/>
    <s v="N/A"/>
    <s v="N/A"/>
    <n v="0.8"/>
    <n v="200"/>
    <n v="700"/>
    <n v="500"/>
    <n v="130"/>
    <n v="200"/>
    <n v="700"/>
    <n v="500"/>
    <n v="130"/>
    <s v="N/A"/>
    <n v="83"/>
    <n v="1.0324"/>
    <m/>
    <n v="0.93398571428571431"/>
    <n v="0.99002485714285715"/>
    <n v="866.22945600000003"/>
    <n v="161.91951573019958"/>
    <n v="177.04650002982194"/>
    <n v="351.94289461048191"/>
    <n v="177"/>
    <n v="173.46"/>
    <n v="171.72971172000001"/>
    <n v="1144.8647448000002"/>
    <s v="?"/>
    <s v="2025-0253-0398"/>
    <m/>
    <m/>
    <m/>
    <m/>
    <m/>
    <m/>
    <m/>
    <m/>
    <x v="1"/>
    <m/>
  </r>
  <r>
    <s v="AGC"/>
    <s v="Qinhuangdao"/>
    <s v="BMW"/>
    <s v="NA0 2027"/>
    <s v="OEM"/>
    <x v="0"/>
    <s v="W2214AD"/>
    <s v="L"/>
    <s v="E2"/>
    <s v="Clear"/>
    <x v="0"/>
    <m/>
    <s v="Y"/>
    <s v="L9"/>
    <x v="5"/>
    <n v="111"/>
    <n v="22"/>
    <s v="N/A"/>
    <s v="N/A"/>
    <n v="0.8"/>
    <n v="200"/>
    <n v="760"/>
    <n v="560"/>
    <n v="130"/>
    <n v="200"/>
    <n v="760"/>
    <n v="560"/>
    <n v="130"/>
    <s v="N/A"/>
    <n v="89"/>
    <n v="0.92460000000000009"/>
    <m/>
    <n v="0.87464774774774778"/>
    <n v="0.92712661261261264"/>
    <n v="857.11472800000001"/>
    <n v="180.79786722891845"/>
    <n v="197.68852112350004"/>
    <n v="392.97625394317691"/>
    <n v="198"/>
    <n v="219.78"/>
    <n v="203.76388692"/>
    <n v="926.19948599999998"/>
    <m/>
    <s v="2025-0298-0444"/>
    <m/>
    <m/>
    <m/>
    <m/>
    <m/>
    <m/>
    <m/>
    <m/>
    <x v="1"/>
    <m/>
  </r>
  <r>
    <s v="AGC"/>
    <s v="Qinhuangdao"/>
    <s v="?"/>
    <s v="?"/>
    <s v="N/A"/>
    <x v="0"/>
    <s v="W2218AD"/>
    <s v="L"/>
    <s v="E2"/>
    <s v="Clear"/>
    <x v="0"/>
    <m/>
    <m/>
    <s v="L9"/>
    <x v="4"/>
    <n v="115"/>
    <n v="27"/>
    <s v="N/A"/>
    <s v="N/A"/>
    <n v="0.8"/>
    <n v="250"/>
    <n v="750"/>
    <n v="500"/>
    <n v="130"/>
    <n v="200"/>
    <n v="750"/>
    <n v="550"/>
    <n v="130"/>
    <s v="N/A"/>
    <n v="88"/>
    <n v="0.95840000000000003"/>
    <m/>
    <n v="0.89779478260869561"/>
    <n v="0.95166246956521727"/>
    <n v="859.7189360000001"/>
    <n v="174.42164862255635"/>
    <n v="190.71661793696592"/>
    <n v="379.11711643975525"/>
    <n v="191"/>
    <n v="219.65"/>
    <n v="209.03266143999997"/>
    <n v="774.19504237037017"/>
    <m/>
    <m/>
    <m/>
    <m/>
    <m/>
    <m/>
    <m/>
    <m/>
    <m/>
    <m/>
    <x v="1"/>
    <m/>
  </r>
  <r>
    <s v="AGC"/>
    <s v="Qinhuangdao"/>
    <s v="?"/>
    <s v="?"/>
    <s v="N/A"/>
    <x v="0"/>
    <s v="W2224AD"/>
    <s v="L"/>
    <s v="E2"/>
    <s v="Clear"/>
    <x v="0"/>
    <m/>
    <s v="Y"/>
    <s v="L9"/>
    <x v="19"/>
    <n v="105"/>
    <n v="17"/>
    <s v="N/A"/>
    <s v="N/A"/>
    <n v="0.8"/>
    <n v="300"/>
    <n v="750"/>
    <n v="450"/>
    <n v="130"/>
    <n v="300"/>
    <n v="750"/>
    <n v="450"/>
    <n v="130"/>
    <s v="N/A"/>
    <n v="88"/>
    <n v="1.0112000000000001"/>
    <m/>
    <n v="0.92269714285714288"/>
    <n v="0.97805897142857146"/>
    <n v="863.62524800000006"/>
    <n v="165.31418912169502"/>
    <n v="180.7583135193712"/>
    <n v="359.32144422059076"/>
    <n v="181"/>
    <n v="190.05"/>
    <n v="185.88010752000002"/>
    <n v="1093.4123971764707"/>
    <m/>
    <m/>
    <m/>
    <m/>
    <m/>
    <m/>
    <m/>
    <m/>
    <m/>
    <m/>
    <x v="1"/>
    <m/>
  </r>
  <r>
    <s v="AGC"/>
    <s v="Qinhuangdao"/>
    <s v="BYD"/>
    <s v="SVHA"/>
    <s v="OEM"/>
    <x v="0"/>
    <s v="W2233AC"/>
    <s v="L"/>
    <s v="E2"/>
    <s v="Clear"/>
    <x v="0"/>
    <m/>
    <s v="Y"/>
    <s v="L9"/>
    <x v="27"/>
    <n v="103"/>
    <n v="30"/>
    <s v="N/A"/>
    <s v="N/A"/>
    <n v="0.8"/>
    <n v="200"/>
    <n v="600"/>
    <n v="400"/>
    <n v="130"/>
    <n v="200"/>
    <n v="600"/>
    <n v="400"/>
    <n v="130"/>
    <s v="N/A"/>
    <n v="73"/>
    <n v="1.0409000000000002"/>
    <m/>
    <n v="0.95553252427184476"/>
    <n v="1.0128644757281553"/>
    <n v="869.48471600000005"/>
    <n v="160.59727931584015"/>
    <n v="175.60073650762624"/>
    <n v="349.06892534908388"/>
    <n v="176"/>
    <n v="181.28"/>
    <n v="183.61207216"/>
    <n v="612.0402405333333"/>
    <s v="W2233AC LE2 CLEAR r103x0176 CB4P"/>
    <s v="2026-0078-0677"/>
    <s v="W2233AC LE2 CLEAR r103x0176 CB1P"/>
    <s v="same design as Fuyao W2233ACT now used for sampling AGC QHD"/>
    <m/>
    <m/>
    <m/>
    <m/>
    <m/>
    <m/>
    <x v="1"/>
    <m/>
  </r>
  <r>
    <s v="AGC"/>
    <s v="Qinhuangdao"/>
    <s v="Geely"/>
    <s v="SV"/>
    <s v="OEM"/>
    <x v="0"/>
    <s v="W2233AK"/>
    <s v="L"/>
    <s v="E2"/>
    <s v="Clear"/>
    <x v="0"/>
    <m/>
    <s v="Y"/>
    <s v="L9"/>
    <x v="27"/>
    <n v="113"/>
    <n v="25"/>
    <s v="N/A"/>
    <s v="N/A"/>
    <n v="0.8"/>
    <n v="200"/>
    <n v="750"/>
    <n v="550"/>
    <n v="130"/>
    <n v="200"/>
    <n v="750"/>
    <n v="550"/>
    <n v="130"/>
    <s v="N/A"/>
    <n v="88"/>
    <n v="1.0904"/>
    <m/>
    <n v="0.97732389380530982"/>
    <n v="1.0359633274336286"/>
    <n v="869.48471600000005"/>
    <n v="153.30677553178469"/>
    <n v="167.62913300695908"/>
    <n v="333.22252787588178"/>
    <n v="168"/>
    <n v="189.84"/>
    <n v="196.66727808000007"/>
    <n v="786.66911232000029"/>
    <m/>
    <m/>
    <m/>
    <m/>
    <m/>
    <m/>
    <m/>
    <m/>
    <m/>
    <m/>
    <x v="1"/>
    <m/>
  </r>
  <r>
    <s v="AGC"/>
    <s v="Qinhuangdao"/>
    <s v="?"/>
    <s v="?"/>
    <s v="?"/>
    <x v="0"/>
    <s v="W2239AEH"/>
    <s v="L"/>
    <s v="E2"/>
    <s v="Clear"/>
    <x v="0"/>
    <s v="BF012347"/>
    <s v="Y"/>
    <s v="L9"/>
    <x v="10"/>
    <n v="113"/>
    <n v="30"/>
    <s v="N/A"/>
    <s v="N/A"/>
    <n v="0.8"/>
    <n v="228"/>
    <n v="622"/>
    <n v="394"/>
    <n v="208"/>
    <n v="200"/>
    <n v="650"/>
    <n v="450"/>
    <n v="180"/>
    <s v="N/A"/>
    <n v="83"/>
    <n v="1.1237000000000001"/>
    <m/>
    <n v="1.0048190265486727"/>
    <n v="1.065108168141593"/>
    <n v="873.39102800000012"/>
    <n v="148.76364513647593"/>
    <n v="162.66157037535655"/>
    <n v="323.34773017341058"/>
    <n v="120"/>
    <n v="135.6"/>
    <n v="144.42866760000001"/>
    <n v="481.42889200000008"/>
    <d v="2024-06-01T00:00:00"/>
    <s v="2024_2576_03634"/>
    <s v="W2239AE-H LE2 CLEAR r113x0120 CB1P"/>
    <m/>
    <m/>
    <m/>
    <m/>
    <m/>
    <n v="0.55044247787610623"/>
    <m/>
    <x v="1"/>
    <m/>
  </r>
  <r>
    <s v="AGP"/>
    <s v="Germany R&amp;D"/>
    <s v="None"/>
    <s v="None"/>
    <s v="N/A"/>
    <x v="1"/>
    <s v="W2252AA"/>
    <s v="K"/>
    <s v="E2"/>
    <s v="Clear"/>
    <x v="0"/>
    <s v="BF009418"/>
    <s v="Y"/>
    <s v="L8"/>
    <x v="28"/>
    <n v="115"/>
    <n v="30"/>
    <s v="N/A"/>
    <s v="N/A"/>
    <n v="0.8"/>
    <n v="270"/>
    <n v="570"/>
    <n v="300"/>
    <n v="280"/>
    <m/>
    <m/>
    <n v="0"/>
    <n v="850"/>
    <s v="N/A"/>
    <n v="85"/>
    <n v="1.242"/>
    <m/>
    <n v="1.0786521739130435"/>
    <n v="1.1433713043478262"/>
    <n v="881.85470400000008"/>
    <n v="134.59396782597264"/>
    <n v="147.16812128082785"/>
    <n v="292.54898904658734"/>
    <n v="147"/>
    <n v="169.05"/>
    <n v="193.28691900000004"/>
    <n v="644.28973000000019"/>
    <d v="2020-09-01T00:00:00"/>
    <s v="2020_0379_01431"/>
    <m/>
    <m/>
    <m/>
    <m/>
    <s v="N/A"/>
    <d v="2020-09-01T00:00:00"/>
    <n v="0.4956521739130435"/>
    <m/>
    <x v="0"/>
    <s v="Clear"/>
  </r>
  <r>
    <s v="AGP"/>
    <s v="Ghent R&amp;D"/>
    <s v="None"/>
    <s v="None"/>
    <s v="N/A"/>
    <x v="1"/>
    <s v="W2250"/>
    <s v="K"/>
    <s v="E2"/>
    <s v="Clear"/>
    <x v="0"/>
    <s v="BF008712"/>
    <s v="Y"/>
    <s v="L8"/>
    <x v="29"/>
    <n v="120"/>
    <n v="30"/>
    <s v="N/A"/>
    <s v="N/A"/>
    <n v="0.8"/>
    <n v="275"/>
    <n v="550"/>
    <n v="275"/>
    <n v="350"/>
    <m/>
    <m/>
    <n v="0"/>
    <n v="900"/>
    <s v="N/A"/>
    <n v="90"/>
    <n v="1.25"/>
    <m/>
    <n v="1.08125"/>
    <n v="1.1461250000000001"/>
    <n v="880.5526000000001"/>
    <n v="133.73256643188643"/>
    <n v="146.22624530463054"/>
    <n v="290.67667551668916"/>
    <n v="50"/>
    <n v="60"/>
    <n v="68.767499999999998"/>
    <n v="229.22499999999999"/>
    <d v="2020-01-01T00:00:00"/>
    <s v="2019_0901_01027"/>
    <s v="W2250 KE2 CLEAR R120X0.95X0050 CT1P"/>
    <s v="For lab testing only. Two other angles were requested, but weren't needed. Also sent to Xinyi for an initial trial."/>
    <n v="1"/>
    <s v="???"/>
    <s v="N/A"/>
    <d v="2020-02-01T00:00:00"/>
    <n v="0.45833333333333331"/>
    <m/>
    <x v="0"/>
    <s v="Clear"/>
  </r>
  <r>
    <s v="AGP"/>
    <s v="Peru"/>
    <s v="Canoo"/>
    <s v="Lifestyle"/>
    <s v="OEM"/>
    <x v="1"/>
    <s v="W2264AC"/>
    <s v="L"/>
    <s v="E2"/>
    <s v="Clear"/>
    <x v="0"/>
    <s v="BF009974"/>
    <s v="Y"/>
    <s v="L9"/>
    <x v="11"/>
    <n v="130"/>
    <n v="30"/>
    <s v="N/A"/>
    <s v="N/A"/>
    <n v="0.8"/>
    <s v="N/A"/>
    <s v="N/A"/>
    <e v="#VALUE!"/>
    <e v="#VALUE!"/>
    <s v="N/A"/>
    <s v="N/A"/>
    <e v="#VALUE!"/>
    <e v="#VALUE!"/>
    <s v="N/A"/>
    <n v="100"/>
    <n v="1.44"/>
    <m/>
    <n v="1.193846153846154"/>
    <n v="1.2654769230769234"/>
    <n v="889.66732800000011"/>
    <n v="116.08729724990143"/>
    <n v="126.93250460471401"/>
    <n v="252.32350305268159"/>
    <n v="125"/>
    <n v="162.5"/>
    <n v="205.64000000000004"/>
    <n v="685.46666666666681"/>
    <d v="2021-08-01T00:00:00"/>
    <s v="2021_0914_01969"/>
    <s v="W2264AC LE2 CLEAR i130x0125 C02A"/>
    <s v="Interleaved"/>
    <m/>
    <m/>
    <s v="N/A"/>
    <d v="2021-08-01T00:00:00"/>
    <m/>
    <s v="~60"/>
    <x v="0"/>
    <s v="Clear"/>
  </r>
  <r>
    <s v="AGP"/>
    <s v="Peru"/>
    <s v="Lucid"/>
    <s v="Air"/>
    <s v="OEM"/>
    <x v="0"/>
    <s v="W5025AC"/>
    <s v="F"/>
    <s v="R3"/>
    <s v="Clear"/>
    <x v="1"/>
    <s v="BF011862"/>
    <s v="N"/>
    <s v="L4"/>
    <x v="30"/>
    <n v="181"/>
    <n v="68"/>
    <s v="N/A"/>
    <s v="N/A"/>
    <n v="0.38"/>
    <s v="N/A"/>
    <s v="N/A"/>
    <e v="#VALUE!"/>
    <e v="#VALUE!"/>
    <s v="N/A"/>
    <s v="N/A"/>
    <e v="#VALUE!"/>
    <e v="#VALUE!"/>
    <s v="N/A"/>
    <n v="113"/>
    <n v="0.66250000000000009"/>
    <m/>
    <n v="0.5743162983425415"/>
    <n v="0.61164685773480665"/>
    <n v="421.05307500000004"/>
    <n v="252.32559704129511"/>
    <n v="275.89857604647273"/>
    <n v="548.44655757865871"/>
    <n v="276"/>
    <n v="499.56"/>
    <n v="305.55430425000003"/>
    <n v="449.3445650735294"/>
    <s v="?"/>
    <s v="2023_2064_03121"/>
    <m/>
    <s v="Interleaved"/>
    <m/>
    <m/>
    <s v="N/A"/>
    <m/>
    <m/>
    <m/>
    <x v="2"/>
    <m/>
  </r>
  <r>
    <s v="AGP"/>
    <s v="Peru"/>
    <s v="Lucid"/>
    <s v="Air"/>
    <s v="OEM"/>
    <x v="1"/>
    <s v="W2225AA"/>
    <s v="L"/>
    <s v="E2"/>
    <s v="Clear"/>
    <x v="0"/>
    <s v="BF011511"/>
    <s v="Y"/>
    <s v="L9"/>
    <x v="30"/>
    <n v="194"/>
    <n v="86"/>
    <s v="N/A"/>
    <s v="N/A"/>
    <n v="0.38"/>
    <s v="N/A"/>
    <s v="N/A"/>
    <e v="#VALUE!"/>
    <e v="#VALUE!"/>
    <n v="200"/>
    <n v="700"/>
    <n v="500"/>
    <n v="380"/>
    <s v="N/A"/>
    <n v="108"/>
    <n v="0.65"/>
    <m/>
    <n v="0.57484536082474236"/>
    <n v="0.60933608247422688"/>
    <n v="419.0763"/>
    <n v="257.17801236901238"/>
    <n v="281.20431789352028"/>
    <n v="558.99360676286381"/>
    <n v="281"/>
    <n v="545.14"/>
    <n v="332.17347200000006"/>
    <n v="386.24822325581403"/>
    <s v="Never"/>
    <s v="2022_1788_02844"/>
    <m/>
    <s v="Interleaved"/>
    <m/>
    <m/>
    <s v="N/A"/>
    <m/>
    <m/>
    <m/>
    <x v="0"/>
    <s v="Clear"/>
  </r>
  <r>
    <s v="AGP"/>
    <s v="Peru"/>
    <s v="Tesla"/>
    <s v="Model X"/>
    <s v="OEM"/>
    <x v="1"/>
    <s v="W1260AA"/>
    <s v="L"/>
    <s v="R"/>
    <s v="Clear"/>
    <x v="0"/>
    <s v="BF009010, BF009033"/>
    <s v="Not at the start, but yes for last campaigns"/>
    <s v="L9"/>
    <x v="21"/>
    <n v="183"/>
    <n v="65"/>
    <s v="N/A"/>
    <s v="N/A"/>
    <n v="0.38"/>
    <s v="N/A"/>
    <s v="N/A"/>
    <e v="#VALUE!"/>
    <e v="#VALUE!"/>
    <s v="N/A"/>
    <s v="N/A"/>
    <e v="#VALUE!"/>
    <e v="#VALUE!"/>
    <s v="N/A"/>
    <n v="118"/>
    <n v="1.0880000000000001"/>
    <m/>
    <n v="0.8597377049180327"/>
    <n v="0"/>
    <n v="0"/>
    <n v="153.64495224251655"/>
    <n v="167.99890315329793"/>
    <n v="333.95757756972563"/>
    <n v="166"/>
    <n v="303.77999999999997"/>
    <n v="0"/>
    <n v="0"/>
    <d v="2020-02-01T00:00:00"/>
    <s v="2020_0069_01120"/>
    <s v="W1260AA LR CLEAR I183X0166 C03P, W1260AA LR CLEAR I183X0050 C03P"/>
    <s v="Half thickness. Interleaved. Not used for HUD. Must run single-cut."/>
    <s v="I believe they purchased all rolls"/>
    <s v="qualified"/>
    <s v="N/A"/>
    <d v="2020-02-01T00:00:00"/>
    <m/>
    <m/>
    <x v="6"/>
    <s v="Clear"/>
  </r>
  <r>
    <s v="AGP"/>
    <s v="Peru"/>
    <s v="Lucid"/>
    <s v="Air"/>
    <s v="OEM"/>
    <x v="1"/>
    <s v="W5025AA"/>
    <s v="F"/>
    <s v="R3"/>
    <s v="Clear"/>
    <x v="1"/>
    <s v="BF011510"/>
    <s v="N"/>
    <s v="L4"/>
    <x v="30"/>
    <n v="194"/>
    <n v="86"/>
    <s v="N/A"/>
    <s v="N/A"/>
    <n v="0.38"/>
    <s v="N/A"/>
    <s v="N/A"/>
    <e v="#VALUE!"/>
    <e v="#VALUE!"/>
    <s v="N/A"/>
    <s v="N/A"/>
    <e v="#VALUE!"/>
    <e v="#VALUE!"/>
    <s v="N/A"/>
    <n v="108"/>
    <n v="0.65"/>
    <m/>
    <n v="0.57484536082474236"/>
    <n v="0.61221030927835052"/>
    <n v="421.05307500000004"/>
    <n v="257.17801236901238"/>
    <n v="281.20431789352028"/>
    <n v="558.99360676286381"/>
    <n v="281"/>
    <n v="545.14"/>
    <n v="333.74032799999998"/>
    <n v="388.07014883720927"/>
    <d v="2023-02-01T00:00:00"/>
    <s v="2022_1791_02847"/>
    <s v="W5025AA FR3 CLEAR i194x0281 C03P"/>
    <s v="Interleaved. Replaced by W5025AC"/>
    <m/>
    <m/>
    <s v="N/A"/>
    <m/>
    <m/>
    <m/>
    <x v="2"/>
    <s v="Clear"/>
  </r>
  <r>
    <s v="AGP"/>
    <s v="Peru"/>
    <s v="Tesla"/>
    <s v="Model X"/>
    <s v="ARG"/>
    <x v="2"/>
    <s v="W5060"/>
    <s v="F"/>
    <s v="R3"/>
    <s v="Clear"/>
    <x v="1"/>
    <s v="BF006923"/>
    <s v="N"/>
    <s v="L4"/>
    <x v="21"/>
    <n v="183"/>
    <n v="65"/>
    <s v="N/A"/>
    <s v="N/A"/>
    <n v="0.38"/>
    <s v="N/A"/>
    <s v="N/A"/>
    <e v="#VALUE!"/>
    <e v="#VALUE!"/>
    <s v="N/A"/>
    <s v="N/A"/>
    <e v="#VALUE!"/>
    <e v="#VALUE!"/>
    <s v="N/A"/>
    <n v="118"/>
    <n v="1.0880000000000001"/>
    <m/>
    <n v="0.8597377049180327"/>
    <n v="0.91562065573770479"/>
    <n v="443.94738000000001"/>
    <n v="153.64495224251655"/>
    <n v="167.99890315329793"/>
    <n v="333.95757756972563"/>
    <n v="166"/>
    <n v="303.77999999999997"/>
    <n v="278.14724279999996"/>
    <n v="427.91883507692302"/>
    <s v="2015"/>
    <s v="Old"/>
    <s v="W5060 FR3 CLEAR i183x0.95x0166 C03P"/>
    <s v="Half thickness. Interleaved. Not used for HUD. Must run single-cut."/>
    <m/>
    <m/>
    <s v="BE8320"/>
    <m/>
    <m/>
    <m/>
    <x v="2"/>
    <s v="Clear"/>
  </r>
  <r>
    <s v="AGP"/>
    <s v="Peru"/>
    <s v="Tesla"/>
    <s v="Model X"/>
    <s v="OEM"/>
    <x v="2"/>
    <s v="W2260AA"/>
    <s v="L"/>
    <s v="E2"/>
    <s v="Clear"/>
    <x v="0"/>
    <s v="BF009011, BF009034 (50m), __ (refrig)"/>
    <s v="Y"/>
    <s v="L9"/>
    <x v="21"/>
    <n v="183"/>
    <n v="65"/>
    <s v="N/A"/>
    <s v="N/A"/>
    <n v="0.38"/>
    <n v="300"/>
    <n v="650"/>
    <n v="350"/>
    <n v="530"/>
    <n v="300"/>
    <n v="700"/>
    <n v="400"/>
    <n v="480"/>
    <s v="N/A"/>
    <n v="118"/>
    <n v="1.0880000000000001"/>
    <m/>
    <n v="0.8597377049180327"/>
    <n v="0.91132196721311465"/>
    <n v="441.86311999999998"/>
    <n v="153.64495224251655"/>
    <n v="167.99890315329793"/>
    <n v="333.95757756972563"/>
    <n v="166"/>
    <n v="303.77999999999997"/>
    <n v="276.84138719999993"/>
    <n v="425.90982646153833"/>
    <d v="2021-08-01T00:00:00"/>
    <s v="2020_0069_01120, 2021_0943_01998, 2025-0206-0351"/>
    <s v="W2260AA LR CLEAR I183X0.95X0050 C03P, W2260AA LR CLEAR I183X0.95X0166 C03P"/>
    <s v="Changed from R to E2 pattern with second BPCM request. Interleaved."/>
    <m/>
    <m/>
    <s v="N/A"/>
    <d v="2021-08-01T00:00:00"/>
    <m/>
    <m/>
    <x v="0"/>
    <s v="Clear"/>
  </r>
  <r>
    <s v="Asahi India"/>
    <s v="Chennai"/>
    <m/>
    <m/>
    <s v="OEM"/>
    <x v="0"/>
    <s v="W2237AH"/>
    <s v="K"/>
    <s v="E2"/>
    <s v="Clear"/>
    <x v="0"/>
    <s v="BF012882"/>
    <s v="Y"/>
    <s v="L9"/>
    <x v="31"/>
    <n v="110"/>
    <n v="30"/>
    <s v="N/A"/>
    <s v="N/A"/>
    <n v="0.8"/>
    <n v="110"/>
    <n v="550"/>
    <n v="440"/>
    <n v="250"/>
    <n v="110"/>
    <n v="550"/>
    <n v="440"/>
    <n v="250"/>
    <s v="N/A"/>
    <n v="80"/>
    <n v="1.0960000000000001"/>
    <m/>
    <n v="0.98836363636363633"/>
    <n v="1.0476654545454547"/>
    <n v="872.08892400000002"/>
    <n v="152.52345624074638"/>
    <n v="166.77263378721548"/>
    <n v="331.51993101812178"/>
    <n v="120"/>
    <n v="132"/>
    <n v="138.29184000000001"/>
    <n v="460.97280000000006"/>
    <s v="?"/>
    <s v="2025-0166-0306"/>
    <m/>
    <m/>
    <m/>
    <m/>
    <m/>
    <m/>
    <m/>
    <m/>
    <x v="1"/>
    <m/>
  </r>
  <r>
    <s v="Asahi India"/>
    <s v="Chennai"/>
    <m/>
    <m/>
    <s v="OEM"/>
    <x v="0"/>
    <s v="W2228AF"/>
    <s v="K"/>
    <s v="E2"/>
    <s v="Clear"/>
    <x v="0"/>
    <s v="BF012884"/>
    <s v="Y"/>
    <s v="L9"/>
    <x v="26"/>
    <n v="107"/>
    <n v="30"/>
    <s v="N/A"/>
    <s v="N/A"/>
    <n v="0.8"/>
    <n v="100"/>
    <n v="533"/>
    <n v="433"/>
    <n v="237"/>
    <n v="100"/>
    <n v="533"/>
    <n v="433"/>
    <n v="237"/>
    <s v="N/A"/>
    <n v="77"/>
    <n v="1.0156000000000001"/>
    <m/>
    <n v="0.93802429906542062"/>
    <n v="0.99430575700934587"/>
    <n v="866.22945600000003"/>
    <n v="164.59797955874166"/>
    <n v="179.97519361046488"/>
    <n v="357.76471484429049"/>
    <n v="120"/>
    <n v="128.4"/>
    <n v="127.66885920000001"/>
    <n v="425.56286400000005"/>
    <s v="?"/>
    <s v="2025-0166-0306"/>
    <m/>
    <m/>
    <m/>
    <m/>
    <m/>
    <m/>
    <m/>
    <m/>
    <x v="1"/>
    <m/>
  </r>
  <r>
    <s v="Carlex"/>
    <s v="Grevenmacher"/>
    <s v="Audi"/>
    <s v="A6C8"/>
    <s v="OEM"/>
    <x v="1"/>
    <s v="W1244"/>
    <s v="L"/>
    <s v="E2"/>
    <s v="Clear"/>
    <x v="0"/>
    <s v="BF007886"/>
    <s v="Y"/>
    <s v="L8"/>
    <x v="16"/>
    <n v="99"/>
    <n v="34"/>
    <s v="N/A"/>
    <s v="N/A"/>
    <n v="0.8"/>
    <n v="160"/>
    <n v="605"/>
    <n v="445"/>
    <n v="45"/>
    <m/>
    <m/>
    <n v="0"/>
    <n v="650"/>
    <s v="N/A"/>
    <n v="65"/>
    <n v="1.0860000000000001"/>
    <m/>
    <n v="0.99211111111111105"/>
    <n v="0"/>
    <n v="0"/>
    <n v="153.92790795567038"/>
    <n v="168.30829339851581"/>
    <n v="334.57260073283743"/>
    <n v="150"/>
    <n v="148.5"/>
    <n v="0"/>
    <n v="0"/>
    <d v="2019-07-01T00:00:00"/>
    <s v="Old"/>
    <s v="W1244 LE2 CLEAR r099x0.95x0150 CT4P"/>
    <s v="Being laminated with black printed"/>
    <n v="2"/>
    <s v="???"/>
    <s v="N/A"/>
    <m/>
    <n v="0.61111111111111116"/>
    <m/>
    <x v="6"/>
    <s v="Clear"/>
  </r>
  <r>
    <s v="Carlex"/>
    <s v="Grevenmacher"/>
    <s v="Audi"/>
    <s v="A6C8"/>
    <s v="OEM"/>
    <x v="1"/>
    <s v="W2244"/>
    <s v="K"/>
    <s v="E2"/>
    <s v="Clear"/>
    <x v="0"/>
    <s v="BF008312, BF008706"/>
    <s v="Y"/>
    <s v="L8"/>
    <x v="16"/>
    <n v="99"/>
    <n v="33"/>
    <s v="N/A"/>
    <s v="N/A"/>
    <n v="0.8"/>
    <n v="160"/>
    <n v="605"/>
    <n v="445"/>
    <n v="55"/>
    <m/>
    <m/>
    <n v="0"/>
    <n v="660"/>
    <s v="N/A"/>
    <n v="66"/>
    <n v="1.0904"/>
    <m/>
    <n v="0.99360000000000004"/>
    <n v="1.0532160000000002"/>
    <n v="876.64628800000003"/>
    <n v="153.30677553178469"/>
    <n v="167.62913300695908"/>
    <n v="333.22252787588178"/>
    <n v="150"/>
    <n v="148.5"/>
    <n v="156.40257600000001"/>
    <n v="473.94720000000001"/>
    <d v="2019-10-01T00:00:00"/>
    <s v="Old"/>
    <s v="W2244 KE2 CLEAR r099x0.95x0150 CT1P, W2244 KE2 CLEAR R099X0.95X0150 CT4P"/>
    <s v="Being laminated with black printed"/>
    <n v="4"/>
    <s v="??"/>
    <s v="N/A"/>
    <m/>
    <n v="0.61111111111111116"/>
    <m/>
    <x v="0"/>
    <s v="Clear"/>
  </r>
  <r>
    <s v="Carlex"/>
    <s v="Grevenmacher"/>
    <s v="Audi"/>
    <s v="A6C8"/>
    <s v="OEM"/>
    <x v="1"/>
    <s v="W2244AB"/>
    <s v="K"/>
    <s v="R"/>
    <s v="Clear"/>
    <x v="0"/>
    <s v="BF009864"/>
    <s v="Y"/>
    <s v="L8"/>
    <x v="16"/>
    <n v="99"/>
    <n v="28"/>
    <s v="N/A"/>
    <s v="N/A"/>
    <n v="0.8"/>
    <n v="160"/>
    <n v="605"/>
    <n v="445"/>
    <n v="105"/>
    <n v="160"/>
    <n v="605"/>
    <n v="445"/>
    <n v="105"/>
    <s v="N/A"/>
    <n v="71"/>
    <n v="1.1124000000000001"/>
    <m/>
    <n v="1.0003777777777778"/>
    <n v="1.0604004444444444"/>
    <n v="876.64628800000003"/>
    <n v="150.27481844647431"/>
    <n v="164.31392181840002"/>
    <n v="326.63236641123825"/>
    <n v="164"/>
    <n v="162.36000000000001"/>
    <n v="172.16661615999999"/>
    <n v="614.88077199999987"/>
    <d v="2021-04-01T00:00:00"/>
    <s v="2021_0782_01836"/>
    <m/>
    <m/>
    <m/>
    <m/>
    <s v="N/A"/>
    <m/>
    <n v="0.61111111111111116"/>
    <m/>
    <x v="0"/>
    <s v="Clear"/>
  </r>
  <r>
    <s v="Carlex"/>
    <s v="Ligonier"/>
    <s v="Jeep"/>
    <s v="Grand Cherokee (WL)"/>
    <s v="OEM"/>
    <x v="0"/>
    <s v="W2262AA"/>
    <s v="L"/>
    <s v="R"/>
    <s v="Clear"/>
    <x v="0"/>
    <s v="BF010966"/>
    <s v="Y"/>
    <s v="L8"/>
    <x v="2"/>
    <n v="99"/>
    <n v="28"/>
    <s v="N/A"/>
    <s v="N/A"/>
    <n v="0.8"/>
    <n v="220"/>
    <n v="580"/>
    <n v="360"/>
    <n v="130"/>
    <n v="190"/>
    <n v="590"/>
    <n v="400"/>
    <n v="120"/>
    <s v="N/A"/>
    <n v="71"/>
    <n v="1.2402"/>
    <m/>
    <n v="1.0823505050505051"/>
    <n v="1.1472915353535353"/>
    <n v="888.36522400000001"/>
    <n v="134.78931465881152"/>
    <n v="147.38171797354312"/>
    <n v="292.97358845013827"/>
    <s v="293, 147"/>
    <e v="#VALUE!"/>
    <e v="#VALUE!"/>
    <e v="#VALUE!"/>
    <d v="2022-08-01T00:00:00"/>
    <s v="2022_1543_02599 (CT2P), 2024_2585_03643 (CT1P)"/>
    <s v="W2262AA LR CLEAR r099x0293 CT2P"/>
    <s v="L8 since L9 wasn't ready in July 2022"/>
    <m/>
    <m/>
    <s v="N/A"/>
    <s v="Sep 2022?"/>
    <n v="0.58585858585858586"/>
    <m/>
    <x v="0"/>
    <s v="Clear"/>
  </r>
  <r>
    <s v="Carlex"/>
    <s v="Ligonier"/>
    <s v="Jeep"/>
    <s v="Wagoneer (WS)"/>
    <s v="OEM"/>
    <x v="1"/>
    <s v="W2272AA"/>
    <s v="L"/>
    <s v="R"/>
    <s v="Clear"/>
    <x v="0"/>
    <s v="BF010967"/>
    <s v="Y"/>
    <s v="L8"/>
    <x v="32"/>
    <n v="99"/>
    <n v="30"/>
    <s v="N/A"/>
    <s v="N/A"/>
    <n v="0.8"/>
    <n v="120"/>
    <n v="470"/>
    <n v="350"/>
    <n v="220"/>
    <n v="120"/>
    <n v="520"/>
    <n v="400"/>
    <n v="170"/>
    <s v="N/A"/>
    <n v="69"/>
    <n v="1.2968"/>
    <m/>
    <n v="1.1236727272727274"/>
    <n v="1.1910930909090909"/>
    <n v="894.87574400000005"/>
    <n v="128.90631403443712"/>
    <n v="140.94911060363063"/>
    <n v="280.18649321087406"/>
    <n v="280"/>
    <n v="277.2"/>
    <n v="330.17100479999999"/>
    <n v="1100.5700160000001"/>
    <d v="2022-08-01T00:00:00"/>
    <s v="2022_1543_02599"/>
    <s v="W2272AA LR CLEAR r099x0280 CT2P"/>
    <s v="L8 since L9 wasn't ready in July 2022"/>
    <m/>
    <m/>
    <s v="N/A"/>
    <s v="Sep 2022?"/>
    <n v="0.47474747474747475"/>
    <m/>
    <x v="0"/>
    <s v="Clear"/>
  </r>
  <r>
    <s v="Dr. Greiche Glass"/>
    <s v="Egypt"/>
    <s v="Jeep"/>
    <s v="Grand Cherokee (W4)"/>
    <s v="OEM"/>
    <x v="0"/>
    <s v="W2264AJ"/>
    <s v="L"/>
    <s v="E2"/>
    <s v="Clear"/>
    <x v="0"/>
    <s v="tbd"/>
    <s v="Y"/>
    <s v="L8"/>
    <x v="11"/>
    <n v="100"/>
    <n v="27"/>
    <s v="N/A"/>
    <s v="N/A"/>
    <n v="0.8"/>
    <n v="150"/>
    <n v="600"/>
    <n v="450"/>
    <n v="130"/>
    <n v="150"/>
    <n v="600"/>
    <n v="450"/>
    <n v="130"/>
    <s v="N/A"/>
    <n v="73"/>
    <n v="1.2672000000000001"/>
    <m/>
    <n v="1.0966720000000001"/>
    <n v="1.1624723200000002"/>
    <n v="889.66732800000011"/>
    <n v="131.91738323852434"/>
    <n v="144.24148250535683"/>
    <n v="286.73125346895637"/>
    <n v="144"/>
    <n v="144"/>
    <n v="167.39601408000004"/>
    <n v="619.98523733333343"/>
    <d v="2025-02-01T00:00:00"/>
    <s v="2024_2948_04006"/>
    <m/>
    <s v="Interleaved Wedge has to be tested on Line E"/>
    <m/>
    <m/>
    <m/>
    <m/>
    <n v="0.6"/>
    <m/>
    <x v="0"/>
    <s v="Clear"/>
  </r>
  <r>
    <s v="Dr. Greiche Glass"/>
    <s v="Egypt"/>
    <s v="n/a"/>
    <s v="n/a"/>
    <s v="N/A"/>
    <x v="0"/>
    <s v="W2268AE"/>
    <s v="L"/>
    <s v="E2"/>
    <s v="Clear"/>
    <x v="0"/>
    <s v="tbd"/>
    <s v="Y"/>
    <s v="L8"/>
    <x v="33"/>
    <n v="100"/>
    <n v="27"/>
    <s v="N/A"/>
    <s v="N/A"/>
    <n v="0.8"/>
    <n v="150"/>
    <n v="600"/>
    <n v="450"/>
    <n v="130"/>
    <n v="150"/>
    <n v="600"/>
    <n v="450"/>
    <n v="130"/>
    <s v="N/A"/>
    <n v="73"/>
    <n v="1.2964000000000002"/>
    <m/>
    <n v="1.1152140000000001"/>
    <n v="1.1821268400000002"/>
    <n v="892.27153599999997"/>
    <n v="128.94608765802067"/>
    <n v="140.99259999289427"/>
    <n v="280.27294384130005"/>
    <n v="141"/>
    <n v="141"/>
    <n v="166.67988444000002"/>
    <n v="617.33290533333343"/>
    <d v="2025-02-01T00:00:00"/>
    <s v="2024_2960_04018"/>
    <m/>
    <s v="Interleaved Wedge has to be tested on Line E"/>
    <m/>
    <m/>
    <m/>
    <m/>
    <n v="0.6"/>
    <m/>
    <x v="0"/>
    <s v="Clear"/>
  </r>
  <r>
    <s v="Fuyao"/>
    <s v="America"/>
    <s v="BMW"/>
    <s v="X5 / X7"/>
    <s v="OEM"/>
    <x v="0"/>
    <s v="W2229AL"/>
    <s v="K"/>
    <s v="E2"/>
    <s v="Clear"/>
    <x v="0"/>
    <s v="tbd"/>
    <s v="Y"/>
    <s v="L9"/>
    <x v="34"/>
    <n v="110"/>
    <n v="30"/>
    <s v="N/A"/>
    <s v="N/A"/>
    <n v="0.8"/>
    <n v="300"/>
    <n v="590"/>
    <n v="290"/>
    <n v="210"/>
    <n v="200"/>
    <n v="600"/>
    <n v="400"/>
    <n v="200"/>
    <s v="N/A"/>
    <n v="80"/>
    <n v="1.032"/>
    <m/>
    <n v="0.94763636363636372"/>
    <n v="1.0044945454545455"/>
    <n v="866.88050800000008"/>
    <n v="161.98227523242059"/>
    <n v="177.11512270425209"/>
    <n v="352.07930658513709"/>
    <n v="177"/>
    <n v="194.7"/>
    <n v="195.57508799999999"/>
    <n v="651.91696000000002"/>
    <m/>
    <m/>
    <s v="W2229AL KE2 CLEAR r110x0177 CB1P"/>
    <m/>
    <m/>
    <m/>
    <m/>
    <m/>
    <m/>
    <m/>
    <x v="1"/>
    <m/>
  </r>
  <r>
    <s v="Fuyao"/>
    <s v="America"/>
    <s v="Chevrolet"/>
    <s v="Silverado 1500"/>
    <s v="ARG"/>
    <x v="0"/>
    <s v="W2251AA"/>
    <s v="K"/>
    <s v="E2"/>
    <s v="Clear"/>
    <x v="0"/>
    <s v="BF010856 (4 roll), BF010894 (1 roll), BF012113 (2 roll)"/>
    <s v="Y"/>
    <s v="L8"/>
    <x v="1"/>
    <n v="109"/>
    <n v="30"/>
    <s v="N/A"/>
    <s v="N/A"/>
    <n v="0.8"/>
    <n v="200"/>
    <n v="600"/>
    <n v="400"/>
    <n v="190"/>
    <n v="200"/>
    <n v="600"/>
    <n v="400"/>
    <n v="190"/>
    <s v="N/A"/>
    <n v="79"/>
    <n v="1.2029000000000001"/>
    <m/>
    <n v="1.0568949541284405"/>
    <n v="1.1203086513761469"/>
    <n v="881.20365200000003"/>
    <n v="138.96891515492393"/>
    <n v="151.95178870295797"/>
    <n v="302.05822960833103"/>
    <n v="302"/>
    <n v="329.18"/>
    <n v="368.78320186000002"/>
    <n v="1229.2773395333334"/>
    <d v="2022-08-01T00:00:00"/>
    <s v="2022_1406_02462, 2022_1494_02550, 2023_2299_03356"/>
    <s v="W2251AA KE2 CLEAR r109x0152 CT4A, W2251AA KE2 CLEAR r109x0152 CT1A"/>
    <m/>
    <m/>
    <m/>
    <s v="N/A"/>
    <m/>
    <n v="0.55045871559633031"/>
    <m/>
    <x v="0"/>
    <s v="Clear"/>
  </r>
  <r>
    <s v="Fuyao"/>
    <s v="America"/>
    <s v="Chevrolet"/>
    <s v="Silverado 1500"/>
    <s v="ARG"/>
    <x v="0"/>
    <s v="W2253AC"/>
    <s v="K"/>
    <s v="E2"/>
    <s v="Clear"/>
    <x v="0"/>
    <s v="BF012431"/>
    <s v="Y"/>
    <s v="L8"/>
    <x v="35"/>
    <n v="109"/>
    <n v="30"/>
    <s v="N/A"/>
    <s v="N/A"/>
    <n v="0.8"/>
    <n v="200"/>
    <n v="600"/>
    <n v="400"/>
    <n v="190"/>
    <n v="200"/>
    <n v="600"/>
    <n v="400"/>
    <n v="190"/>
    <s v="N/A"/>
    <n v="79"/>
    <n v="1.2187000000000001"/>
    <m/>
    <n v="1.0669692660550458"/>
    <n v="1.1309874220183487"/>
    <n v="882.50575600000013"/>
    <n v="137.16723397050794"/>
    <n v="149.98178930892604"/>
    <n v="298.14215507988962"/>
    <n v="150"/>
    <n v="163.5"/>
    <n v="184.91644350000001"/>
    <n v="616.38814500000012"/>
    <d v="2024-06-01T00:00:00"/>
    <s v="2024_2667_03725"/>
    <s v="W2253AC KE2 CLEAR r109x0150 CT1P"/>
    <m/>
    <m/>
    <m/>
    <m/>
    <m/>
    <m/>
    <m/>
    <x v="1"/>
    <m/>
  </r>
  <r>
    <s v="Fuyao"/>
    <s v="Changchun"/>
    <s v="Audi"/>
    <s v="EQ5L"/>
    <s v="OEM"/>
    <x v="0"/>
    <s v="W2227AM"/>
    <s v="L"/>
    <s v="E2"/>
    <s v="Clear"/>
    <x v="0"/>
    <s v="tbd"/>
    <s v="Y"/>
    <s v="L9"/>
    <x v="0"/>
    <n v="98"/>
    <n v="5"/>
    <s v="N/A"/>
    <s v="N/A"/>
    <n v="0.8"/>
    <n v="230"/>
    <n v="800"/>
    <n v="570"/>
    <n v="130"/>
    <n v="230"/>
    <n v="800"/>
    <n v="570"/>
    <n v="130"/>
    <s v="N/A"/>
    <n v="93"/>
    <n v="1.0510999999999999"/>
    <m/>
    <n v="0.93195561224489787"/>
    <n v="0.98787294897959166"/>
    <n v="865.57840400000009"/>
    <n v="159.03882412696987"/>
    <n v="173.89668597734581"/>
    <n v="345.68151878590186"/>
    <n v="174"/>
    <n v="170.52"/>
    <n v="168.45209525999999"/>
    <n v="3369.0419051999997"/>
    <s v="?"/>
    <s v="2025-0224-0369"/>
    <s v="W2227AM LE2 CLEAR r098x0174 CB1P"/>
    <m/>
    <m/>
    <m/>
    <m/>
    <m/>
    <m/>
    <m/>
    <x v="1"/>
    <m/>
  </r>
  <r>
    <s v="Fuyao"/>
    <s v="Changchun"/>
    <s v="Audi"/>
    <s v="EQ5L"/>
    <s v="OEM"/>
    <x v="0"/>
    <s v="W2227AOT"/>
    <s v="L"/>
    <s v="E2"/>
    <s v="Clear"/>
    <x v="0"/>
    <m/>
    <s v="Y"/>
    <s v="L9"/>
    <x v="0"/>
    <n v="108"/>
    <n v="10"/>
    <s v="N/A"/>
    <s v="N/A"/>
    <n v="0.8"/>
    <n v="200"/>
    <n v="850"/>
    <n v="650"/>
    <n v="130"/>
    <n v="200"/>
    <n v="850"/>
    <n v="650"/>
    <n v="130"/>
    <s v="N/A"/>
    <n v="98"/>
    <n v="1.0646"/>
    <m/>
    <n v="0.94455000000000011"/>
    <n v="1.0012230000000002"/>
    <n v="865.57840400000009"/>
    <n v="157.02208157040957"/>
    <n v="171.69153356264152"/>
    <n v="341.29799398446505"/>
    <n v="172"/>
    <n v="185.76"/>
    <n v="185.98718448000002"/>
    <n v="1859.8718448000002"/>
    <s v="?"/>
    <s v="2025-0242-0387"/>
    <m/>
    <m/>
    <m/>
    <m/>
    <m/>
    <m/>
    <m/>
    <m/>
    <x v="1"/>
    <m/>
  </r>
  <r>
    <s v="Fuyao"/>
    <s v="Changchun"/>
    <s v="Audi"/>
    <s v="EQ6L"/>
    <s v="OEM"/>
    <x v="0"/>
    <s v="W2227AN"/>
    <s v="L"/>
    <s v="E2"/>
    <s v="Clear"/>
    <x v="0"/>
    <s v="tbd"/>
    <s v="Y"/>
    <s v="L9"/>
    <x v="0"/>
    <n v="103"/>
    <n v="5"/>
    <s v="N/A"/>
    <s v="N/A"/>
    <n v="0.8"/>
    <n v="230"/>
    <n v="850"/>
    <n v="620"/>
    <n v="130"/>
    <n v="230"/>
    <n v="850"/>
    <n v="620"/>
    <n v="130"/>
    <s v="N/A"/>
    <n v="98"/>
    <n v="1.0646"/>
    <m/>
    <n v="0.93872233009708739"/>
    <n v="0.99504566990291266"/>
    <n v="865.57840400000009"/>
    <n v="157.02208157040957"/>
    <n v="171.69153356264152"/>
    <n v="341.29799398446505"/>
    <n v="172"/>
    <n v="177.16"/>
    <n v="176.28229088000001"/>
    <n v="3525.6458176000001"/>
    <s v="?"/>
    <s v="2025-0224-0369"/>
    <s v="W2227AN LE2 CLEAR r103x0172 CB1P"/>
    <m/>
    <m/>
    <m/>
    <m/>
    <m/>
    <m/>
    <m/>
    <x v="1"/>
    <m/>
  </r>
  <r>
    <s v="Fuyao"/>
    <s v="Changchun"/>
    <s v="Audi"/>
    <s v="EQ6L"/>
    <s v="OEM"/>
    <x v="0"/>
    <s v="W2227APT"/>
    <s v="L"/>
    <s v="E2"/>
    <s v="Clear"/>
    <x v="0"/>
    <m/>
    <s v="Y"/>
    <s v="L9"/>
    <x v="0"/>
    <n v="112"/>
    <n v="10"/>
    <s v="N/A"/>
    <s v="N/A"/>
    <n v="0.8"/>
    <n v="200"/>
    <n v="890"/>
    <n v="690"/>
    <n v="130"/>
    <n v="200"/>
    <n v="890"/>
    <n v="690"/>
    <n v="130"/>
    <s v="N/A"/>
    <n v="102"/>
    <n v="1.0754000000000001"/>
    <m/>
    <n v="0.94999464285714297"/>
    <n v="1.0069943214285715"/>
    <n v="865.57840400000009"/>
    <n v="155.44514416947928"/>
    <n v="169.96727415918559"/>
    <n v="337.87041509750924"/>
    <n v="170"/>
    <n v="190.4"/>
    <n v="191.73171880000001"/>
    <n v="1917.317188"/>
    <s v="?"/>
    <s v="2025-0242-0387"/>
    <m/>
    <m/>
    <m/>
    <m/>
    <m/>
    <m/>
    <m/>
    <m/>
    <x v="1"/>
    <m/>
  </r>
  <r>
    <s v="Fuyao"/>
    <s v="Changchun"/>
    <s v="Ben Teng"/>
    <s v="D511"/>
    <s v="OEM"/>
    <x v="1"/>
    <s v="W2270AA"/>
    <s v="L"/>
    <s v="E2"/>
    <s v="Clear"/>
    <x v="0"/>
    <s v="BF011450"/>
    <s v="Y"/>
    <s v="L9"/>
    <x v="36"/>
    <n v="102"/>
    <n v="30"/>
    <s v="N/A"/>
    <s v="N/A"/>
    <n v="0.8"/>
    <n v="263"/>
    <n v="538"/>
    <n v="275"/>
    <n v="182"/>
    <n v="200"/>
    <n v="600"/>
    <n v="400"/>
    <n v="120"/>
    <s v="N/A"/>
    <n v="72"/>
    <n v="1.304"/>
    <m/>
    <n v="1.1261176470588237"/>
    <n v="1.193684705882353"/>
    <n v="893.57364000000007"/>
    <n v="128.19456138025922"/>
    <n v="140.17086398066576"/>
    <n v="278.63945122382012"/>
    <n v="50"/>
    <n v="51"/>
    <n v="60.877920000000003"/>
    <n v="202.92640000000003"/>
    <s v="Never"/>
    <s v="2022_1741_02797"/>
    <m/>
    <s v="Angle too steep for L9 today. FY didn’t want sheeting from L8."/>
    <m/>
    <m/>
    <s v="N/A"/>
    <m/>
    <n v="0.52745098039215688"/>
    <m/>
    <x v="0"/>
    <s v="Clear"/>
  </r>
  <r>
    <s v="Fuyao"/>
    <s v="Changchun"/>
    <s v="Hongqi"/>
    <s v="C095"/>
    <s v="OEM"/>
    <x v="1"/>
    <s v="W2246AC"/>
    <s v="L"/>
    <s v="E2"/>
    <s v="Clear"/>
    <x v="0"/>
    <s v="BF011636"/>
    <s v="Y"/>
    <s v="L9"/>
    <x v="37"/>
    <n v="130"/>
    <n v="30"/>
    <s v="N/A"/>
    <s v="N/A"/>
    <n v="0.8"/>
    <n v="200"/>
    <n v="600"/>
    <n v="400"/>
    <n v="400"/>
    <n v="150"/>
    <n v="600"/>
    <n v="450"/>
    <n v="400"/>
    <s v="N/A"/>
    <n v="100"/>
    <n v="1.26"/>
    <m/>
    <n v="1.0830769230769233"/>
    <n v="1.1480615384615387"/>
    <n v="877.94839200000001"/>
    <n v="132.6711968570302"/>
    <n v="145.06571954824457"/>
    <n v="288.36971777449321"/>
    <n v="120"/>
    <n v="156"/>
    <n v="179.09760000000003"/>
    <n v="596.99200000000008"/>
    <s v="Never"/>
    <s v="2023_1903_02960"/>
    <s v="W2246AC LE2 CLEAR r130x0120 CB1P"/>
    <m/>
    <m/>
    <m/>
    <s v="N/A"/>
    <m/>
    <n v="0.46153846153846156"/>
    <m/>
    <x v="0"/>
    <s v="Clear"/>
  </r>
  <r>
    <s v="Fuyao"/>
    <s v="Changchun"/>
    <s v="Hongqi"/>
    <s v="C100"/>
    <s v="OEM"/>
    <x v="1"/>
    <s v="W2250AJ"/>
    <s v="L"/>
    <s v="E2"/>
    <s v="Clear"/>
    <x v="0"/>
    <s v="BF011638"/>
    <s v="Y"/>
    <s v="L9"/>
    <x v="29"/>
    <n v="98"/>
    <n v="30"/>
    <s v="N/A"/>
    <s v="N/A"/>
    <n v="0.8"/>
    <n v="160"/>
    <n v="560"/>
    <n v="400"/>
    <n v="120"/>
    <n v="150"/>
    <n v="600"/>
    <n v="450"/>
    <n v="80"/>
    <s v="N/A"/>
    <n v="68"/>
    <n v="1.1400000000000001"/>
    <m/>
    <n v="1.0220408163265307"/>
    <n v="1.0833632653061225"/>
    <n v="880.5526000000001"/>
    <n v="146.63658599987545"/>
    <n v="160.33579529016504"/>
    <n v="318.72442490865035"/>
    <n v="120"/>
    <n v="117.6"/>
    <n v="127.40352"/>
    <n v="424.67840000000001"/>
    <d v="2023-03-01T00:00:00"/>
    <s v="2023_1903_02960"/>
    <s v="W2250AJ LE2 CLEAR r098x0120 CB1P"/>
    <m/>
    <m/>
    <m/>
    <s v="N/A"/>
    <m/>
    <n v="0.5714285714285714"/>
    <m/>
    <x v="0"/>
    <s v="Clear"/>
  </r>
  <r>
    <s v="Fuyao"/>
    <s v="Changchun"/>
    <s v="Hongqi"/>
    <s v="C100"/>
    <s v="OEM"/>
    <x v="1"/>
    <s v="W2254AD"/>
    <s v="L"/>
    <s v="E2"/>
    <s v="Clear"/>
    <x v="0"/>
    <s v="BF011639"/>
    <s v="Y"/>
    <s v="L9"/>
    <x v="38"/>
    <n v="100"/>
    <n v="30"/>
    <s v="N/A"/>
    <s v="N/A"/>
    <n v="0.8"/>
    <n v="180"/>
    <n v="580"/>
    <n v="400"/>
    <n v="120"/>
    <n v="150"/>
    <n v="600"/>
    <n v="450"/>
    <n v="100"/>
    <s v="N/A"/>
    <n v="70"/>
    <n v="1.1779999999999999"/>
    <m/>
    <n v="1.0456999999999999"/>
    <n v="1.1084419999999999"/>
    <n v="883.15680800000007"/>
    <n v="141.9063735482666"/>
    <n v="155.1636728614501"/>
    <n v="308.44299184708109"/>
    <n v="120"/>
    <n v="120"/>
    <n v="133.01303999999999"/>
    <n v="443.3768"/>
    <s v="Never"/>
    <s v="2023_1903_02960"/>
    <s v="W2254AD LE2 CLEAR r100x0120 CB1P"/>
    <m/>
    <m/>
    <m/>
    <s v="N/A"/>
    <m/>
    <n v="0.57999999999999996"/>
    <m/>
    <x v="0"/>
    <s v="Clear"/>
  </r>
  <r>
    <s v="Fuyao"/>
    <s v="Changchun"/>
    <s v="Hongqi"/>
    <s v="C100"/>
    <s v="OEM"/>
    <x v="0"/>
    <s v="W2262AB from SYPKA passed validation"/>
    <m/>
    <m/>
    <m/>
    <x v="0"/>
    <s v="Copy"/>
    <s v="Y"/>
    <s v="L9"/>
    <x v="39"/>
    <m/>
    <m/>
    <m/>
    <n v="0"/>
    <m/>
    <m/>
    <m/>
    <n v="0"/>
    <n v="0"/>
    <m/>
    <m/>
    <n v="0"/>
    <n v="0"/>
    <n v="0"/>
    <n v="0"/>
    <n v="0"/>
    <m/>
    <e v="#DIV/0!"/>
    <e v="#DIV/0!"/>
    <n v="0"/>
    <e v="#DIV/0!"/>
    <e v="#DIV/0!"/>
    <e v="#DIV/0!"/>
    <m/>
    <n v="0"/>
    <e v="#DIV/0!"/>
    <e v="#DIV/0!"/>
    <s v="N/A"/>
    <s v="N/A"/>
    <m/>
    <s v="Passed validation. No order yet."/>
    <m/>
    <m/>
    <s v="N/A"/>
    <m/>
    <m/>
    <m/>
    <x v="0"/>
    <s v="S/B"/>
  </r>
  <r>
    <s v="Fuyao"/>
    <s v="Changchun"/>
    <s v="Hongqi"/>
    <s v="C206"/>
    <s v="OEM"/>
    <x v="1"/>
    <s v="W2220AA"/>
    <s v="L"/>
    <s v="E2"/>
    <s v="Clear"/>
    <x v="0"/>
    <s v="BF011633"/>
    <s v="Y"/>
    <s v="L9"/>
    <x v="13"/>
    <n v="106"/>
    <n v="30"/>
    <s v="N/A"/>
    <s v="N/A"/>
    <n v="0.8"/>
    <n v="200"/>
    <n v="600"/>
    <n v="400"/>
    <n v="160"/>
    <n v="150"/>
    <n v="600"/>
    <n v="450"/>
    <n v="160"/>
    <s v="N/A"/>
    <n v="76"/>
    <n v="0.95200000000000007"/>
    <m/>
    <n v="0.89750943396226424"/>
    <n v="0.95136000000000009"/>
    <n v="861.02103999999997"/>
    <n v="175.59423113430464"/>
    <n v="191.99874646091195"/>
    <n v="381.66580293682927"/>
    <n v="120"/>
    <n v="127.2"/>
    <n v="121.01299200000001"/>
    <n v="403.37664000000007"/>
    <s v="Never"/>
    <s v="2023_1903_02960"/>
    <s v="W2220AA LE2 CLEAR r106x0120 CB1P"/>
    <m/>
    <m/>
    <m/>
    <s v="N/A"/>
    <m/>
    <n v="0.56603773584905659"/>
    <m/>
    <x v="0"/>
    <s v="Clear"/>
  </r>
  <r>
    <s v="Fuyao"/>
    <s v="Changchun"/>
    <s v="Hongqi"/>
    <s v="HS5"/>
    <s v="OEM"/>
    <x v="1"/>
    <s v="W2254AE"/>
    <s v="L"/>
    <s v="E2"/>
    <s v="Clear"/>
    <x v="0"/>
    <s v="BF011707"/>
    <s v="Y"/>
    <s v="L9"/>
    <x v="38"/>
    <n v="105"/>
    <n v="30"/>
    <s v="N/A"/>
    <s v="N/A"/>
    <n v="0.8"/>
    <n v="200"/>
    <n v="600"/>
    <n v="400"/>
    <n v="150"/>
    <n v="150"/>
    <n v="600"/>
    <n v="450"/>
    <n v="150"/>
    <s v="N/A"/>
    <n v="75"/>
    <n v="1.2050000000000001"/>
    <m/>
    <n v="1.060357142857143"/>
    <n v="1.1239785714285717"/>
    <n v="883.15680800000007"/>
    <n v="138.72672866378261"/>
    <n v="151.68697645708559"/>
    <n v="301.53182107540368"/>
    <n v="152"/>
    <n v="159.6"/>
    <n v="179.38698000000005"/>
    <n v="597.95660000000021"/>
    <s v="Never"/>
    <s v="2023_1949_03006"/>
    <s v="W2254AE LE2 CLEAR r105x0152 CB1P"/>
    <s v="Obsolete if they're going to monolayer? Or they may use both."/>
    <m/>
    <m/>
    <s v="N/A"/>
    <m/>
    <n v="0.5714285714285714"/>
    <m/>
    <x v="0"/>
    <s v="Clear"/>
  </r>
  <r>
    <s v="Fuyao"/>
    <s v="Changchun"/>
    <s v="Hongqi"/>
    <s v="HS5"/>
    <s v="OEM"/>
    <x v="2"/>
    <s v="W5054AA"/>
    <s v="L"/>
    <s v="E2"/>
    <s v="Clear"/>
    <x v="1"/>
    <s v="BF011706 (CB1P), BF011875 (CB4P)"/>
    <m/>
    <s v="L6"/>
    <x v="38"/>
    <n v="105"/>
    <n v="30"/>
    <s v="N/A"/>
    <s v="N/A"/>
    <n v="0.76"/>
    <n v="200"/>
    <n v="600"/>
    <n v="400"/>
    <n v="150"/>
    <n v="150"/>
    <n v="600"/>
    <n v="450"/>
    <n v="150"/>
    <s v="N/A"/>
    <n v="75"/>
    <n v="1.165"/>
    <m/>
    <n v="1.020357142857143"/>
    <n v="1.0866803571428572"/>
    <n v="844.72264200000006"/>
    <n v="143.48987814580087"/>
    <n v="156.89511298780101"/>
    <n v="311.88484497498837"/>
    <n v="157"/>
    <n v="164.85"/>
    <n v="179.139256875"/>
    <n v="597.13085625000008"/>
    <d v="2023-08-01T00:00:00"/>
    <s v="2023_1949_03006, 2023_2076_03133"/>
    <s v="W5054AA FR3 CLEAR r105x0157 CB1P, W5054AA FR3 CLEAR r105x0157 CB4P"/>
    <m/>
    <m/>
    <m/>
    <s v="N/A"/>
    <m/>
    <n v="0.5714285714285714"/>
    <m/>
    <x v="2"/>
    <s v="Clear"/>
  </r>
  <r>
    <s v="Fuyao"/>
    <s v="Changchun"/>
    <s v="Hongqi"/>
    <s v="HS5"/>
    <s v="OEM"/>
    <x v="1"/>
    <s v="W2258AA"/>
    <s v="L"/>
    <s v="E2"/>
    <s v="Clear"/>
    <x v="0"/>
    <s v="BF011211"/>
    <s v="Y"/>
    <s v="L9"/>
    <x v="40"/>
    <n v="103"/>
    <n v="30"/>
    <s v="N/A"/>
    <s v="N/A"/>
    <n v="0.8"/>
    <n v="210"/>
    <n v="430"/>
    <n v="220"/>
    <n v="300"/>
    <n v="210"/>
    <n v="610"/>
    <n v="400"/>
    <n v="120"/>
    <s v="N/A"/>
    <n v="73"/>
    <n v="1.2234"/>
    <m/>
    <n v="1.0733601941747573"/>
    <n v="1.1377618058252426"/>
    <n v="885.76101600000004"/>
    <n v="136.64027140743667"/>
    <n v="149.40559639593604"/>
    <n v="296.99676671232749"/>
    <n v="50"/>
    <n v="51.5"/>
    <n v="58.594732999999991"/>
    <n v="195.31577666666664"/>
    <d v="2022-09-01T00:00:00"/>
    <s v="2022_1609_02665"/>
    <s v="W2258AA LE2 CLEAR r103x0050 CB1P"/>
    <s v="Went to monolayer"/>
    <m/>
    <m/>
    <s v="N/A"/>
    <m/>
    <n v="0.41747572815533979"/>
    <m/>
    <x v="0"/>
    <s v="Clear"/>
  </r>
  <r>
    <s v="Fuyao"/>
    <s v="Changchun"/>
    <s v="Hongqi"/>
    <s v="HS5"/>
    <s v="OEM"/>
    <x v="1"/>
    <s v="W5058AA"/>
    <s v="F"/>
    <s v="R3"/>
    <s v="Clear"/>
    <x v="1"/>
    <s v="BF011212"/>
    <m/>
    <s v="L6"/>
    <x v="40"/>
    <n v="103"/>
    <n v="30"/>
    <s v="N/A"/>
    <s v="N/A"/>
    <n v="0.76"/>
    <n v="210"/>
    <n v="430"/>
    <n v="220"/>
    <n v="300"/>
    <n v="210"/>
    <n v="610"/>
    <n v="400"/>
    <n v="120"/>
    <s v="N/A"/>
    <n v="73"/>
    <n v="1.1834"/>
    <m/>
    <n v="1.0333601941747574"/>
    <n v="1.1005286067961169"/>
    <n v="847.33913399999994"/>
    <n v="141.25883728228666"/>
    <n v="154.45564190534745"/>
    <n v="307.03552847377176"/>
    <n v="50"/>
    <n v="51.5"/>
    <n v="56.677223250000019"/>
    <n v="188.92407750000007"/>
    <d v="2022-12-01T00:00:00"/>
    <s v="2022_1609_02665"/>
    <s v="W5058AA FR3 CLEAR r103x0050 CB1P"/>
    <m/>
    <m/>
    <m/>
    <s v="N/A"/>
    <m/>
    <n v="0.41747572815533979"/>
    <m/>
    <x v="2"/>
    <s v="Clear"/>
  </r>
  <r>
    <s v="Fuyao"/>
    <s v="Changchun"/>
    <s v="Hongqi"/>
    <s v="HS5"/>
    <s v="OEM"/>
    <x v="1"/>
    <s v="W5060AB"/>
    <s v="F"/>
    <s v="R3"/>
    <s v="Clear"/>
    <x v="1"/>
    <s v="BF011649"/>
    <m/>
    <s v="L6"/>
    <x v="21"/>
    <n v="103"/>
    <n v="30"/>
    <s v="N/A"/>
    <s v="N/A"/>
    <n v="0.76"/>
    <n v="200"/>
    <n v="600"/>
    <n v="400"/>
    <n v="130"/>
    <n v="150"/>
    <n v="600"/>
    <n v="450"/>
    <n v="130"/>
    <s v="N/A"/>
    <n v="73"/>
    <n v="1.198"/>
    <m/>
    <n v="1.0427864077669902"/>
    <n v="1.1105675242718445"/>
    <n v="848.64738"/>
    <n v="139.5373188980451"/>
    <n v="152.57329434957276"/>
    <n v="303.29369315180423"/>
    <n v="120"/>
    <n v="123.6"/>
    <n v="137.26614599999996"/>
    <n v="457.55381999999992"/>
    <s v="Never"/>
    <s v="2023_1903_02960"/>
    <s v="W5060AB FR3 CLEAR r103x0120 CB1P"/>
    <m/>
    <m/>
    <m/>
    <s v="N/A"/>
    <m/>
    <n v="0.58252427184466016"/>
    <m/>
    <x v="2"/>
    <s v="Clear"/>
  </r>
  <r>
    <s v="Fuyao"/>
    <s v="Changchun"/>
    <s v="Hongqi"/>
    <s v="HS5"/>
    <s v="OEM"/>
    <x v="1"/>
    <s v="W5068AA"/>
    <s v="F"/>
    <s v="R3"/>
    <s v="Clear"/>
    <x v="1"/>
    <s v="BF011550"/>
    <m/>
    <s v="L6"/>
    <x v="33"/>
    <n v="100"/>
    <n v="30"/>
    <s v="N/A"/>
    <s v="N/A"/>
    <n v="0.76"/>
    <n v="180"/>
    <n v="580"/>
    <n v="400"/>
    <n v="120"/>
    <n v="150"/>
    <n v="600"/>
    <n v="450"/>
    <n v="100"/>
    <s v="N/A"/>
    <n v="70"/>
    <n v="1.236"/>
    <m/>
    <n v="1.0693999999999999"/>
    <n v="1.1389109999999998"/>
    <n v="853.88036399999999"/>
    <n v="135.24733660182687"/>
    <n v="147.88252963656001"/>
    <n v="293.96912977011448"/>
    <n v="120"/>
    <n v="120"/>
    <n v="136.66931999999997"/>
    <n v="455.56439999999992"/>
    <s v="?"/>
    <s v="2022_1807_02863"/>
    <s v="W5068AA FR3 CLEAR r100x0120 CB1P"/>
    <s v="Validation passed. No order"/>
    <m/>
    <m/>
    <s v="N/A"/>
    <m/>
    <n v="0.57999999999999996"/>
    <m/>
    <x v="2"/>
    <s v="Clear"/>
  </r>
  <r>
    <s v="Fuyao"/>
    <s v="Changchun"/>
    <s v="VW"/>
    <s v="416-3"/>
    <s v="OEM"/>
    <x v="1"/>
    <s v="W2258AC"/>
    <s v="L"/>
    <s v="E2"/>
    <s v="Clear"/>
    <x v="0"/>
    <s v="BF011640"/>
    <s v="Y"/>
    <s v="L9"/>
    <x v="40"/>
    <n v="105"/>
    <n v="30"/>
    <s v="N/A"/>
    <s v="N/A"/>
    <n v="0.8"/>
    <n v="200"/>
    <n v="600"/>
    <n v="400"/>
    <n v="150"/>
    <n v="150"/>
    <n v="600"/>
    <n v="450"/>
    <n v="150"/>
    <s v="N/A"/>
    <n v="75"/>
    <n v="1.2349999999999999"/>
    <m/>
    <n v="1.0796428571428571"/>
    <n v="1.1444214285714285"/>
    <n v="885.76101600000004"/>
    <n v="135.35684861526968"/>
    <n v="148.00227257553701"/>
    <n v="294.20716145413888"/>
    <n v="120"/>
    <n v="126"/>
    <n v="144.19709999999998"/>
    <n v="480.65699999999993"/>
    <s v="Never"/>
    <s v="2023_1903_02960"/>
    <s v="W2258AC LE2 CLEAR r105x0120 CB1P"/>
    <s v="4-roll package was set up as W2258AG for Shanghai. Should be obsolete once Changchun tests this code."/>
    <m/>
    <m/>
    <s v="N/A"/>
    <m/>
    <n v="0.5714285714285714"/>
    <m/>
    <x v="0"/>
    <s v="Clear"/>
  </r>
  <r>
    <s v="Fuyao"/>
    <s v="Changchun"/>
    <s v="VW"/>
    <s v="Magotan B9"/>
    <s v="OEM"/>
    <x v="2"/>
    <s v="W2251AJT"/>
    <s v="L"/>
    <s v="E2"/>
    <s v="Clear"/>
    <x v="0"/>
    <s v="BF012515 (CB1P), BF012707 (CB4P)"/>
    <s v="Y"/>
    <s v="L9"/>
    <x v="1"/>
    <n v="94"/>
    <n v="25"/>
    <s v="N/A"/>
    <s v="N/A"/>
    <n v="0.8"/>
    <n v="150"/>
    <n v="550"/>
    <n v="400"/>
    <n v="140"/>
    <n v="150"/>
    <n v="550"/>
    <n v="400"/>
    <n v="140"/>
    <s v="N/A"/>
    <n v="69"/>
    <n v="1.1519000000000001"/>
    <m/>
    <n v="1.0227452127659575"/>
    <n v="1.0841099255319149"/>
    <n v="881.20365200000003"/>
    <n v="145.12171893381196"/>
    <n v="158.67940500979958"/>
    <n v="315.43176004502249"/>
    <n v="159"/>
    <n v="149.46"/>
    <n v="162.03106947000001"/>
    <n v="648.12427788000002"/>
    <d v="2024-09-01T00:00:00"/>
    <s v="2024_2743_03801, 2024_2909_03967"/>
    <s v="W2251AJ LE2 CLEAR r094x0159 CB1P, W2251AJ LE2 CLEAR r094x0159 CB4P"/>
    <m/>
    <m/>
    <m/>
    <m/>
    <m/>
    <m/>
    <m/>
    <x v="1"/>
    <m/>
  </r>
  <r>
    <s v="Fuyao"/>
    <s v="Changchun"/>
    <s v="VW"/>
    <s v="Magotan B9"/>
    <s v="OEM"/>
    <x v="0"/>
    <s v="W2254AI"/>
    <s v="L"/>
    <s v="E2"/>
    <s v="Clear"/>
    <x v="0"/>
    <s v="BF012516 (CB1P), BF012708 (CB4P)"/>
    <s v="Y"/>
    <s v="L9"/>
    <x v="38"/>
    <n v="94"/>
    <n v="25"/>
    <s v="N/A"/>
    <s v="N/A"/>
    <n v="0.8"/>
    <n v="150"/>
    <n v="550"/>
    <n v="400"/>
    <n v="140"/>
    <n v="150"/>
    <n v="550"/>
    <n v="400"/>
    <n v="140"/>
    <s v="N/A"/>
    <n v="69"/>
    <n v="1.1726000000000001"/>
    <m/>
    <n v="1.0358478723404256"/>
    <n v="1.0979987446808512"/>
    <n v="883.15680800000007"/>
    <n v="142.55987381874297"/>
    <n v="155.87822499640811"/>
    <n v="309.86341838296221"/>
    <n v="156"/>
    <n v="146.63999999999999"/>
    <n v="161.01053592000002"/>
    <n v="644.04214368000009"/>
    <d v="2024-09-01T00:00:00"/>
    <s v="2024_2743_03801, 2024_2909_03967"/>
    <s v="W2254AI LE2 CLEAR r094x0156 CB1P, W2254AI LE2 CLEAR r094x0156 CB4P"/>
    <m/>
    <m/>
    <m/>
    <m/>
    <m/>
    <m/>
    <m/>
    <x v="1"/>
    <m/>
  </r>
  <r>
    <s v="Fuyao"/>
    <s v="Chongqing"/>
    <s v="BAG"/>
    <s v="C385"/>
    <s v="OEM"/>
    <x v="1"/>
    <s v="W5017AA"/>
    <s v="F"/>
    <s v="R3"/>
    <s v="Clear"/>
    <x v="1"/>
    <s v="BF011581"/>
    <m/>
    <s v="L6"/>
    <x v="41"/>
    <n v="110"/>
    <n v="30"/>
    <s v="N/A"/>
    <s v="N/A"/>
    <n v="0.76"/>
    <n v="200"/>
    <n v="600"/>
    <n v="400"/>
    <n v="200"/>
    <n v="150"/>
    <n v="600"/>
    <n v="450"/>
    <n v="200"/>
    <s v="N/A"/>
    <n v="80"/>
    <n v="0.89600000000000002"/>
    <m/>
    <n v="0.8465454545454546"/>
    <n v="0.9015709090909092"/>
    <n v="820.52009100000009"/>
    <n v="186.56887058019871"/>
    <n v="203.99866811471892"/>
    <n v="405.51991562038108"/>
    <n v="120"/>
    <n v="132"/>
    <n v="119.00736000000002"/>
    <n v="396.69120000000009"/>
    <m/>
    <s v="2022_1831_02887, 2023_1838_02894"/>
    <s v="W5017AA FR3 CLEAR r110x0120 CB1P"/>
    <m/>
    <m/>
    <m/>
    <s v="N/A"/>
    <m/>
    <n v="0.54545454545454541"/>
    <m/>
    <x v="2"/>
    <s v="Clear"/>
  </r>
  <r>
    <s v="Fuyao"/>
    <s v="Chongqing"/>
    <s v="BAG"/>
    <s v="C385"/>
    <s v="OEM"/>
    <x v="1"/>
    <s v="W5020AB"/>
    <s v="F"/>
    <s v="R3"/>
    <s v="Clear"/>
    <x v="1"/>
    <s v="BF011855"/>
    <m/>
    <s v="L6"/>
    <x v="13"/>
    <n v="108"/>
    <n v="30"/>
    <s v="N/A"/>
    <s v="N/A"/>
    <n v="0.76"/>
    <n v="200"/>
    <n v="600"/>
    <n v="400"/>
    <n v="180"/>
    <n v="150"/>
    <n v="600"/>
    <n v="450"/>
    <n v="180"/>
    <s v="N/A"/>
    <n v="78"/>
    <n v="0.91600000000000004"/>
    <m/>
    <n v="0.85966666666666669"/>
    <n v="0.91554500000000005"/>
    <n v="822.48245999999995"/>
    <n v="182.4953144539935"/>
    <n v="199.54454872356786"/>
    <n v="396.6657689911151"/>
    <n v="200"/>
    <n v="216"/>
    <n v="197.75772000000001"/>
    <n v="659.19240000000002"/>
    <d v="2023-07-23T00:00:00"/>
    <s v="2023_2056_03113"/>
    <s v="W5020AB FR3 CLEAR r108x0200 CB1P"/>
    <m/>
    <m/>
    <m/>
    <s v="N/A"/>
    <m/>
    <n v="0.55555555555555558"/>
    <m/>
    <x v="2"/>
    <m/>
  </r>
  <r>
    <s v="Fuyao"/>
    <s v="Chongqing"/>
    <s v="BYD"/>
    <s v="HC"/>
    <s v="OEM"/>
    <x v="1"/>
    <s v="W2233ADT"/>
    <s v="L"/>
    <s v="E2"/>
    <s v="Clear"/>
    <x v="0"/>
    <s v="BF011854"/>
    <s v="Y"/>
    <s v="L9"/>
    <x v="27"/>
    <n v="112"/>
    <n v="30"/>
    <s v="N/A"/>
    <s v="N/A"/>
    <n v="0.8"/>
    <n v="200"/>
    <n v="600"/>
    <n v="400"/>
    <n v="220"/>
    <n v="150"/>
    <n v="600"/>
    <n v="450"/>
    <n v="220"/>
    <s v="N/A"/>
    <n v="82"/>
    <n v="1.0706"/>
    <m/>
    <n v="0.97154107142857149"/>
    <n v="1.0298335357142858"/>
    <n v="869.48471600000005"/>
    <n v="156.14207737703907"/>
    <n v="170.72931686044103"/>
    <n v="339.38524602639779"/>
    <n v="171"/>
    <n v="191.52"/>
    <n v="197.23371876000004"/>
    <n v="657.44572920000019"/>
    <d v="2023-07-23T00:00:00"/>
    <s v="2023_2056_03113, 2024_2777_03835"/>
    <s v="W2233AD LE2 CLEAR r112x0171 CB4P"/>
    <m/>
    <m/>
    <m/>
    <s v="N/A"/>
    <m/>
    <n v="0.5357142857142857"/>
    <m/>
    <x v="0"/>
    <m/>
  </r>
  <r>
    <s v="Fuyao"/>
    <s v="Chongqing"/>
    <m/>
    <m/>
    <s v="N/A"/>
    <x v="0"/>
    <s v="W2222AGT"/>
    <s v="L"/>
    <s v="E2"/>
    <s v="Clear"/>
    <x v="0"/>
    <m/>
    <m/>
    <s v="L9"/>
    <x v="42"/>
    <n v="112"/>
    <n v="30"/>
    <s v="N/A"/>
    <s v="N/A"/>
    <n v="0.8"/>
    <n v="150"/>
    <n v="600"/>
    <n v="450"/>
    <n v="220"/>
    <n v="150"/>
    <n v="600"/>
    <n v="450"/>
    <n v="220"/>
    <s v="N/A"/>
    <n v="82"/>
    <n v="0.98040000000000005"/>
    <m/>
    <n v="0.91436071428571442"/>
    <n v="0.9692223571428572"/>
    <n v="862.32314400000007"/>
    <n v="170.50765813939009"/>
    <n v="186.43697126763379"/>
    <n v="370.60979640540745"/>
    <n v="186"/>
    <n v="208.32"/>
    <n v="201.90840144000001"/>
    <n v="673.02800480000008"/>
    <m/>
    <m/>
    <m/>
    <m/>
    <m/>
    <m/>
    <m/>
    <m/>
    <m/>
    <m/>
    <x v="1"/>
    <m/>
  </r>
  <r>
    <s v="Fuyao"/>
    <s v="Chongqing"/>
    <s v="BYD"/>
    <s v="HC"/>
    <s v="OEM"/>
    <x v="0"/>
    <s v="W2232AHT"/>
    <s v="L"/>
    <s v="E2"/>
    <s v="Clear"/>
    <x v="0"/>
    <s v="Copy"/>
    <m/>
    <s v="L9"/>
    <x v="39"/>
    <m/>
    <m/>
    <m/>
    <n v="0"/>
    <m/>
    <m/>
    <m/>
    <n v="0"/>
    <n v="0"/>
    <m/>
    <m/>
    <n v="0"/>
    <n v="0"/>
    <s v="N/A"/>
    <n v="0"/>
    <n v="0"/>
    <m/>
    <e v="#DIV/0!"/>
    <e v="#DIV/0!"/>
    <n v="0"/>
    <e v="#DIV/0!"/>
    <e v="#DIV/0!"/>
    <e v="#DIV/0!"/>
    <m/>
    <n v="0"/>
    <e v="#DIV/0!"/>
    <e v="#DIV/0!"/>
    <m/>
    <s v="N/A"/>
    <m/>
    <m/>
    <m/>
    <m/>
    <m/>
    <m/>
    <m/>
    <m/>
    <x v="1"/>
    <m/>
  </r>
  <r>
    <s v="Fuyao"/>
    <s v="Chongqing"/>
    <s v="BYD"/>
    <s v="HC2"/>
    <s v="OEM"/>
    <x v="0"/>
    <s v="W2233AFT"/>
    <s v="L"/>
    <s v="E2"/>
    <s v="Clear"/>
    <x v="0"/>
    <s v="Copy"/>
    <m/>
    <s v="L9"/>
    <x v="39"/>
    <m/>
    <m/>
    <m/>
    <n v="0"/>
    <m/>
    <m/>
    <m/>
    <n v="0"/>
    <n v="0"/>
    <m/>
    <m/>
    <n v="0"/>
    <n v="0"/>
    <s v="N/A"/>
    <n v="0"/>
    <n v="0"/>
    <m/>
    <e v="#DIV/0!"/>
    <e v="#DIV/0!"/>
    <n v="0"/>
    <e v="#DIV/0!"/>
    <e v="#DIV/0!"/>
    <e v="#DIV/0!"/>
    <m/>
    <n v="0"/>
    <e v="#DIV/0!"/>
    <e v="#DIV/0!"/>
    <m/>
    <s v="N/A"/>
    <m/>
    <m/>
    <m/>
    <m/>
    <m/>
    <m/>
    <m/>
    <m/>
    <x v="1"/>
    <m/>
  </r>
  <r>
    <s v="Fuyao"/>
    <s v="Chongqing"/>
    <s v="Tesla"/>
    <s v="Model X"/>
    <s v="OEM"/>
    <x v="2"/>
    <s v="W2260AA"/>
    <s v="L"/>
    <s v="E2"/>
    <s v="Clear"/>
    <x v="0"/>
    <s v="Copy"/>
    <s v="Y"/>
    <s v="L9"/>
    <x v="39"/>
    <s v="See AGP Peru section for product design (original design)"/>
    <m/>
    <m/>
    <e v="#VALUE!"/>
    <m/>
    <m/>
    <m/>
    <n v="0"/>
    <e v="#VALUE!"/>
    <m/>
    <m/>
    <n v="0"/>
    <e v="#VALUE!"/>
    <s v="N/A"/>
    <e v="#VALUE!"/>
    <e v="#VALUE!"/>
    <m/>
    <e v="#VALUE!"/>
    <e v="#VALUE!"/>
    <n v="0"/>
    <e v="#VALUE!"/>
    <e v="#VALUE!"/>
    <e v="#VALUE!"/>
    <m/>
    <e v="#VALUE!"/>
    <e v="#VALUE!"/>
    <e v="#VALUE!"/>
    <s v="N/A - same as AGP's"/>
    <s v="N/A - AGP's design"/>
    <s v="AGP's design"/>
    <s v="See AGP section for product design details"/>
    <m/>
    <m/>
    <s v="N/A"/>
    <m/>
    <m/>
    <m/>
    <x v="0"/>
    <s v="S/B"/>
  </r>
  <r>
    <s v="Fuyao"/>
    <s v="Chongqing"/>
    <s v="Chang An"/>
    <s v="C390"/>
    <s v="OEM"/>
    <x v="0"/>
    <s v="W5025AE"/>
    <s v="F"/>
    <s v="R3"/>
    <s v="Clear"/>
    <x v="1"/>
    <s v="tbd"/>
    <s v="Y"/>
    <s v="L6"/>
    <x v="30"/>
    <n v="115"/>
    <n v="27"/>
    <s v="N/A"/>
    <s v="N/A"/>
    <n v="0.76"/>
    <n v="300"/>
    <n v="750"/>
    <n v="450"/>
    <n v="130"/>
    <n v="300"/>
    <n v="750"/>
    <n v="450"/>
    <n v="130"/>
    <s v="N/A"/>
    <n v="88"/>
    <n v="0.98"/>
    <m/>
    <n v="0.89582608695652188"/>
    <n v="0.95405478260869581"/>
    <n v="825.75307499999997"/>
    <n v="170.57725310189596"/>
    <n v="186.51306799060018"/>
    <n v="370.76106571006267"/>
    <n v="187"/>
    <n v="215.05"/>
    <n v="205.16948100000005"/>
    <n v="759.88696666666681"/>
    <s v="?"/>
    <s v="2025-0128-0267"/>
    <s v="W5025AE FR3 CLEAR r115x0187 CB1P"/>
    <m/>
    <m/>
    <m/>
    <m/>
    <m/>
    <m/>
    <m/>
    <x v="1"/>
    <m/>
  </r>
  <r>
    <s v="Fuyao"/>
    <s v="Chongqing"/>
    <s v="Chang An"/>
    <s v="C390"/>
    <s v="OEM"/>
    <x v="0"/>
    <s v="W5027AD"/>
    <s v="F"/>
    <s v="R3"/>
    <s v="Clear"/>
    <x v="1"/>
    <s v="tbd"/>
    <s v="Y"/>
    <s v="L6"/>
    <x v="0"/>
    <n v="115"/>
    <n v="27"/>
    <s v="N/A"/>
    <s v="N/A"/>
    <n v="0.76"/>
    <n v="300"/>
    <n v="750"/>
    <n v="450"/>
    <n v="130"/>
    <n v="300"/>
    <n v="750"/>
    <n v="450"/>
    <n v="130"/>
    <s v="N/A"/>
    <n v="88"/>
    <n v="0.99760000000000004"/>
    <m/>
    <n v="0.90669217391304346"/>
    <n v="0.96562716521739123"/>
    <n v="827.06132100000002"/>
    <n v="167.56787093009024"/>
    <n v="183.22254072853667"/>
    <n v="364.21997232945216"/>
    <n v="183"/>
    <n v="210.45"/>
    <n v="203.21623691999997"/>
    <n v="752.65272933333313"/>
    <s v="?"/>
    <s v="2025-0128-0267"/>
    <s v="W5027AD FR3 CLEAR r115x0183 CB1P"/>
    <m/>
    <m/>
    <m/>
    <m/>
    <m/>
    <m/>
    <m/>
    <x v="1"/>
    <m/>
  </r>
  <r>
    <s v="Fuyao"/>
    <s v="Chongqing"/>
    <s v="Chang An"/>
    <s v="C518"/>
    <s v="OEM"/>
    <x v="0"/>
    <s v="W5027AC"/>
    <s v="F"/>
    <s v="R3"/>
    <s v="Clear"/>
    <x v="1"/>
    <s v="tbd"/>
    <s v="Y"/>
    <s v="L6"/>
    <x v="0"/>
    <n v="107"/>
    <n v="24"/>
    <s v="N/A"/>
    <s v="N/A"/>
    <n v="0.76"/>
    <n v="250"/>
    <n v="700"/>
    <n v="450"/>
    <n v="130"/>
    <n v="250"/>
    <n v="700"/>
    <n v="450"/>
    <n v="130"/>
    <s v="N/A"/>
    <n v="83"/>
    <n v="0.98409999999999997"/>
    <m/>
    <n v="0.89718271028037377"/>
    <n v="0.955499586448598"/>
    <n v="827.06132100000002"/>
    <n v="169.86658676949298"/>
    <n v="185.73600917669765"/>
    <n v="369.2163849160263"/>
    <n v="186"/>
    <n v="199.02"/>
    <n v="190.16352769499997"/>
    <n v="792.3480320624999"/>
    <s v="?"/>
    <s v="2025-0128-0267"/>
    <s v="W5027AC FR3 CLEAR r107x0186 CB1P"/>
    <m/>
    <m/>
    <m/>
    <m/>
    <m/>
    <m/>
    <m/>
    <x v="1"/>
    <m/>
  </r>
  <r>
    <s v="Fuyao"/>
    <s v="Chongqing"/>
    <s v="Chang An"/>
    <s v="C518"/>
    <s v="OEM"/>
    <x v="0"/>
    <s v="W5029AB"/>
    <s v="F"/>
    <s v="R3"/>
    <s v="Clear"/>
    <x v="1"/>
    <s v="tbd"/>
    <s v="Y"/>
    <s v="L6"/>
    <x v="34"/>
    <n v="107"/>
    <n v="24"/>
    <s v="N/A"/>
    <s v="N/A"/>
    <n v="0.76"/>
    <n v="250"/>
    <n v="700"/>
    <n v="450"/>
    <n v="130"/>
    <n v="250"/>
    <n v="700"/>
    <n v="450"/>
    <n v="130"/>
    <s v="N/A"/>
    <n v="83"/>
    <n v="1.0006999999999999"/>
    <m/>
    <n v="0.90734439252336441"/>
    <n v="0.96632177803738317"/>
    <n v="828.36956700000007"/>
    <n v="167.04877389812935"/>
    <n v="182.65494816707124"/>
    <n v="363.09168021970771"/>
    <n v="183"/>
    <n v="195.81"/>
    <n v="189.21546735749999"/>
    <n v="788.39778065625001"/>
    <s v="?"/>
    <s v="2025-0128-0267"/>
    <s v="W5029AB FR3 CLEAR r107x0183 CB1P"/>
    <m/>
    <m/>
    <m/>
    <m/>
    <m/>
    <m/>
    <m/>
    <x v="1"/>
    <m/>
  </r>
  <r>
    <s v="Fuyao"/>
    <s v="Chongqing"/>
    <s v="Chang An"/>
    <s v="C857"/>
    <s v="OEM"/>
    <x v="0"/>
    <s v="W5026AAT"/>
    <s v="F"/>
    <s v="R3"/>
    <s v="Clear"/>
    <x v="1"/>
    <m/>
    <s v="Y"/>
    <s v="L6"/>
    <x v="43"/>
    <n v="104"/>
    <n v="20"/>
    <s v="N/A"/>
    <s v="N/A"/>
    <n v="0.76"/>
    <n v="200"/>
    <n v="700"/>
    <n v="500"/>
    <n v="140"/>
    <n v="200"/>
    <n v="700"/>
    <n v="500"/>
    <n v="140"/>
    <s v="N/A"/>
    <n v="84"/>
    <n v="0.97839999999999994"/>
    <m/>
    <n v="0.89019999999999999"/>
    <n v="0.94806299999999999"/>
    <n v="826.40719799999999"/>
    <n v="170.85620200312553"/>
    <n v="186.81807709606312"/>
    <n v="371.36737979953136"/>
    <n v="187"/>
    <n v="194.48"/>
    <n v="184.37929223999998"/>
    <n v="921.89646119999986"/>
    <s v="?"/>
    <s v="2024_2914_03972"/>
    <m/>
    <s v="changed to T variant"/>
    <m/>
    <m/>
    <m/>
    <m/>
    <m/>
    <m/>
    <x v="1"/>
    <m/>
  </r>
  <r>
    <s v="Fuyao"/>
    <s v="Chongqing"/>
    <s v="Chang An"/>
    <s v="C857"/>
    <s v="OEM"/>
    <x v="0"/>
    <s v="W5026ABT"/>
    <s v="F"/>
    <s v="R3"/>
    <s v="Clear"/>
    <x v="1"/>
    <m/>
    <s v="Y"/>
    <s v="L9"/>
    <x v="43"/>
    <n v="102"/>
    <n v="19"/>
    <s v="N/A"/>
    <s v="N/A"/>
    <n v="0.76"/>
    <n v="200"/>
    <n v="700"/>
    <n v="500"/>
    <n v="130"/>
    <n v="200"/>
    <n v="700"/>
    <n v="500"/>
    <n v="130"/>
    <s v="N/A"/>
    <n v="83"/>
    <n v="0.9758"/>
    <m/>
    <n v="0.88799901960784322"/>
    <n v="0.945718955882353"/>
    <n v="826.40719799999999"/>
    <n v="171.31144500907772"/>
    <n v="187.31585020576776"/>
    <n v="372.35688091397975"/>
    <n v="187"/>
    <n v="190.74"/>
    <n v="180.38643364500001"/>
    <n v="949.40228234210531"/>
    <m/>
    <m/>
    <m/>
    <m/>
    <m/>
    <m/>
    <m/>
    <m/>
    <m/>
    <m/>
    <x v="1"/>
    <m/>
  </r>
  <r>
    <s v="Fuyao"/>
    <s v="Chongqing"/>
    <s v="Chang An"/>
    <s v="CD701"/>
    <s v="OEM"/>
    <x v="0"/>
    <s v="W5025AB"/>
    <s v="F"/>
    <s v="R3"/>
    <s v="Clear"/>
    <x v="1"/>
    <s v="BF011852"/>
    <m/>
    <s v="L6"/>
    <x v="30"/>
    <n v="130"/>
    <n v="30"/>
    <s v="N/A"/>
    <s v="N/A"/>
    <n v="0.76"/>
    <n v="200"/>
    <n v="600"/>
    <n v="400"/>
    <n v="400"/>
    <n v="150"/>
    <n v="600"/>
    <n v="450"/>
    <n v="400"/>
    <s v="N/A"/>
    <n v="100"/>
    <n v="1.01"/>
    <m/>
    <n v="0.91384615384615386"/>
    <n v="0.97324615384615387"/>
    <n v="825.75307499999997"/>
    <n v="165.51060201966141"/>
    <n v="180.97307587206748"/>
    <n v="359.74836078798165"/>
    <n v="181"/>
    <n v="235.3"/>
    <n v="229.00482000000002"/>
    <n v="763.34940000000006"/>
    <s v="?"/>
    <s v="2023_2056_03113"/>
    <s v="W5025AB FR3 CLEAR r130x0181 CB1P"/>
    <m/>
    <m/>
    <m/>
    <s v="N/A"/>
    <m/>
    <n v="0.46153846153846156"/>
    <m/>
    <x v="2"/>
    <m/>
  </r>
  <r>
    <s v="Fuyao"/>
    <s v="Chongqing"/>
    <s v="Chang An"/>
    <s v="E15"/>
    <s v="OEM"/>
    <x v="0"/>
    <s v="W2240AX"/>
    <s v="L"/>
    <s v="E2"/>
    <s v="Clear"/>
    <x v="1"/>
    <m/>
    <m/>
    <s v="L9"/>
    <x v="44"/>
    <n v="119"/>
    <n v="15"/>
    <s v="N/A"/>
    <s v="N/A"/>
    <n v="0.8"/>
    <n v="710"/>
    <n v="910"/>
    <n v="200"/>
    <n v="130"/>
    <n v="510"/>
    <n v="910"/>
    <n v="400"/>
    <n v="130"/>
    <s v="N/A"/>
    <n v="104"/>
    <n v="1.2160000000000002"/>
    <m/>
    <n v="1.034218487394958"/>
    <n v="1.0962715966386556"/>
    <n v="874.04208000000006"/>
    <n v="137.47179937488323"/>
    <n v="150.31480808452972"/>
    <n v="298.80414835185974"/>
    <n v="150"/>
    <n v="178.5"/>
    <n v="195.68448000000004"/>
    <n v="1304.5632000000003"/>
    <m/>
    <m/>
    <m/>
    <m/>
    <m/>
    <m/>
    <m/>
    <m/>
    <m/>
    <m/>
    <x v="1"/>
    <m/>
  </r>
  <r>
    <s v="Fuyao"/>
    <s v="Chongqing"/>
    <s v="Chang An"/>
    <s v="E16-1"/>
    <s v="OEM"/>
    <x v="0"/>
    <s v="W5023AC"/>
    <s v="F"/>
    <s v="R3"/>
    <s v="Clear"/>
    <x v="1"/>
    <m/>
    <m/>
    <s v="L6"/>
    <x v="9"/>
    <n v="115"/>
    <n v="10"/>
    <s v="N/A"/>
    <s v="N/A"/>
    <n v="0.76"/>
    <n v="600"/>
    <n v="920"/>
    <n v="320"/>
    <n v="130"/>
    <n v="520"/>
    <n v="920"/>
    <n v="400"/>
    <n v="130"/>
    <s v="N/A"/>
    <n v="105"/>
    <n v="1.0015000000000001"/>
    <m/>
    <n v="0.8912500000000001"/>
    <n v="0.94918125000000009"/>
    <n v="824.44482900000003"/>
    <n v="166.91533503730207"/>
    <n v="182.50904306618889"/>
    <n v="362.80164193296201"/>
    <n v="183"/>
    <n v="210.45"/>
    <n v="199.75519406250001"/>
    <n v="1997.551940625"/>
    <m/>
    <m/>
    <m/>
    <m/>
    <m/>
    <m/>
    <m/>
    <m/>
    <m/>
    <m/>
    <x v="1"/>
    <m/>
  </r>
  <r>
    <s v="Fuyao"/>
    <s v="Chongqing"/>
    <s v="Chang An"/>
    <s v="Shen Lan SL03 (C385)"/>
    <s v="OEM"/>
    <x v="1"/>
    <s v="W5027AB"/>
    <s v="F"/>
    <s v="R3"/>
    <s v="Clear"/>
    <x v="1"/>
    <s v="BF012400"/>
    <m/>
    <s v="L6"/>
    <x v="0"/>
    <n v="104"/>
    <n v="20"/>
    <s v="N/A"/>
    <s v="N/A"/>
    <n v="0.76"/>
    <n v="200"/>
    <n v="700"/>
    <n v="500"/>
    <n v="140"/>
    <n v="200"/>
    <n v="700"/>
    <n v="500"/>
    <n v="140"/>
    <s v="N/A"/>
    <n v="84"/>
    <n v="0.98680000000000001"/>
    <m/>
    <n v="0.89520769230769237"/>
    <n v="0.95339619230769235"/>
    <n v="827.06132100000002"/>
    <n v="169.40181195769964"/>
    <n v="185.2278137725863"/>
    <n v="368.20616578421306"/>
    <n v="185"/>
    <n v="192.4"/>
    <n v="183.4334274"/>
    <n v="917.16713699999991"/>
    <s v="?"/>
    <s v="2024_2635_03693"/>
    <s v="W5027AB FR3 CLEAR r104x0185 CB1P"/>
    <s v="Redesign"/>
    <m/>
    <m/>
    <m/>
    <m/>
    <n v="0.67307692307692313"/>
    <m/>
    <x v="1"/>
    <m/>
  </r>
  <r>
    <s v="Fuyao"/>
    <s v="Chongqing"/>
    <s v="Chang An"/>
    <s v="Shen Lan SL03 (C385)"/>
    <s v="OEM"/>
    <x v="0"/>
    <s v="W5028AB"/>
    <s v="F"/>
    <s v="R3"/>
    <s v="Clear"/>
    <x v="1"/>
    <s v="BF012514, BF012812"/>
    <m/>
    <s v="L6"/>
    <x v="26"/>
    <n v="104"/>
    <n v="15"/>
    <s v="N/A"/>
    <s v="N/A"/>
    <n v="0.76"/>
    <n v="300"/>
    <n v="750"/>
    <n v="450"/>
    <n v="140"/>
    <n v="300"/>
    <n v="750"/>
    <n v="450"/>
    <n v="140"/>
    <s v="N/A"/>
    <n v="89"/>
    <n v="1.0092000000000001"/>
    <m/>
    <n v="0.90257115384615383"/>
    <n v="0.96123827884615387"/>
    <n v="827.71544400000005"/>
    <n v="165.64180344813519"/>
    <n v="181.11653451326612"/>
    <n v="360.03353586589515"/>
    <n v="181"/>
    <n v="188.24"/>
    <n v="180.94349361000002"/>
    <n v="1206.2899574000003"/>
    <s v="?"/>
    <s v="2024_2743_03801, 2025-0065-0202"/>
    <s v="W5028AB FR3 CLEAR r104x0181 CB1P, W5028AB FR3 CLEAR r104x0181 CB4P"/>
    <m/>
    <m/>
    <m/>
    <m/>
    <m/>
    <m/>
    <m/>
    <x v="1"/>
    <m/>
  </r>
  <r>
    <s v="Fuyao"/>
    <s v="Chongqing"/>
    <s v="Chang An"/>
    <s v="Shen Lan SL03 (C385)"/>
    <s v="OEM"/>
    <x v="1"/>
    <s v="W5028AA"/>
    <s v="F"/>
    <s v="R3"/>
    <s v="Clear"/>
    <x v="1"/>
    <s v="BF012125"/>
    <m/>
    <s v="L6"/>
    <x v="26"/>
    <n v="104"/>
    <n v="30"/>
    <s v="N/A"/>
    <s v="N/A"/>
    <n v="0.76"/>
    <n v="200"/>
    <n v="600"/>
    <n v="400"/>
    <n v="140"/>
    <n v="200"/>
    <n v="600"/>
    <n v="400"/>
    <n v="140"/>
    <s v="N/A"/>
    <n v="74"/>
    <n v="0.96720000000000006"/>
    <m/>
    <n v="0.89348461538461543"/>
    <n v="0.95156111538461541"/>
    <n v="827.71544400000005"/>
    <n v="172.83468573186315"/>
    <n v="188.98139643381739"/>
    <n v="375.66774648041923"/>
    <n v="189"/>
    <n v="196.56"/>
    <n v="187.03885284"/>
    <n v="623.46284280000009"/>
    <s v="?"/>
    <s v="2023_2320_03377"/>
    <s v="W5028AA FR3 CLEAR r104x0189 CB1P"/>
    <m/>
    <m/>
    <m/>
    <m/>
    <m/>
    <n v="0.57692307692307687"/>
    <m/>
    <x v="2"/>
    <m/>
  </r>
  <r>
    <s v="Fuyao"/>
    <s v="Chongqing"/>
    <s v="Geely"/>
    <s v="BX1E"/>
    <s v="OEM"/>
    <x v="1"/>
    <s v="W5022AA"/>
    <s v="F"/>
    <s v="R3"/>
    <s v="Clear"/>
    <x v="1"/>
    <s v="BF011582"/>
    <m/>
    <s v="L6"/>
    <x v="42"/>
    <n v="115"/>
    <n v="30"/>
    <s v="N/A"/>
    <s v="N/A"/>
    <n v="0.76"/>
    <n v="200"/>
    <n v="600"/>
    <n v="400"/>
    <n v="250"/>
    <n v="150"/>
    <n v="600"/>
    <n v="450"/>
    <n v="250"/>
    <s v="N/A"/>
    <n v="85"/>
    <n v="0.94700000000000006"/>
    <m/>
    <n v="0.87789130434782614"/>
    <n v="0.93495423913043485"/>
    <n v="823.790706"/>
    <n v="176.52133900724183"/>
    <n v="193.0124674031554"/>
    <n v="383.68093389214511"/>
    <n v="120"/>
    <n v="138"/>
    <n v="129.023685"/>
    <n v="430.07895000000002"/>
    <m/>
    <s v="2022_1831_02887, 2023_1838_02894"/>
    <s v="W5022AA FR3 CLEAR r115x0120 CB1P"/>
    <m/>
    <m/>
    <m/>
    <s v="N/A"/>
    <m/>
    <n v="0.52173913043478259"/>
    <m/>
    <x v="2"/>
    <s v="Clear"/>
  </r>
  <r>
    <s v="Fuyao"/>
    <s v="Chongqing"/>
    <s v="Geely"/>
    <s v="BX1E"/>
    <s v="OEM"/>
    <x v="2"/>
    <s v="W5025AD"/>
    <s v="F"/>
    <s v="R3"/>
    <s v="Clear"/>
    <x v="1"/>
    <s v="BF011904"/>
    <m/>
    <s v="L6"/>
    <x v="30"/>
    <n v="112"/>
    <n v="30"/>
    <s v="N/A"/>
    <s v="N/A"/>
    <n v="0.76"/>
    <n v="200"/>
    <n v="600"/>
    <n v="400"/>
    <n v="220"/>
    <n v="150"/>
    <n v="600"/>
    <n v="450"/>
    <n v="220"/>
    <s v="N/A"/>
    <n v="82"/>
    <n v="0.96500000000000008"/>
    <m/>
    <n v="0.88995535714285723"/>
    <n v="0.94780245535714303"/>
    <n v="825.75307499999997"/>
    <n v="173.22871299467153"/>
    <n v="189.4122348505577"/>
    <n v="376.52419108379428"/>
    <n v="189"/>
    <n v="211.68"/>
    <n v="200.63082375000005"/>
    <n v="668.76941250000016"/>
    <s v="?"/>
    <s v="2023_2077_03134"/>
    <m/>
    <m/>
    <m/>
    <m/>
    <m/>
    <m/>
    <n v="0.5357142857142857"/>
    <m/>
    <x v="2"/>
    <m/>
  </r>
  <r>
    <s v="Fuyao"/>
    <s v="Chongqing"/>
    <s v="?"/>
    <s v="?"/>
    <s v="OEM"/>
    <x v="0"/>
    <s v="W5071AA"/>
    <s v="F"/>
    <s v="R3"/>
    <s v="Clear"/>
    <x v="1"/>
    <m/>
    <m/>
    <s v="L6"/>
    <x v="45"/>
    <n v="107"/>
    <n v="30"/>
    <s v="N/A"/>
    <s v="N/A"/>
    <n v="0.76"/>
    <n v="180"/>
    <n v="620"/>
    <n v="440"/>
    <n v="150"/>
    <n v="180"/>
    <n v="620"/>
    <n v="440"/>
    <n v="150"/>
    <s v="N/A"/>
    <n v="77"/>
    <n v="1.3067"/>
    <m/>
    <n v="1.1099901869158877"/>
    <n v="1.1821395490654203"/>
    <n v="855.84273299999995"/>
    <n v="127.92967631427108"/>
    <n v="139.88123259415946"/>
    <n v="278.06370582066387"/>
    <n v="140"/>
    <n v="149.80000000000001"/>
    <n v="177.08450444999997"/>
    <n v="590.28168149999988"/>
    <m/>
    <m/>
    <m/>
    <m/>
    <m/>
    <m/>
    <m/>
    <m/>
    <m/>
    <m/>
    <x v="1"/>
    <m/>
  </r>
  <r>
    <s v="Fuyao"/>
    <s v="Chongqing"/>
    <s v="Seres (Hua Wei)"/>
    <s v="F1, X1"/>
    <s v="OEM"/>
    <x v="1"/>
    <s v="W2262AD"/>
    <s v="L"/>
    <s v="E2"/>
    <s v="Clear"/>
    <x v="0"/>
    <s v="BF011449"/>
    <s v="Y"/>
    <s v="L9"/>
    <x v="2"/>
    <n v="103"/>
    <n v="30"/>
    <s v="N/A"/>
    <s v="N/A"/>
    <n v="0.8"/>
    <n v="262"/>
    <n v="480"/>
    <n v="218"/>
    <n v="250"/>
    <n v="160"/>
    <n v="560"/>
    <n v="400"/>
    <n v="170"/>
    <s v="N/A"/>
    <n v="73"/>
    <n v="1.2526000000000002"/>
    <m/>
    <n v="1.0922126213592234"/>
    <n v="1.1577453786407768"/>
    <n v="888.36522400000001"/>
    <n v="133.45498007333387"/>
    <n v="145.92272603447881"/>
    <n v="290.0733230048391"/>
    <n v="50"/>
    <n v="51.5"/>
    <n v="59.623887000000003"/>
    <n v="198.74629000000002"/>
    <d v="2022-12-01T00:00:00"/>
    <s v="2022_1741_02797"/>
    <m/>
    <s v="Replaced by W2264AG"/>
    <m/>
    <m/>
    <s v="N/A"/>
    <m/>
    <n v="0.46601941747572817"/>
    <m/>
    <x v="0"/>
    <s v="Clear"/>
  </r>
  <r>
    <s v="Fuyao"/>
    <s v="Chongqing"/>
    <s v="Seres (Hua Wei)"/>
    <s v="F1, X1"/>
    <s v="OEM"/>
    <x v="0"/>
    <s v="W2264AGT"/>
    <s v="L"/>
    <s v="E2"/>
    <s v="Clear"/>
    <x v="0"/>
    <s v="BF011668"/>
    <s v="Y"/>
    <s v="L9"/>
    <x v="11"/>
    <n v="103"/>
    <n v="30"/>
    <s v="N/A"/>
    <s v="N/A"/>
    <n v="0.8"/>
    <n v="200"/>
    <n v="600"/>
    <n v="400"/>
    <n v="130"/>
    <n v="150"/>
    <n v="600"/>
    <n v="450"/>
    <n v="130"/>
    <s v="N/A"/>
    <n v="73"/>
    <n v="1.2672000000000001"/>
    <m/>
    <n v="1.1016388349514565"/>
    <n v="1.167737165048544"/>
    <n v="889.66732800000011"/>
    <n v="131.91738323852434"/>
    <n v="144.24148250535683"/>
    <n v="286.73125346895637"/>
    <n v="144"/>
    <n v="148.32"/>
    <n v="173.19877632000004"/>
    <n v="577.3292544000002"/>
    <d v="2023-04-23T00:00:00"/>
    <s v="2023_1920_02977, 2024_2777_03835"/>
    <s v="W2264AG LE2 CLEAR r103x0144 CB4P"/>
    <s v="Replacing W2262AD"/>
    <m/>
    <m/>
    <s v="N/A"/>
    <m/>
    <n v="0.58252427184466016"/>
    <m/>
    <x v="0"/>
    <s v="Clear"/>
  </r>
  <r>
    <s v="Fuyao"/>
    <s v="Chongqing"/>
    <m/>
    <m/>
    <s v="OEM"/>
    <x v="0"/>
    <s v="W5031AA"/>
    <s v="F"/>
    <s v="R3"/>
    <s v="Clear"/>
    <x v="1"/>
    <s v="BF011914"/>
    <m/>
    <s v="L6"/>
    <x v="46"/>
    <n v="124"/>
    <n v="30"/>
    <s v="N/A"/>
    <s v="N/A"/>
    <n v="0.76"/>
    <n v="200"/>
    <n v="600"/>
    <n v="400"/>
    <n v="340"/>
    <n v="200"/>
    <n v="600"/>
    <n v="400"/>
    <n v="340"/>
    <s v="N/A"/>
    <n v="94"/>
    <n v="1.0514000000000001"/>
    <m/>
    <n v="0.94095000000000006"/>
    <n v="1.0021117500000001"/>
    <n v="829.67781300000001"/>
    <n v="158.99344496847823"/>
    <n v="173.84706736806939"/>
    <n v="345.58288415052448"/>
    <n v="174"/>
    <n v="215.76"/>
    <n v="216.21563118"/>
    <n v="720.71877060000008"/>
    <s v="?"/>
    <s v="2023_2089_03146"/>
    <s v="W5031AA FR3 CLEAR r124x0174 CB1P"/>
    <m/>
    <m/>
    <m/>
    <s v="N/A"/>
    <m/>
    <n v="0.4838709677419355"/>
    <m/>
    <x v="2"/>
    <s v="Clear"/>
  </r>
  <r>
    <s v="Fuyao"/>
    <s v="Fuqing (Fuzhou)"/>
    <s v="GM"/>
    <s v="E2ZO"/>
    <s v="ARG"/>
    <x v="1"/>
    <s v="W2247AA"/>
    <s v="L"/>
    <s v="E2"/>
    <s v="Clear"/>
    <x v="0"/>
    <s v="BF009410"/>
    <s v="Y"/>
    <s v="L8"/>
    <x v="25"/>
    <n v="110"/>
    <n v="30"/>
    <s v="N/A"/>
    <s v="N/A"/>
    <n v="0.8"/>
    <n v="200"/>
    <n v="600"/>
    <n v="400"/>
    <n v="200"/>
    <n v="200"/>
    <n v="600"/>
    <n v="400"/>
    <n v="200"/>
    <s v="N/A"/>
    <n v="80"/>
    <n v="1.1759999999999999"/>
    <m/>
    <n v="1.0392727272727271"/>
    <n v="1.1016290909090909"/>
    <n v="878.59944400000006"/>
    <n v="142.14771091824662"/>
    <n v="155.42755665883348"/>
    <n v="308.96755475838557"/>
    <n v="50"/>
    <n v="55"/>
    <n v="60.589599999999997"/>
    <n v="201.96533333333332"/>
    <d v="2020-09-01T00:00:00"/>
    <s v="2020_0343_01395"/>
    <s v="W2247AA LE2 CLEAR r110x0050 W18P"/>
    <s v="Wedge angle increased due to ghosting being high"/>
    <m/>
    <m/>
    <s v="N/A"/>
    <m/>
    <n v="0.54545454545454541"/>
    <m/>
    <x v="0"/>
    <s v="Clear"/>
  </r>
  <r>
    <s v="Fuyao"/>
    <s v="Fuqing (Fuzhou)"/>
    <s v="Various"/>
    <s v="Various"/>
    <s v="ARG"/>
    <x v="1"/>
    <s v="W2220ABT"/>
    <s v="L"/>
    <s v="E2"/>
    <s v="Clear"/>
    <x v="0"/>
    <s v="BF011669"/>
    <s v="Y"/>
    <s v="L9"/>
    <x v="13"/>
    <n v="120"/>
    <n v="30"/>
    <s v="N/A"/>
    <s v="N/A"/>
    <n v="0.8"/>
    <n v="200"/>
    <n v="600"/>
    <n v="400"/>
    <n v="300"/>
    <n v="150"/>
    <n v="600"/>
    <n v="450"/>
    <n v="300"/>
    <s v="N/A"/>
    <n v="90"/>
    <n v="0.98"/>
    <m/>
    <n v="0.91249999999999998"/>
    <n v="0.96725000000000005"/>
    <n v="861.02103999999997"/>
    <n v="170.57725310189596"/>
    <n v="186.51306799060018"/>
    <n v="370.76106571006267"/>
    <n v="187"/>
    <n v="224.4"/>
    <n v="217.05090000000001"/>
    <n v="723.50300000000004"/>
    <d v="2023-04-01T00:00:00"/>
    <s v="2023_1920_02977, 2024_2777_03835"/>
    <s v="W2220AB LE2 CLEAR r120x0187 CB4P"/>
    <m/>
    <m/>
    <m/>
    <s v="N/A"/>
    <m/>
    <n v="0.5"/>
    <m/>
    <x v="0"/>
    <s v="Clear"/>
  </r>
  <r>
    <s v="Fuyao"/>
    <s v="Fuqing (Fuzhou)"/>
    <s v="Various"/>
    <s v="Various"/>
    <s v="ARG"/>
    <x v="1"/>
    <s v="W2230AAT"/>
    <s v="L"/>
    <s v="E2"/>
    <s v="Clear"/>
    <x v="0"/>
    <s v="BF011670"/>
    <s v="Y"/>
    <s v="L9"/>
    <x v="14"/>
    <n v="120"/>
    <n v="30"/>
    <s v="N/A"/>
    <s v="N/A"/>
    <n v="0.8"/>
    <n v="200"/>
    <n v="600"/>
    <n v="400"/>
    <n v="300"/>
    <n v="150"/>
    <n v="600"/>
    <n v="450"/>
    <n v="300"/>
    <s v="N/A"/>
    <n v="90"/>
    <n v="1.07"/>
    <m/>
    <n v="0.96875"/>
    <n v="1.026875"/>
    <n v="867.53156000000013"/>
    <n v="156.22963368211029"/>
    <n v="170.82505292597023"/>
    <n v="339.57555551015088"/>
    <n v="171"/>
    <n v="205.2"/>
    <n v="210.71474999999998"/>
    <n v="702.38249999999994"/>
    <d v="2023-04-01T00:00:00"/>
    <s v="2023_1920_02977, 2024_2777_03835"/>
    <s v="W2230AA LE2 CLEAR r120x0171 CB4P"/>
    <m/>
    <m/>
    <m/>
    <s v="N/A"/>
    <m/>
    <n v="0.5"/>
    <m/>
    <x v="0"/>
    <s v="Clear"/>
  </r>
  <r>
    <s v="Fuyao"/>
    <s v="Fuqing (Fuzhou)"/>
    <s v="Various"/>
    <s v="Various"/>
    <s v="ARG"/>
    <x v="1"/>
    <s v="W2235ABT"/>
    <s v="L"/>
    <s v="E2"/>
    <s v="Clear"/>
    <x v="0"/>
    <s v="BF011671"/>
    <s v="Y"/>
    <s v="L9"/>
    <x v="7"/>
    <n v="99"/>
    <n v="30"/>
    <s v="N/A"/>
    <s v="N/A"/>
    <n v="0.8"/>
    <n v="150"/>
    <n v="550"/>
    <n v="400"/>
    <n v="140"/>
    <n v="150"/>
    <n v="600"/>
    <n v="450"/>
    <n v="90"/>
    <s v="N/A"/>
    <n v="69"/>
    <n v="1.0415000000000001"/>
    <m/>
    <n v="0.95734090909090919"/>
    <n v="1.0147813636363638"/>
    <n v="870.78682000000003"/>
    <n v="160.5047604799405"/>
    <n v="175.49957429744424"/>
    <n v="348.86782947274259"/>
    <n v="175"/>
    <n v="173.25"/>
    <n v="175.81087125000005"/>
    <n v="586.0362375000002"/>
    <s v="Never"/>
    <s v="2023_1920_02977, 2024_2777_03835"/>
    <s v="W2235AB LE2 CLEAR r099x0175 CB4P"/>
    <m/>
    <m/>
    <m/>
    <s v="N/A"/>
    <m/>
    <n v="0.55555555555555558"/>
    <m/>
    <x v="0"/>
    <s v="Clear"/>
  </r>
  <r>
    <s v="Fuyao"/>
    <s v="Fuqing (Fuzhou)"/>
    <s v="Various"/>
    <s v="Various"/>
    <s v="ARG"/>
    <x v="1"/>
    <s v="W2235ACT"/>
    <s v="L"/>
    <s v="E2"/>
    <s v="Clear"/>
    <x v="0"/>
    <s v="BF011672"/>
    <s v="Y"/>
    <s v="L9"/>
    <x v="7"/>
    <n v="120"/>
    <n v="30"/>
    <s v="N/A"/>
    <s v="N/A"/>
    <n v="0.8"/>
    <n v="200"/>
    <n v="600"/>
    <n v="400"/>
    <n v="300"/>
    <n v="150"/>
    <n v="600"/>
    <n v="450"/>
    <n v="300"/>
    <s v="N/A"/>
    <n v="90"/>
    <n v="1.115"/>
    <m/>
    <n v="0.99687499999999996"/>
    <n v="1.0566875"/>
    <n v="870.78682000000003"/>
    <n v="149.92440182946908"/>
    <n v="163.93076827873378"/>
    <n v="325.870712462656"/>
    <n v="164"/>
    <n v="196.8"/>
    <n v="207.95610000000002"/>
    <n v="693.18700000000013"/>
    <s v="Never"/>
    <s v="2023_1920_02977, 2024_2777_03835"/>
    <s v="W2235AC LE2 CLEAR r120x0164 CB4P"/>
    <s v="Similar to W2235AE"/>
    <m/>
    <m/>
    <s v="N/A"/>
    <m/>
    <n v="0.5"/>
    <m/>
    <x v="0"/>
    <s v="Clear"/>
  </r>
  <r>
    <s v="Fuyao"/>
    <s v="Fuqing (Fuzhou)"/>
    <s v="Various"/>
    <s v="Various"/>
    <s v="ARG"/>
    <x v="1"/>
    <s v="W2240AIT"/>
    <s v="L"/>
    <s v="E2"/>
    <s v="Clear"/>
    <x v="0"/>
    <s v="BF011673"/>
    <s v="Y"/>
    <s v="L9"/>
    <x v="44"/>
    <n v="85"/>
    <n v="20"/>
    <s v="N/A"/>
    <s v="N/A"/>
    <n v="0.8"/>
    <n v="150"/>
    <n v="500"/>
    <n v="350"/>
    <n v="150"/>
    <n v="150"/>
    <n v="550"/>
    <n v="400"/>
    <n v="100"/>
    <s v="N/A"/>
    <n v="65"/>
    <n v="1.06"/>
    <m/>
    <n v="0.96058823529411774"/>
    <n v="1.0182235294117647"/>
    <n v="874.04208000000006"/>
    <n v="157.70349815080945"/>
    <n v="172.43661002904545"/>
    <n v="342.77909848666172"/>
    <n v="172"/>
    <n v="146.19999999999999"/>
    <n v="148.86428000000001"/>
    <n v="744.32140000000004"/>
    <s v="Never"/>
    <s v="2023_1920_02977, 2024_2777_03835"/>
    <s v="W2240AI LE2 CLEAR r085x0172 CB4P"/>
    <m/>
    <m/>
    <m/>
    <s v="N/A"/>
    <m/>
    <n v="0.58823529411764708"/>
    <m/>
    <x v="0"/>
    <s v="Clear"/>
  </r>
  <r>
    <s v="Fuyao"/>
    <s v="Fuqing (Fuzhou)"/>
    <s v="Various"/>
    <s v="Various"/>
    <s v="ARG"/>
    <x v="1"/>
    <s v="W2240AJT"/>
    <s v="L"/>
    <s v="E2"/>
    <s v="Clear"/>
    <x v="0"/>
    <s v="BF011674"/>
    <s v="Y"/>
    <s v="L9"/>
    <x v="44"/>
    <n v="99"/>
    <n v="30"/>
    <s v="N/A"/>
    <s v="N/A"/>
    <n v="0.8"/>
    <n v="150"/>
    <n v="550"/>
    <n v="400"/>
    <n v="140"/>
    <n v="150"/>
    <n v="600"/>
    <n v="450"/>
    <n v="90"/>
    <s v="N/A"/>
    <n v="69"/>
    <n v="1.0760000000000001"/>
    <m/>
    <n v="0.97981818181818192"/>
    <n v="1.0386072727272728"/>
    <n v="874.04208000000006"/>
    <n v="155.35846472105766"/>
    <n v="169.87249686876225"/>
    <n v="337.6820115203173"/>
    <n v="170"/>
    <n v="168.3"/>
    <n v="174.79760400000004"/>
    <n v="582.65868000000012"/>
    <s v="Never"/>
    <s v="2023_1920_02977, 2024_2777_03835"/>
    <s v="W2240AJ LE2 CLEAR r099x0170 CB4P"/>
    <m/>
    <m/>
    <m/>
    <s v="N/A"/>
    <m/>
    <n v="0.55555555555555558"/>
    <m/>
    <x v="0"/>
    <s v="Clear"/>
  </r>
  <r>
    <s v="Fuyao"/>
    <s v="Fuqing (Fuzhou)"/>
    <s v="Various"/>
    <s v="Various"/>
    <s v="ARG"/>
    <x v="1"/>
    <s v="W2240ALT"/>
    <s v="L"/>
    <s v="E2"/>
    <s v="Clear"/>
    <x v="0"/>
    <s v="BF011676"/>
    <s v="Y"/>
    <s v="L9"/>
    <x v="44"/>
    <n v="120"/>
    <n v="30"/>
    <s v="N/A"/>
    <s v="N/A"/>
    <n v="0.8"/>
    <n v="200"/>
    <n v="600"/>
    <n v="400"/>
    <n v="300"/>
    <n v="150"/>
    <n v="600"/>
    <n v="450"/>
    <n v="300"/>
    <s v="N/A"/>
    <n v="90"/>
    <n v="1.1600000000000001"/>
    <m/>
    <n v="1.0249999999999999"/>
    <n v="1.0864999999999998"/>
    <n v="874.04208000000006"/>
    <n v="144.1083689998776"/>
    <n v="157.57138502654149"/>
    <n v="313.22917620332879"/>
    <n v="158"/>
    <n v="189.6"/>
    <n v="206.00039999999996"/>
    <n v="686.66799999999989"/>
    <s v="Never"/>
    <s v="2023_1920_02977, 2024_2777_03835"/>
    <s v="W2240AL LE2 CLEAR r120x0158 CB4P"/>
    <m/>
    <m/>
    <m/>
    <s v="N/A"/>
    <m/>
    <n v="0.5"/>
    <m/>
    <x v="0"/>
    <s v="Clear"/>
  </r>
  <r>
    <s v="Fuyao"/>
    <s v="Fuqing (Fuzhou)"/>
    <s v="Various"/>
    <s v="Various"/>
    <s v="ARG"/>
    <x v="1"/>
    <s v="W2244AET"/>
    <s v="L"/>
    <s v="E2"/>
    <s v="Clear"/>
    <x v="0"/>
    <s v="BF011519"/>
    <s v="Y"/>
    <s v="L9"/>
    <x v="16"/>
    <n v="99"/>
    <n v="30"/>
    <s v="N/A"/>
    <s v="N/A"/>
    <n v="0.8"/>
    <n v="170"/>
    <n v="570"/>
    <n v="400"/>
    <n v="120"/>
    <n v="150"/>
    <n v="600"/>
    <n v="450"/>
    <n v="90"/>
    <s v="N/A"/>
    <n v="69"/>
    <n v="1.1036000000000001"/>
    <m/>
    <n v="0.99780000000000013"/>
    <n v="1.0576680000000001"/>
    <n v="876.64628800000003"/>
    <n v="151.47309536050926"/>
    <n v="165.62414518918823"/>
    <n v="329.23690140980557"/>
    <n v="166"/>
    <n v="164.34"/>
    <n v="173.81715912000001"/>
    <n v="579.3905304000001"/>
    <d v="2023-02-23T00:00:00"/>
    <s v="2022_1806_02862, 2024_2777_03835"/>
    <s v="W2244AE LE2 CLEAR r099x0166 CB4P"/>
    <s v="Replaced by W2244AL"/>
    <m/>
    <m/>
    <s v="N/A"/>
    <m/>
    <n v="0.5757575757575758"/>
    <m/>
    <x v="0"/>
    <s v="Clear"/>
  </r>
  <r>
    <s v="Fuyao"/>
    <s v="Fuqing (Fuzhou)"/>
    <s v="Various"/>
    <s v="Various"/>
    <s v="ARG"/>
    <x v="0"/>
    <s v="W2244AL"/>
    <s v="L"/>
    <s v="E2"/>
    <s v="Clear"/>
    <x v="0"/>
    <s v="BF012313"/>
    <s v="Y"/>
    <s v="L9"/>
    <x v="16"/>
    <n v="99"/>
    <n v="25"/>
    <s v="N/A"/>
    <s v="N/A"/>
    <n v="0.8"/>
    <n v="170"/>
    <n v="570"/>
    <n v="400"/>
    <n v="170"/>
    <n v="150"/>
    <n v="600"/>
    <n v="450"/>
    <n v="140"/>
    <s v="N/A"/>
    <n v="74"/>
    <n v="1.1255999999999999"/>
    <m/>
    <n v="1.003911111111111"/>
    <n v="1.0641457777777776"/>
    <n v="876.64628800000003"/>
    <n v="148.51253379518303"/>
    <n v="162.38699949430367"/>
    <n v="322.80192288189539"/>
    <n v="162"/>
    <n v="160.38"/>
    <n v="170.66769983999998"/>
    <n v="682.67079935999993"/>
    <s v="?"/>
    <s v="2024_2532_03589"/>
    <s v="W2244AL LE2 CLEAR r099x0162 CB4P"/>
    <s v="Reduced flat distance. Replacing W2244AE"/>
    <m/>
    <m/>
    <m/>
    <m/>
    <n v="0.5757575757575758"/>
    <m/>
    <x v="1"/>
    <m/>
  </r>
  <r>
    <s v="Fuyao"/>
    <s v="Fuqing (Fuzhou)"/>
    <s v="Various"/>
    <s v="Various"/>
    <s v="ARG"/>
    <x v="1"/>
    <s v="W2244AFT"/>
    <s v="L"/>
    <s v="E2"/>
    <s v="Clear"/>
    <x v="0"/>
    <s v="BF011520"/>
    <s v="Y"/>
    <s v="L9"/>
    <x v="16"/>
    <n v="106"/>
    <n v="30"/>
    <s v="N/A"/>
    <s v="N/A"/>
    <n v="0.8"/>
    <n v="200"/>
    <n v="600"/>
    <n v="400"/>
    <n v="160"/>
    <n v="150"/>
    <n v="600"/>
    <n v="450"/>
    <n v="160"/>
    <s v="N/A"/>
    <n v="76"/>
    <n v="1.1344000000000001"/>
    <m/>
    <n v="1.0145207547169814"/>
    <n v="1.0753920000000003"/>
    <n v="876.64628800000003"/>
    <n v="147.3604619533304"/>
    <n v="161.12729780570183"/>
    <n v="320.29781769733904"/>
    <n v="161"/>
    <n v="170.66"/>
    <n v="183.52639872000006"/>
    <n v="611.75466240000026"/>
    <d v="2023-02-23T00:00:00"/>
    <s v="2022_1806_02862, 2024_2777_03835"/>
    <s v="W2244AF LE2 CLEAR r106x0161 CB4P"/>
    <m/>
    <m/>
    <m/>
    <s v="N/A"/>
    <m/>
    <n v="0.56603773584905659"/>
    <m/>
    <x v="0"/>
    <s v="Clear"/>
  </r>
  <r>
    <s v="Fuyao"/>
    <s v="Fuqing (Fuzhou)"/>
    <s v="Various"/>
    <s v="Various"/>
    <s v="ARG"/>
    <x v="1"/>
    <s v="W2244AGT"/>
    <s v="L"/>
    <s v="E2"/>
    <s v="Clear"/>
    <x v="0"/>
    <s v="BF011677"/>
    <s v="Y"/>
    <s v="L9"/>
    <x v="16"/>
    <n v="91"/>
    <n v="25"/>
    <s v="N/A"/>
    <s v="N/A"/>
    <n v="0.8"/>
    <n v="150"/>
    <n v="500"/>
    <n v="350"/>
    <n v="160"/>
    <n v="150"/>
    <n v="550"/>
    <n v="400"/>
    <n v="110"/>
    <s v="N/A"/>
    <n v="66"/>
    <n v="1.0904"/>
    <m/>
    <n v="0.98509010989010992"/>
    <n v="1.0441955164835166"/>
    <n v="876.64628800000003"/>
    <n v="153.30677553178469"/>
    <n v="167.62913300695908"/>
    <n v="333.22252787588178"/>
    <n v="168"/>
    <n v="152.88"/>
    <n v="159.63661056000001"/>
    <n v="638.54644224000003"/>
    <s v="Never"/>
    <s v="2023_1920_02977, 2024_2777_03835"/>
    <s v="W2244AG LE2 CLEAR r091x0168 CB4P"/>
    <m/>
    <m/>
    <m/>
    <s v="N/A"/>
    <m/>
    <n v="0.5494505494505495"/>
    <m/>
    <x v="0"/>
    <s v="Clear"/>
  </r>
  <r>
    <s v="Fuyao"/>
    <s v="Fuqing (Fuzhou)"/>
    <s v="Various"/>
    <s v="Various"/>
    <s v="ARG"/>
    <x v="1"/>
    <s v="W2244AHT"/>
    <s v="L"/>
    <s v="E2"/>
    <s v="Clear"/>
    <x v="0"/>
    <s v="BF011678"/>
    <s v="Y"/>
    <s v="L9"/>
    <x v="16"/>
    <n v="115"/>
    <n v="30"/>
    <s v="N/A"/>
    <s v="N/A"/>
    <n v="0.8"/>
    <n v="200"/>
    <n v="600"/>
    <n v="400"/>
    <n v="250"/>
    <n v="150"/>
    <n v="600"/>
    <n v="450"/>
    <n v="250"/>
    <s v="N/A"/>
    <n v="85"/>
    <n v="1.1739999999999999"/>
    <m/>
    <n v="1.0357826086956521"/>
    <n v="1.0979295652173913"/>
    <n v="876.64628800000003"/>
    <n v="142.38987056205966"/>
    <n v="155.69233954922333"/>
    <n v="309.49390493684967"/>
    <n v="156"/>
    <n v="179.4"/>
    <n v="196.96856399999999"/>
    <n v="656.56187999999997"/>
    <d v="2023-04-23T00:00:00"/>
    <s v="2023_1920_02977, 2024_2777_03835"/>
    <s v="W2244AH LE2 CLEAR r115x0156 CB4P"/>
    <m/>
    <m/>
    <m/>
    <s v="N/A"/>
    <m/>
    <n v="0.52173913043478259"/>
    <m/>
    <x v="0"/>
    <s v="Clear"/>
  </r>
  <r>
    <s v="Fuyao"/>
    <s v="Fuqing (Fuzhou)"/>
    <s v="Various"/>
    <s v="Various"/>
    <s v="ARG"/>
    <x v="1"/>
    <s v="W2244AC"/>
    <s v="L"/>
    <s v="E2"/>
    <s v="Clear"/>
    <x v="0"/>
    <s v="BF010674"/>
    <s v="Y"/>
    <s v="L8"/>
    <x v="16"/>
    <n v="99"/>
    <n v="25"/>
    <s v="N/A"/>
    <s v="N/A"/>
    <n v="0.8"/>
    <n v="150"/>
    <n v="620"/>
    <n v="470"/>
    <n v="120"/>
    <n v="150"/>
    <n v="620"/>
    <n v="470"/>
    <n v="120"/>
    <s v="N/A"/>
    <n v="74"/>
    <n v="1.1255999999999999"/>
    <m/>
    <n v="1.003911111111111"/>
    <n v="1.0641457777777776"/>
    <n v="876.64628800000003"/>
    <n v="148.51253379518303"/>
    <n v="162.38699949430367"/>
    <n v="322.80192288189539"/>
    <n v="162"/>
    <n v="160.38"/>
    <n v="170.66769983999998"/>
    <n v="682.67079935999993"/>
    <d v="2022-03-01T00:00:00"/>
    <s v="2022_1305_02361"/>
    <s v="W2244AC LE2 CLEAR r099x0162 CT4P"/>
    <s v="Straight to commercial"/>
    <m/>
    <m/>
    <s v="N/A"/>
    <d v="2022-04-01T00:00:00"/>
    <n v="0.6262626262626263"/>
    <m/>
    <x v="0"/>
    <s v="Clear"/>
  </r>
  <r>
    <s v="Fuyao"/>
    <s v="Fuqing (Fuzhou)"/>
    <s v="Various"/>
    <s v="Various"/>
    <s v="ARG"/>
    <x v="1"/>
    <s v="W2244AD"/>
    <s v="L"/>
    <s v="E2"/>
    <s v="Clear"/>
    <x v="0"/>
    <s v="BF011207"/>
    <s v="Y"/>
    <s v="L8"/>
    <x v="16"/>
    <n v="106"/>
    <n v="30"/>
    <s v="N/A"/>
    <s v="N/A"/>
    <n v="0.8"/>
    <n v="150"/>
    <n v="620"/>
    <n v="470"/>
    <n v="140"/>
    <n v="150"/>
    <n v="620"/>
    <n v="470"/>
    <n v="140"/>
    <s v="N/A"/>
    <n v="76"/>
    <n v="1.1344000000000001"/>
    <m/>
    <n v="1.0145207547169814"/>
    <n v="1.0753920000000003"/>
    <n v="876.64628800000003"/>
    <n v="147.3604619533304"/>
    <n v="161.12729780570183"/>
    <n v="320.29781769733904"/>
    <n v="161"/>
    <n v="170.66"/>
    <n v="183.52639872000006"/>
    <n v="611.75466240000026"/>
    <d v="2022-09-01T00:00:00"/>
    <s v="2022_1608_02664"/>
    <m/>
    <m/>
    <m/>
    <m/>
    <s v="N/A"/>
    <m/>
    <n v="0.58490566037735847"/>
    <m/>
    <x v="0"/>
    <s v="Clear"/>
  </r>
  <r>
    <s v="Fuyao"/>
    <s v="Fuqing (Fuzhou)"/>
    <s v="Various"/>
    <s v="Various"/>
    <s v="ARG"/>
    <x v="1"/>
    <s v="W2248ADT"/>
    <s v="L"/>
    <s v="E2"/>
    <s v="Clear"/>
    <x v="0"/>
    <s v="BF011679"/>
    <s v="Y"/>
    <s v="L9"/>
    <x v="47"/>
    <n v="100"/>
    <n v="30"/>
    <s v="N/A"/>
    <s v="N/A"/>
    <n v="0.8"/>
    <n v="150"/>
    <n v="550"/>
    <n v="400"/>
    <n v="150"/>
    <n v="150"/>
    <n v="600"/>
    <n v="450"/>
    <n v="100"/>
    <s v="N/A"/>
    <n v="70"/>
    <n v="1.1360000000000001"/>
    <m/>
    <n v="1.0184"/>
    <n v="1.079504"/>
    <n v="879.250496"/>
    <n v="147.15291200691726"/>
    <n v="160.90035794963748"/>
    <n v="319.84669401044141"/>
    <n v="161"/>
    <n v="161"/>
    <n v="173.80014399999999"/>
    <n v="579.3338133333333"/>
    <d v="2023-04-23T00:00:00"/>
    <s v="2023_1920_02977, 2024_2777_03835"/>
    <s v="W2248AD LE2 CLEAR r100x0161 CB4P"/>
    <m/>
    <m/>
    <m/>
    <s v="N/A"/>
    <m/>
    <n v="0.55000000000000004"/>
    <m/>
    <x v="0"/>
    <s v="Clear"/>
  </r>
  <r>
    <s v="Fuyao"/>
    <s v="Fuqing (Fuzhou)"/>
    <s v="Various"/>
    <s v="Various"/>
    <s v="ARG"/>
    <x v="1"/>
    <s v="W2252AHT"/>
    <s v="L"/>
    <s v="E2"/>
    <s v="Clear"/>
    <x v="0"/>
    <s v="BF011522"/>
    <s v="Y"/>
    <s v="L9"/>
    <x v="28"/>
    <n v="90"/>
    <n v="30"/>
    <s v="N/A"/>
    <s v="N/A"/>
    <n v="0.8"/>
    <n v="80"/>
    <n v="480"/>
    <n v="400"/>
    <n v="120"/>
    <n v="80"/>
    <n v="500"/>
    <n v="420"/>
    <n v="100"/>
    <s v="N/A"/>
    <n v="60"/>
    <n v="1.1120000000000001"/>
    <m/>
    <n v="1.008"/>
    <n v="1.0684800000000001"/>
    <n v="881.85470400000008"/>
    <n v="150.32887413656297"/>
    <n v="164.37302754567281"/>
    <n v="326.74986006822076"/>
    <n v="164"/>
    <n v="147.6"/>
    <n v="157.70764800000001"/>
    <n v="525.69216000000006"/>
    <d v="2023-02-23T00:00:00"/>
    <s v="2022_1806_02862, 2024_2777_03835"/>
    <s v="W2252AH LE2 CLEAR r090x0164 CB4P"/>
    <m/>
    <m/>
    <m/>
    <s v="N/A"/>
    <m/>
    <n v="0.53333333333333333"/>
    <m/>
    <x v="0"/>
    <s v="Clear"/>
  </r>
  <r>
    <s v="Fuyao"/>
    <s v="Fuqing (Fuzhou)"/>
    <s v="Various"/>
    <s v="Various"/>
    <s v="ARG"/>
    <x v="1"/>
    <s v="W2252AIT"/>
    <s v="L"/>
    <s v="E2"/>
    <s v="Clear"/>
    <x v="0"/>
    <s v="BF011523"/>
    <s v="Y"/>
    <s v="L9"/>
    <x v="28"/>
    <n v="100"/>
    <n v="30"/>
    <s v="N/A"/>
    <s v="N/A"/>
    <n v="0.8"/>
    <n v="180"/>
    <n v="580"/>
    <n v="400"/>
    <n v="120"/>
    <n v="150"/>
    <n v="600"/>
    <n v="450"/>
    <n v="100"/>
    <s v="N/A"/>
    <n v="70"/>
    <n v="1.1640000000000001"/>
    <m/>
    <n v="1.0366000000000002"/>
    <n v="1.0987960000000001"/>
    <n v="881.85470400000008"/>
    <n v="143.61315123699143"/>
    <n v="157.02990260376987"/>
    <n v="312.15278728166788"/>
    <n v="157"/>
    <n v="157"/>
    <n v="172.51097200000001"/>
    <n v="575.03657333333342"/>
    <d v="2023-02-23T00:00:00"/>
    <s v="2022_1806_02862, 2024_2777_03835"/>
    <s v="W2252AI LE2 CLEAR r100x0157 CB4P"/>
    <s v="Replaced by W2252AR"/>
    <m/>
    <m/>
    <s v="N/A"/>
    <m/>
    <n v="0.57999999999999996"/>
    <m/>
    <x v="0"/>
    <s v="Clear"/>
  </r>
  <r>
    <s v="Fuyao"/>
    <s v="Fuqing (Fuzhou)"/>
    <s v="Various"/>
    <s v="Various"/>
    <s v="ARG"/>
    <x v="0"/>
    <s v="W2252AR"/>
    <s v="L"/>
    <s v="E2"/>
    <s v="Clear"/>
    <x v="0"/>
    <s v="BF012314"/>
    <s v="Y"/>
    <s v="L9"/>
    <x v="28"/>
    <n v="100"/>
    <n v="25"/>
    <s v="N/A"/>
    <s v="N/A"/>
    <n v="0.8"/>
    <n v="180"/>
    <n v="580"/>
    <n v="400"/>
    <n v="170"/>
    <n v="150"/>
    <n v="600"/>
    <n v="450"/>
    <n v="150"/>
    <s v="N/A"/>
    <n v="75"/>
    <n v="1.19"/>
    <m/>
    <n v="1.04375"/>
    <n v="1.1063749999999999"/>
    <n v="881.85470400000008"/>
    <n v="140.47538490744373"/>
    <n v="153.59899716872957"/>
    <n v="305.33264234946341"/>
    <n v="154"/>
    <n v="154"/>
    <n v="170.38174999999998"/>
    <n v="681.52699999999993"/>
    <s v="?"/>
    <s v="2024_2532_03589"/>
    <s v="W2252AR LE2 CLEAR r100x0154 CB4P"/>
    <s v="Reduced flat distance. Replacing W2252AI"/>
    <m/>
    <m/>
    <m/>
    <m/>
    <n v="0.57999999999999996"/>
    <m/>
    <x v="0"/>
    <s v="Clear"/>
  </r>
  <r>
    <s v="Fuyao"/>
    <s v="Fuqing (Fuzhou)"/>
    <s v="Various"/>
    <s v="Various"/>
    <s v="ARG"/>
    <x v="1"/>
    <s v="W2252AJT"/>
    <s v="L"/>
    <s v="E2"/>
    <s v="Clear"/>
    <x v="0"/>
    <s v="BF011524"/>
    <s v="Y"/>
    <s v="L9"/>
    <x v="28"/>
    <n v="103"/>
    <n v="30"/>
    <s v="N/A"/>
    <s v="N/A"/>
    <n v="0.8"/>
    <n v="180"/>
    <n v="580"/>
    <n v="400"/>
    <n v="150"/>
    <n v="150"/>
    <n v="600"/>
    <n v="450"/>
    <n v="130"/>
    <s v="N/A"/>
    <n v="73"/>
    <n v="1.1796"/>
    <m/>
    <n v="1.0450815533980582"/>
    <n v="1.1077864466019418"/>
    <n v="881.85470400000008"/>
    <n v="141.71389287882167"/>
    <n v="154.95321009731111"/>
    <n v="308.02462224132034"/>
    <n v="155"/>
    <n v="159.65"/>
    <n v="176.85810620000001"/>
    <n v="589.52702066666677"/>
    <d v="2023-02-23T00:00:00"/>
    <s v="2022_1806_02862, 2024_2777_03835"/>
    <s v="W2252AJ LE2 CLEAR r103x0155 CB4P"/>
    <m/>
    <m/>
    <m/>
    <s v="N/A"/>
    <m/>
    <n v="0.56310679611650483"/>
    <m/>
    <x v="0"/>
    <s v="Clear"/>
  </r>
  <r>
    <s v="Fuyao"/>
    <s v="Fuqing (Fuzhou)"/>
    <s v="Various"/>
    <s v="Various"/>
    <s v="ARG"/>
    <x v="1"/>
    <s v="W2252AKT"/>
    <s v="L"/>
    <s v="E2"/>
    <s v="Clear"/>
    <x v="0"/>
    <s v="BF011525 (CB4P), BF012212 (CB1P)"/>
    <s v="Y"/>
    <s v="L9"/>
    <x v="28"/>
    <n v="107"/>
    <n v="30"/>
    <s v="N/A"/>
    <s v="N/A"/>
    <n v="0.8"/>
    <n v="180"/>
    <n v="580"/>
    <n v="400"/>
    <n v="190"/>
    <n v="150"/>
    <n v="600"/>
    <n v="450"/>
    <n v="170"/>
    <s v="N/A"/>
    <n v="77"/>
    <n v="1.2004000000000001"/>
    <m/>
    <n v="1.0563308411214953"/>
    <n v="1.1197106915887849"/>
    <n v="881.85470400000008"/>
    <n v="139.25833725413031"/>
    <n v="152.2682494425093"/>
    <n v="302.68730789391992"/>
    <n v="152"/>
    <n v="162.63999999999999"/>
    <n v="182.10974687999996"/>
    <n v="607.03248959999985"/>
    <d v="2023-02-23T00:00:00"/>
    <s v="2022_1806_02862, 2024_2437_03494"/>
    <s v="W2252AK LE2 CLEAR r107x0152 CB4P"/>
    <s v="Being tested by Xinyi"/>
    <m/>
    <m/>
    <s v="N/A"/>
    <m/>
    <n v="0.54205607476635509"/>
    <m/>
    <x v="0"/>
    <s v="Clear"/>
  </r>
  <r>
    <s v="Fuyao"/>
    <s v="Fuqing (Fuzhou)"/>
    <s v="Various"/>
    <s v="Various"/>
    <s v="ARG"/>
    <x v="1"/>
    <s v="W2252AMT"/>
    <s v="L"/>
    <s v="E2"/>
    <s v="Clear"/>
    <x v="0"/>
    <s v="BF011680"/>
    <s v="Y"/>
    <s v="L9"/>
    <x v="28"/>
    <n v="85"/>
    <n v="20"/>
    <s v="N/A"/>
    <s v="N/A"/>
    <n v="0.8"/>
    <n v="150"/>
    <n v="500"/>
    <n v="350"/>
    <n v="150"/>
    <n v="150"/>
    <n v="550"/>
    <n v="400"/>
    <n v="100"/>
    <s v="N/A"/>
    <n v="65"/>
    <n v="1.1379999999999999"/>
    <m/>
    <n v="1.008764705882353"/>
    <n v="1.0692905882352943"/>
    <n v="881.85470400000008"/>
    <n v="146.89429528985769"/>
    <n v="160.61758051914606"/>
    <n v="319.28457328283088"/>
    <n v="161"/>
    <n v="136.85"/>
    <n v="146.33241700000002"/>
    <n v="731.66208500000005"/>
    <s v="Never"/>
    <s v="2023_1920_02977, 2024_2777_03835"/>
    <s v="W2252AM LE2 CLEAR r085x0161 CB4P"/>
    <m/>
    <m/>
    <m/>
    <s v="N/A"/>
    <m/>
    <n v="0.58823529411764708"/>
    <m/>
    <x v="0"/>
    <s v="Clear"/>
  </r>
  <r>
    <s v="Fuyao"/>
    <s v="Fuqing (Fuzhou)"/>
    <s v="Various"/>
    <s v="Various"/>
    <s v="ARG"/>
    <x v="1"/>
    <s v="W2252AC"/>
    <s v="L"/>
    <s v="E2"/>
    <s v="Clear"/>
    <x v="0"/>
    <s v="BF010675"/>
    <s v="Y"/>
    <s v="L8"/>
    <x v="28"/>
    <n v="100"/>
    <n v="25"/>
    <s v="N/A"/>
    <s v="N/A"/>
    <n v="0.8"/>
    <n v="150"/>
    <n v="630"/>
    <n v="480"/>
    <n v="120"/>
    <n v="150"/>
    <n v="630"/>
    <n v="480"/>
    <n v="120"/>
    <s v="N/A"/>
    <n v="75"/>
    <n v="1.19"/>
    <m/>
    <n v="1.04375"/>
    <n v="1.1063749999999999"/>
    <n v="881.85470400000008"/>
    <n v="140.47538490744373"/>
    <n v="153.59899716872957"/>
    <n v="305.33264234946341"/>
    <n v="154"/>
    <n v="154"/>
    <n v="170.38174999999998"/>
    <n v="681.52699999999993"/>
    <d v="2022-03-01T00:00:00"/>
    <s v="2022_1305_02361"/>
    <s v="W2252AC LE2 CLEAR r100x0154 CT4P"/>
    <s v="Straight to commercial"/>
    <m/>
    <m/>
    <s v="N/A"/>
    <d v="2022-04-01T00:00:00"/>
    <n v="0.63"/>
    <m/>
    <x v="0"/>
    <s v="Clear"/>
  </r>
  <r>
    <s v="Fuyao"/>
    <s v="Fuqing (Fuzhou)"/>
    <s v="Various"/>
    <s v="Various"/>
    <s v="ARG"/>
    <x v="1"/>
    <s v="W2252AD"/>
    <s v="L"/>
    <s v="E2"/>
    <s v="Clear"/>
    <x v="0"/>
    <s v="BF011208"/>
    <s v="Y"/>
    <s v="L8"/>
    <x v="28"/>
    <n v="103"/>
    <n v="28"/>
    <s v="N/A"/>
    <s v="N/A"/>
    <n v="0.8"/>
    <n v="150"/>
    <n v="630"/>
    <n v="480"/>
    <n v="120"/>
    <n v="150"/>
    <n v="630"/>
    <n v="480"/>
    <n v="120"/>
    <s v="N/A"/>
    <n v="75"/>
    <n v="1.19"/>
    <m/>
    <n v="1.0480097087378639"/>
    <n v="1.1108902912621357"/>
    <n v="881.85470400000008"/>
    <n v="140.47538490744373"/>
    <n v="153.59899716872957"/>
    <n v="305.33264234946341"/>
    <n v="154"/>
    <n v="158.62"/>
    <n v="176.20941799999997"/>
    <n v="629.31934999999987"/>
    <d v="2022-09-01T00:00:00"/>
    <s v="2022_1608_02664"/>
    <m/>
    <m/>
    <m/>
    <m/>
    <s v="N/A"/>
    <m/>
    <n v="0.61165048543689315"/>
    <m/>
    <x v="0"/>
    <s v="Clear"/>
  </r>
  <r>
    <s v="Fuyao"/>
    <s v="Fuqing (Fuzhou)"/>
    <s v="Various"/>
    <s v="Various"/>
    <s v="ARG"/>
    <x v="1"/>
    <s v="W2252AE"/>
    <s v="L"/>
    <s v="E2"/>
    <s v="Clear"/>
    <x v="0"/>
    <s v="BF011209"/>
    <s v="Y"/>
    <s v="L8"/>
    <x v="28"/>
    <n v="107"/>
    <n v="30"/>
    <s v="N/A"/>
    <s v="N/A"/>
    <n v="0.8"/>
    <n v="150"/>
    <n v="630"/>
    <n v="480"/>
    <n v="140"/>
    <n v="150"/>
    <n v="630"/>
    <n v="480"/>
    <n v="140"/>
    <s v="N/A"/>
    <n v="77"/>
    <n v="1.2004000000000001"/>
    <m/>
    <n v="1.0563308411214953"/>
    <n v="1.1197106915887849"/>
    <n v="881.85470400000008"/>
    <n v="139.25833725413031"/>
    <n v="152.2682494425093"/>
    <n v="302.68730789391992"/>
    <n v="152"/>
    <n v="162.63999999999999"/>
    <n v="182.10974687999996"/>
    <n v="607.03248959999985"/>
    <d v="2022-10-01T00:00:00"/>
    <s v="2022_1608_02664"/>
    <m/>
    <m/>
    <m/>
    <m/>
    <s v="N/A"/>
    <m/>
    <n v="0.58878504672897192"/>
    <m/>
    <x v="0"/>
    <s v="Clear"/>
  </r>
  <r>
    <s v="Fuyao"/>
    <s v="Fuqing (Fuzhou)"/>
    <s v="Various"/>
    <s v="Various"/>
    <s v="ARG"/>
    <x v="1"/>
    <s v="W2259ABT"/>
    <s v="L"/>
    <s v="E2"/>
    <s v="Clear"/>
    <x v="0"/>
    <s v="BF011526"/>
    <s v="Y"/>
    <s v="L9"/>
    <x v="48"/>
    <n v="91"/>
    <n v="30"/>
    <s v="N/A"/>
    <s v="N/A"/>
    <n v="0.8"/>
    <n v="90"/>
    <n v="490"/>
    <n v="400"/>
    <n v="120"/>
    <n v="90"/>
    <n v="500"/>
    <n v="410"/>
    <n v="110"/>
    <s v="N/A"/>
    <n v="61"/>
    <n v="1.1598999999999999"/>
    <m/>
    <n v="1.0392741758241757"/>
    <n v="1.1016306263736262"/>
    <n v="886.41206799999998"/>
    <n v="144.12079320618849"/>
    <n v="157.58496993774307"/>
    <n v="313.25618104652256"/>
    <n v="158"/>
    <n v="143.78"/>
    <n v="158.39245145999996"/>
    <n v="527.97483819999991"/>
    <d v="2023-02-23T00:00:00"/>
    <s v="2022_1806_02862, 2024_2777_03835"/>
    <s v="W2259AB LE2 CLEAR r091x0158 CB4P"/>
    <m/>
    <m/>
    <m/>
    <s v="N/A"/>
    <m/>
    <n v="0.53846153846153844"/>
    <m/>
    <x v="0"/>
    <s v="Clear"/>
  </r>
  <r>
    <s v="Fuyao"/>
    <s v="Fuqing (Fuzhou)"/>
    <s v="Various"/>
    <s v="Various"/>
    <s v="ARG"/>
    <x v="1"/>
    <s v="W2259ACT"/>
    <s v="L"/>
    <s v="E2"/>
    <s v="Clear"/>
    <x v="0"/>
    <s v="BF011527"/>
    <s v="Y"/>
    <s v="L9"/>
    <x v="48"/>
    <n v="115"/>
    <n v="30"/>
    <s v="N/A"/>
    <s v="N/A"/>
    <n v="0.8"/>
    <n v="200"/>
    <n v="600"/>
    <n v="400"/>
    <n v="250"/>
    <n v="150"/>
    <n v="600"/>
    <n v="450"/>
    <n v="250"/>
    <s v="N/A"/>
    <n v="85"/>
    <n v="1.3014999999999999"/>
    <m/>
    <n v="1.1161630434782608"/>
    <n v="1.1831328260869565"/>
    <n v="886.41206799999998"/>
    <n v="128.44080525536538"/>
    <n v="140.4401126629183"/>
    <n v="279.17467875210258"/>
    <n v="140"/>
    <n v="161"/>
    <n v="190.484385"/>
    <n v="634.94794999999999"/>
    <d v="2023-02-23T00:00:00"/>
    <s v="2022_1806_02862, 2024_2777_03835"/>
    <s v="W2259AC LE2 CLEAR r115x0140 CB4P"/>
    <m/>
    <m/>
    <m/>
    <s v="N/A"/>
    <m/>
    <n v="0.52173913043478259"/>
    <m/>
    <x v="0"/>
    <s v="Clear"/>
  </r>
  <r>
    <s v="Fuyao"/>
    <s v="Fuqing (Fuzhou)"/>
    <s v="Various"/>
    <s v="Various"/>
    <s v="ARG"/>
    <x v="1"/>
    <s v="W2259ADT"/>
    <s v="L"/>
    <s v="E2"/>
    <s v="Clear"/>
    <x v="0"/>
    <s v="BF011681"/>
    <s v="Y"/>
    <s v="L9"/>
    <x v="48"/>
    <n v="85"/>
    <n v="20"/>
    <s v="N/A"/>
    <s v="N/A"/>
    <n v="0.8"/>
    <n v="150"/>
    <n v="500"/>
    <n v="350"/>
    <n v="150"/>
    <n v="150"/>
    <n v="550"/>
    <n v="400"/>
    <n v="100"/>
    <s v="N/A"/>
    <n v="65"/>
    <n v="1.1835"/>
    <m/>
    <n v="1.0368676470588236"/>
    <n v="1.0990797058823529"/>
    <n v="886.41206799999998"/>
    <n v="141.24690159683823"/>
    <n v="154.44259115402465"/>
    <n v="307.00958546333879"/>
    <n v="154"/>
    <n v="130.9"/>
    <n v="143.86953350000002"/>
    <n v="719.34766750000006"/>
    <s v="Never"/>
    <s v="2023_1920_02977, 2024_2777_03835"/>
    <s v="W2259AD LE2 CLEAR r085x0154 CB4P"/>
    <m/>
    <m/>
    <m/>
    <s v="N/A"/>
    <m/>
    <n v="0.58823529411764708"/>
    <m/>
    <x v="0"/>
    <s v="Clear"/>
  </r>
  <r>
    <s v="Fuyao"/>
    <s v="Fuqing (Fuzhou)"/>
    <s v="Various"/>
    <s v="Various"/>
    <s v="ARG"/>
    <x v="1"/>
    <s v="W2259AET"/>
    <s v="L"/>
    <s v="E2"/>
    <s v="Clear"/>
    <x v="0"/>
    <s v="BF011682"/>
    <s v="Y"/>
    <s v="L9"/>
    <x v="48"/>
    <n v="117"/>
    <n v="30"/>
    <s v="N/A"/>
    <s v="N/A"/>
    <n v="0.8"/>
    <n v="200"/>
    <n v="600"/>
    <n v="400"/>
    <n v="270"/>
    <n v="150"/>
    <n v="600"/>
    <n v="450"/>
    <n v="270"/>
    <s v="N/A"/>
    <n v="87"/>
    <n v="1.3132999999999999"/>
    <m/>
    <n v="1.1224576923076921"/>
    <n v="1.1898051538461536"/>
    <n v="886.41206799999998"/>
    <n v="127.28676466904594"/>
    <n v="139.17825830411039"/>
    <n v="276.66629436980236"/>
    <n v="139"/>
    <n v="162.63"/>
    <n v="193.49801216999995"/>
    <n v="644.99337389999982"/>
    <s v="Never"/>
    <s v="2023_1920_02977, 2024_2777_03835"/>
    <s v="W2259AE LE2 CLEAR r117x0139 CB4P"/>
    <m/>
    <m/>
    <m/>
    <s v="N/A"/>
    <m/>
    <n v="0.51282051282051277"/>
    <m/>
    <x v="0"/>
    <s v="Clear"/>
  </r>
  <r>
    <s v="Fuyao"/>
    <s v="Fuqing (Fuzhou)"/>
    <s v="Various"/>
    <s v="Various"/>
    <s v="ARG"/>
    <x v="1"/>
    <s v="W2259AFT"/>
    <s v="L"/>
    <s v="E2"/>
    <s v="Clear"/>
    <x v="0"/>
    <s v="BF011806"/>
    <s v="Y"/>
    <s v="L9"/>
    <x v="48"/>
    <n v="100"/>
    <n v="30"/>
    <s v="N/A"/>
    <s v="N/A"/>
    <n v="0.8"/>
    <n v="150"/>
    <n v="550"/>
    <n v="400"/>
    <n v="150"/>
    <n v="150"/>
    <n v="600"/>
    <n v="450"/>
    <n v="100"/>
    <s v="N/A"/>
    <n v="70"/>
    <n v="1.2130000000000001"/>
    <m/>
    <n v="1.0684499999999999"/>
    <n v="1.1325569999999998"/>
    <n v="886.41206799999998"/>
    <n v="137.81179558108659"/>
    <n v="150.68656770881134"/>
    <n v="299.54315284077614"/>
    <n v="151"/>
    <n v="151"/>
    <n v="171.01610699999998"/>
    <n v="570.05368999999996"/>
    <d v="2023-05-01T00:00:00"/>
    <s v="2023_2021_03078, 2024_2777_03835"/>
    <s v="W2259AF LE2 CLEAR r100x0151 CB4P"/>
    <s v="Should not have been created. W2259AA would work. Only needed a 4-roll package."/>
    <m/>
    <m/>
    <m/>
    <m/>
    <n v="0.55000000000000004"/>
    <m/>
    <x v="0"/>
    <m/>
  </r>
  <r>
    <s v="Fuyao"/>
    <s v="Fuqing (Fuzhou)"/>
    <s v="Various"/>
    <s v="Various"/>
    <s v="ARG"/>
    <x v="1"/>
    <s v="W2259AA"/>
    <s v="L"/>
    <s v="E2"/>
    <s v="Clear"/>
    <x v="0"/>
    <s v="BF010676, BF011316 (L9 50m)"/>
    <s v="Y"/>
    <s v="L8 &amp; L9"/>
    <x v="48"/>
    <n v="100"/>
    <n v="25"/>
    <s v="N/A"/>
    <s v="N/A"/>
    <n v="0.8"/>
    <n v="150"/>
    <n v="630"/>
    <n v="480"/>
    <n v="120"/>
    <n v="150"/>
    <n v="630"/>
    <n v="480"/>
    <n v="120"/>
    <s v="N/A"/>
    <n v="75"/>
    <n v="1.2425000000000002"/>
    <m/>
    <n v="1.0765625000000001"/>
    <n v="1.1411562500000001"/>
    <n v="886.41206799999998"/>
    <n v="134.5398052634672"/>
    <n v="147.10889869681139"/>
    <n v="292.4312630952607"/>
    <n v="147"/>
    <n v="147"/>
    <n v="167.74996875000002"/>
    <n v="670.99987500000009"/>
    <d v="2022-03-01T00:00:00"/>
    <s v="2022_1305_02361, 2022_1643_02699"/>
    <s v="W2259AA LE2 CLEAR r100x0147 CT4P, W2259AA LE2 CLEAR r100x0050 CB1P"/>
    <s v="Straight to commercial from L8 for two campaigns. Then moved to L9, and then became W2259AF."/>
    <m/>
    <m/>
    <s v="N/A"/>
    <d v="2022-04-01T00:00:00"/>
    <n v="0.63"/>
    <m/>
    <x v="0"/>
    <s v="Clear"/>
  </r>
  <r>
    <s v="Fuyao"/>
    <s v="Fuqing (Fuzhou)"/>
    <s v="Various"/>
    <s v="Various"/>
    <s v="ARG"/>
    <x v="1"/>
    <s v="W2265AAT"/>
    <s v="L"/>
    <s v="E2"/>
    <s v="Clear"/>
    <x v="0"/>
    <s v="BF011528"/>
    <s v="Y"/>
    <s v="L9"/>
    <x v="49"/>
    <n v="108"/>
    <n v="30"/>
    <s v="N/A"/>
    <s v="N/A"/>
    <n v="0.8"/>
    <n v="200"/>
    <n v="600"/>
    <n v="400"/>
    <n v="180"/>
    <n v="150"/>
    <n v="600"/>
    <n v="450"/>
    <n v="180"/>
    <s v="N/A"/>
    <n v="78"/>
    <n v="1.3069999999999999"/>
    <m/>
    <n v="1.1239166666666667"/>
    <n v="1.1913516666666668"/>
    <n v="890.31838000000005"/>
    <n v="127.9003121957598"/>
    <n v="139.84912519570634"/>
    <n v="277.99988094557119"/>
    <n v="140"/>
    <n v="151.19999999999999"/>
    <n v="180.132372"/>
    <n v="600.44123999999999"/>
    <d v="2023-02-23T00:00:00"/>
    <s v="2022_1806_02862, 2024_2777_03835"/>
    <s v="W2265AA LE2 CLEAR r108x0140 CB4P"/>
    <m/>
    <m/>
    <m/>
    <s v="N/A"/>
    <m/>
    <n v="0.55555555555555558"/>
    <m/>
    <x v="0"/>
    <s v="Clear"/>
  </r>
  <r>
    <s v="Fuyao"/>
    <s v="Fuqing (Fuzhou)"/>
    <s v="Various"/>
    <s v="Various"/>
    <s v="ARG"/>
    <x v="1"/>
    <s v="W2265ABT"/>
    <s v="L"/>
    <s v="E2"/>
    <s v="Clear"/>
    <x v="0"/>
    <s v="BF011683"/>
    <s v="Y"/>
    <s v="L9"/>
    <x v="49"/>
    <n v="120"/>
    <n v="30"/>
    <s v="N/A"/>
    <s v="N/A"/>
    <n v="0.8"/>
    <n v="200"/>
    <n v="600"/>
    <n v="400"/>
    <n v="300"/>
    <n v="150"/>
    <n v="600"/>
    <n v="450"/>
    <n v="300"/>
    <s v="N/A"/>
    <n v="90"/>
    <n v="1.3850000000000002"/>
    <m/>
    <n v="1.1656250000000001"/>
    <n v="1.2355625000000001"/>
    <n v="890.31838000000005"/>
    <n v="120.69726212264116"/>
    <n v="131.9731455817965"/>
    <n v="262.34356996091077"/>
    <n v="132"/>
    <n v="158.4"/>
    <n v="195.71310000000003"/>
    <n v="652.37700000000007"/>
    <s v="Never"/>
    <s v="2023_1920_02977, 2024_2777_03835"/>
    <s v="W2265AB LE2 CLEAR r120x0132 CB4P"/>
    <m/>
    <m/>
    <m/>
    <s v="N/A"/>
    <m/>
    <n v="0.5"/>
    <m/>
    <x v="0"/>
    <s v="Clear"/>
  </r>
  <r>
    <s v="Fuyao"/>
    <s v="Fuqing (Fuzhou)"/>
    <s v="Various"/>
    <s v="Various"/>
    <s v="ARG"/>
    <x v="1"/>
    <s v="W2268AAT"/>
    <s v="L"/>
    <s v="E2"/>
    <s v="Clear"/>
    <x v="0"/>
    <s v="BF011529"/>
    <s v="Y"/>
    <s v="L9"/>
    <x v="33"/>
    <n v="100"/>
    <n v="30"/>
    <s v="N/A"/>
    <s v="N/A"/>
    <n v="0.8"/>
    <n v="180"/>
    <n v="580"/>
    <n v="400"/>
    <n v="120"/>
    <n v="150"/>
    <n v="600"/>
    <n v="450"/>
    <n v="100"/>
    <s v="N/A"/>
    <n v="70"/>
    <n v="1.276"/>
    <m/>
    <n v="1.1093999999999999"/>
    <n v="1.175964"/>
    <n v="892.27153599999997"/>
    <n v="131.00760818170693"/>
    <n v="143.2467136604923"/>
    <n v="284.75379654848081"/>
    <n v="143"/>
    <n v="143"/>
    <n v="168.16285200000002"/>
    <n v="560.54284000000007"/>
    <d v="2023-02-23T00:00:00"/>
    <s v="2022_1806_02862, 2024_2777_03835"/>
    <s v="W2268AA LE2 CLEAR r100x0143 CB4P"/>
    <s v="Replaced by W2268AD"/>
    <m/>
    <m/>
    <s v="N/A"/>
    <m/>
    <n v="0.57999999999999996"/>
    <m/>
    <x v="0"/>
    <s v="Clear"/>
  </r>
  <r>
    <s v="Fuyao"/>
    <s v="Fuqing (Fuzhou)"/>
    <s v="Various"/>
    <s v="Various"/>
    <s v="ARG"/>
    <x v="1"/>
    <s v="W2268AD"/>
    <s v="L"/>
    <s v="E2"/>
    <s v="Clear"/>
    <x v="0"/>
    <s v="BF012315"/>
    <s v="Y"/>
    <s v="L9"/>
    <x v="33"/>
    <n v="100"/>
    <n v="25"/>
    <s v="N/A"/>
    <s v="N/A"/>
    <n v="0.8"/>
    <n v="180"/>
    <n v="580"/>
    <n v="400"/>
    <n v="170"/>
    <n v="150"/>
    <n v="600"/>
    <n v="450"/>
    <n v="150"/>
    <s v="N/A"/>
    <n v="75"/>
    <n v="1.31"/>
    <m/>
    <n v="1.1187500000000001"/>
    <n v="1.1858750000000002"/>
    <n v="892.27153599999997"/>
    <n v="127.60741071744887"/>
    <n v="139.52886002350243"/>
    <n v="277.36323999684083"/>
    <n v="140"/>
    <n v="140"/>
    <n v="166.02250000000004"/>
    <n v="664.09000000000015"/>
    <s v="?"/>
    <s v="2024_2532_03589"/>
    <s v="W2268AD LE2 CLEAR r100x0140 CB4P"/>
    <s v="Reduced flat distance. Replacing W2268AA"/>
    <m/>
    <m/>
    <m/>
    <m/>
    <n v="0.57999999999999996"/>
    <m/>
    <x v="1"/>
    <m/>
  </r>
  <r>
    <s v="Fuyao"/>
    <s v="Fuqing (Fuzhou)"/>
    <s v="Various"/>
    <s v="Various"/>
    <s v="ARG"/>
    <x v="1"/>
    <s v="W2268ABT"/>
    <s v="L"/>
    <s v="E2"/>
    <s v="Clear"/>
    <x v="0"/>
    <s v="BF011530"/>
    <s v="Y"/>
    <s v="L9"/>
    <x v="33"/>
    <n v="115"/>
    <n v="30"/>
    <s v="N/A"/>
    <s v="N/A"/>
    <n v="0.8"/>
    <n v="180"/>
    <n v="580"/>
    <n v="400"/>
    <n v="270"/>
    <n v="150"/>
    <n v="600"/>
    <n v="450"/>
    <n v="250"/>
    <s v="N/A"/>
    <n v="85"/>
    <n v="1.3780000000000001"/>
    <m/>
    <n v="1.164391304347826"/>
    <n v="1.2342547826086956"/>
    <n v="892.27153599999997"/>
    <n v="121.31038319293035"/>
    <n v="132.64354617618881"/>
    <n v="263.67622960512443"/>
    <n v="133"/>
    <n v="152.94999999999999"/>
    <n v="188.77926899999997"/>
    <n v="629.26422999999988"/>
    <d v="2023-02-23T00:00:00"/>
    <s v="2022_1806_02862, 2024_2777_03835"/>
    <s v="W2268AB LE2 CLEAR r115x0133 CB4P"/>
    <s v="Nearly identical to W2268AC, but AC is K adhesion"/>
    <m/>
    <m/>
    <s v="N/A"/>
    <m/>
    <n v="0.5043478260869565"/>
    <m/>
    <x v="0"/>
    <s v="Clear"/>
  </r>
  <r>
    <s v="Fuyao"/>
    <s v="Guangzhou"/>
    <s v="?"/>
    <s v="?"/>
    <m/>
    <x v="0"/>
    <s v="W5044AA"/>
    <s v="F"/>
    <s v="R3"/>
    <s v="Clear"/>
    <x v="1"/>
    <s v="BF011940"/>
    <m/>
    <s v="L6"/>
    <x v="16"/>
    <n v="100"/>
    <n v="30"/>
    <s v="N/A"/>
    <s v="N/A"/>
    <n v="0.76"/>
    <n v="150"/>
    <n v="550"/>
    <n v="400"/>
    <n v="150"/>
    <n v="150"/>
    <n v="600"/>
    <n v="450"/>
    <n v="100"/>
    <s v="N/A"/>
    <n v="70"/>
    <n v="1.0680000000000001"/>
    <m/>
    <n v="0.96020000000000005"/>
    <n v="1.022613"/>
    <n v="838.18141200000002"/>
    <n v="156.52219853919291"/>
    <n v="171.14495002882788"/>
    <n v="340.21146479013242"/>
    <n v="171"/>
    <n v="171"/>
    <n v="174.86682300000001"/>
    <n v="582.88941000000011"/>
    <s v="?"/>
    <s v="2023_2120_03177"/>
    <s v="W5044AA FR3 CLEAR r100x0171 CB1P"/>
    <m/>
    <m/>
    <m/>
    <s v="N/A"/>
    <m/>
    <n v="0.55000000000000004"/>
    <m/>
    <x v="2"/>
    <m/>
  </r>
  <r>
    <s v="Fuyao"/>
    <s v="Guangzhou"/>
    <s v="BYD"/>
    <s v="ESEA"/>
    <s v="OEM"/>
    <x v="1"/>
    <s v="W2222AA"/>
    <s v="L"/>
    <s v="E2"/>
    <s v="Clear"/>
    <x v="0"/>
    <s v="BF011537"/>
    <s v="Y"/>
    <s v="L9"/>
    <x v="42"/>
    <n v="115"/>
    <n v="30"/>
    <s v="N/A"/>
    <s v="N/A"/>
    <n v="0.8"/>
    <n v="229"/>
    <n v="629"/>
    <n v="400"/>
    <n v="221"/>
    <n v="200"/>
    <n v="650"/>
    <n v="450"/>
    <n v="200"/>
    <s v="N/A"/>
    <n v="85"/>
    <n v="0.9870000000000001"/>
    <m/>
    <n v="0.91789130434782618"/>
    <n v="0.97296478260869568"/>
    <n v="862.32314400000007"/>
    <n v="169.36748534940023"/>
    <n v="185.19028027435476"/>
    <n v="368.13155460573603"/>
    <n v="120"/>
    <n v="138"/>
    <n v="134.26913999999999"/>
    <n v="447.56380000000001"/>
    <d v="2023-01-01T00:00:00"/>
    <s v="2022_1807_02863"/>
    <s v="W2222AA LE2 CLEAR r115x0120 CB1P"/>
    <m/>
    <m/>
    <m/>
    <s v="N/A"/>
    <m/>
    <n v="0.54695652173913045"/>
    <m/>
    <x v="0"/>
    <s v="Clear"/>
  </r>
  <r>
    <s v="Fuyao"/>
    <s v="Guangzhou"/>
    <s v="BYD"/>
    <s v="Han (HC2)"/>
    <s v="OEM"/>
    <x v="1"/>
    <s v="W2230AC"/>
    <s v="L"/>
    <s v="E2"/>
    <s v="Clear"/>
    <x v="0"/>
    <s v="BF012344"/>
    <s v="Y"/>
    <s v="L9"/>
    <x v="14"/>
    <n v="115"/>
    <n v="25"/>
    <s v="N/A"/>
    <s v="N/A"/>
    <n v="0.8"/>
    <n v="150"/>
    <n v="650"/>
    <n v="500"/>
    <n v="250"/>
    <n v="150"/>
    <n v="650"/>
    <n v="500"/>
    <n v="250"/>
    <s v="N/A"/>
    <n v="90"/>
    <n v="1.07"/>
    <m/>
    <n v="0.96434782608695657"/>
    <n v="1.0222086956521741"/>
    <n v="867.53156000000013"/>
    <n v="156.22963368211029"/>
    <n v="170.82505292597023"/>
    <n v="339.57555551015088"/>
    <n v="171"/>
    <n v="196.65"/>
    <n v="201.01734000000005"/>
    <n v="804.06936000000019"/>
    <d v="2024-06-01T00:00:00"/>
    <s v="2024_2567_03625"/>
    <s v="W2230AC LE2 CLEAR r115x0171 CB1P"/>
    <s v="Shaped"/>
    <m/>
    <m/>
    <m/>
    <m/>
    <n v="0.56521739130434778"/>
    <m/>
    <x v="1"/>
    <m/>
  </r>
  <r>
    <s v="Fuyao"/>
    <s v="Guangzhou"/>
    <s v="BYD"/>
    <s v="Han (HC2)"/>
    <s v="OEM"/>
    <x v="1"/>
    <s v="W2233AFT"/>
    <s v="L"/>
    <s v="E2"/>
    <s v="Clear"/>
    <x v="0"/>
    <s v="BF012171"/>
    <s v="Y"/>
    <s v="L9"/>
    <x v="27"/>
    <n v="116"/>
    <n v="30"/>
    <s v="N/A"/>
    <s v="N/A"/>
    <n v="0.8"/>
    <n v="200"/>
    <n v="600"/>
    <n v="400"/>
    <n v="260"/>
    <n v="200"/>
    <n v="600"/>
    <n v="400"/>
    <n v="260"/>
    <s v="N/A"/>
    <n v="86"/>
    <n v="1.0838000000000001"/>
    <m/>
    <n v="0.97859827586206904"/>
    <n v="1.0373141724137933"/>
    <n v="869.48471600000005"/>
    <n v="154.24036541784281"/>
    <n v="168.64994153052976"/>
    <n v="335.25174792015264"/>
    <n v="169"/>
    <n v="196.04"/>
    <n v="203.35507036000004"/>
    <n v="677.85023453333349"/>
    <d v="2024-02-01T00:00:00"/>
    <s v="2024_2388_03445, 2024_2777_03835"/>
    <s v="W2233AF LE2 CLEAR r116x0169 CB4P"/>
    <s v="Nearly identical to W2233AE at KCC"/>
    <m/>
    <m/>
    <m/>
    <m/>
    <n v="0.51724137931034486"/>
    <m/>
    <x v="0"/>
    <m/>
  </r>
  <r>
    <s v="Fuyao"/>
    <s v="Guangzhou"/>
    <s v="BYD"/>
    <s v="Han (HC2)"/>
    <s v="OEM"/>
    <x v="2"/>
    <s v="W2232AHT"/>
    <s v="L"/>
    <s v="E2"/>
    <s v="Clear"/>
    <x v="0"/>
    <s v="BF012569 (CB4P), BF012730 (CB1P)"/>
    <s v="Y"/>
    <s v="L9"/>
    <x v="50"/>
    <n v="116"/>
    <n v="30"/>
    <s v="N/A"/>
    <s v="N/A"/>
    <n v="0.8"/>
    <n v="200"/>
    <n v="600"/>
    <n v="400"/>
    <n v="260"/>
    <n v="200"/>
    <n v="600"/>
    <n v="400"/>
    <n v="260"/>
    <s v="N/A"/>
    <n v="86"/>
    <n v="1.0752000000000002"/>
    <m/>
    <n v="0.973186206896552"/>
    <n v="1.0315773793103451"/>
    <n v="868.833664"/>
    <n v="155.47405881683221"/>
    <n v="169.99889009559908"/>
    <n v="337.9332630169842"/>
    <n v="170"/>
    <n v="197.2"/>
    <n v="203.42705920000003"/>
    <n v="678.09019733333344"/>
    <d v="2024-10-01T00:00:00"/>
    <s v="2024_2813_03871, 2024_2931_03989"/>
    <s v="W2232AHT LE2 CLEAR r116x0170 CB4P, W2232AHT LE2 CLEAR r116x170 CB1P"/>
    <s v="Replacing W2232AET at 2 cm narrower &amp; new HUD area"/>
    <m/>
    <m/>
    <m/>
    <m/>
    <m/>
    <m/>
    <x v="1"/>
    <m/>
  </r>
  <r>
    <s v="Fuyao"/>
    <s v="Guangzhou"/>
    <s v="BYD"/>
    <s v="Han (HC2)"/>
    <s v="OEM"/>
    <x v="1"/>
    <s v="W2235AD"/>
    <s v="L"/>
    <s v="E2"/>
    <s v="Clear"/>
    <x v="0"/>
    <s v="BF012172"/>
    <s v="Y"/>
    <s v="L9"/>
    <x v="7"/>
    <n v="116"/>
    <n v="30"/>
    <s v="N/A"/>
    <s v="N/A"/>
    <n v="0.8"/>
    <n v="200"/>
    <n v="600"/>
    <n v="400"/>
    <n v="260"/>
    <n v="200"/>
    <n v="600"/>
    <n v="400"/>
    <n v="260"/>
    <s v="N/A"/>
    <n v="86"/>
    <n v="1.101"/>
    <m/>
    <n v="0.98942241379310336"/>
    <n v="1.0487877586206895"/>
    <n v="870.78682000000003"/>
    <n v="151.83079749305907"/>
    <n v="166.01526487810006"/>
    <n v="330.01439091358895"/>
    <n v="166"/>
    <n v="192.56"/>
    <n v="201.95457079999997"/>
    <n v="673.18190266666659"/>
    <d v="2024-02-01T00:00:00"/>
    <s v="2024_2388_03445"/>
    <s v="W2235AD LE2 CLEAR r116x0166 CB1P"/>
    <m/>
    <m/>
    <m/>
    <m/>
    <m/>
    <n v="0.51724137931034486"/>
    <m/>
    <x v="0"/>
    <m/>
  </r>
  <r>
    <s v="Fuyao"/>
    <s v="Guangzhou"/>
    <s v="BYD"/>
    <s v="Han (HC2)"/>
    <s v="OEM"/>
    <x v="1"/>
    <s v="W2240AKT"/>
    <s v="L"/>
    <s v="E2"/>
    <s v="Clear"/>
    <x v="0"/>
    <s v="BF011675 (CB4P), BF012151 (CB1P)"/>
    <s v="Y"/>
    <s v="L9"/>
    <x v="44"/>
    <n v="110"/>
    <n v="30"/>
    <s v="N/A"/>
    <s v="N/A"/>
    <n v="0.8"/>
    <n v="200"/>
    <n v="600"/>
    <n v="400"/>
    <n v="200"/>
    <n v="150"/>
    <n v="600"/>
    <n v="450"/>
    <n v="200"/>
    <s v="N/A"/>
    <n v="80"/>
    <n v="1.1200000000000001"/>
    <m/>
    <n v="1.0036363636363637"/>
    <n v="1.0638545454545454"/>
    <n v="874.04208000000006"/>
    <n v="149.25509646415895"/>
    <n v="163.19893449177513"/>
    <n v="324.41593249630483"/>
    <n v="163"/>
    <n v="179.3"/>
    <n v="190.74912"/>
    <n v="635.83040000000005"/>
    <d v="2024-05-01T00:00:00"/>
    <s v="2023_1920_02977, 2023_2364_03421, 2024_2777_03835"/>
    <s v="W2240AK LE2 CLEAR r110x0163 CB4P, W2240AK LE2 CLEAR r110x0163 CB1P"/>
    <s v="Unshaped. Orig for Fuqing, but then switched to Guangzhou."/>
    <m/>
    <m/>
    <s v="N/A"/>
    <m/>
    <n v="0.54545454545454541"/>
    <m/>
    <x v="0"/>
    <s v="Clear"/>
  </r>
  <r>
    <s v="Fuyao"/>
    <s v="Guangzhou"/>
    <s v="BYD"/>
    <s v="SZ"/>
    <s v="OEM"/>
    <x v="0"/>
    <s v="W2223AB"/>
    <s v="L"/>
    <s v="E2"/>
    <s v="Clear"/>
    <x v="0"/>
    <s v="BF012152"/>
    <s v="Y"/>
    <s v="L9"/>
    <x v="9"/>
    <n v="108"/>
    <n v="30"/>
    <s v="N/A"/>
    <s v="N/A"/>
    <n v="0.8"/>
    <n v="200"/>
    <n v="600"/>
    <n v="400"/>
    <n v="180"/>
    <n v="200"/>
    <n v="600"/>
    <n v="400"/>
    <n v="180"/>
    <s v="N/A"/>
    <n v="78"/>
    <n v="0.97940000000000005"/>
    <m/>
    <n v="0.91461666666666674"/>
    <n v="0.96949366666666681"/>
    <n v="862.97419600000001"/>
    <n v="170.68175213381463"/>
    <n v="186.62732962098039"/>
    <n v="370.98820134353838"/>
    <n v="187"/>
    <n v="201.96"/>
    <n v="195.79894092000004"/>
    <n v="652.6631364000001"/>
    <d v="2024-01-01T00:00:00"/>
    <s v="2023_2362_03419"/>
    <s v="W2223AB LE2 CLEAR r108x0187 CB1P"/>
    <m/>
    <m/>
    <m/>
    <m/>
    <m/>
    <n v="0.55555555555555558"/>
    <m/>
    <x v="0"/>
    <m/>
  </r>
  <r>
    <s v="Fuyao"/>
    <s v="Guangzhou"/>
    <s v="GAC"/>
    <s v="A58"/>
    <s v="OEM"/>
    <x v="2"/>
    <s v="W5037AA"/>
    <s v="F"/>
    <s v="R3"/>
    <s v="Clear"/>
    <x v="1"/>
    <s v="BF011644, BF012813"/>
    <m/>
    <s v="L6"/>
    <x v="31"/>
    <n v="107"/>
    <n v="30"/>
    <s v="N/A"/>
    <s v="N/A"/>
    <n v="0.76"/>
    <n v="200"/>
    <n v="600"/>
    <n v="400"/>
    <n v="170"/>
    <n v="150"/>
    <n v="600"/>
    <n v="450"/>
    <n v="170"/>
    <s v="N/A"/>
    <n v="77"/>
    <n v="1.0448999999999999"/>
    <m/>
    <n v="0.94238925233644844"/>
    <n v="1.0036445537383176"/>
    <n v="833.60255100000006"/>
    <n v="159.98249405671169"/>
    <n v="174.92851625111317"/>
    <n v="347.73264847914777"/>
    <n v="120"/>
    <n v="128.4"/>
    <n v="128.8679607"/>
    <n v="429.55986899999999"/>
    <s v="?"/>
    <s v="2023_1903_02960, 2025-0065-0202"/>
    <s v="W5037AA FR3 CLEAR r107x0120 CB1P, W5037AA FR3 CLEAR r107x0120 CB4P"/>
    <m/>
    <m/>
    <m/>
    <s v="N/A"/>
    <m/>
    <n v="0.56074766355140182"/>
    <m/>
    <x v="2"/>
    <s v="Clear"/>
  </r>
  <r>
    <s v="Fuyao"/>
    <s v="Guangzhou"/>
    <s v="GAC"/>
    <s v="A58"/>
    <s v="OEM"/>
    <x v="0"/>
    <s v="W5039AA"/>
    <s v="F"/>
    <s v="R3"/>
    <s v="Clear"/>
    <x v="1"/>
    <s v="BF012859 (CB1P), ______ (CB4P)"/>
    <s v="Y"/>
    <s v="L6"/>
    <x v="10"/>
    <n v="107"/>
    <n v="30"/>
    <s v="N/A"/>
    <s v="N/A"/>
    <n v="0.76"/>
    <n v="200"/>
    <n v="600"/>
    <n v="400"/>
    <n v="170"/>
    <n v="200"/>
    <n v="600"/>
    <n v="400"/>
    <n v="170"/>
    <s v="N/A"/>
    <n v="77"/>
    <n v="1.0603"/>
    <m/>
    <n v="0.95224813084112159"/>
    <n v="1.0141442593457946"/>
    <n v="834.910797"/>
    <n v="157.6588777137207"/>
    <n v="172.38782102309554"/>
    <n v="342.68211298298729"/>
    <n v="172"/>
    <n v="184.04"/>
    <n v="186.64310949000003"/>
    <n v="622.1436983000001"/>
    <s v="?"/>
    <s v="2025-0145-0285, 2025-0198-0343"/>
    <m/>
    <m/>
    <m/>
    <m/>
    <m/>
    <m/>
    <m/>
    <m/>
    <x v="1"/>
    <m/>
  </r>
  <r>
    <s v="Fuyao"/>
    <s v="Guangzhou"/>
    <s v="GAC"/>
    <s v="A58"/>
    <s v="OEM"/>
    <x v="0"/>
    <s v="W2239AHT"/>
    <s v="L"/>
    <s v="E2"/>
    <s v="Clear"/>
    <x v="0"/>
    <s v="tbd"/>
    <s v="Y"/>
    <s v="L9"/>
    <x v="10"/>
    <n v="108"/>
    <n v="30"/>
    <s v="N/A"/>
    <s v="N/A"/>
    <n v="0.8"/>
    <n v="150"/>
    <n v="650"/>
    <n v="500"/>
    <n v="130"/>
    <n v="150"/>
    <n v="650"/>
    <n v="500"/>
    <n v="130"/>
    <s v="N/A"/>
    <n v="78"/>
    <n v="1.1042000000000001"/>
    <m/>
    <n v="0.99435000000000007"/>
    <n v="1.054011"/>
    <n v="873.39102800000012"/>
    <n v="151.39078793683936"/>
    <n v="165.53414837057434"/>
    <n v="329.0580007207584"/>
    <n v="166"/>
    <n v="179.28"/>
    <n v="188.96309208"/>
    <n v="629.87697360000004"/>
    <s v="?"/>
    <s v="2025-0261-0406"/>
    <m/>
    <m/>
    <m/>
    <m/>
    <m/>
    <m/>
    <m/>
    <m/>
    <x v="1"/>
    <m/>
  </r>
  <r>
    <s v="Fuyao"/>
    <s v="Guangzhou"/>
    <s v="GAC"/>
    <s v="T60-M"/>
    <s v="OEM"/>
    <x v="0"/>
    <s v="W2228ADT"/>
    <s v="L"/>
    <s v="E2"/>
    <s v="Clear"/>
    <x v="0"/>
    <m/>
    <s v="Y"/>
    <s v="L9"/>
    <x v="26"/>
    <n v="110"/>
    <n v="30"/>
    <s v="N/A"/>
    <s v="N/A"/>
    <n v="0.8"/>
    <n v="200"/>
    <n v="600"/>
    <n v="400"/>
    <n v="200"/>
    <n v="200"/>
    <n v="600"/>
    <n v="400"/>
    <n v="200"/>
    <s v="N/A"/>
    <n v="80"/>
    <n v="1.024"/>
    <m/>
    <n v="0.94254545454545458"/>
    <n v="0.99909818181818189"/>
    <n v="866.22945600000003"/>
    <n v="163.24776175767386"/>
    <n v="178.49883460037904"/>
    <n v="354.82992616783349"/>
    <n v="178"/>
    <n v="195.8"/>
    <n v="195.62342400000003"/>
    <n v="652.07808000000011"/>
    <d v="2024-12-01T00:00:00"/>
    <s v="2024_2866_03924"/>
    <m/>
    <s v="Shaped"/>
    <m/>
    <m/>
    <m/>
    <m/>
    <m/>
    <m/>
    <x v="1"/>
    <m/>
  </r>
  <r>
    <s v="Fuyao"/>
    <s v="Guangzhou"/>
    <s v="GAC"/>
    <s v="T60-M"/>
    <s v="OEM"/>
    <x v="0"/>
    <s v="W2236ADT"/>
    <s v="L"/>
    <s v="E2"/>
    <s v="Clear"/>
    <x v="0"/>
    <m/>
    <s v="Y"/>
    <s v="L9"/>
    <x v="15"/>
    <n v="105"/>
    <n v="30"/>
    <s v="N/A"/>
    <s v="N/A"/>
    <n v="0.8"/>
    <n v="200"/>
    <n v="600"/>
    <n v="400"/>
    <n v="150"/>
    <n v="200"/>
    <n v="600"/>
    <n v="400"/>
    <n v="150"/>
    <s v="N/A"/>
    <n v="75"/>
    <n v="1.07"/>
    <m/>
    <n v="0.97357142857142853"/>
    <n v="1.0319857142857143"/>
    <n v="871.43787200000008"/>
    <n v="156.22963368211029"/>
    <n v="170.82505292597023"/>
    <n v="339.57555551015088"/>
    <n v="171"/>
    <n v="179.55"/>
    <n v="185.293035"/>
    <n v="617.64345000000003"/>
    <d v="2024-12-01T00:00:00"/>
    <s v="2024_2877_03935"/>
    <m/>
    <s v="Straight cut"/>
    <m/>
    <m/>
    <m/>
    <m/>
    <m/>
    <m/>
    <x v="1"/>
    <m/>
  </r>
  <r>
    <s v="Fuyao"/>
    <s v="Guangzhou"/>
    <s v="GAC"/>
    <s v="T60-M"/>
    <s v="OEM"/>
    <x v="0"/>
    <s v="W2237AB"/>
    <s v="L"/>
    <s v="E2"/>
    <s v="Clear"/>
    <x v="0"/>
    <s v="BF011539"/>
    <s v="Y"/>
    <s v="L9"/>
    <x v="31"/>
    <n v="107"/>
    <n v="30"/>
    <s v="N/A"/>
    <s v="N/A"/>
    <n v="0.8"/>
    <n v="213"/>
    <n v="428"/>
    <n v="215"/>
    <n v="342"/>
    <n v="200"/>
    <n v="600"/>
    <n v="400"/>
    <n v="170"/>
    <s v="N/A"/>
    <n v="77"/>
    <n v="1.0849"/>
    <m/>
    <n v="0.98238925233644858"/>
    <n v="1.0413326074766356"/>
    <n v="872.08892400000002"/>
    <n v="154.08397828358193"/>
    <n v="168.47894426287047"/>
    <n v="334.91183002660284"/>
    <n v="120"/>
    <n v="128.4"/>
    <n v="133.70710680000002"/>
    <n v="445.69035600000007"/>
    <d v="2023-01-01T00:00:00"/>
    <s v="2022_1807_02863"/>
    <s v="W2237AB LE2 CLEAR r107x0120 CB1P"/>
    <s v="Straight cut"/>
    <m/>
    <m/>
    <s v="N/A"/>
    <m/>
    <n v="0.39999999999999997"/>
    <m/>
    <x v="0"/>
    <s v="Clear"/>
  </r>
  <r>
    <s v="Fuyao"/>
    <s v="Guangzhou"/>
    <s v="GAC"/>
    <s v="T9M"/>
    <s v="OEM"/>
    <x v="0"/>
    <s v="W2221AET"/>
    <s v="L"/>
    <s v="E2"/>
    <s v="Clear"/>
    <x v="0"/>
    <s v="BF012568"/>
    <s v="Y"/>
    <s v="L9"/>
    <x v="20"/>
    <n v="131"/>
    <n v="25"/>
    <s v="N/A"/>
    <s v="N/A"/>
    <n v="0.8"/>
    <s v="N/A"/>
    <s v="N/A"/>
    <e v="#VALUE!"/>
    <e v="#VALUE!"/>
    <n v="540"/>
    <n v="940"/>
    <n v="400"/>
    <n v="120"/>
    <s v="N/A"/>
    <n v="106"/>
    <n v="1.0226"/>
    <m/>
    <n v="0.93254045801526719"/>
    <n v="0.9884928854961833"/>
    <n v="861.67209200000002"/>
    <n v="163.47125761769806"/>
    <n v="178.74321008291435"/>
    <n v="355.31570936422992"/>
    <n v="179"/>
    <n v="234.49"/>
    <n v="231.79169672000003"/>
    <n v="927.16678688000013"/>
    <d v="2024-11-01T00:00:00"/>
    <s v="2024_2813_03871"/>
    <s v="W2221AET LE2 CLEAR r131x0179 CB1P"/>
    <s v="For shaping"/>
    <m/>
    <m/>
    <m/>
    <m/>
    <e v="#VALUE!"/>
    <m/>
    <x v="1"/>
    <m/>
  </r>
  <r>
    <s v="Fuyao"/>
    <s v="Guangzhou"/>
    <s v="GAC"/>
    <s v="T9M"/>
    <s v="OEM"/>
    <x v="1"/>
    <s v="W2229AC"/>
    <s v="L"/>
    <s v="E2"/>
    <s v="Clear"/>
    <x v="0"/>
    <s v="BF012513"/>
    <s v="Y"/>
    <s v="L9"/>
    <x v="34"/>
    <n v="122"/>
    <n v="15"/>
    <s v="N/A"/>
    <s v="N/A"/>
    <n v="0.8"/>
    <s v="N/A"/>
    <s v="N/A"/>
    <e v="#VALUE!"/>
    <e v="#VALUE!"/>
    <n v="540"/>
    <n v="940"/>
    <n v="400"/>
    <n v="130"/>
    <s v="N/A"/>
    <n v="107"/>
    <n v="1.1103000000000001"/>
    <m/>
    <n v="0.97422581967213118"/>
    <n v="1.0326793688524591"/>
    <n v="866.88050800000008"/>
    <n v="150.55904533896967"/>
    <n v="164.62470200016949"/>
    <n v="327.25015256764971"/>
    <n v="165"/>
    <n v="201.3"/>
    <n v="207.87835695000004"/>
    <n v="1385.8557130000004"/>
    <d v="2024-08-01T00:00:00"/>
    <s v="2024_2743_03801"/>
    <s v="W2229AC LE2 CLEAR r122x0165 CB1P"/>
    <s v="Not for HUD. For double image at camera."/>
    <m/>
    <m/>
    <m/>
    <m/>
    <e v="#VALUE!"/>
    <m/>
    <x v="1"/>
    <m/>
  </r>
  <r>
    <s v="Fuyao"/>
    <s v="Guangzhou"/>
    <s v="Honda"/>
    <s v="2ZY"/>
    <s v="OEM"/>
    <x v="0"/>
    <s v="W2250AKT"/>
    <s v="L"/>
    <s v="E2"/>
    <s v="Clear"/>
    <x v="0"/>
    <s v="BF011701"/>
    <s v="Y"/>
    <s v="L9"/>
    <x v="29"/>
    <n v="102"/>
    <n v="30"/>
    <s v="N/A"/>
    <s v="N/A"/>
    <n v="0.8"/>
    <n v="193"/>
    <n v="356"/>
    <n v="163"/>
    <n v="364"/>
    <n v="150"/>
    <n v="550"/>
    <n v="400"/>
    <n v="170"/>
    <s v="N/A"/>
    <n v="72"/>
    <n v="1.1600000000000001"/>
    <m/>
    <n v="1.0329411764705885"/>
    <n v="1.0949176470588238"/>
    <n v="880.5526000000001"/>
    <n v="144.1083689998776"/>
    <n v="157.57138502654149"/>
    <n v="313.22917620332879"/>
    <n v="158"/>
    <n v="161.16"/>
    <n v="176.45692800000003"/>
    <n v="588.18976000000009"/>
    <d v="2023-04-23T00:00:00"/>
    <s v="2023_1949_03006, 2024_2777_03835"/>
    <s v="W2250AK LE2 CLEAR r102x0158 CB4P"/>
    <m/>
    <m/>
    <m/>
    <s v="N/A"/>
    <m/>
    <n v="0.34901960784313729"/>
    <m/>
    <x v="0"/>
    <s v="Clear"/>
  </r>
  <r>
    <s v="Fuyao"/>
    <s v="Guangzhou"/>
    <s v="Honda"/>
    <s v="2ZY"/>
    <s v="OEM"/>
    <x v="1"/>
    <s v="W2250AI"/>
    <s v="L"/>
    <s v="E2"/>
    <s v="Clear"/>
    <x v="0"/>
    <s v="BF011544"/>
    <s v="Y"/>
    <s v="L9"/>
    <x v="29"/>
    <n v="104"/>
    <n v="30"/>
    <s v="N/A"/>
    <s v="N/A"/>
    <n v="0.8"/>
    <n v="193"/>
    <n v="356"/>
    <n v="163"/>
    <n v="384"/>
    <n v="150"/>
    <n v="550"/>
    <n v="400"/>
    <n v="190"/>
    <s v="N/A"/>
    <n v="74"/>
    <n v="1.17"/>
    <m/>
    <n v="1.0383653846153846"/>
    <n v="1.1006673076923077"/>
    <n v="880.5526000000001"/>
    <n v="142.87667353834021"/>
    <n v="156.22462105195572"/>
    <n v="310.55200375714657"/>
    <n v="120"/>
    <n v="124.8"/>
    <n v="137.36328"/>
    <n v="457.87760000000003"/>
    <d v="2023-02-23T00:00:00"/>
    <s v="2022_1807_02863"/>
    <s v="W2250AI LE2 CLEAR r104x0120 CB1P"/>
    <m/>
    <m/>
    <m/>
    <s v="N/A"/>
    <m/>
    <n v="0.34230769230769231"/>
    <m/>
    <x v="0"/>
    <s v="Clear"/>
  </r>
  <r>
    <s v="Fuyao"/>
    <s v="Guangzhou"/>
    <s v="Honda"/>
    <s v="3EE"/>
    <s v="OEM"/>
    <x v="2"/>
    <s v="W2219AET"/>
    <s v="L"/>
    <s v="E2"/>
    <s v="Clear"/>
    <x v="0"/>
    <s v="BF012342 (CB1P), BF012756 (CB4P)"/>
    <s v="Y"/>
    <s v="L9"/>
    <x v="8"/>
    <n v="105"/>
    <n v="25"/>
    <s v="N/A"/>
    <s v="N/A"/>
    <n v="0.8"/>
    <n v="200"/>
    <n v="600"/>
    <n v="400"/>
    <n v="200"/>
    <n v="200"/>
    <n v="600"/>
    <n v="400"/>
    <n v="200"/>
    <s v="N/A"/>
    <n v="80"/>
    <n v="0.95200000000000007"/>
    <m/>
    <n v="0.89409523809523817"/>
    <n v="0.94774095238095246"/>
    <n v="860.36998800000003"/>
    <n v="175.59423113430464"/>
    <n v="191.99874646091195"/>
    <n v="381.66580293682927"/>
    <n v="192"/>
    <n v="201.6"/>
    <n v="191.06457600000002"/>
    <n v="764.25830400000007"/>
    <d v="2024-06-01T00:00:00"/>
    <s v="2024_2567_03625, 2024_2963_04021"/>
    <s v="W2219AE LE2 CLEAR r105x0192 CB1P, W2219AET LE2 CLEAR r105x0192 CB4P"/>
    <m/>
    <m/>
    <m/>
    <m/>
    <m/>
    <n v="0.5714285714285714"/>
    <m/>
    <x v="1"/>
    <m/>
  </r>
  <r>
    <s v="Fuyao"/>
    <s v="Guangzhou"/>
    <s v="Honda"/>
    <s v="3EE"/>
    <s v="OEM"/>
    <x v="1"/>
    <s v="W2227AF"/>
    <s v="L"/>
    <s v="E2"/>
    <s v="Clear"/>
    <x v="0"/>
    <s v="BF012341"/>
    <s v="Y"/>
    <s v="L9"/>
    <x v="0"/>
    <n v="102"/>
    <n v="25"/>
    <s v="N/A"/>
    <s v="N/A"/>
    <n v="0.8"/>
    <n v="200"/>
    <n v="600"/>
    <n v="400"/>
    <n v="170"/>
    <n v="200"/>
    <n v="600"/>
    <n v="400"/>
    <n v="170"/>
    <s v="N/A"/>
    <n v="77"/>
    <n v="1.0079"/>
    <m/>
    <n v="0.92942794117647065"/>
    <n v="0.98519361764705893"/>
    <n v="865.57840400000009"/>
    <n v="165.8554499849767"/>
    <n v="181.35014052067484"/>
    <n v="360.49791089975338"/>
    <n v="181"/>
    <n v="184.62"/>
    <n v="181.88644569000002"/>
    <n v="727.54578276000007"/>
    <d v="2024-06-01T00:00:00"/>
    <s v="2024_2567_03625"/>
    <s v="W2227AF LE2 CLEAR r102x0181 CB1P"/>
    <m/>
    <m/>
    <m/>
    <m/>
    <m/>
    <n v="0.58823529411764708"/>
    <m/>
    <x v="1"/>
    <m/>
  </r>
  <r>
    <s v="Fuyao"/>
    <s v="Guangzhou"/>
    <s v="Honda"/>
    <s v="3FS"/>
    <s v="OEM"/>
    <x v="0"/>
    <s v="W2222ABT"/>
    <s v="L"/>
    <s v="E2"/>
    <s v="Clear"/>
    <x v="0"/>
    <s v="BF012556"/>
    <s v="Y"/>
    <s v="L9"/>
    <x v="42"/>
    <n v="115"/>
    <n v="30"/>
    <s v="N/A"/>
    <s v="N/A"/>
    <n v="0.8"/>
    <n v="200"/>
    <n v="600"/>
    <n v="400"/>
    <n v="250"/>
    <n v="200"/>
    <n v="600"/>
    <n v="400"/>
    <n v="250"/>
    <s v="N/A"/>
    <n v="85"/>
    <n v="0.9870000000000001"/>
    <m/>
    <n v="0.91789130434782618"/>
    <n v="0.97296478260869568"/>
    <n v="862.32314400000007"/>
    <n v="169.36748534940023"/>
    <n v="185.19028027435476"/>
    <n v="368.13155460573603"/>
    <n v="185"/>
    <n v="212.75"/>
    <n v="206.99825749999999"/>
    <n v="689.99419166666667"/>
    <d v="2024-10-01T00:00:00"/>
    <s v="2024_2793_03851"/>
    <s v="W2222ABT LE2 CLEAR r115x0185 CB1P"/>
    <s v="Shaped"/>
    <m/>
    <m/>
    <m/>
    <m/>
    <m/>
    <m/>
    <x v="1"/>
    <m/>
  </r>
  <r>
    <s v="Fuyao"/>
    <s v="Guangzhou"/>
    <s v="Honda"/>
    <s v="3FS"/>
    <s v="OEM"/>
    <x v="0"/>
    <s v="W2230ADT"/>
    <s v="L"/>
    <s v="E2"/>
    <s v="Clear"/>
    <x v="0"/>
    <s v="BF012685 (CB1P), BF012757 (CB4P)"/>
    <s v="Y"/>
    <s v="L9"/>
    <x v="14"/>
    <n v="109"/>
    <n v="30"/>
    <s v="N/A"/>
    <s v="N/A"/>
    <n v="0.8"/>
    <n v="200"/>
    <n v="600"/>
    <n v="400"/>
    <n v="190"/>
    <n v="200"/>
    <n v="600"/>
    <n v="400"/>
    <n v="190"/>
    <s v="N/A"/>
    <n v="79"/>
    <n v="1.0370000000000001"/>
    <m/>
    <n v="0.95111467889908263"/>
    <n v="1.0081815596330277"/>
    <n v="867.53156000000013"/>
    <n v="161.20126136919768"/>
    <n v="176.26114429198472"/>
    <n v="350.38172072889239"/>
    <n v="176"/>
    <n v="191.84"/>
    <n v="193.40955040000003"/>
    <n v="644.69850133333341"/>
    <d v="2024-12-01T00:00:00"/>
    <s v="2024_2887_03945, 2024_2963_04021"/>
    <s v="W2230ADT LE2 CLEAR r109x0176 CB1P, W2230ADT LE2 CLEAR r109x0176 CB4P"/>
    <s v="Straight cut"/>
    <m/>
    <m/>
    <m/>
    <m/>
    <m/>
    <m/>
    <x v="1"/>
    <m/>
  </r>
  <r>
    <s v="Fuyao"/>
    <s v="Guangzhou"/>
    <s v="Honda"/>
    <s v="Accord (2QD)"/>
    <s v="OEM"/>
    <x v="1"/>
    <s v="W2247AB"/>
    <s v="L"/>
    <s v="E2"/>
    <s v="Clear"/>
    <x v="0"/>
    <s v="BF011541"/>
    <s v="Y"/>
    <s v="L9"/>
    <x v="25"/>
    <n v="96"/>
    <n v="30"/>
    <s v="N/A"/>
    <s v="N/A"/>
    <n v="0.8"/>
    <n v="171"/>
    <n v="375"/>
    <n v="204"/>
    <n v="285"/>
    <n v="150"/>
    <n v="550"/>
    <n v="400"/>
    <n v="110"/>
    <s v="N/A"/>
    <n v="66"/>
    <n v="1.1102000000000001"/>
    <m/>
    <n v="1.0035687500000001"/>
    <n v="1.063782875"/>
    <n v="878.59944400000006"/>
    <n v="150.57260677342643"/>
    <n v="164.63953038262309"/>
    <n v="327.27962925226217"/>
    <n v="120"/>
    <n v="115.2"/>
    <n v="122.5477872"/>
    <n v="408.49262400000003"/>
    <d v="2023-01-01T00:00:00"/>
    <s v="2022_1807_02863"/>
    <s v="W2247AB LE2 CLEAR r096x0120 CB1P"/>
    <s v="Replaced by W2247AC"/>
    <m/>
    <m/>
    <s v="N/A"/>
    <m/>
    <n v="0.390625"/>
    <m/>
    <x v="0"/>
    <s v="Clear"/>
  </r>
  <r>
    <s v="Fuyao"/>
    <s v="Guangzhou"/>
    <s v="Honda"/>
    <s v="Accord (2QD)"/>
    <s v="OEM"/>
    <x v="1"/>
    <s v="W2247AC"/>
    <s v="L"/>
    <s v="E2"/>
    <s v="Clear"/>
    <x v="0"/>
    <s v="BF011667"/>
    <s v="Y"/>
    <s v="L9"/>
    <x v="25"/>
    <n v="96"/>
    <n v="30"/>
    <s v="N/A"/>
    <s v="N/A"/>
    <n v="0.8"/>
    <n v="150"/>
    <n v="500"/>
    <n v="350"/>
    <n v="160"/>
    <n v="150"/>
    <n v="550"/>
    <n v="400"/>
    <n v="110"/>
    <s v="N/A"/>
    <n v="66"/>
    <n v="1.1102000000000001"/>
    <m/>
    <n v="1.0035687500000001"/>
    <n v="1.063782875"/>
    <n v="878.59944400000006"/>
    <n v="150.57260677342643"/>
    <n v="164.63953038262309"/>
    <n v="327.27962925226217"/>
    <n v="165"/>
    <n v="158.4"/>
    <n v="168.50320740000001"/>
    <n v="561.67735800000003"/>
    <s v="Never"/>
    <s v="2023_1920_02977"/>
    <s v="W2247AC LE2 CLEAR r096x0165 CB4P"/>
    <s v="Replaced W2247AB, but then switched to 0.50 mrad."/>
    <m/>
    <m/>
    <s v="N/A"/>
    <m/>
    <n v="0.52083333333333337"/>
    <m/>
    <x v="0"/>
    <s v="Clear"/>
  </r>
  <r>
    <s v="Fuyao"/>
    <s v="Guangzhou"/>
    <s v="Honda"/>
    <s v="Accord (2QD)"/>
    <s v="OEM"/>
    <x v="1"/>
    <s v="W2250AOT"/>
    <s v="L"/>
    <s v="E2"/>
    <s v="Clear"/>
    <x v="0"/>
    <s v="BF011790"/>
    <s v="Y"/>
    <s v="L9"/>
    <x v="29"/>
    <n v="96"/>
    <n v="25"/>
    <s v="N/A"/>
    <s v="N/A"/>
    <n v="0.8"/>
    <n v="150"/>
    <n v="550"/>
    <n v="400"/>
    <n v="160"/>
    <n v="150"/>
    <n v="550"/>
    <n v="400"/>
    <n v="160"/>
    <s v="N/A"/>
    <n v="71"/>
    <n v="1.155"/>
    <m/>
    <n v="1.0237239583333333"/>
    <n v="1.0851473958333333"/>
    <n v="880.5526000000001"/>
    <n v="144.73221475312383"/>
    <n v="158.25351223444864"/>
    <n v="314.58514666308349"/>
    <n v="158"/>
    <n v="151.68"/>
    <n v="164.595157"/>
    <n v="658.380628"/>
    <d v="2023-05-01T00:00:00"/>
    <s v="2023_2009_03066, 2025-0142-0282 (CB1P)"/>
    <s v="W2250AO LE2 CLEAR r096x0158 CB4P"/>
    <m/>
    <m/>
    <m/>
    <s v="N/A"/>
    <m/>
    <n v="0.57291666666666663"/>
    <m/>
    <x v="0"/>
    <m/>
  </r>
  <r>
    <s v="Fuyao"/>
    <s v="Guangzhou"/>
    <s v="Honda"/>
    <s v="Accord (2QD)"/>
    <s v="OEM"/>
    <x v="2"/>
    <s v="W2252APT"/>
    <s v="L"/>
    <s v="E2"/>
    <s v="Clear"/>
    <x v="0"/>
    <s v="BF012261 (CB2P), BF012263 (CB4P)"/>
    <s v="Y"/>
    <s v="L9"/>
    <x v="28"/>
    <n v="96"/>
    <n v="25"/>
    <s v="N/A"/>
    <s v="N/A"/>
    <n v="0.8"/>
    <n v="140"/>
    <n v="540"/>
    <n v="400"/>
    <n v="170"/>
    <n v="140"/>
    <n v="540"/>
    <n v="400"/>
    <n v="170"/>
    <s v="N/A"/>
    <n v="71"/>
    <n v="1.1692"/>
    <m/>
    <n v="1.0326729166666666"/>
    <n v="1.0946332916666666"/>
    <n v="881.85470400000008"/>
    <n v="142.97443383497949"/>
    <n v="156.33151439513188"/>
    <n v="310.76449229888937"/>
    <s v="156, 311"/>
    <e v="#VALUE!"/>
    <e v="#VALUE!"/>
    <e v="#VALUE!"/>
    <d v="2024-03-01T00:00:00"/>
    <s v="2024_2478_03535, 2024_2777_03835"/>
    <s v="W2252AP LE2 CLEAR r096x0311 CB2P, W2252AP LE2 CLEAR r096x0156 CB4P"/>
    <s v="To help Ulsan with LWA near transition"/>
    <m/>
    <m/>
    <m/>
    <m/>
    <n v="0.5625"/>
    <m/>
    <x v="1"/>
    <m/>
  </r>
  <r>
    <s v="Fuyao"/>
    <s v="Guangzhou"/>
    <s v="Honda"/>
    <s v="Accord (2QD)"/>
    <s v="OEM"/>
    <x v="1"/>
    <s v="W2252AOT"/>
    <s v="L"/>
    <s v="E2"/>
    <s v="Clear"/>
    <x v="0"/>
    <s v="BF011702"/>
    <s v="Y"/>
    <s v="L9"/>
    <x v="28"/>
    <n v="96"/>
    <n v="30"/>
    <s v="N/A"/>
    <s v="N/A"/>
    <n v="0.8"/>
    <n v="140"/>
    <n v="540"/>
    <n v="400"/>
    <n v="120"/>
    <n v="140"/>
    <n v="540"/>
    <n v="400"/>
    <n v="120"/>
    <s v="N/A"/>
    <n v="66"/>
    <n v="1.1432"/>
    <m/>
    <n v="1.0252250000000001"/>
    <n v="1.0867385000000001"/>
    <n v="881.85470400000008"/>
    <n v="146.22612669686671"/>
    <n v="159.88698970502813"/>
    <n v="317.83226416712864"/>
    <n v="160"/>
    <n v="153.6"/>
    <n v="166.9230336"/>
    <n v="556.41011200000003"/>
    <d v="2023-11-01T00:00:00"/>
    <s v="2023_1949_03006, 2024_2777_03835"/>
    <s v="W2252AO LE2 CLEAR r096x0160 CB4P"/>
    <m/>
    <m/>
    <m/>
    <s v="N/A"/>
    <m/>
    <n v="0.5625"/>
    <m/>
    <x v="0"/>
    <s v="Clear"/>
  </r>
  <r>
    <s v="Fuyao"/>
    <s v="Guangzhou"/>
    <s v="Toyota"/>
    <s v="313D"/>
    <s v="OEM"/>
    <x v="0"/>
    <s v="W2229AB"/>
    <s v="L"/>
    <s v="E2"/>
    <s v="Clear"/>
    <x v="0"/>
    <s v="BF011916 (CB1P), _____ (CB4P)"/>
    <s v="Y"/>
    <s v="L9"/>
    <x v="34"/>
    <n v="110"/>
    <n v="30"/>
    <s v="N/A"/>
    <s v="N/A"/>
    <n v="0.8"/>
    <n v="200"/>
    <n v="600"/>
    <n v="400"/>
    <n v="200"/>
    <n v="200"/>
    <n v="600"/>
    <n v="400"/>
    <n v="200"/>
    <s v="N/A"/>
    <n v="80"/>
    <n v="1.032"/>
    <m/>
    <n v="0.94763636363636372"/>
    <n v="1.0044945454545455"/>
    <n v="866.88050800000008"/>
    <n v="161.98227523242059"/>
    <n v="177.11512270425209"/>
    <n v="352.07930658513709"/>
    <n v="177"/>
    <n v="194.7"/>
    <n v="195.57508799999999"/>
    <n v="651.91696000000002"/>
    <d v="2024-03-01T00:00:00"/>
    <s v="2023_2089_03146, 2024_2925_03983"/>
    <s v="W2229AB LE2 CLEAR r110x0177 CB1P"/>
    <s v="Also being tested by Zhengzhou"/>
    <m/>
    <m/>
    <s v="N/A"/>
    <m/>
    <n v="0.54545454545454541"/>
    <m/>
    <x v="0"/>
    <s v="Clear"/>
  </r>
  <r>
    <s v="Fuyao"/>
    <s v="Guangzhou"/>
    <s v="Toyota"/>
    <s v="530B"/>
    <s v="OEM"/>
    <x v="2"/>
    <s v="W5048AA"/>
    <s v="F"/>
    <s v="R3"/>
    <s v="Clear"/>
    <x v="1"/>
    <s v="BF011645 (CB1P), BF011905 (CB4P)"/>
    <m/>
    <s v="L6"/>
    <x v="47"/>
    <n v="106"/>
    <n v="30"/>
    <s v="N/A"/>
    <s v="N/A"/>
    <n v="0.76"/>
    <n v="200"/>
    <n v="600"/>
    <n v="400"/>
    <n v="160"/>
    <n v="150"/>
    <n v="600"/>
    <n v="450"/>
    <n v="160"/>
    <s v="N/A"/>
    <n v="76"/>
    <n v="1.1248"/>
    <m/>
    <n v="0.99402264150943398"/>
    <n v="1.0586341132075472"/>
    <n v="840.79790400000002"/>
    <n v="148.61816148636026"/>
    <n v="162.50249522651865"/>
    <n v="323.0315117317403"/>
    <n v="163"/>
    <n v="172.78"/>
    <n v="182.91080208"/>
    <n v="609.70267360000003"/>
    <s v="?"/>
    <s v="2023_1903_02960, 2023_2077_03134"/>
    <s v="W5048AA FR3 CLEAR r106x0120 CB1P, W5048AA FR3 CLEAR r106x0163 CB4P"/>
    <m/>
    <m/>
    <m/>
    <s v="N/A"/>
    <m/>
    <n v="0.56603773584905659"/>
    <m/>
    <x v="2"/>
    <s v="Clear"/>
  </r>
  <r>
    <s v="Fuyao"/>
    <s v="Guangzhou"/>
    <s v="Toyota"/>
    <s v="530B"/>
    <s v="OEM"/>
    <x v="1"/>
    <s v="W2248AB"/>
    <s v="L"/>
    <s v="E2"/>
    <s v="Clear"/>
    <x v="0"/>
    <s v="BF011542"/>
    <s v="Y"/>
    <s v="L9"/>
    <x v="47"/>
    <n v="106"/>
    <n v="30"/>
    <s v="N/A"/>
    <s v="N/A"/>
    <n v="0.8"/>
    <n v="267"/>
    <n v="459"/>
    <n v="192"/>
    <n v="301"/>
    <n v="200"/>
    <n v="600"/>
    <n v="400"/>
    <n v="160"/>
    <s v="N/A"/>
    <n v="76"/>
    <n v="1.1648000000000001"/>
    <m/>
    <n v="1.034022641509434"/>
    <n v="1.0960640000000001"/>
    <n v="879.250496"/>
    <n v="143.51451583092208"/>
    <n v="156.92205239593764"/>
    <n v="311.9383966310624"/>
    <n v="120"/>
    <n v="127.2"/>
    <n v="139.41934080000001"/>
    <n v="464.73113600000005"/>
    <s v="Never"/>
    <s v="2022_1807_02863"/>
    <s v="W2248AB LE2 CLEAR r106x0120 CB1P"/>
    <s v="Switched to monolayer"/>
    <m/>
    <m/>
    <s v="N/A"/>
    <m/>
    <n v="0.43301886792452826"/>
    <m/>
    <x v="0"/>
    <s v="Clear"/>
  </r>
  <r>
    <s v="Fuyao"/>
    <s v="Guangzhou"/>
    <s v="Toyota"/>
    <s v="New Highlander (760B)"/>
    <s v="OEM"/>
    <x v="2"/>
    <s v="W2249AHT"/>
    <s v="L"/>
    <s v="E2"/>
    <s v="Clear"/>
    <x v="0"/>
    <s v="BF012032"/>
    <s v="Y"/>
    <s v="L9"/>
    <x v="17"/>
    <n v="102"/>
    <n v="30"/>
    <s v="N/A"/>
    <s v="N/A"/>
    <n v="0.8"/>
    <n v="150"/>
    <n v="550"/>
    <n v="400"/>
    <n v="170"/>
    <n v="150"/>
    <n v="550"/>
    <n v="400"/>
    <n v="170"/>
    <s v="N/A"/>
    <n v="72"/>
    <n v="1.1528"/>
    <m/>
    <n v="1.0282823529411766"/>
    <n v="1.0899792941176472"/>
    <n v="879.90154800000005"/>
    <n v="145.00842126982826"/>
    <n v="158.55552275398003"/>
    <n v="315.18549999640999"/>
    <n v="159"/>
    <n v="162.18"/>
    <n v="176.77284192000002"/>
    <n v="589.24280640000006"/>
    <d v="2023-11-01T00:00:00"/>
    <s v="2023_2220_03277, 2024_2777_03835"/>
    <s v="W2249AH LE2 CLEAR r102x0159 CB4P"/>
    <m/>
    <m/>
    <m/>
    <s v="N/A"/>
    <m/>
    <n v="0.53921568627450978"/>
    <m/>
    <x v="0"/>
    <m/>
  </r>
  <r>
    <s v="Fuyao"/>
    <s v="Guangzhou"/>
    <s v="Toyota"/>
    <s v="New Highlander (760B)"/>
    <s v="OEM"/>
    <x v="1"/>
    <s v="W2249AB"/>
    <s v="L"/>
    <s v="E2"/>
    <s v="Clear"/>
    <x v="0"/>
    <s v="BF010420 (159m thick down), BF010454 (50m), BF011313 (L9 50m)"/>
    <s v="Y"/>
    <s v="L8"/>
    <x v="17"/>
    <n v="102"/>
    <n v="30"/>
    <s v="N/A"/>
    <s v="N/A"/>
    <n v="0.8"/>
    <n v="195"/>
    <n v="595"/>
    <n v="400"/>
    <n v="125"/>
    <n v="150"/>
    <n v="630"/>
    <n v="480"/>
    <n v="90"/>
    <s v="N/A"/>
    <n v="72"/>
    <n v="1.1528"/>
    <m/>
    <n v="1.0282823529411766"/>
    <n v="1.0899792941176472"/>
    <n v="879.90154800000005"/>
    <n v="145.00842126982826"/>
    <n v="158.55552275398003"/>
    <n v="315.18549999640999"/>
    <n v="159"/>
    <n v="162.18"/>
    <n v="176.77284192000002"/>
    <n v="589.24280640000006"/>
    <d v="2022-02-01T00:00:00"/>
    <s v="2021_1136_02191, 2022_1643_02699"/>
    <s v="W2249AB LE2 CLEAR r102x0159 CT4A (thick down, L8), W2249AB LE2 CLEAR r102x0050 CT1A, W2249AB LE2 CLEAR r102x0050 CB1P (L9)"/>
    <s v="Straight to commercial on L8. Moving to L9 as W2249AH."/>
    <m/>
    <m/>
    <s v="N/A"/>
    <d v="2022-05-01T00:00:00"/>
    <n v="0.58333333333333337"/>
    <m/>
    <x v="0"/>
    <s v="Clear"/>
  </r>
  <r>
    <s v="Fuyao"/>
    <s v="Guangzhou"/>
    <s v="Toyota"/>
    <s v="New Highlander (760B)"/>
    <s v="OEM"/>
    <x v="1"/>
    <s v="W2249AC"/>
    <s v="L"/>
    <s v="E2"/>
    <s v="Clear"/>
    <x v="0"/>
    <s v="BF010823"/>
    <s v="Y"/>
    <s v="L8"/>
    <x v="17"/>
    <n v="104"/>
    <n v="30"/>
    <s v="N/A"/>
    <s v="N/A"/>
    <n v="0.8"/>
    <n v="192"/>
    <n v="403"/>
    <n v="211"/>
    <n v="337"/>
    <n v="100"/>
    <n v="500"/>
    <n v="400"/>
    <n v="240"/>
    <s v="N/A"/>
    <n v="74"/>
    <n v="1.1626000000000001"/>
    <m/>
    <n v="1.033598076923077"/>
    <n v="1.0956139615384617"/>
    <n v="879.90154800000005"/>
    <n v="143.78608983301052"/>
    <n v="157.2189976180872"/>
    <n v="312.52868088410582"/>
    <n v="157"/>
    <n v="163.28"/>
    <n v="178.89184764000004"/>
    <n v="596.30615880000016"/>
    <s v="Never"/>
    <s v="2022_1408_02464"/>
    <s v="W2249AC LE2 CLEAR r104x0157 CT4P"/>
    <s v="Wider roll, changed HUD. Will replace W2248AB."/>
    <m/>
    <m/>
    <s v="N/A"/>
    <s v="Jun 2022?"/>
    <n v="0.38749999999999996"/>
    <m/>
    <x v="0"/>
    <s v="Clear"/>
  </r>
  <r>
    <s v="Fuyao"/>
    <s v="Guangzhou"/>
    <s v="Toyota"/>
    <s v="Sienna (825B)"/>
    <s v="OEM"/>
    <x v="2"/>
    <s v="W2232AET"/>
    <s v="L"/>
    <s v="E2"/>
    <s v="Clear"/>
    <x v="0"/>
    <s v="BF011941"/>
    <s v="Y"/>
    <s v="L9"/>
    <x v="50"/>
    <n v="118"/>
    <n v="30"/>
    <s v="N/A"/>
    <s v="N/A"/>
    <n v="0.8"/>
    <n v="273"/>
    <n v="448"/>
    <n v="175"/>
    <n v="432"/>
    <n v="160"/>
    <n v="560"/>
    <n v="400"/>
    <n v="320"/>
    <s v="N/A"/>
    <n v="88"/>
    <n v="1.0816000000000001"/>
    <m/>
    <n v="0.97659661016949162"/>
    <n v="1.0351924067796612"/>
    <n v="868.833664"/>
    <n v="154.55409397176223"/>
    <n v="168.99297950331749"/>
    <n v="335.93365791037485"/>
    <n v="169"/>
    <n v="199.42"/>
    <n v="206.43806976000002"/>
    <n v="688.12689920000014"/>
    <d v="2023-08-01T00:00:00"/>
    <s v="2023_2120_03177, 2024_2777_03835"/>
    <s v="W2232AE LE2 CLEAR r118x0169 CB4P"/>
    <s v="Replacing W2232AC"/>
    <m/>
    <m/>
    <s v="N/A"/>
    <m/>
    <n v="0.3796610169491525"/>
    <m/>
    <x v="0"/>
    <m/>
  </r>
  <r>
    <s v="Fuyao"/>
    <s v="Guangzhou"/>
    <s v="Toyota"/>
    <s v="Sienna (825B)"/>
    <s v="OEM"/>
    <x v="1"/>
    <s v="W2232AC"/>
    <s v="L"/>
    <s v="E2"/>
    <s v="Clear"/>
    <x v="0"/>
    <s v="BF010824 (L8 171m), BF011310 (L9 50m), BF011580 (L9 171m)"/>
    <s v="Y"/>
    <s v="L9"/>
    <x v="50"/>
    <n v="115"/>
    <n v="30"/>
    <s v="N/A"/>
    <s v="N/A"/>
    <n v="0.8"/>
    <n v="273"/>
    <n v="448"/>
    <n v="175"/>
    <n v="402"/>
    <n v="160"/>
    <n v="560"/>
    <n v="400"/>
    <n v="290"/>
    <s v="N/A"/>
    <n v="85"/>
    <n v="1.0720000000000001"/>
    <m/>
    <n v="0.97147826086956524"/>
    <n v="1.0297669565217391"/>
    <n v="868.833664"/>
    <n v="155.93816048494219"/>
    <n v="170.50634946901883"/>
    <n v="338.94201902599013"/>
    <n v="171"/>
    <n v="196.65"/>
    <n v="202.50367199999999"/>
    <n v="675.01224000000002"/>
    <d v="2022-09-01T00:00:00"/>
    <s v="2022_1408_02464, 2022_1643_02699, 2022_1831_02887 (4 roll), 2023_1838_02894"/>
    <s v="W2232AC LE2 CLEAR r115x0171 CT4P (L8), W2232AC LE2 CLEAR r 115x0050 CB1P (L9), W2232AC LE2 CLEAR r115x0171 CB4P (L9)"/>
    <s v="Also being tested by Chongqing for the BYD HC"/>
    <m/>
    <m/>
    <s v="N/A"/>
    <s v="Jun 2022?"/>
    <n v="0.38956521739130434"/>
    <m/>
    <x v="0"/>
    <s v="Clear"/>
  </r>
  <r>
    <s v="Fuyao"/>
    <s v="Guangzhou"/>
    <m/>
    <m/>
    <s v="OEM"/>
    <x v="0"/>
    <s v="W2229AFT"/>
    <s v="L"/>
    <s v="E2"/>
    <s v="Clear"/>
    <x v="0"/>
    <m/>
    <s v="Y"/>
    <s v="L9"/>
    <x v="34"/>
    <n v="108"/>
    <n v="30"/>
    <s v="N/A"/>
    <s v="N/A"/>
    <n v="0.8"/>
    <n v="200"/>
    <n v="600"/>
    <n v="400"/>
    <n v="180"/>
    <n v="200"/>
    <n v="600"/>
    <n v="400"/>
    <n v="180"/>
    <s v="N/A"/>
    <n v="78"/>
    <n v="1.0262"/>
    <m/>
    <n v="0.94451666666666667"/>
    <n v="1.0011876666666668"/>
    <n v="866.88050800000008"/>
    <n v="162.8977860454668"/>
    <n v="178.11616315609837"/>
    <n v="354.06923055531223"/>
    <n v="178"/>
    <n v="192.24"/>
    <n v="192.46831704000004"/>
    <n v="641.56105680000019"/>
    <s v="?"/>
    <s v="2024_2866_03924"/>
    <m/>
    <m/>
    <m/>
    <m/>
    <m/>
    <m/>
    <m/>
    <m/>
    <x v="1"/>
    <m/>
  </r>
  <r>
    <s v="Fuyao"/>
    <s v="Guangzhou"/>
    <m/>
    <m/>
    <s v="OEM"/>
    <x v="0"/>
    <s v="W2232AFT"/>
    <s v="L"/>
    <s v="E2"/>
    <s v="Clear"/>
    <x v="0"/>
    <s v="BF012557"/>
    <s v="Y"/>
    <s v="L9"/>
    <x v="7"/>
    <n v="105"/>
    <n v="30"/>
    <s v="N/A"/>
    <s v="N/A"/>
    <n v="0.8"/>
    <n v="200"/>
    <n v="600"/>
    <n v="400"/>
    <n v="150"/>
    <n v="200"/>
    <n v="600"/>
    <n v="400"/>
    <n v="150"/>
    <s v="N/A"/>
    <n v="75"/>
    <n v="1.0625"/>
    <m/>
    <n v="0.96875"/>
    <n v="1.026875"/>
    <n v="870.78682000000003"/>
    <n v="157.33243109633696"/>
    <n v="172.03087682897711"/>
    <n v="341.97255943139908"/>
    <n v="172"/>
    <n v="180.6"/>
    <n v="185.45362499999999"/>
    <n v="618.17875000000004"/>
    <s v="?"/>
    <s v="2024_2793_03851"/>
    <s v="W2232AFT LE2 CLEAR r105x0172 CB4P"/>
    <m/>
    <m/>
    <m/>
    <m/>
    <m/>
    <m/>
    <m/>
    <x v="1"/>
    <m/>
  </r>
  <r>
    <s v="Fuyao"/>
    <s v="Guangzhou"/>
    <m/>
    <m/>
    <s v="OEM"/>
    <x v="0"/>
    <s v="W2229AJT"/>
    <s v="L"/>
    <s v="E2"/>
    <s v="Clear"/>
    <x v="0"/>
    <s v="tbd"/>
    <s v="Y"/>
    <s v="L9"/>
    <x v="34"/>
    <n v="118"/>
    <n v="30"/>
    <s v="N/A"/>
    <s v="N/A"/>
    <n v="0.8"/>
    <n v="150"/>
    <n v="750"/>
    <n v="600"/>
    <n v="130"/>
    <n v="150"/>
    <n v="750"/>
    <n v="600"/>
    <n v="130"/>
    <s v="N/A"/>
    <n v="88"/>
    <n v="1.0552000000000001"/>
    <m/>
    <n v="0.96004067796610182"/>
    <n v="1.017643118644068"/>
    <n v="866.88050800000008"/>
    <n v="158.4208757011543"/>
    <n v="173.22100704206608"/>
    <n v="344.33836656165789"/>
    <n v="173"/>
    <n v="204.14"/>
    <n v="207.74166624000003"/>
    <n v="692.47222080000017"/>
    <s v="?"/>
    <s v="2025-0264-0410"/>
    <m/>
    <m/>
    <m/>
    <m/>
    <m/>
    <m/>
    <m/>
    <m/>
    <x v="1"/>
    <m/>
  </r>
  <r>
    <s v="Fuyao"/>
    <s v="Guangzhou"/>
    <m/>
    <m/>
    <s v="OEM"/>
    <x v="0"/>
    <s v="W5039AB"/>
    <s v="F"/>
    <s v="R3"/>
    <s v="Clear"/>
    <x v="1"/>
    <s v="tbd"/>
    <s v="Y"/>
    <s v="L6"/>
    <x v="10"/>
    <n v="108"/>
    <n v="20"/>
    <s v="N/A"/>
    <s v="N/A"/>
    <n v="0.76"/>
    <n v="200"/>
    <n v="750"/>
    <n v="550"/>
    <n v="130"/>
    <n v="200"/>
    <n v="750"/>
    <n v="550"/>
    <n v="130"/>
    <s v="N/A"/>
    <n v="88"/>
    <n v="1.1032"/>
    <m/>
    <n v="0.96337777777777789"/>
    <n v="1.0259973333333334"/>
    <n v="834.910797"/>
    <n v="151.5280167148822"/>
    <n v="165.6841974535788"/>
    <n v="329.3562766459948"/>
    <n v="166"/>
    <n v="179.28"/>
    <n v="183.94080192000001"/>
    <n v="919.70400960000006"/>
    <s v="?"/>
    <s v="2025-0264-0410"/>
    <m/>
    <m/>
    <m/>
    <m/>
    <m/>
    <m/>
    <m/>
    <m/>
    <x v="1"/>
    <m/>
  </r>
  <r>
    <s v="Fuyao"/>
    <s v="Guangzhou"/>
    <m/>
    <m/>
    <s v="OEM"/>
    <x v="0"/>
    <s v="W2240AT"/>
    <s v="L"/>
    <s v="E2"/>
    <s v="Clear"/>
    <x v="0"/>
    <s v="BF012343"/>
    <s v="Y"/>
    <s v="L9"/>
    <x v="44"/>
    <n v="108"/>
    <n v="25"/>
    <s v="N/A"/>
    <s v="N/A"/>
    <n v="0.8"/>
    <n v="200"/>
    <n v="600"/>
    <n v="400"/>
    <n v="230"/>
    <n v="200"/>
    <n v="600"/>
    <n v="400"/>
    <n v="230"/>
    <s v="N/A"/>
    <n v="83"/>
    <n v="1.1320000000000001"/>
    <m/>
    <n v="1.0044259259259261"/>
    <n v="1.0646914814814816"/>
    <n v="874.04208000000006"/>
    <n v="147.6728869610053"/>
    <n v="161.46891045122629"/>
    <n v="320.97689434263378"/>
    <n v="161"/>
    <n v="173.88"/>
    <n v="185.12855480000002"/>
    <n v="740.51421920000007"/>
    <s v="?"/>
    <s v="2024_2567_03625"/>
    <s v="W2240AT LE2 CLEAR r108x0161 CB4P"/>
    <m/>
    <m/>
    <m/>
    <m/>
    <m/>
    <n v="0.55555555555555558"/>
    <m/>
    <x v="1"/>
    <m/>
  </r>
  <r>
    <s v="Fuyao"/>
    <s v="Hubei"/>
    <s v="BAG"/>
    <s v="C301"/>
    <s v="OEM"/>
    <x v="1"/>
    <s v="W5021AA"/>
    <s v="F"/>
    <s v="R3"/>
    <s v="Clear"/>
    <x v="1"/>
    <s v="BF011506"/>
    <m/>
    <s v="L6"/>
    <x v="20"/>
    <n v="110"/>
    <n v="30"/>
    <s v="N/A"/>
    <s v="N/A"/>
    <n v="0.76"/>
    <n v="300"/>
    <n v="600"/>
    <n v="300"/>
    <n v="200"/>
    <n v="200"/>
    <n v="700"/>
    <n v="500"/>
    <n v="100"/>
    <s v="N/A"/>
    <n v="80"/>
    <n v="0.92799999999999994"/>
    <m/>
    <n v="0.86690909090909074"/>
    <n v="0.92325818181818164"/>
    <n v="823.13658299999997"/>
    <n v="180.13546124984703"/>
    <n v="196.96423128317693"/>
    <n v="391.53647025416109"/>
    <n v="50"/>
    <n v="55"/>
    <n v="50.779199999999989"/>
    <n v="169.26399999999998"/>
    <s v="?"/>
    <s v="2022_1781_02837"/>
    <m/>
    <m/>
    <m/>
    <m/>
    <s v="N/A"/>
    <m/>
    <n v="0.54545454545454541"/>
    <m/>
    <x v="2"/>
    <s v="Clear"/>
  </r>
  <r>
    <s v="Fuyao"/>
    <s v="Hubei"/>
    <s v="BYD"/>
    <s v="MR"/>
    <s v="OEM"/>
    <x v="1"/>
    <s v="W2250AQ"/>
    <s v="L"/>
    <s v="E2"/>
    <s v="Clear"/>
    <x v="0"/>
    <s v="BF011949"/>
    <s v="Y"/>
    <s v="L9"/>
    <x v="29"/>
    <n v="131"/>
    <n v="30"/>
    <s v="N/A"/>
    <s v="N/A"/>
    <n v="0.8"/>
    <n v="200"/>
    <n v="700"/>
    <n v="500"/>
    <n v="310"/>
    <n v="200"/>
    <n v="700"/>
    <n v="500"/>
    <n v="310"/>
    <s v="N/A"/>
    <n v="101"/>
    <n v="1.3050000000000002"/>
    <m/>
    <n v="1.1103244274809163"/>
    <n v="1.1769438931297713"/>
    <n v="880.5526000000001"/>
    <n v="128.0963279998912"/>
    <n v="140.06345335692581"/>
    <n v="278.42593440295894"/>
    <n v="140"/>
    <n v="183.4"/>
    <n v="215.85151000000008"/>
    <n v="719.50503333333359"/>
    <s v="Never"/>
    <s v="2023_2136_03193"/>
    <s v="W2250AQ LE2 CLEAR r131x0140 CB1P"/>
    <m/>
    <m/>
    <m/>
    <m/>
    <m/>
    <n v="0.53435114503816794"/>
    <m/>
    <x v="0"/>
    <m/>
  </r>
  <r>
    <s v="Fuyao"/>
    <s v="Hubei"/>
    <s v="BYD"/>
    <s v="ST"/>
    <s v="OEM"/>
    <x v="1"/>
    <s v="W2249AGT"/>
    <s v="L"/>
    <s v="E2"/>
    <s v="Clear"/>
    <x v="0"/>
    <s v="BF011703"/>
    <s v="Y"/>
    <s v="L9"/>
    <x v="17"/>
    <n v="116"/>
    <n v="30"/>
    <s v="N/A"/>
    <s v="N/A"/>
    <n v="0.8"/>
    <n v="200"/>
    <n v="600"/>
    <n v="400"/>
    <n v="260"/>
    <n v="150"/>
    <n v="600"/>
    <n v="450"/>
    <n v="260"/>
    <s v="N/A"/>
    <n v="86"/>
    <n v="1.2214"/>
    <m/>
    <n v="1.0651913793103447"/>
    <n v="1.1291028620689654"/>
    <n v="879.90154800000005"/>
    <n v="136.86401509731294"/>
    <n v="149.65024286129702"/>
    <n v="297.48308858347917"/>
    <n v="150"/>
    <n v="174"/>
    <n v="196.46389799999997"/>
    <n v="654.87965999999994"/>
    <d v="2023-04-23T00:00:00"/>
    <s v="2023_1949_03006, 2024_2777_03835"/>
    <s v="W2249AG LE2 CLEAR r116x0150 CB4P"/>
    <s v="Replaced W2249AE, which then went to Suzhou. Being replaced by W2251AH."/>
    <m/>
    <m/>
    <s v="N/A"/>
    <m/>
    <n v="0.51724137931034486"/>
    <m/>
    <x v="0"/>
    <s v="Clear"/>
  </r>
  <r>
    <s v="Fuyao"/>
    <s v="Hubei"/>
    <s v="BYD"/>
    <s v="ST"/>
    <s v="OEM"/>
    <x v="1"/>
    <s v="W2251AHT"/>
    <s v="L"/>
    <s v="E2"/>
    <s v="Clear"/>
    <x v="0"/>
    <s v="BF011988"/>
    <s v="Y"/>
    <s v="L9"/>
    <x v="1"/>
    <n v="116"/>
    <n v="30"/>
    <s v="N/A"/>
    <s v="N/A"/>
    <n v="0.8"/>
    <n v="200"/>
    <n v="700"/>
    <n v="500"/>
    <n v="160"/>
    <n v="200"/>
    <n v="700"/>
    <n v="500"/>
    <n v="160"/>
    <s v="N/A"/>
    <n v="86"/>
    <n v="1.2386000000000001"/>
    <m/>
    <n v="1.0760155172413794"/>
    <n v="1.1405764482758622"/>
    <n v="881.20365200000003"/>
    <n v="134.96343294030197"/>
    <n v="147.57210288292276"/>
    <n v="293.35204617783097"/>
    <n v="148"/>
    <n v="171.68"/>
    <n v="195.81416464000003"/>
    <n v="652.71388213333341"/>
    <s v="Never"/>
    <s v="2023_2180_03237, 2024_2777_03835"/>
    <s v="W2251AH LE2 CLEAR r116x0148 CB4P"/>
    <s v="Replacing W2249AG"/>
    <m/>
    <m/>
    <s v="N/A"/>
    <m/>
    <n v="0.60344827586206895"/>
    <m/>
    <x v="0"/>
    <m/>
  </r>
  <r>
    <s v="Fuyao"/>
    <s v="Hubei"/>
    <s v="BYD"/>
    <s v="ST Tang SUV"/>
    <s v="OEM"/>
    <x v="2"/>
    <s v="W2250ART"/>
    <s v="L"/>
    <s v="E2"/>
    <s v="Clear"/>
    <x v="0"/>
    <s v="BF012033"/>
    <s v="Y"/>
    <s v="L9"/>
    <x v="29"/>
    <n v="116"/>
    <n v="30"/>
    <s v="N/A"/>
    <s v="N/A"/>
    <n v="0.8"/>
    <n v="150"/>
    <n v="650"/>
    <n v="500"/>
    <n v="210"/>
    <n v="150"/>
    <n v="650"/>
    <n v="500"/>
    <n v="210"/>
    <s v="N/A"/>
    <n v="86"/>
    <n v="1.23"/>
    <m/>
    <n v="1.070603448275862"/>
    <n v="1.1348396551724138"/>
    <n v="880.5526000000001"/>
    <n v="135.90707970720166"/>
    <n v="148.6039078299091"/>
    <n v="295.40312552509062"/>
    <n v="149"/>
    <n v="172.84"/>
    <n v="196.14568600000001"/>
    <n v="653.81895333333341"/>
    <d v="2023-10-23T00:00:00"/>
    <s v="2023_2220_03277, 2024_2777_03835"/>
    <s v="W2250AR LE2 CLEAR r116x0149 CB4P"/>
    <s v="Will be replaced by W2250AU"/>
    <m/>
    <m/>
    <s v="N/A"/>
    <m/>
    <n v="0.56034482758620685"/>
    <m/>
    <x v="0"/>
    <m/>
  </r>
  <r>
    <s v="Fuyao"/>
    <s v="Hubei"/>
    <s v="BYD"/>
    <s v="ST Tang SUV"/>
    <s v="OEM"/>
    <x v="0"/>
    <s v="W2250AU"/>
    <s v="L"/>
    <s v="E2"/>
    <s v="Clear"/>
    <x v="0"/>
    <s v="BF012369"/>
    <s v="Y"/>
    <s v="L9"/>
    <x v="29"/>
    <n v="114"/>
    <n v="30"/>
    <s v="N/A"/>
    <s v="N/A"/>
    <n v="0.8"/>
    <n v="150"/>
    <n v="650"/>
    <n v="500"/>
    <n v="190"/>
    <n v="150"/>
    <n v="650"/>
    <n v="500"/>
    <n v="190"/>
    <s v="N/A"/>
    <n v="84"/>
    <n v="1.22"/>
    <m/>
    <n v="1.0652631578947369"/>
    <n v="1.1291789473684211"/>
    <n v="880.5526000000001"/>
    <n v="137.02107216381808"/>
    <n v="149.82197264818703"/>
    <n v="297.82446261955857"/>
    <n v="150"/>
    <n v="171"/>
    <n v="193.08959999999999"/>
    <n v="643.63199999999995"/>
    <s v="?"/>
    <s v="2024_2591_03649"/>
    <s v="W2250AU LE2 CLEAR r114x0150 CB4P"/>
    <s v="Will replace W2250AR"/>
    <m/>
    <m/>
    <m/>
    <m/>
    <n v="0.57017543859649122"/>
    <m/>
    <x v="0"/>
    <m/>
  </r>
  <r>
    <s v="Fuyao"/>
    <s v="Hubei"/>
    <s v="Chang An"/>
    <s v="C236"/>
    <s v="OEM"/>
    <x v="0"/>
    <s v="W2225AE"/>
    <s v="L"/>
    <s v="E2"/>
    <s v="Clear"/>
    <x v="0"/>
    <s v="BF012370"/>
    <s v="Y"/>
    <s v="L9"/>
    <x v="30"/>
    <n v="106"/>
    <n v="25"/>
    <s v="N/A"/>
    <s v="N/A"/>
    <n v="0.8"/>
    <n v="200"/>
    <n v="600"/>
    <n v="400"/>
    <n v="210"/>
    <n v="200"/>
    <n v="600"/>
    <n v="400"/>
    <n v="210"/>
    <s v="N/A"/>
    <n v="81"/>
    <n v="1.0024999999999999"/>
    <m/>
    <n v="0.92512971698113211"/>
    <n v="0.98063750000000005"/>
    <n v="864.27630000000011"/>
    <n v="166.74883594998309"/>
    <n v="182.32698915789345"/>
    <n v="362.43974503327831"/>
    <n v="182"/>
    <n v="192.92"/>
    <n v="189.18458649999999"/>
    <n v="756.73834599999998"/>
    <d v="2024-06-01T00:00:00"/>
    <s v="2024_2591_03649"/>
    <s v="W2225AE LE2 CLEAR r106x0182 CB1P"/>
    <m/>
    <m/>
    <m/>
    <m/>
    <m/>
    <n v="0.56603773584905659"/>
    <m/>
    <x v="1"/>
    <m/>
  </r>
  <r>
    <s v="Fuyao"/>
    <s v="Hubei"/>
    <s v="Chang An"/>
    <s v="C236"/>
    <s v="OEM"/>
    <x v="0"/>
    <s v="W2225AFT"/>
    <s v="L"/>
    <s v="E2"/>
    <s v="Clear"/>
    <x v="0"/>
    <s v="BF012555"/>
    <s v="Y"/>
    <s v="L9"/>
    <x v="30"/>
    <n v="106"/>
    <n v="20"/>
    <s v="N/A"/>
    <s v="N/A"/>
    <n v="0.8"/>
    <n v="250"/>
    <n v="700"/>
    <n v="450"/>
    <n v="160"/>
    <n v="250"/>
    <n v="700"/>
    <n v="450"/>
    <n v="160"/>
    <s v="N/A"/>
    <n v="86"/>
    <n v="1.0150000000000001"/>
    <m/>
    <n v="0.92778301886792447"/>
    <n v="0.98344999999999994"/>
    <n v="864.27630000000011"/>
    <n v="164.69527885700296"/>
    <n v="180.08158288747603"/>
    <n v="357.9762013752329"/>
    <n v="180"/>
    <n v="190.8"/>
    <n v="187.64225999999999"/>
    <n v="938.21129999999994"/>
    <d v="2024-10-01T00:00:00"/>
    <s v="2024_2786_03844"/>
    <s v="W2225AFT LE2 CLEAR r106x0180 CB1P"/>
    <s v="Larger HUD area"/>
    <m/>
    <m/>
    <m/>
    <m/>
    <n v="0.660377358490566"/>
    <m/>
    <x v="1"/>
    <m/>
  </r>
  <r>
    <s v="Fuyao"/>
    <s v="Hubei"/>
    <s v="Chang An"/>
    <s v="C236"/>
    <s v="OEM"/>
    <x v="0"/>
    <s v="W2225AHT"/>
    <s v="L"/>
    <s v="E2"/>
    <s v="Clear"/>
    <x v="0"/>
    <m/>
    <s v="Y"/>
    <s v="L9"/>
    <x v="30"/>
    <n v="106"/>
    <n v="10"/>
    <s v="N/A"/>
    <s v="N/A"/>
    <n v="0.8"/>
    <n v="330"/>
    <n v="830"/>
    <n v="500"/>
    <n v="130"/>
    <n v="330"/>
    <n v="830"/>
    <n v="500"/>
    <n v="130"/>
    <s v="N/A"/>
    <n v="96"/>
    <n v="1.04"/>
    <m/>
    <n v="0.93132075471698128"/>
    <n v="0.98720000000000019"/>
    <n v="864.27630000000011"/>
    <n v="160.7362577306327"/>
    <n v="175.75269868345015"/>
    <n v="349.37100422678981"/>
    <n v="120"/>
    <n v="127.2"/>
    <n v="125.57184000000002"/>
    <n v="1255.7184000000002"/>
    <s v="?"/>
    <s v="2024_2986_04044"/>
    <m/>
    <s v="Short roll due to very narrow plateau"/>
    <m/>
    <m/>
    <m/>
    <m/>
    <m/>
    <m/>
    <x v="1"/>
    <m/>
  </r>
  <r>
    <s v="Fuyao"/>
    <s v="Hubei"/>
    <s v="Chang An"/>
    <s v="C301"/>
    <s v="OEM"/>
    <x v="2"/>
    <s v="W5021AB"/>
    <s v="L"/>
    <s v="E2"/>
    <s v="Clear"/>
    <x v="1"/>
    <s v="BF011705"/>
    <m/>
    <s v="L6"/>
    <x v="20"/>
    <n v="113"/>
    <n v="30"/>
    <s v="N/A"/>
    <s v="N/A"/>
    <n v="0.76"/>
    <n v="300"/>
    <n v="600"/>
    <n v="300"/>
    <n v="230"/>
    <n v="200"/>
    <n v="700"/>
    <n v="500"/>
    <n v="130"/>
    <s v="N/A"/>
    <n v="83"/>
    <n v="0.93430000000000002"/>
    <m/>
    <n v="0.8702871681415929"/>
    <n v="0.92685583407079641"/>
    <n v="823.13658299999997"/>
    <n v="178.92080492332016"/>
    <n v="195.63609828833157"/>
    <n v="388.89633350729048"/>
    <n v="196"/>
    <n v="221.48"/>
    <n v="205.28003012999997"/>
    <n v="684.26676709999992"/>
    <d v="2023-07-23T00:00:00"/>
    <s v="2023_1949_03006"/>
    <s v="W5021AB FR3 CLEAR r113x0196 CB4P"/>
    <m/>
    <m/>
    <m/>
    <s v="N/A"/>
    <m/>
    <n v="0.53097345132743368"/>
    <m/>
    <x v="2"/>
    <s v="Clear"/>
  </r>
  <r>
    <s v="Fuyao"/>
    <s v="Hubei"/>
    <s v="Cherry"/>
    <s v="T18FL3"/>
    <s v="OEM"/>
    <x v="0"/>
    <s v="W2256AET"/>
    <s v="L"/>
    <s v="E2"/>
    <s v="Clear"/>
    <x v="0"/>
    <s v="BF011704"/>
    <s v="Y"/>
    <s v="L9"/>
    <x v="51"/>
    <n v="101"/>
    <n v="30"/>
    <s v="N/A"/>
    <s v="N/A"/>
    <n v="0.8"/>
    <n v="180"/>
    <n v="580"/>
    <n v="400"/>
    <n v="130"/>
    <n v="150"/>
    <n v="600"/>
    <n v="450"/>
    <n v="110"/>
    <s v="N/A"/>
    <n v="71"/>
    <n v="1.1976"/>
    <m/>
    <n v="1.057849504950495"/>
    <n v="1.1213204752475248"/>
    <n v="884.45891200000005"/>
    <n v="139.58392454897964"/>
    <n v="152.62425403372424"/>
    <n v="303.39499365051893"/>
    <n v="153"/>
    <n v="154.53"/>
    <n v="173.27765303999999"/>
    <n v="577.59217679999995"/>
    <d v="2023-04-23T00:00:00"/>
    <s v="2023_1949_03006, 2024_2777_03835"/>
    <s v="W2256AE LE2 CLEAR r101x0153 CB4P"/>
    <m/>
    <m/>
    <m/>
    <s v="N/A"/>
    <m/>
    <n v="0.57425742574257421"/>
    <m/>
    <x v="0"/>
    <s v="Clear"/>
  </r>
  <r>
    <s v="Fuyao"/>
    <s v="Hubei"/>
    <s v="Cherry"/>
    <s v="T18FL3"/>
    <s v="OEM"/>
    <x v="1"/>
    <s v="W2256AC"/>
    <s v="L"/>
    <s v="E2"/>
    <s v="Clear"/>
    <x v="0"/>
    <s v="BF011583"/>
    <s v="Y"/>
    <s v="L9"/>
    <x v="51"/>
    <n v="100"/>
    <n v="30"/>
    <s v="N/A"/>
    <s v="N/A"/>
    <n v="0.8"/>
    <n v="180"/>
    <n v="580"/>
    <n v="400"/>
    <n v="120"/>
    <n v="150"/>
    <n v="600"/>
    <n v="450"/>
    <n v="100"/>
    <s v="N/A"/>
    <n v="70"/>
    <n v="1.1920000000000002"/>
    <m/>
    <n v="1.0548000000000002"/>
    <n v="1.1180880000000002"/>
    <n v="884.45891200000005"/>
    <n v="140.23968795290102"/>
    <n v="153.34128073052699"/>
    <n v="304.82033925827301"/>
    <n v="120"/>
    <n v="120"/>
    <n v="134.17056000000002"/>
    <n v="447.23520000000008"/>
    <d v="2023-02-23T00:00:00"/>
    <s v="2022_1831_02887, 2023_1838_02894"/>
    <s v="W2256AC LE2 CLEAR r100x0120 CB1P"/>
    <m/>
    <m/>
    <m/>
    <s v="N/A"/>
    <m/>
    <n v="0.57999999999999996"/>
    <m/>
    <x v="0"/>
    <s v="Clear"/>
  </r>
  <r>
    <s v="Fuyao"/>
    <s v="Hubei"/>
    <s v="Cherry"/>
    <s v="T18FL3"/>
    <s v="OEM"/>
    <x v="0"/>
    <s v="W2257ADT"/>
    <s v="L"/>
    <s v="E2"/>
    <s v="Clear"/>
    <x v="0"/>
    <s v="BF011709"/>
    <s v="Y"/>
    <s v="L9"/>
    <x v="52"/>
    <n v="102"/>
    <n v="30"/>
    <s v="N/A"/>
    <s v="N/A"/>
    <n v="0.8"/>
    <n v="200"/>
    <n v="600"/>
    <n v="400"/>
    <n v="120"/>
    <n v="150"/>
    <n v="600"/>
    <n v="450"/>
    <n v="120"/>
    <s v="N/A"/>
    <n v="72"/>
    <n v="1.2103999999999999"/>
    <m/>
    <n v="1.0655529411764706"/>
    <n v="1.1294861176470588"/>
    <n v="885.10996399999999"/>
    <n v="138.10782224046434"/>
    <n v="151.01025002543636"/>
    <n v="300.18658657952869"/>
    <n v="151"/>
    <n v="154.02000000000001"/>
    <n v="173.96345184"/>
    <n v="579.87817280000002"/>
    <d v="2023-04-23T00:00:00"/>
    <s v="2023_1949_03006, 2024_2777_03835"/>
    <s v="W2257AD LE2 CLEAR r102x0151 CB4P"/>
    <m/>
    <m/>
    <m/>
    <s v="N/A"/>
    <m/>
    <n v="0.58823529411764708"/>
    <m/>
    <x v="0"/>
    <s v="Clear"/>
  </r>
  <r>
    <s v="Fuyao"/>
    <s v="Hubei"/>
    <s v="Chery"/>
    <s v="Rui Hu SUV (T18)"/>
    <s v="OEM"/>
    <x v="1"/>
    <s v="W2258AHT"/>
    <s v="L"/>
    <s v="E2"/>
    <s v="Clear"/>
    <x v="0"/>
    <s v="BF011800"/>
    <s v="Y"/>
    <s v="L9"/>
    <x v="40"/>
    <n v="100"/>
    <n v="30"/>
    <s v="N/A"/>
    <s v="N/A"/>
    <n v="0.8"/>
    <n v="150"/>
    <n v="550"/>
    <n v="400"/>
    <n v="150"/>
    <n v="150"/>
    <n v="600"/>
    <n v="450"/>
    <n v="100"/>
    <s v="N/A"/>
    <n v="70"/>
    <n v="1.206"/>
    <m/>
    <n v="1.0639000000000001"/>
    <n v="1.127734"/>
    <n v="885.76101600000004"/>
    <n v="138.61169820883751"/>
    <n v="151.56119952801674"/>
    <n v="301.28179468976907"/>
    <n v="152"/>
    <n v="152"/>
    <n v="171.41556800000001"/>
    <n v="571.38522666666677"/>
    <d v="2023-05-01T00:00:00"/>
    <s v="2023_2021_03078, 2024_2777_03835"/>
    <s v="W2258AH LE2 CLEAR r100x0152 CB4P"/>
    <m/>
    <m/>
    <m/>
    <m/>
    <m/>
    <n v="0.55000000000000004"/>
    <m/>
    <x v="0"/>
    <m/>
  </r>
  <r>
    <s v="Fuyao"/>
    <s v="Hubei"/>
    <s v="Chery"/>
    <s v="T19"/>
    <m/>
    <x v="0"/>
    <s v="W5023AB"/>
    <s v="F"/>
    <s v="R3"/>
    <s v="Clear"/>
    <x v="1"/>
    <s v="BF012107"/>
    <m/>
    <s v="L6"/>
    <x v="9"/>
    <n v="112"/>
    <n v="30"/>
    <s v="N/A"/>
    <s v="N/A"/>
    <n v="0.76"/>
    <n v="200"/>
    <n v="600"/>
    <n v="400"/>
    <n v="220"/>
    <n v="200"/>
    <n v="600"/>
    <n v="400"/>
    <n v="220"/>
    <s v="N/A"/>
    <n v="82"/>
    <n v="0.9486"/>
    <m/>
    <n v="0.87955892857142859"/>
    <n v="0.93673025892857154"/>
    <n v="824.44482900000003"/>
    <n v="176.22360113837024"/>
    <n v="192.68691401095103"/>
    <n v="383.03378072513334"/>
    <n v="193"/>
    <n v="216.16"/>
    <n v="202.48361277000001"/>
    <n v="674.94537590000004"/>
    <s v="?"/>
    <s v="2023_2288_03345"/>
    <s v="W5023AB FR3 CLEAR r112x0193 CB4P"/>
    <m/>
    <m/>
    <m/>
    <m/>
    <m/>
    <n v="0.5357142857142857"/>
    <m/>
    <x v="2"/>
    <m/>
  </r>
  <r>
    <s v="Fuyao"/>
    <s v="Hubei"/>
    <s v="Chery"/>
    <s v="T19"/>
    <m/>
    <x v="1"/>
    <s v="W5023AA"/>
    <s v="F"/>
    <s v="R3"/>
    <s v="Clear"/>
    <x v="1"/>
    <s v="BF011994"/>
    <m/>
    <s v="L6"/>
    <x v="9"/>
    <n v="113"/>
    <n v="30"/>
    <s v="N/A"/>
    <s v="N/A"/>
    <n v="0.76"/>
    <n v="200"/>
    <n v="600"/>
    <n v="400"/>
    <n v="230"/>
    <n v="200"/>
    <n v="600"/>
    <n v="400"/>
    <n v="230"/>
    <s v="N/A"/>
    <n v="83"/>
    <n v="0.95089999999999997"/>
    <m/>
    <n v="0.88079070796460179"/>
    <n v="0.93804210398230092"/>
    <n v="824.44482900000003"/>
    <n v="175.79735833406042"/>
    <n v="192.22085038467577"/>
    <n v="382.10731348812863"/>
    <n v="120"/>
    <n v="135.6"/>
    <n v="127.1985093"/>
    <n v="423.99503099999998"/>
    <s v="?"/>
    <s v="2023_2180_03237"/>
    <s v="W5023AA FR3 CLEAR r113x0120 CB1P"/>
    <m/>
    <m/>
    <m/>
    <m/>
    <m/>
    <n v="0.53097345132743368"/>
    <m/>
    <x v="2"/>
    <m/>
  </r>
  <r>
    <s v="Fuyao"/>
    <s v="Hubei"/>
    <s v="Geely"/>
    <s v="HX11"/>
    <s v="OEM"/>
    <x v="1"/>
    <s v="W2255AA"/>
    <s v="L"/>
    <s v="E2"/>
    <s v="Clear"/>
    <x v="0"/>
    <s v="BF011799"/>
    <s v="Y"/>
    <s v="L9"/>
    <x v="23"/>
    <n v="105"/>
    <n v="30"/>
    <s v="N/A"/>
    <s v="N/A"/>
    <n v="0.8"/>
    <n v="200"/>
    <n v="600"/>
    <n v="400"/>
    <n v="150"/>
    <n v="150"/>
    <n v="600"/>
    <n v="450"/>
    <n v="150"/>
    <s v="N/A"/>
    <n v="75"/>
    <n v="1.2125000000000001"/>
    <m/>
    <n v="1.0651785714285715"/>
    <n v="1.1290892857142858"/>
    <n v="883.80786000000012"/>
    <n v="137.86862518751178"/>
    <n v="150.74870649961909"/>
    <n v="299.66667579040114"/>
    <n v="151"/>
    <n v="158.55000000000001"/>
    <n v="179.01710625000001"/>
    <n v="596.7236875000001"/>
    <d v="2023-06-23T00:00:00"/>
    <s v="2023_2021_03078, 2023_2213_03270"/>
    <s v="W2255AA LE2 CLEAR r105x0151 CB1P"/>
    <m/>
    <m/>
    <m/>
    <s v="N/A"/>
    <m/>
    <n v="0.5714285714285714"/>
    <m/>
    <x v="0"/>
    <m/>
  </r>
  <r>
    <s v="Fuyao"/>
    <s v="Hubei"/>
    <s v="Geely"/>
    <s v="HX11"/>
    <s v="OEM"/>
    <x v="1"/>
    <s v="W2260AHT"/>
    <s v="L"/>
    <s v="E2"/>
    <s v="Clear"/>
    <x v="0"/>
    <s v="BF011937"/>
    <s v="Y"/>
    <s v="L9"/>
    <x v="21"/>
    <n v="101"/>
    <n v="30"/>
    <s v="N/A"/>
    <s v="N/A"/>
    <n v="0.8"/>
    <n v="150"/>
    <n v="550"/>
    <n v="400"/>
    <n v="160"/>
    <n v="150"/>
    <n v="600"/>
    <n v="450"/>
    <n v="110"/>
    <s v="N/A"/>
    <n v="71"/>
    <n v="1.226"/>
    <m/>
    <n v="1.0762673267326732"/>
    <n v="1.1408433663366335"/>
    <n v="887.06312000000003"/>
    <n v="136.35049595420719"/>
    <n v="149.08874929101808"/>
    <n v="296.36692038814147"/>
    <n v="149"/>
    <n v="150.49"/>
    <n v="171.68551819999999"/>
    <n v="572.28506066666671"/>
    <d v="2023-08-01T00:00:00"/>
    <s v="2023_2120_03177, 2024_2777_03835"/>
    <s v="W2260AH LE2 CLEAR r101x0149 CB4P"/>
    <s v="Replaced W2260AF and W2260AC"/>
    <m/>
    <m/>
    <s v="N/A"/>
    <m/>
    <n v="0.54455445544554459"/>
    <m/>
    <x v="0"/>
    <m/>
  </r>
  <r>
    <s v="Fuyao"/>
    <s v="Hubei"/>
    <s v="Geely"/>
    <s v="HX11"/>
    <s v="OEM"/>
    <x v="1"/>
    <s v="W2260ACT"/>
    <s v="L"/>
    <s v="E2"/>
    <s v="Clear"/>
    <x v="0"/>
    <s v="BF011465 (CB1P, BF011849 (CB4P)"/>
    <s v="Y"/>
    <s v="L9"/>
    <x v="21"/>
    <n v="103"/>
    <n v="30"/>
    <s v="N/A"/>
    <s v="N/A"/>
    <n v="0.8"/>
    <n v="210"/>
    <n v="430"/>
    <n v="220"/>
    <n v="300"/>
    <n v="210"/>
    <n v="610"/>
    <n v="400"/>
    <n v="120"/>
    <s v="N/A"/>
    <n v="73"/>
    <n v="1.238"/>
    <m/>
    <n v="1.0827864077669904"/>
    <n v="1.1477535922330098"/>
    <n v="887.06312000000003"/>
    <n v="135.02884332783364"/>
    <n v="147.64362409595168"/>
    <n v="293.49422002896728"/>
    <n v="148"/>
    <n v="152.44"/>
    <n v="174.9635576"/>
    <n v="583.21185866666667"/>
    <d v="2022-12-01T00:00:00"/>
    <s v="2022_1756_02812, 2024_2777_03835"/>
    <s v="W2260AC LE2 CLEAR r103x0148 CB1P, W2260AC LE2 CLEAR r103x0148 CB4P"/>
    <s v="Originally set up for Fuyao Changchun for the Hongqi HS5. Replaced by W2260AH?"/>
    <m/>
    <m/>
    <s v="N/A"/>
    <m/>
    <n v="0.41747572815533979"/>
    <m/>
    <x v="0"/>
    <s v="Clear"/>
  </r>
  <r>
    <s v="Fuyao"/>
    <s v="Hubei"/>
    <s v="Smart"/>
    <s v="HX11"/>
    <s v="OEM"/>
    <x v="1"/>
    <s v="W2260AF"/>
    <s v="L"/>
    <s v="E2"/>
    <s v="Clear"/>
    <x v="0"/>
    <s v="BF011801"/>
    <s v="Y"/>
    <s v="L9"/>
    <x v="21"/>
    <n v="100"/>
    <n v="30"/>
    <s v="N/A"/>
    <s v="N/A"/>
    <n v="0.8"/>
    <n v="150"/>
    <n v="550"/>
    <n v="400"/>
    <n v="150"/>
    <n v="150"/>
    <n v="600"/>
    <n v="450"/>
    <n v="100"/>
    <s v="N/A"/>
    <n v="70"/>
    <n v="1.22"/>
    <m/>
    <n v="1.0730000000000002"/>
    <n v="1.1373800000000003"/>
    <n v="887.06312000000003"/>
    <n v="137.02107216381808"/>
    <n v="149.82197264818703"/>
    <n v="297.82446261955857"/>
    <n v="150"/>
    <n v="150"/>
    <n v="170.60700000000003"/>
    <n v="568.69000000000017"/>
    <s v="Never"/>
    <s v="2023_2021_03078"/>
    <s v="W2260AF LE2 CLEAR r100x0150 CB4P"/>
    <s v="Replaced by W2260AH"/>
    <m/>
    <m/>
    <s v="N/A"/>
    <m/>
    <n v="0.55000000000000004"/>
    <m/>
    <x v="0"/>
    <m/>
  </r>
  <r>
    <s v="Fuyao"/>
    <s v="Hubei"/>
    <s v="Smart"/>
    <s v="HX11"/>
    <s v="OEM"/>
    <x v="1"/>
    <s v="W2260AD"/>
    <s v="L"/>
    <s v="E2"/>
    <s v="Clear"/>
    <x v="0"/>
    <s v="BF011547"/>
    <s v="Y"/>
    <s v="L9"/>
    <x v="21"/>
    <n v="97"/>
    <n v="30"/>
    <s v="N/A"/>
    <s v="N/A"/>
    <n v="0.8"/>
    <n v="150"/>
    <n v="550"/>
    <n v="400"/>
    <n v="120"/>
    <n v="100"/>
    <n v="550"/>
    <n v="450"/>
    <n v="120"/>
    <s v="N/A"/>
    <n v="67"/>
    <n v="1.202"/>
    <m/>
    <n v="1.0631649484536081"/>
    <n v="1.1269548453608247"/>
    <n v="887.06312000000003"/>
    <n v="139.07296841918304"/>
    <n v="152.06556292078884"/>
    <n v="302.28439633599123"/>
    <n v="120"/>
    <n v="116.4"/>
    <n v="131.17754400000001"/>
    <n v="437.25848000000008"/>
    <d v="2023-01-01T00:00:00"/>
    <s v="2022_1807_02863"/>
    <s v="W2260AD LE2 CLEAR r097x0120 CB1P"/>
    <m/>
    <m/>
    <m/>
    <s v="N/A"/>
    <m/>
    <n v="0.5670103092783505"/>
    <m/>
    <x v="0"/>
    <s v="Clear"/>
  </r>
  <r>
    <s v="Fuyao"/>
    <s v="Hubei"/>
    <s v="Geely"/>
    <s v="Xingyue L"/>
    <s v="OEM"/>
    <x v="1"/>
    <s v="W2241AC"/>
    <s v="L"/>
    <s v="E2"/>
    <s v="Clear"/>
    <x v="0"/>
    <s v="BF010441 (L8 50m), BF011312 (L9 50m)"/>
    <s v="Y"/>
    <s v="L8 &amp; L9"/>
    <x v="24"/>
    <n v="88"/>
    <n v="20"/>
    <s v="N/A"/>
    <s v="N/A"/>
    <n v="0.8"/>
    <n v="130"/>
    <n v="530"/>
    <n v="400"/>
    <n v="150"/>
    <n v="100"/>
    <n v="600"/>
    <n v="500"/>
    <n v="80"/>
    <s v="N/A"/>
    <n v="68"/>
    <n v="1.0788"/>
    <m/>
    <n v="0.97108181818181805"/>
    <n v="1.029346727272727"/>
    <n v="874.69313200000011"/>
    <n v="154.95523548373936"/>
    <n v="169.43159680273283"/>
    <n v="336.80556581003106"/>
    <n v="50"/>
    <n v="44"/>
    <n v="45.29125599999999"/>
    <n v="226.45627999999994"/>
    <d v="2022-02-01T00:00:00"/>
    <s v="2021_1156_02211, 2022_1610_02666, 2022_1643_02699"/>
    <s v="W2241AC LE2 r88x0050 CT1P (L8), W2241AC LE2 CLEAR r88x0050 CB1P (L9)"/>
    <s v="First extruded on L8, then extended to L9"/>
    <m/>
    <m/>
    <s v="N/A"/>
    <m/>
    <n v="0.60227272727272729"/>
    <m/>
    <x v="0"/>
    <s v="Clear"/>
  </r>
  <r>
    <s v="Fuyao"/>
    <s v="Hubei"/>
    <s v="Geely"/>
    <s v="XingYue L SUV (KX11)"/>
    <s v="OEM"/>
    <x v="2"/>
    <s v="W2236AC"/>
    <s v="L"/>
    <s v="E2"/>
    <s v="Clear"/>
    <x v="0"/>
    <s v="BF011798 (1), BF012031 (4)"/>
    <s v="Y"/>
    <s v="L9"/>
    <x v="15"/>
    <n v="95"/>
    <n v="25"/>
    <s v="N/A"/>
    <s v="N/A"/>
    <n v="0.8"/>
    <n v="150"/>
    <n v="550"/>
    <n v="400"/>
    <n v="150"/>
    <n v="150"/>
    <n v="600"/>
    <n v="450"/>
    <n v="100"/>
    <s v="N/A"/>
    <n v="70"/>
    <n v="1.052"/>
    <m/>
    <n v="0.9591578947368421"/>
    <n v="1.0167073684210526"/>
    <n v="871.43787200000008"/>
    <n v="158.902764296443"/>
    <n v="173.74791504827772"/>
    <n v="345.38578364625619"/>
    <n v="174"/>
    <n v="165.3"/>
    <n v="168.06172800000002"/>
    <n v="672.24691200000007"/>
    <d v="2023-06-23T00:00:00"/>
    <s v="2023_2021_03078"/>
    <s v="W2236AC LE2 CLEAR r095x0174 CB1P, W2236AC LE2 CLEAR R095X0174 CB4P"/>
    <m/>
    <m/>
    <m/>
    <s v="N/A"/>
    <m/>
    <n v="0.57894736842105265"/>
    <m/>
    <x v="0"/>
    <m/>
  </r>
  <r>
    <s v="Fuyao"/>
    <s v="Hubei"/>
    <s v="Mitsubishi"/>
    <s v="5A45"/>
    <s v="OEM"/>
    <x v="1"/>
    <s v="W2258AB"/>
    <s v="L"/>
    <s v="E2"/>
    <s v="Clear"/>
    <x v="0"/>
    <s v="BF011546"/>
    <s v="Y"/>
    <s v="L9"/>
    <x v="40"/>
    <n v="106"/>
    <n v="30"/>
    <s v="N/A"/>
    <s v="N/A"/>
    <n v="0.8"/>
    <n v="200"/>
    <n v="600"/>
    <n v="400"/>
    <n v="160"/>
    <n v="150"/>
    <n v="600"/>
    <n v="450"/>
    <n v="160"/>
    <s v="N/A"/>
    <n v="76"/>
    <n v="1.2408000000000001"/>
    <m/>
    <n v="1.082777358490566"/>
    <n v="1.1477440000000001"/>
    <n v="885.76101600000004"/>
    <n v="134.72413607338655"/>
    <n v="147.31045021823675"/>
    <n v="292.83191843638093"/>
    <n v="120"/>
    <n v="127.2"/>
    <n v="145.99303680000003"/>
    <n v="486.64345600000013"/>
    <d v="2023-01-01T00:00:00"/>
    <s v="2022_1807_02863"/>
    <s v="W2258AB LE2 CLEAR r106x0120 CB1P"/>
    <s v="Windshield being phased out?"/>
    <m/>
    <m/>
    <s v="N/A"/>
    <m/>
    <n v="0.56603773584905659"/>
    <m/>
    <x v="0"/>
    <s v="Clear"/>
  </r>
  <r>
    <s v="Fuyao"/>
    <s v="Hubei"/>
    <s v="X-peng"/>
    <s v="K11"/>
    <s v="OEM"/>
    <x v="0"/>
    <s v="W2232AJ"/>
    <s v="L"/>
    <s v="E2"/>
    <s v="Clear"/>
    <x v="0"/>
    <s v="BF012737"/>
    <s v="Y"/>
    <s v="L9"/>
    <x v="50"/>
    <n v="113"/>
    <n v="25"/>
    <s v="N/A"/>
    <s v="N/A"/>
    <n v="0.8"/>
    <n v="250"/>
    <n v="750"/>
    <n v="500"/>
    <n v="130"/>
    <n v="250"/>
    <n v="750"/>
    <n v="500"/>
    <n v="130"/>
    <s v="N/A"/>
    <n v="88"/>
    <n v="1.0816000000000001"/>
    <m/>
    <n v="0.97195044247787621"/>
    <n v="1.0302674690265488"/>
    <n v="868.833664"/>
    <n v="154.55409397176223"/>
    <n v="168.99297950331749"/>
    <n v="335.93365791037485"/>
    <n v="169"/>
    <n v="190.97"/>
    <n v="196.75017856000002"/>
    <n v="787.00071424000009"/>
    <d v="2025-03-01T00:00:00"/>
    <s v="2024_2939_03997"/>
    <m/>
    <m/>
    <m/>
    <m/>
    <m/>
    <m/>
    <m/>
    <m/>
    <x v="1"/>
    <m/>
  </r>
  <r>
    <s v="Fuyao"/>
    <s v="Hubei"/>
    <m/>
    <m/>
    <m/>
    <x v="1"/>
    <s v="W2252AQT"/>
    <s v="L"/>
    <s v="E2"/>
    <s v="Clear"/>
    <x v="0"/>
    <s v="BF011939"/>
    <s v="Y"/>
    <s v="L9"/>
    <x v="28"/>
    <n v="115"/>
    <n v="30"/>
    <s v="N/A"/>
    <s v="N/A"/>
    <n v="0.8"/>
    <n v="200"/>
    <n v="600"/>
    <n v="400"/>
    <n v="250"/>
    <n v="200"/>
    <n v="600"/>
    <n v="400"/>
    <n v="250"/>
    <s v="N/A"/>
    <n v="85"/>
    <n v="1.242"/>
    <m/>
    <n v="1.0786521739130435"/>
    <n v="1.1433713043478262"/>
    <n v="881.85470400000008"/>
    <n v="134.59396782597264"/>
    <n v="147.16812128082785"/>
    <n v="292.54898904658734"/>
    <n v="147"/>
    <n v="169.05"/>
    <n v="193.28691900000004"/>
    <n v="644.28973000000019"/>
    <s v="Never"/>
    <s v="2023_2120_03177, 2024_2777_03835"/>
    <s v="W2252AQ LE2 CLEAR r115x0147 CB4P"/>
    <m/>
    <m/>
    <m/>
    <m/>
    <m/>
    <n v="0.52173913043478259"/>
    <m/>
    <x v="0"/>
    <m/>
  </r>
  <r>
    <s v="Fuyao"/>
    <s v="R&amp;D"/>
    <s v="GM"/>
    <s v="E2ZO"/>
    <s v="OEM"/>
    <x v="1"/>
    <s v="W2244AA"/>
    <s v="L"/>
    <s v="E2"/>
    <s v="Clear"/>
    <x v="0"/>
    <s v="BF008989"/>
    <s v="Y"/>
    <s v="L8"/>
    <x v="16"/>
    <n v="110"/>
    <n v="30"/>
    <s v="N/A"/>
    <s v="N/A"/>
    <n v="0.8"/>
    <n v="200"/>
    <n v="600"/>
    <n v="400"/>
    <n v="200"/>
    <m/>
    <m/>
    <n v="0"/>
    <n v="800"/>
    <s v="N/A"/>
    <n v="80"/>
    <n v="1.1520000000000001"/>
    <m/>
    <n v="1.0240000000000002"/>
    <n v="1.0854400000000002"/>
    <n v="876.64628800000003"/>
    <n v="145.10912156237674"/>
    <n v="158.66563075589249"/>
    <n v="315.40437881585194"/>
    <n v="50"/>
    <n v="55"/>
    <n v="59.699200000000012"/>
    <n v="198.99733333333339"/>
    <d v="2020-01-01T00:00:00"/>
    <s v="2020_0003_01054"/>
    <s v="W2244AA LE2 CLEAR R110x0050 W18P"/>
    <s v="Export market. Low volume and unstable demand."/>
    <n v="2"/>
    <s v="ghosting, image always high but they actually wanted 0.47mrad"/>
    <s v="N/A"/>
    <m/>
    <n v="0.54545454545454541"/>
    <m/>
    <x v="0"/>
    <s v="Clear"/>
  </r>
  <r>
    <s v="Fuyao"/>
    <s v="Shanghai"/>
    <s v="Buick"/>
    <s v="Envision"/>
    <s v="OEM"/>
    <x v="1"/>
    <s v="W2256AA"/>
    <s v="L"/>
    <s v="E2"/>
    <s v="Clear"/>
    <x v="0"/>
    <s v="BF010670, BF011315 (L9 50m)"/>
    <s v="Y"/>
    <s v="L8 &amp; L9"/>
    <x v="51"/>
    <n v="105"/>
    <n v="30"/>
    <s v="N/A"/>
    <s v="N/A"/>
    <n v="0.8"/>
    <n v="278"/>
    <n v="424"/>
    <n v="146"/>
    <n v="326"/>
    <n v="160"/>
    <n v="560"/>
    <n v="400"/>
    <n v="190"/>
    <s v="N/A"/>
    <n v="75"/>
    <n v="1.2200000000000002"/>
    <m/>
    <n v="1.0700000000000003"/>
    <n v="1.1342000000000003"/>
    <n v="884.45891200000005"/>
    <n v="137.02107216381802"/>
    <n v="149.821972648187"/>
    <n v="297.82446261955852"/>
    <n v="50"/>
    <n v="52.5"/>
    <n v="59.545500000000018"/>
    <n v="198.48500000000007"/>
    <s v="Mar 22 on L8, Nov '22 on L9"/>
    <s v="2022_1272_02327, 2022_1643_02699"/>
    <s v="W2256AA LE2 CLEAR r105x0050 CT1P, W2256AA LE2 CLEAR r105x0050 CB1P"/>
    <m/>
    <m/>
    <m/>
    <s v="N/A"/>
    <m/>
    <n v="0.40380952380952378"/>
    <m/>
    <x v="0"/>
    <s v="Clear"/>
  </r>
  <r>
    <s v="Fuyao"/>
    <s v="Shanghai"/>
    <s v="Chery"/>
    <s v="T18L"/>
    <s v="OEM"/>
    <x v="0"/>
    <s v="W2256AGT"/>
    <s v="L"/>
    <s v="E2"/>
    <s v="Clear"/>
    <x v="0"/>
    <s v="BF011913 (CB4P), BF012401 (CB1P)"/>
    <s v="Y"/>
    <s v="L9"/>
    <x v="51"/>
    <n v="105"/>
    <n v="30"/>
    <s v="N/A"/>
    <s v="N/A"/>
    <n v="0.8"/>
    <n v="200"/>
    <n v="600"/>
    <n v="400"/>
    <n v="150"/>
    <n v="200"/>
    <n v="600"/>
    <n v="400"/>
    <n v="150"/>
    <s v="N/A"/>
    <n v="75"/>
    <n v="1.2200000000000002"/>
    <m/>
    <n v="1.0700000000000003"/>
    <n v="1.1342000000000003"/>
    <n v="884.45891200000005"/>
    <n v="137.02107216381802"/>
    <n v="149.821972648187"/>
    <n v="297.82446261955852"/>
    <n v="150"/>
    <n v="157.5"/>
    <n v="178.63650000000004"/>
    <n v="595.45500000000015"/>
    <d v="2023-07-01T00:00:00"/>
    <s v="2023_2089_03146, 2024_2777_03835"/>
    <s v="W2256AG LE2 CLEAR r105x0150 CB4P, W2256AG LE2 CLEAR r105x0150 CB1P"/>
    <s v="Shaped. Replacing W2258AG?"/>
    <m/>
    <m/>
    <s v="N/A"/>
    <m/>
    <n v="0.5714285714285714"/>
    <m/>
    <x v="0"/>
    <s v="Clear"/>
  </r>
  <r>
    <s v="Fuyao"/>
    <s v="Shanghai"/>
    <s v="Ford"/>
    <s v="U625"/>
    <s v="OEM"/>
    <x v="0"/>
    <s v="W2240AOT"/>
    <s v="L"/>
    <s v="E2"/>
    <s v="Clear"/>
    <x v="0"/>
    <s v="BF011814"/>
    <s v="Y"/>
    <s v="L9"/>
    <x v="44"/>
    <n v="105"/>
    <n v="30"/>
    <s v="N/A"/>
    <s v="N/A"/>
    <n v="0.8"/>
    <n v="200"/>
    <n v="600"/>
    <n v="400"/>
    <n v="150"/>
    <n v="200"/>
    <n v="600"/>
    <n v="400"/>
    <n v="150"/>
    <s v="N/A"/>
    <n v="75"/>
    <n v="1.1000000000000001"/>
    <m/>
    <n v="0.99285714285714288"/>
    <n v="1.0524285714285715"/>
    <n v="874.04208000000006"/>
    <n v="151.96882549078001"/>
    <n v="166.16618784617106"/>
    <n v="330.31440399623767"/>
    <n v="166"/>
    <n v="174.3"/>
    <n v="183.43830000000003"/>
    <n v="611.46100000000013"/>
    <d v="2023-06-23T00:00:00"/>
    <s v="2023_2030_03087, 2024_2777_03835"/>
    <s v="W2240AO LE2 CLEAR r105x0166 CB4P"/>
    <m/>
    <m/>
    <m/>
    <m/>
    <m/>
    <n v="0.5714285714285714"/>
    <m/>
    <x v="0"/>
    <m/>
  </r>
  <r>
    <s v="Fuyao"/>
    <s v="Shanghai"/>
    <s v="Geely"/>
    <s v="DCY11"/>
    <s v="OEM"/>
    <x v="1"/>
    <s v="W2264AF"/>
    <s v="L"/>
    <s v="E2"/>
    <s v="Clear"/>
    <x v="0"/>
    <s v="BF011642"/>
    <s v="Y"/>
    <s v="L9"/>
    <x v="11"/>
    <n v="98"/>
    <n v="30"/>
    <s v="N/A"/>
    <s v="N/A"/>
    <n v="0.8"/>
    <n v="160"/>
    <n v="560"/>
    <n v="400"/>
    <n v="120"/>
    <n v="150"/>
    <n v="600"/>
    <n v="450"/>
    <n v="80"/>
    <s v="N/A"/>
    <n v="68"/>
    <n v="1.2352000000000001"/>
    <m/>
    <n v="1.0842122448979592"/>
    <n v="1.1492649795918366"/>
    <n v="889.66732800000011"/>
    <n v="135.33493202708712"/>
    <n v="147.97830847699819"/>
    <n v="294.15952428421429"/>
    <n v="120"/>
    <n v="117.6"/>
    <n v="135.15356159999999"/>
    <n v="450.51187199999998"/>
    <s v="Never"/>
    <s v="2023_1903_02960"/>
    <s v="W2264AF LE2 CLEAR r098x0120 CB1P"/>
    <m/>
    <m/>
    <m/>
    <s v="N/A"/>
    <m/>
    <n v="0.5714285714285714"/>
    <m/>
    <x v="0"/>
    <s v="Clear"/>
  </r>
  <r>
    <s v="Fuyao"/>
    <s v="Shanghai"/>
    <s v="Geely"/>
    <s v="EF1E"/>
    <s v="OEM"/>
    <x v="0"/>
    <s v="W2235AKT"/>
    <s v="L"/>
    <s v="E2"/>
    <s v="Clear"/>
    <x v="0"/>
    <s v="BF012880"/>
    <s v="Y"/>
    <s v="L9"/>
    <x v="7"/>
    <n v="130"/>
    <n v="30"/>
    <s v="N/A"/>
    <s v="N/A"/>
    <n v="0.8"/>
    <n v="250"/>
    <n v="650"/>
    <n v="400"/>
    <n v="350"/>
    <n v="250"/>
    <n v="650"/>
    <n v="400"/>
    <n v="350"/>
    <s v="N/A"/>
    <n v="100"/>
    <n v="1.1499999999999999"/>
    <m/>
    <n v="1.0153846153846153"/>
    <n v="1.0763076923076922"/>
    <n v="870.78682000000003"/>
    <n v="145.36148525205047"/>
    <n v="158.94157098329407"/>
    <n v="315.95290817031434"/>
    <n v="159"/>
    <n v="206.7"/>
    <n v="222.47279999999995"/>
    <n v="741.57599999999991"/>
    <s v="?"/>
    <s v="2025-0161-0301"/>
    <s v="W2235AK LE2 CLEAR r130x0159 CB1P"/>
    <m/>
    <m/>
    <m/>
    <m/>
    <m/>
    <n v="0.5"/>
    <m/>
    <x v="1"/>
    <m/>
  </r>
  <r>
    <s v="Fuyao"/>
    <s v="Shanghai"/>
    <s v="Geely"/>
    <s v="FY11 (or FX11?)"/>
    <s v="OEM"/>
    <x v="0"/>
    <s v="W2233ACT"/>
    <s v="L"/>
    <s v="E2"/>
    <s v="Clear"/>
    <x v="0"/>
    <s v="BF011815"/>
    <s v="Y"/>
    <s v="L9"/>
    <x v="27"/>
    <n v="103"/>
    <n v="30"/>
    <s v="N/A"/>
    <s v="N/A"/>
    <n v="0.8"/>
    <n v="200"/>
    <n v="600"/>
    <n v="400"/>
    <n v="130"/>
    <n v="200"/>
    <n v="600"/>
    <n v="400"/>
    <n v="130"/>
    <s v="N/A"/>
    <n v="73"/>
    <n v="1.0409000000000002"/>
    <m/>
    <n v="0.95553252427184476"/>
    <n v="1.0128644757281553"/>
    <n v="869.48471600000005"/>
    <n v="160.59727931584015"/>
    <n v="175.60073650762624"/>
    <n v="349.06892534908388"/>
    <n v="176"/>
    <n v="181.28"/>
    <n v="183.61207216"/>
    <n v="612.0402405333333"/>
    <d v="2023-06-23T00:00:00"/>
    <s v="2023_2030_03087, 2024_2777_03835"/>
    <s v="W2233ACT LE2 CLEAR r103x0176 CB4P"/>
    <s v="For stretching"/>
    <m/>
    <m/>
    <m/>
    <m/>
    <n v="0.58252427184466016"/>
    <m/>
    <x v="0"/>
    <m/>
  </r>
  <r>
    <s v="Fuyao"/>
    <s v="Shanghai"/>
    <s v="Geely"/>
    <s v="FY11 (or FX11?)"/>
    <s v="OEM"/>
    <x v="0"/>
    <s v="W5056AA"/>
    <s v="F"/>
    <s v="R3"/>
    <s v="Clear"/>
    <x v="1"/>
    <s v="BF011646"/>
    <m/>
    <s v="L6"/>
    <x v="51"/>
    <n v="93"/>
    <n v="30"/>
    <s v="N/A"/>
    <s v="N/A"/>
    <n v="0.76"/>
    <n v="110"/>
    <n v="510"/>
    <n v="400"/>
    <n v="120"/>
    <n v="100"/>
    <n v="550"/>
    <n v="450"/>
    <n v="80"/>
    <s v="N/A"/>
    <n v="63"/>
    <n v="1.1128"/>
    <m/>
    <n v="0.99330322580645158"/>
    <n v="1.0578679354838709"/>
    <n v="846.030888"/>
    <n v="150.22080161741377"/>
    <n v="164.2548585826637"/>
    <n v="326.51495722129891"/>
    <n v="120"/>
    <n v="111.6"/>
    <n v="118.05806159999999"/>
    <n v="393.52687199999997"/>
    <s v="?"/>
    <s v="2023_1903_02960"/>
    <s v="W5056AA FR3 CLEAR r093x0120 CB1P"/>
    <s v="Switching to acoustic?"/>
    <m/>
    <m/>
    <s v="N/A"/>
    <m/>
    <n v="0.54838709677419351"/>
    <m/>
    <x v="2"/>
    <s v="Clear"/>
  </r>
  <r>
    <s v="Fuyao"/>
    <s v="Shanghai"/>
    <s v="Geely"/>
    <s v="FY11-J1"/>
    <s v="OEM"/>
    <x v="0"/>
    <s v="W2256AFT"/>
    <s v="L"/>
    <s v="E2"/>
    <s v="Clear"/>
    <x v="0"/>
    <s v="BF011728"/>
    <s v="Y"/>
    <s v="L9"/>
    <x v="51"/>
    <n v="96"/>
    <n v="30"/>
    <s v="N/A"/>
    <s v="N/A"/>
    <n v="0.8"/>
    <n v="150"/>
    <n v="540"/>
    <n v="390"/>
    <n v="120"/>
    <n v="150"/>
    <n v="550"/>
    <n v="400"/>
    <n v="110"/>
    <s v="N/A"/>
    <n v="66"/>
    <n v="1.1696"/>
    <m/>
    <n v="1.0425500000000001"/>
    <n v="1.1051030000000002"/>
    <n v="884.45891200000005"/>
    <n v="142.92553696978285"/>
    <n v="156.27804944492834"/>
    <n v="310.65821169276802"/>
    <n v="156"/>
    <n v="149.76"/>
    <n v="165.50022528000002"/>
    <n v="551.66741760000014"/>
    <d v="2023-04-23T00:00:00"/>
    <s v="2023_1957_03014, 2024_2777_03835"/>
    <s v="W2256AF LE2 CLEAR r096x0156 CB4P"/>
    <m/>
    <m/>
    <m/>
    <s v="N/A"/>
    <m/>
    <n v="0.5625"/>
    <m/>
    <x v="0"/>
    <s v="Clear"/>
  </r>
  <r>
    <s v="Fuyao"/>
    <s v="Shanghai"/>
    <s v="GM"/>
    <s v="E2QL"/>
    <s v="OEM"/>
    <x v="1"/>
    <s v="W2247AET"/>
    <s v="L"/>
    <s v="E2"/>
    <s v="Clear"/>
    <x v="0"/>
    <s v="BF011813"/>
    <s v="Y"/>
    <s v="L9"/>
    <x v="25"/>
    <n v="105"/>
    <n v="30"/>
    <s v="N/A"/>
    <s v="N/A"/>
    <n v="0.8"/>
    <n v="200"/>
    <n v="600"/>
    <n v="400"/>
    <n v="150"/>
    <n v="200"/>
    <n v="600"/>
    <n v="400"/>
    <n v="150"/>
    <s v="N/A"/>
    <n v="75"/>
    <n v="1.1524999999999999"/>
    <m/>
    <n v="1.0266071428571428"/>
    <n v="1.0882035714285714"/>
    <n v="878.59944400000006"/>
    <n v="145.04616749662304"/>
    <n v="158.59679534124788"/>
    <n v="315.26754394434835"/>
    <n v="159"/>
    <n v="166.95"/>
    <n v="181.67558624999998"/>
    <n v="605.58528749999994"/>
    <s v="Never"/>
    <s v="2023_2030_03087, 2024_2777_03835"/>
    <s v="W2247AE LE2 CLEAR r105x0159 CB4P"/>
    <m/>
    <m/>
    <m/>
    <m/>
    <m/>
    <n v="0.5714285714285714"/>
    <m/>
    <x v="0"/>
    <m/>
  </r>
  <r>
    <s v="Fuyao"/>
    <s v="Shanghai"/>
    <s v="Great Wall"/>
    <s v="B01"/>
    <s v="OEM"/>
    <x v="0"/>
    <s v="W2256AB"/>
    <s v="L"/>
    <s v="E2"/>
    <s v="Clear"/>
    <x v="0"/>
    <s v="BF011545"/>
    <s v="Y"/>
    <s v="L9"/>
    <x v="51"/>
    <n v="98"/>
    <n v="30"/>
    <s v="N/A"/>
    <s v="N/A"/>
    <n v="0.8"/>
    <n v="150"/>
    <n v="550"/>
    <n v="400"/>
    <n v="130"/>
    <n v="150"/>
    <n v="550"/>
    <n v="400"/>
    <n v="130"/>
    <s v="N/A"/>
    <n v="68"/>
    <n v="1.1808000000000001"/>
    <m/>
    <n v="1.0486857142857142"/>
    <n v="1.1116068571428572"/>
    <n v="884.45891200000005"/>
    <n v="141.56987469500172"/>
    <n v="154.79573732282196"/>
    <n v="307.71158908863606"/>
    <n v="120"/>
    <n v="117.6"/>
    <n v="130.7249664"/>
    <n v="435.749888"/>
    <d v="2023-02-23T00:00:00"/>
    <s v="2022_1807_02863"/>
    <s v="W2256AB LE2 CLEAR r098x0120 CB1P"/>
    <s v="Shaped version. (Unshaped is at Tianjin.)"/>
    <m/>
    <m/>
    <s v="N/A"/>
    <m/>
    <n v="0.56122448979591832"/>
    <m/>
    <x v="0"/>
    <s v="Clear"/>
  </r>
  <r>
    <s v="Fuyao"/>
    <s v="Shanghai"/>
    <s v="LiXiang"/>
    <s v="L7 (X03)"/>
    <s v="OEM"/>
    <x v="1"/>
    <s v="W2258AG"/>
    <s v="L"/>
    <s v="E2"/>
    <s v="Clear"/>
    <x v="0"/>
    <s v="BF011727"/>
    <s v="Y"/>
    <s v="L9"/>
    <x v="40"/>
    <n v="105"/>
    <n v="30"/>
    <s v="N/A"/>
    <s v="N/A"/>
    <n v="0.8"/>
    <n v="200"/>
    <n v="600"/>
    <n v="400"/>
    <n v="150"/>
    <n v="150"/>
    <n v="600"/>
    <n v="450"/>
    <n v="150"/>
    <s v="N/A"/>
    <n v="75"/>
    <n v="1.2349999999999999"/>
    <m/>
    <n v="1.0796428571428571"/>
    <n v="1.1444214285714285"/>
    <n v="885.76101600000004"/>
    <n v="135.35684861526968"/>
    <n v="148.00227257553701"/>
    <n v="294.20716145413888"/>
    <n v="148"/>
    <n v="155.4"/>
    <n v="177.84308999999999"/>
    <n v="592.81029999999998"/>
    <d v="2023-04-23T00:00:00"/>
    <s v="2023_1957_03014"/>
    <s v="W2258AG LE2 CLEAR r105x0148 CB4P"/>
    <s v="Should never have been created. Same design as W2258AC (Changchun). But lives on since 4-roll pkg. W2258AC is obsolete."/>
    <m/>
    <m/>
    <s v="N/A"/>
    <m/>
    <n v="0.5714285714285714"/>
    <m/>
    <x v="0"/>
    <s v="Clear"/>
  </r>
  <r>
    <s v="Fuyao"/>
    <s v="Shanghai"/>
    <s v="LiXiang"/>
    <s v="L7 (X03)"/>
    <s v="OEM"/>
    <x v="1"/>
    <s v="W2258AD"/>
    <s v="L"/>
    <s v="E2"/>
    <s v="Clear"/>
    <x v="0"/>
    <s v="BF011641"/>
    <s v="Y"/>
    <s v="L9"/>
    <x v="40"/>
    <n v="107"/>
    <n v="30"/>
    <s v="N/A"/>
    <s v="N/A"/>
    <n v="0.8"/>
    <n v="200"/>
    <n v="600"/>
    <n v="400"/>
    <n v="170"/>
    <n v="150"/>
    <n v="600"/>
    <n v="450"/>
    <n v="170"/>
    <s v="N/A"/>
    <n v="77"/>
    <n v="1.2465999999999999"/>
    <m/>
    <n v="1.0859074766355139"/>
    <n v="1.1510619252336447"/>
    <n v="885.76101600000004"/>
    <n v="134.09731111812775"/>
    <n v="146.62506548274362"/>
    <n v="291.46947248183983"/>
    <n v="120"/>
    <n v="128.4"/>
    <n v="147.79635119999998"/>
    <n v="492.65450399999992"/>
    <d v="2023-03-01T00:00:00"/>
    <s v="2023_1903_02960"/>
    <s v="W2258AD LE2 CLEAR r107x0120 CB1P"/>
    <s v="Replaced by W2258AG"/>
    <m/>
    <m/>
    <s v="N/A"/>
    <m/>
    <n v="0.56074766355140182"/>
    <m/>
    <x v="0"/>
    <s v="Clear"/>
  </r>
  <r>
    <s v="Fuyao"/>
    <s v="Shanghai"/>
    <s v="LiXiang"/>
    <s v="L7 (X03)"/>
    <s v="OEM"/>
    <x v="0"/>
    <s v="W2260AKT"/>
    <s v="L"/>
    <s v="E2"/>
    <s v="Clear"/>
    <x v="0"/>
    <m/>
    <s v="Y"/>
    <s v="L9"/>
    <x v="21"/>
    <n v="110"/>
    <n v="27"/>
    <s v="N/A"/>
    <s v="N/A"/>
    <n v="0.8"/>
    <n v="150"/>
    <n v="700"/>
    <n v="550"/>
    <n v="130"/>
    <n v="150"/>
    <n v="700"/>
    <n v="550"/>
    <n v="130"/>
    <s v="N/A"/>
    <n v="83"/>
    <n v="1.298"/>
    <m/>
    <n v="1.1101181818181818"/>
    <n v="1.1767252727272728"/>
    <n v="887.06312000000003"/>
    <n v="128.78714024642375"/>
    <n v="140.81880325946702"/>
    <n v="279.92746101376076"/>
    <n v="141"/>
    <n v="155.1"/>
    <n v="182.5100898"/>
    <n v="675.96329555555553"/>
    <d v="2024-12-01T00:00:00"/>
    <s v="2024_2836_03894"/>
    <m/>
    <m/>
    <m/>
    <m/>
    <m/>
    <m/>
    <n v="0.63636363636363635"/>
    <m/>
    <x v="1"/>
    <m/>
  </r>
  <r>
    <s v="Fuyao"/>
    <s v="Shanghai"/>
    <s v="LiXiang"/>
    <s v="L7 (X03)"/>
    <s v="OEM"/>
    <x v="1"/>
    <s v="W2266AA"/>
    <s v="L"/>
    <s v="E2"/>
    <s v="Clear"/>
    <x v="0"/>
    <s v="BF011684"/>
    <s v="Y"/>
    <s v="L9"/>
    <x v="53"/>
    <n v="99"/>
    <n v="30"/>
    <s v="N/A"/>
    <s v="N/A"/>
    <n v="0.8"/>
    <n v="150"/>
    <n v="550"/>
    <n v="400"/>
    <n v="140"/>
    <n v="150"/>
    <n v="600"/>
    <n v="450"/>
    <n v="90"/>
    <s v="N/A"/>
    <n v="69"/>
    <n v="1.2554000000000001"/>
    <m/>
    <n v="1.0966999999999998"/>
    <n v="1.1625019999999997"/>
    <n v="890.9694320000001"/>
    <n v="133.15732678019597"/>
    <n v="145.5972651193151"/>
    <n v="289.42635366883974"/>
    <n v="146"/>
    <n v="144.54"/>
    <n v="168.02803907999996"/>
    <n v="560.09346359999984"/>
    <d v="2023-04-23T00:00:00"/>
    <s v="2023_1920_02977"/>
    <s v="W2266AA LE2 CLEAR r099x0146 CB4P"/>
    <s v="Straight cut"/>
    <m/>
    <m/>
    <s v="N/A"/>
    <m/>
    <n v="0.55555555555555558"/>
    <m/>
    <x v="0"/>
    <s v="Clear"/>
  </r>
  <r>
    <s v="Fuyao"/>
    <s v="Shanghai"/>
    <m/>
    <s v="CC1E"/>
    <s v="OEM"/>
    <x v="0"/>
    <s v="W2223ADT"/>
    <s v="L"/>
    <s v="E2"/>
    <s v="Clear"/>
    <x v="0"/>
    <s v="BF012892"/>
    <s v="Y"/>
    <s v="L9"/>
    <x v="9"/>
    <n v="121"/>
    <n v="30"/>
    <s v="N/A"/>
    <s v="N/A"/>
    <n v="0.8"/>
    <n v="200"/>
    <n v="650"/>
    <n v="450"/>
    <n v="260"/>
    <n v="200"/>
    <n v="650"/>
    <n v="450"/>
    <n v="260"/>
    <s v="N/A"/>
    <n v="91"/>
    <n v="1.0093000000000001"/>
    <m/>
    <n v="0.93059628099173575"/>
    <n v="0.98643205785123989"/>
    <n v="862.97419600000001"/>
    <n v="165.62539189523235"/>
    <n v="181.09858974614897"/>
    <n v="359.99786425825965"/>
    <n v="181"/>
    <n v="219.01"/>
    <n v="216.03848499000003"/>
    <n v="720.12828330000013"/>
    <d v="2025-07-01T00:00:00"/>
    <s v="2025-0186-0327"/>
    <m/>
    <m/>
    <m/>
    <m/>
    <m/>
    <m/>
    <m/>
    <m/>
    <x v="1"/>
    <m/>
  </r>
  <r>
    <s v="Fuyao"/>
    <s v="Shanghai"/>
    <s v="LiXiang"/>
    <s v="X04"/>
    <s v="OEM"/>
    <x v="0"/>
    <s v="W2258AJT"/>
    <s v="L"/>
    <s v="E2"/>
    <s v="Clear"/>
    <x v="0"/>
    <m/>
    <s v="Y"/>
    <s v="L9"/>
    <x v="40"/>
    <n v="107"/>
    <n v="24"/>
    <s v="N/A"/>
    <s v="N/A"/>
    <n v="0.8"/>
    <n v="150"/>
    <n v="700"/>
    <n v="550"/>
    <n v="130"/>
    <n v="150"/>
    <n v="700"/>
    <n v="550"/>
    <n v="130"/>
    <s v="N/A"/>
    <n v="83"/>
    <n v="1.2814000000000001"/>
    <m/>
    <n v="1.0946887850467293"/>
    <n v="1.1603701121495331"/>
    <n v="885.76101600000004"/>
    <n v="130.45552367711724"/>
    <n v="142.6430518423507"/>
    <n v="283.5538039611842"/>
    <n v="143"/>
    <n v="153.01"/>
    <n v="177.54823086000005"/>
    <n v="739.78429525000024"/>
    <d v="2024-12-01T00:00:00"/>
    <s v="2024_2836_03894"/>
    <m/>
    <m/>
    <m/>
    <m/>
    <m/>
    <m/>
    <n v="0.65420560747663548"/>
    <m/>
    <x v="1"/>
    <m/>
  </r>
  <r>
    <s v="Fuyao"/>
    <s v="Shanghai"/>
    <s v="LiXiang"/>
    <s v="X04"/>
    <s v="OEM"/>
    <x v="0"/>
    <s v="W2256AJT"/>
    <s v="L"/>
    <s v="E2"/>
    <s v="Clear"/>
    <x v="0"/>
    <s v="BF012891 (CB1P), _____ (CB4P)"/>
    <s v="Y"/>
    <s v="L9"/>
    <x v="51"/>
    <n v="107"/>
    <n v="24"/>
    <s v="N/A"/>
    <s v="N/A"/>
    <n v="0.8"/>
    <n v="150"/>
    <n v="700"/>
    <n v="550"/>
    <n v="130"/>
    <n v="150"/>
    <n v="700"/>
    <n v="550"/>
    <n v="130"/>
    <s v="N/A"/>
    <n v="83"/>
    <n v="1.2648000000000001"/>
    <m/>
    <n v="1.0845271028037382"/>
    <n v="1.1495987289719625"/>
    <n v="884.45891200000005"/>
    <n v="132.16770085377769"/>
    <n v="144.51518550821328"/>
    <n v="287.27533554384996"/>
    <n v="145"/>
    <n v="155.15"/>
    <n v="178.36024279999998"/>
    <n v="743.16767833333324"/>
    <s v="?"/>
    <s v="2025-0186-0327, 2025-0198-0343"/>
    <m/>
    <m/>
    <m/>
    <m/>
    <m/>
    <m/>
    <m/>
    <m/>
    <x v="1"/>
    <m/>
  </r>
  <r>
    <s v="Fuyao"/>
    <s v="Shanghai"/>
    <s v="Zeekr"/>
    <s v="007/007GT"/>
    <s v="OEM"/>
    <x v="0"/>
    <s v="W2230AFT"/>
    <s v="L"/>
    <s v="E2"/>
    <s v="Clear"/>
    <x v="0"/>
    <m/>
    <s v="Y"/>
    <s v="L9"/>
    <x v="14"/>
    <n v="108"/>
    <n v="25"/>
    <s v="N/A"/>
    <s v="N/A"/>
    <n v="0.8"/>
    <n v="200"/>
    <n v="700"/>
    <n v="500"/>
    <n v="130"/>
    <n v="200"/>
    <n v="700"/>
    <n v="500"/>
    <n v="130"/>
    <s v="N/A"/>
    <n v="83"/>
    <n v="1.0489999999999999"/>
    <m/>
    <n v="0.95331944444444427"/>
    <n v="1.0105186111111109"/>
    <n v="867.53156000000013"/>
    <n v="159.35720499509824"/>
    <n v="174.24481089684289"/>
    <n v="346.37354089214637"/>
    <n v="174"/>
    <n v="187.92"/>
    <n v="189.89665739999995"/>
    <n v="759.58662959999981"/>
    <s v="?"/>
    <s v="2025-0242-0387"/>
    <m/>
    <m/>
    <m/>
    <m/>
    <m/>
    <m/>
    <m/>
    <m/>
    <x v="1"/>
    <m/>
  </r>
  <r>
    <s v="Fuyao"/>
    <s v="Shanghai"/>
    <s v="NIO"/>
    <s v="Pegasus"/>
    <s v="OEM"/>
    <x v="0"/>
    <s v="W2232AKT"/>
    <s v="L"/>
    <s v="E2"/>
    <s v="Clear"/>
    <x v="0"/>
    <s v="tbd"/>
    <s v="Y"/>
    <s v="L9"/>
    <x v="50"/>
    <n v="123"/>
    <n v="10"/>
    <s v="N/A"/>
    <s v="N/A"/>
    <n v="0.8"/>
    <n v="300"/>
    <n v="800"/>
    <n v="500"/>
    <n v="330"/>
    <n v="300"/>
    <n v="800"/>
    <n v="500"/>
    <n v="330"/>
    <s v="N/A"/>
    <n v="113"/>
    <n v="1.1616"/>
    <m/>
    <n v="0.9954991869918699"/>
    <n v="1.0552291382113821"/>
    <n v="868.833664"/>
    <n v="143.90987262384473"/>
    <n v="157.35434455129837"/>
    <n v="312.79773105704328"/>
    <n v="157"/>
    <n v="193.11"/>
    <n v="203.77529888000001"/>
    <n v="2037.7529887999999"/>
    <d v="2025-08-01T00:00:00"/>
    <s v="2025-0224-0369"/>
    <s v="W2232AKT LE2 CLEAR r123x0157 CB1P"/>
    <m/>
    <m/>
    <m/>
    <m/>
    <m/>
    <m/>
    <m/>
    <x v="1"/>
    <m/>
  </r>
  <r>
    <s v="Fuyao"/>
    <s v="Shanghai"/>
    <s v="NIO"/>
    <s v="Pegasus"/>
    <s v="OEM"/>
    <x v="0"/>
    <s v="W2235AI"/>
    <s v="L"/>
    <s v="E2"/>
    <s v="Clear"/>
    <x v="0"/>
    <s v="BF012810"/>
    <s v="Y"/>
    <s v="L9"/>
    <x v="7"/>
    <n v="123"/>
    <n v="30"/>
    <s v="N/A"/>
    <s v="N/A"/>
    <n v="0.8"/>
    <n v="300"/>
    <n v="750"/>
    <n v="450"/>
    <n v="180"/>
    <n v="300"/>
    <n v="750"/>
    <n v="450"/>
    <n v="180"/>
    <s v="N/A"/>
    <n v="93"/>
    <n v="1.1254999999999999"/>
    <m/>
    <n v="1.0024451219512194"/>
    <n v="1.0625918292682925"/>
    <n v="870.78682000000003"/>
    <n v="148.52572904474283"/>
    <n v="162.40142748181978"/>
    <n v="322.83060363914836"/>
    <n v="162"/>
    <n v="199.26"/>
    <n v="211.73204789999997"/>
    <n v="705.77349299999992"/>
    <d v="2025-03-01T00:00:00"/>
    <s v="2025-0050-0186"/>
    <s v="W2235AI LE2 CLEAR r123x0162 CB1P"/>
    <m/>
    <m/>
    <m/>
    <m/>
    <m/>
    <n v="0.6097560975609756"/>
    <m/>
    <x v="0"/>
    <m/>
  </r>
  <r>
    <s v="Fuyao"/>
    <s v="Shanghai"/>
    <s v="NIO"/>
    <s v="Pegasus"/>
    <s v="OEM"/>
    <x v="0"/>
    <s v="W2235AJ"/>
    <s v="L"/>
    <s v="E2"/>
    <s v="Clear"/>
    <x v="0"/>
    <s v="BF012879"/>
    <s v="Y"/>
    <s v="L9"/>
    <x v="7"/>
    <n v="123"/>
    <n v="10"/>
    <s v="N/A"/>
    <s v="N/A"/>
    <n v="0.8"/>
    <n v="300"/>
    <n v="800"/>
    <n v="500"/>
    <n v="330"/>
    <n v="300"/>
    <n v="800"/>
    <n v="500"/>
    <n v="330"/>
    <s v="N/A"/>
    <n v="113"/>
    <n v="1.1955"/>
    <m/>
    <n v="1.0138272357723577"/>
    <n v="1.0746568699186991"/>
    <n v="870.78682000000003"/>
    <n v="139.82911588444836"/>
    <n v="152.89235184507584"/>
    <n v="303.92793341351859"/>
    <n v="120"/>
    <n v="147.6"/>
    <n v="158.61935399999999"/>
    <n v="1586.1935399999998"/>
    <s v="?"/>
    <s v="2025-0161-0301, 2025-019-0336"/>
    <s v="W2235AJ LE2 CLEAR r123x0120 CB1P"/>
    <m/>
    <m/>
    <m/>
    <m/>
    <m/>
    <n v="0.65040650406504064"/>
    <m/>
    <x v="0"/>
    <m/>
  </r>
  <r>
    <s v="Fuyao"/>
    <s v="Shanghai"/>
    <s v="NIO"/>
    <s v="Sirius"/>
    <s v="OEM"/>
    <x v="0"/>
    <s v="W2246AFT"/>
    <s v="L"/>
    <s v="E2"/>
    <s v="Clear"/>
    <x v="0"/>
    <s v="BF012809"/>
    <s v="Y"/>
    <s v="L9"/>
    <x v="37"/>
    <n v="108"/>
    <n v="30"/>
    <s v="N/A"/>
    <s v="N/A"/>
    <n v="0.8"/>
    <n v="200"/>
    <n v="600"/>
    <n v="400"/>
    <n v="180"/>
    <n v="200"/>
    <n v="600"/>
    <n v="400"/>
    <n v="180"/>
    <s v="N/A"/>
    <n v="78"/>
    <n v="1.1588000000000001"/>
    <m/>
    <n v="1.0292333333333334"/>
    <n v="1.0909873333333335"/>
    <n v="877.94839200000001"/>
    <n v="144.25760100091301"/>
    <n v="157.73455870796354"/>
    <n v="313.55354193636646"/>
    <n v="158"/>
    <n v="170.64"/>
    <n v="186.16607856000002"/>
    <n v="620.55359520000013"/>
    <d v="2025-03-24T00:00:00"/>
    <s v="2025-0050-0186, 2025-0146-0286"/>
    <s v="W2246AF LE2 CLEAR r108x0158 CB1P"/>
    <m/>
    <m/>
    <m/>
    <m/>
    <m/>
    <n v="0.55555555555555558"/>
    <m/>
    <x v="0"/>
    <m/>
  </r>
  <r>
    <s v="Fuyao"/>
    <s v="Shenyang"/>
    <s v="BMW"/>
    <s v="X3"/>
    <s v="OEM"/>
    <x v="1"/>
    <s v="W2246AB"/>
    <s v="L"/>
    <s v="E2"/>
    <s v="Clear"/>
    <x v="0"/>
    <s v="BF011540"/>
    <s v="Y"/>
    <s v="L9"/>
    <x v="37"/>
    <n v="100"/>
    <n v="30"/>
    <s v="N/A"/>
    <s v="N/A"/>
    <n v="0.8"/>
    <n v="180"/>
    <n v="580"/>
    <n v="400"/>
    <n v="120"/>
    <n v="150"/>
    <n v="600"/>
    <n v="450"/>
    <n v="100"/>
    <s v="N/A"/>
    <n v="70"/>
    <n v="1.1220000000000001"/>
    <m/>
    <n v="1.0093000000000001"/>
    <n v="1.0698580000000002"/>
    <n v="877.94839200000001"/>
    <n v="148.98904459880393"/>
    <n v="162.9080273001677"/>
    <n v="323.83765097670357"/>
    <n v="120"/>
    <n v="120"/>
    <n v="128.38296000000003"/>
    <n v="427.9432000000001"/>
    <d v="2023-01-01T00:00:00"/>
    <s v="2022_1807_02863"/>
    <s v="W2246AB LE2 CLEAR r100x0120 CB1P"/>
    <m/>
    <m/>
    <m/>
    <s v="N/A"/>
    <m/>
    <n v="0.57999999999999996"/>
    <m/>
    <x v="0"/>
    <s v="Clear"/>
  </r>
  <r>
    <s v="Fuyao"/>
    <s v="Shenyang"/>
    <s v="Chery"/>
    <s v="T1EJ"/>
    <s v="OEM"/>
    <x v="0"/>
    <s v="W2262AHT"/>
    <s v="L"/>
    <s v="E2"/>
    <s v="Clear"/>
    <x v="0"/>
    <s v="BF011931"/>
    <s v="Y"/>
    <s v="L9"/>
    <x v="2"/>
    <n v="96"/>
    <n v="25"/>
    <s v="N/A"/>
    <s v="N/A"/>
    <n v="0.8"/>
    <n v="150"/>
    <n v="550"/>
    <n v="400"/>
    <n v="160"/>
    <n v="150"/>
    <n v="550"/>
    <n v="400"/>
    <n v="160"/>
    <s v="N/A"/>
    <n v="71"/>
    <n v="1.2402"/>
    <m/>
    <n v="1.0774177083333332"/>
    <n v="1.1420627708333331"/>
    <n v="888.36522400000001"/>
    <n v="134.78931465881152"/>
    <n v="147.38171797354312"/>
    <n v="292.97358845013827"/>
    <n v="147"/>
    <n v="141.12"/>
    <n v="161.16789821999996"/>
    <n v="644.67159287999982"/>
    <d v="2023-07-01T00:00:00"/>
    <s v="2023_2107_03164, 2024_2777_03835"/>
    <s v="W2262AH LE2 CLEAR r096x0147 CB4P"/>
    <m/>
    <m/>
    <m/>
    <m/>
    <m/>
    <n v="0.57291666666666663"/>
    <m/>
    <x v="0"/>
    <m/>
  </r>
  <r>
    <s v="Fuyao"/>
    <s v="Shenyang"/>
    <s v="Chery"/>
    <s v="T1EJ (normal w/s)"/>
    <s v="OEM"/>
    <x v="2"/>
    <s v="W5062AC"/>
    <s v="F"/>
    <s v="R3"/>
    <s v="Clear"/>
    <x v="1"/>
    <s v="BF011995"/>
    <m/>
    <s v="L6"/>
    <x v="2"/>
    <n v="96"/>
    <n v="25"/>
    <s v="N/A"/>
    <s v="N/A"/>
    <n v="0.76"/>
    <n v="150"/>
    <n v="550"/>
    <n v="400"/>
    <n v="160"/>
    <n v="150"/>
    <n v="550"/>
    <n v="400"/>
    <n v="160"/>
    <s v="N/A"/>
    <n v="71"/>
    <n v="1.2001999999999999"/>
    <m/>
    <n v="1.0374177083333331"/>
    <n v="1.1048498593749998"/>
    <n v="849.95562600000005"/>
    <n v="139.2815431093635"/>
    <n v="152.29362325511431"/>
    <n v="302.73774737198926"/>
    <n v="152"/>
    <n v="145.91999999999999"/>
    <n v="161.21969147999997"/>
    <n v="644.87876591999986"/>
    <s v="?"/>
    <s v="2023_2180_03237"/>
    <s v="W5062AC FR3 CLEAR r096x0152 CB4P"/>
    <s v="Nearly identical to W5062AB &amp; AD"/>
    <m/>
    <m/>
    <m/>
    <m/>
    <n v="0.57291666666666663"/>
    <m/>
    <x v="2"/>
    <m/>
  </r>
  <r>
    <s v="Fuyao"/>
    <s v="Shenyang"/>
    <s v="Chery"/>
    <s v="T1EJ (wired w/s)"/>
    <s v="OEM"/>
    <x v="2"/>
    <s v="W2262AIT"/>
    <s v="L"/>
    <s v="E2"/>
    <s v="Clear"/>
    <x v="0"/>
    <s v="BF011989"/>
    <s v="Y"/>
    <s v="L9"/>
    <x v="2"/>
    <n v="101"/>
    <n v="25"/>
    <s v="N/A"/>
    <s v="N/A"/>
    <n v="0.8"/>
    <n v="200"/>
    <n v="600"/>
    <n v="400"/>
    <n v="160"/>
    <n v="200"/>
    <n v="600"/>
    <n v="400"/>
    <n v="160"/>
    <s v="N/A"/>
    <n v="76"/>
    <n v="1.2712000000000001"/>
    <m/>
    <n v="1.0939168316831684"/>
    <n v="1.1595518415841586"/>
    <n v="888.36522400000001"/>
    <n v="131.50228763362023"/>
    <n v="143.78760748174022"/>
    <n v="285.8290154152466"/>
    <n v="144"/>
    <n v="145.44"/>
    <n v="168.64521984000001"/>
    <n v="674.58087936000004"/>
    <d v="2023-09-01T00:00:00"/>
    <s v="2023_2180_03237, 2024_2777_03835"/>
    <s v="W2262AI LE2 CLEAR r101x0144 CB4P"/>
    <m/>
    <m/>
    <m/>
    <m/>
    <m/>
    <n v="0.59405940594059403"/>
    <m/>
    <x v="0"/>
    <m/>
  </r>
  <r>
    <s v="Fuyao"/>
    <s v="Suzhou"/>
    <s v="BYD"/>
    <s v="Qin (EKEA)"/>
    <s v="OEM"/>
    <x v="0"/>
    <s v="W2240AU"/>
    <s v="L"/>
    <s v="E2"/>
    <s v="Clear"/>
    <x v="0"/>
    <s v="BF012399"/>
    <s v="Y"/>
    <s v="L9"/>
    <x v="44"/>
    <n v="122"/>
    <n v="30"/>
    <s v="N/A"/>
    <s v="N/A"/>
    <n v="0.8"/>
    <n v="200"/>
    <n v="700"/>
    <n v="500"/>
    <n v="220"/>
    <n v="200"/>
    <n v="700"/>
    <n v="500"/>
    <n v="220"/>
    <s v="N/A"/>
    <n v="92"/>
    <n v="1.1680000000000001"/>
    <m/>
    <n v="1.0292459016393443"/>
    <n v="1.0910006557377048"/>
    <n v="874.04208000000006"/>
    <n v="143.12132537659076"/>
    <n v="156.49212896471587"/>
    <n v="311.08377088686763"/>
    <n v="156"/>
    <n v="190.32"/>
    <n v="207.63924479999997"/>
    <n v="692.13081599999998"/>
    <d v="2024-06-01T00:00:00"/>
    <s v="2024_2635_03693"/>
    <s v="W2240AU LE2 CLEAR r122x0156 CB1P"/>
    <s v="Restart, for shaping"/>
    <m/>
    <m/>
    <m/>
    <m/>
    <n v="0.57377049180327866"/>
    <m/>
    <x v="1"/>
    <m/>
  </r>
  <r>
    <s v="Fuyao"/>
    <s v="Suzhou"/>
    <s v="BYD"/>
    <s v="Qin (EKEA)"/>
    <s v="OEM"/>
    <x v="1"/>
    <s v="W2240AG"/>
    <s v="L"/>
    <s v="E2"/>
    <s v="Clear"/>
    <x v="0"/>
    <s v="BF011635"/>
    <s v="Y"/>
    <s v="L9"/>
    <x v="44"/>
    <n v="123"/>
    <n v="30"/>
    <s v="N/A"/>
    <s v="N/A"/>
    <n v="0.8"/>
    <n v="200"/>
    <n v="600"/>
    <n v="400"/>
    <n v="330"/>
    <n v="150"/>
    <n v="650"/>
    <n v="500"/>
    <n v="280"/>
    <s v="N/A"/>
    <n v="93"/>
    <n v="1.1720000000000002"/>
    <m/>
    <n v="1.0313658536585366"/>
    <n v="1.093247804878049"/>
    <n v="874.04208000000006"/>
    <n v="142.63285668929865"/>
    <n v="155.95802613548477"/>
    <n v="310.022051532305"/>
    <n v="120"/>
    <n v="147.6"/>
    <n v="161.36337600000002"/>
    <n v="537.87792000000013"/>
    <d v="2023-03-01T00:00:00"/>
    <s v="2023_1903_02960"/>
    <s v="W2240AG LE2 CLEAR r123x0120 CB1P"/>
    <s v="For shaped. Failed qualification."/>
    <m/>
    <m/>
    <s v="N/A"/>
    <m/>
    <n v="0.48780487804878048"/>
    <m/>
    <x v="0"/>
    <s v="Clear"/>
  </r>
  <r>
    <s v="Fuyao"/>
    <s v="Suzhou"/>
    <s v="BYD"/>
    <s v="Qin (EKEA)"/>
    <s v="OEM"/>
    <x v="0"/>
    <s v="W2249ALT"/>
    <s v="L"/>
    <s v="E2"/>
    <s v="Clear"/>
    <x v="0"/>
    <s v="BF012777"/>
    <s v="Y"/>
    <s v="L9"/>
    <x v="17"/>
    <n v="110"/>
    <n v="27"/>
    <s v="N/A"/>
    <s v="N/A"/>
    <n v="0.8"/>
    <n v="200"/>
    <n v="700"/>
    <n v="500"/>
    <n v="130"/>
    <n v="200"/>
    <n v="700"/>
    <n v="500"/>
    <n v="130"/>
    <s v="N/A"/>
    <n v="83"/>
    <n v="1.2067000000000001"/>
    <m/>
    <n v="1.0532631818181819"/>
    <n v="1.1164589727272727"/>
    <n v="879.90154800000005"/>
    <n v="138.53129032887875"/>
    <n v="151.47327971392073"/>
    <n v="301.10702278599604"/>
    <n v="151"/>
    <n v="166.1"/>
    <n v="185.44383536999999"/>
    <n v="686.82901988888875"/>
    <d v="2025-03-25T00:00:00"/>
    <s v="2024_2986_04044"/>
    <m/>
    <m/>
    <m/>
    <m/>
    <m/>
    <m/>
    <m/>
    <m/>
    <x v="1"/>
    <m/>
  </r>
  <r>
    <s v="Fuyao"/>
    <s v="Suzhou"/>
    <s v="BYD"/>
    <s v="Qin (EKEA)"/>
    <s v="OEM"/>
    <x v="1"/>
    <s v="W2249AE"/>
    <s v="L"/>
    <s v="E2"/>
    <s v="Clear"/>
    <x v="0"/>
    <s v="BF011543"/>
    <s v="Y"/>
    <s v="L9"/>
    <x v="17"/>
    <n v="115"/>
    <n v="30"/>
    <s v="N/A"/>
    <s v="N/A"/>
    <n v="0.8"/>
    <n v="200"/>
    <n v="600"/>
    <n v="400"/>
    <n v="250"/>
    <n v="150"/>
    <n v="600"/>
    <n v="450"/>
    <n v="250"/>
    <s v="N/A"/>
    <n v="85"/>
    <n v="1.2164999999999999"/>
    <m/>
    <n v="1.0625760869565217"/>
    <n v="1.1263306521739131"/>
    <n v="879.90154800000005"/>
    <n v="137.41529637472917"/>
    <n v="150.25302641248516"/>
    <n v="298.68133530280431"/>
    <n v="120"/>
    <n v="138"/>
    <n v="155.43363000000002"/>
    <n v="518.11210000000005"/>
    <d v="2023-02-23T00:00:00"/>
    <s v="2022_1807_02863"/>
    <s v="W2249AE LE2 CLEAR r115x0120 CB1P"/>
    <s v="For non-shaped. Originally set up for Hubei. Replaced by W2249AG at Hubei."/>
    <m/>
    <m/>
    <s v="N/A"/>
    <m/>
    <n v="0.52173913043478259"/>
    <m/>
    <x v="0"/>
    <s v="Clear"/>
  </r>
  <r>
    <s v="Fuyao"/>
    <s v="Suzhou"/>
    <s v="BYD"/>
    <s v="SC3E"/>
    <s v="OEM"/>
    <x v="0"/>
    <s v="W5075AA"/>
    <s v="F"/>
    <s v="R3"/>
    <s v="Clear"/>
    <x v="1"/>
    <m/>
    <s v="Y"/>
    <s v="L6"/>
    <x v="54"/>
    <n v="102"/>
    <n v="19"/>
    <s v="N/A"/>
    <s v="N/A"/>
    <n v="0.76"/>
    <n v="200"/>
    <n v="700"/>
    <n v="500"/>
    <n v="130"/>
    <n v="200"/>
    <n v="700"/>
    <n v="500"/>
    <n v="130"/>
    <s v="N/A"/>
    <n v="83"/>
    <n v="1.3824999999999998"/>
    <m/>
    <n v="1.1292279411764707"/>
    <n v="1.2026277573529414"/>
    <n v="858.45922500000006"/>
    <n v="120.91552118615411"/>
    <n v="132.21179503131154"/>
    <n v="262.81797062991791"/>
    <n v="132"/>
    <n v="134.63999999999999"/>
    <n v="161.92180125000002"/>
    <n v="852.22000657894739"/>
    <s v="?"/>
    <s v="2024_2986_04044"/>
    <m/>
    <m/>
    <m/>
    <m/>
    <m/>
    <m/>
    <m/>
    <m/>
    <x v="1"/>
    <m/>
  </r>
  <r>
    <s v="Fuyao"/>
    <s v="Suzhou"/>
    <s v="Chang An"/>
    <s v="C673"/>
    <s v="OEM"/>
    <x v="1"/>
    <s v="W5017AB"/>
    <s v="F"/>
    <s v="R3"/>
    <s v="Clear"/>
    <x v="1"/>
    <s v="BF011643"/>
    <m/>
    <s v="L6"/>
    <x v="41"/>
    <n v="121"/>
    <n v="30"/>
    <s v="N/A"/>
    <s v="N/A"/>
    <n v="0.76"/>
    <n v="200"/>
    <n v="600"/>
    <n v="400"/>
    <n v="310"/>
    <n v="150"/>
    <n v="650"/>
    <n v="500"/>
    <n v="260"/>
    <s v="N/A"/>
    <n v="91"/>
    <n v="0.91470000000000007"/>
    <m/>
    <n v="0.85652768595041329"/>
    <n v="0.91220198553719012"/>
    <n v="820.52009100000009"/>
    <n v="182.75468245310813"/>
    <n v="199.82814762303286"/>
    <n v="397.22952268050881"/>
    <n v="120"/>
    <n v="145.19999999999999"/>
    <n v="132.45172829999998"/>
    <n v="441.50576099999995"/>
    <d v="2023-07-23T00:00:00"/>
    <s v="2023_1903_02960"/>
    <s v="W5017AB FR3 CLEAR r121x0120 CB1P"/>
    <m/>
    <m/>
    <m/>
    <s v="N/A"/>
    <m/>
    <n v="0.49586776859504134"/>
    <m/>
    <x v="2"/>
    <s v="Clear"/>
  </r>
  <r>
    <s v="Fuyao"/>
    <s v="Suzhou"/>
    <s v="Chang An"/>
    <s v="C673"/>
    <s v="OEM"/>
    <x v="0"/>
    <s v="W2229AG"/>
    <s v="L"/>
    <s v="E2"/>
    <s v="Clear"/>
    <x v="0"/>
    <s v="BF012738"/>
    <s v="Y"/>
    <s v="L9"/>
    <x v="34"/>
    <n v="109"/>
    <n v="26"/>
    <s v="N/A"/>
    <s v="N/A"/>
    <n v="0.8"/>
    <n v="200"/>
    <n v="700"/>
    <n v="500"/>
    <n v="130"/>
    <n v="200"/>
    <n v="700"/>
    <n v="500"/>
    <n v="130"/>
    <s v="N/A"/>
    <n v="83"/>
    <n v="1.0407"/>
    <m/>
    <n v="0.94905733944954129"/>
    <n v="1.0060007798165138"/>
    <n v="866.88050800000008"/>
    <n v="160.62814263462866"/>
    <n v="175.63448316593465"/>
    <n v="349.13600883622706"/>
    <n v="176"/>
    <n v="191.84"/>
    <n v="192.99118960000001"/>
    <n v="742.27380615384618"/>
    <d v="2025-02-01T00:00:00"/>
    <s v="2024_2939_03997"/>
    <s v="W2229AG LE2 CLEAR r109x0176 CB1P"/>
    <m/>
    <m/>
    <m/>
    <m/>
    <m/>
    <m/>
    <m/>
    <x v="1"/>
    <m/>
  </r>
  <r>
    <s v="Fuyao"/>
    <s v="Suzhou"/>
    <s v="Geely"/>
    <s v="DX11"/>
    <s v="OEM"/>
    <x v="0"/>
    <s v="W2221AD"/>
    <s v="L"/>
    <s v="E2"/>
    <s v="Clear"/>
    <x v="0"/>
    <s v="BF011851"/>
    <s v="Y"/>
    <s v="L9"/>
    <x v="20"/>
    <n v="113"/>
    <n v="30"/>
    <s v="N/A"/>
    <s v="N/A"/>
    <n v="0.8"/>
    <n v="200"/>
    <n v="600"/>
    <n v="400"/>
    <n v="230"/>
    <n v="150"/>
    <n v="600"/>
    <n v="450"/>
    <n v="230"/>
    <s v="N/A"/>
    <n v="83"/>
    <n v="0.97430000000000005"/>
    <m/>
    <n v="0.91028716814159305"/>
    <n v="0.96490439823008867"/>
    <n v="861.67209200000002"/>
    <n v="171.57519043401214"/>
    <n v="187.60423548269341"/>
    <n v="372.93014923110076"/>
    <n v="188"/>
    <n v="212.44"/>
    <n v="204.98429036000005"/>
    <n v="683.28096786666686"/>
    <d v="2023-07-23T00:00:00"/>
    <s v="2023_2056_03113"/>
    <s v="W2221AD LE2 CLEAR r113x0188 CB1P"/>
    <m/>
    <m/>
    <m/>
    <s v="N/A"/>
    <m/>
    <n v="0.53097345132743368"/>
    <m/>
    <x v="0"/>
    <m/>
  </r>
  <r>
    <s v="Fuyao"/>
    <s v="Suzhou"/>
    <s v="Geely"/>
    <s v="DX11"/>
    <s v="OEM"/>
    <x v="0"/>
    <s v="W2227AK"/>
    <s v="L"/>
    <s v="E2"/>
    <s v="Clear"/>
    <x v="0"/>
    <s v="BF012739"/>
    <s v="Y"/>
    <s v="L9"/>
    <x v="0"/>
    <n v="100"/>
    <n v="17"/>
    <s v="N/A"/>
    <s v="N/A"/>
    <n v="0.8"/>
    <n v="200"/>
    <n v="700"/>
    <n v="500"/>
    <n v="130"/>
    <n v="200"/>
    <n v="700"/>
    <n v="500"/>
    <n v="130"/>
    <s v="N/A"/>
    <n v="83"/>
    <n v="1.0241"/>
    <m/>
    <n v="0.93109850000000005"/>
    <n v="0.98696441000000001"/>
    <n v="865.57840400000009"/>
    <n v="163.23182115013967"/>
    <n v="178.48140477569396"/>
    <n v="354.79527819144755"/>
    <n v="178"/>
    <n v="178"/>
    <n v="175.67966498000001"/>
    <n v="1033.4097939999999"/>
    <d v="2025-02-01T00:00:00"/>
    <s v="2024_2939_03997"/>
    <s v="W2227AK LE2 CLEAR r100x0178 CB1P"/>
    <m/>
    <m/>
    <m/>
    <m/>
    <m/>
    <m/>
    <m/>
    <x v="1"/>
    <m/>
  </r>
  <r>
    <s v="Fuyao"/>
    <s v="Suzhou"/>
    <s v="Geely"/>
    <s v="FS11"/>
    <s v="OEM"/>
    <x v="0"/>
    <s v="W2234AAT"/>
    <s v="L"/>
    <s v="E2"/>
    <s v="Clear"/>
    <x v="0"/>
    <s v="BF012778"/>
    <s v="Y"/>
    <s v="L9"/>
    <x v="55"/>
    <n v="87"/>
    <n v="20"/>
    <s v="N/A"/>
    <s v="N/A"/>
    <n v="0.8"/>
    <n v="180"/>
    <n v="530"/>
    <n v="350"/>
    <n v="140"/>
    <n v="180"/>
    <n v="580"/>
    <n v="400"/>
    <n v="90"/>
    <s v="N/A"/>
    <n v="67"/>
    <n v="1.0278"/>
    <m/>
    <n v="0.94008390804597708"/>
    <n v="0.99648894252873566"/>
    <n v="870.13576799999998"/>
    <n v="162.64419929933646"/>
    <n v="177.83888561080769"/>
    <n v="353.51804280585856"/>
    <n v="178"/>
    <n v="154.86000000000001"/>
    <n v="154.31627764000001"/>
    <n v="771.58138819999999"/>
    <d v="2025-03-25T00:00:00"/>
    <s v="2024_2986_04044"/>
    <m/>
    <m/>
    <m/>
    <m/>
    <m/>
    <m/>
    <m/>
    <m/>
    <x v="1"/>
    <m/>
  </r>
  <r>
    <s v="Fuyao"/>
    <s v="Suzhou"/>
    <s v="Geely"/>
    <s v="FS11"/>
    <s v="OEM"/>
    <x v="0"/>
    <s v="W2265AET"/>
    <s v="L"/>
    <s v="E2"/>
    <s v="Clear"/>
    <x v="0"/>
    <s v="BF012779"/>
    <s v="Y"/>
    <s v="L9"/>
    <x v="49"/>
    <n v="87"/>
    <n v="20"/>
    <s v="N/A"/>
    <s v="N/A"/>
    <n v="0.8"/>
    <n v="180"/>
    <n v="530"/>
    <n v="350"/>
    <n v="140"/>
    <n v="180"/>
    <n v="580"/>
    <n v="400"/>
    <n v="90"/>
    <s v="N/A"/>
    <n v="67"/>
    <n v="1.2355"/>
    <m/>
    <n v="1.0678074712643677"/>
    <n v="1.1318759195402297"/>
    <n v="890.31838000000005"/>
    <n v="135.30207044909594"/>
    <n v="147.94237687639674"/>
    <n v="294.08809744707526"/>
    <n v="148"/>
    <n v="128.76"/>
    <n v="145.74034339999997"/>
    <n v="728.7017169999998"/>
    <d v="2025-03-25T00:00:00"/>
    <s v="2024_2986_04044"/>
    <m/>
    <m/>
    <m/>
    <m/>
    <m/>
    <m/>
    <m/>
    <m/>
    <x v="1"/>
    <m/>
  </r>
  <r>
    <s v="Fuyao"/>
    <s v="Suzhou"/>
    <s v="Geely"/>
    <s v="P417"/>
    <s v="OEM"/>
    <x v="0"/>
    <s v="W2245AB"/>
    <s v="L"/>
    <s v="E2"/>
    <s v="Clear"/>
    <x v="0"/>
    <s v="BF011850"/>
    <s v="Y"/>
    <s v="L9"/>
    <x v="3"/>
    <n v="107"/>
    <n v="30"/>
    <s v="N/A"/>
    <s v="N/A"/>
    <n v="0.8"/>
    <n v="200"/>
    <n v="600"/>
    <n v="400"/>
    <n v="170"/>
    <n v="150"/>
    <n v="600"/>
    <n v="450"/>
    <n v="170"/>
    <s v="N/A"/>
    <n v="77"/>
    <n v="1.1465000000000001"/>
    <m/>
    <n v="1.0218247663551403"/>
    <n v="1.0831342523364487"/>
    <n v="877.29733999999996"/>
    <n v="145.80524033131968"/>
    <n v="159.426782931346"/>
    <n v="316.91743950794722"/>
    <n v="159"/>
    <n v="170.13"/>
    <n v="184.27363035000002"/>
    <n v="614.2454345000001"/>
    <d v="2023-07-23T00:00:00"/>
    <s v="2023_2056_03113"/>
    <s v="W2245AB LE2 CLEAR r107x0159 CB1P"/>
    <m/>
    <m/>
    <m/>
    <s v="N/A"/>
    <m/>
    <n v="0.56074766355140182"/>
    <m/>
    <x v="0"/>
    <m/>
  </r>
  <r>
    <s v="Fuyao"/>
    <s v="Suzhou"/>
    <s v="Great Wall"/>
    <s v="A01"/>
    <s v="OEM"/>
    <x v="0"/>
    <s v="W5065AB"/>
    <s v="F"/>
    <s v="R3"/>
    <s v="Clear"/>
    <x v="1"/>
    <m/>
    <s v="Y"/>
    <s v="L6"/>
    <x v="49"/>
    <n v="93"/>
    <n v="20"/>
    <s v="N/A"/>
    <s v="N/A"/>
    <n v="0.76"/>
    <n v="200"/>
    <n v="600"/>
    <n v="400"/>
    <n v="130"/>
    <n v="200"/>
    <n v="600"/>
    <n v="400"/>
    <n v="130"/>
    <s v="N/A"/>
    <n v="73"/>
    <n v="1.2345000000000002"/>
    <m/>
    <n v="1.0482715053763441"/>
    <n v="1.1164091532258063"/>
    <n v="851.91799500000002"/>
    <n v="135.41167115419847"/>
    <n v="148.06221679286199"/>
    <n v="294.32632190835267"/>
    <n v="148"/>
    <n v="137.63999999999999"/>
    <n v="153.66255584999996"/>
    <n v="768.31277924999972"/>
    <s v="?"/>
    <s v="2024_2986_04044"/>
    <m/>
    <m/>
    <m/>
    <m/>
    <m/>
    <m/>
    <m/>
    <m/>
    <x v="1"/>
    <m/>
  </r>
  <r>
    <s v="Fuyao"/>
    <s v="Suzhou"/>
    <s v="Great Wall"/>
    <s v="A01/A02"/>
    <s v="OEM"/>
    <x v="2"/>
    <s v="W5056AC"/>
    <s v="F"/>
    <s v="R3"/>
    <s v="Clear"/>
    <x v="1"/>
    <s v="BF011648"/>
    <m/>
    <s v="L6"/>
    <x v="51"/>
    <n v="101"/>
    <n v="30"/>
    <s v="N/A"/>
    <s v="N/A"/>
    <n v="0.76"/>
    <n v="190"/>
    <n v="590"/>
    <n v="400"/>
    <n v="120"/>
    <n v="150"/>
    <n v="600"/>
    <n v="450"/>
    <n v="110"/>
    <s v="N/A"/>
    <n v="71"/>
    <n v="1.1576"/>
    <m/>
    <n v="1.017849504950495"/>
    <n v="1.0840097227722771"/>
    <n v="846.030888"/>
    <n v="144.40714239794232"/>
    <n v="157.89807069003814"/>
    <n v="313.87858016228529"/>
    <n v="120"/>
    <n v="121.2"/>
    <n v="131.38197839999998"/>
    <n v="437.93992799999995"/>
    <d v="2023-07-23T00:00:00"/>
    <s v="2023_1903_02960"/>
    <s v="W5056AC FR3 CLEAR r101x0120 CB1P"/>
    <s v="Validation failed. Now what?"/>
    <m/>
    <m/>
    <s v="N/A"/>
    <m/>
    <n v="0.58415841584158412"/>
    <m/>
    <x v="2"/>
    <s v="Clear"/>
  </r>
  <r>
    <s v="Fuyao"/>
    <s v="Suzhou"/>
    <s v="Guang Shu"/>
    <s v="EC24"/>
    <s v="OEM"/>
    <x v="1"/>
    <s v="W2240AF"/>
    <s v="L"/>
    <s v="E2"/>
    <s v="Clear"/>
    <x v="0"/>
    <s v="BF011634"/>
    <s v="Y"/>
    <s v="L9"/>
    <x v="44"/>
    <n v="113"/>
    <n v="30"/>
    <s v="N/A"/>
    <s v="N/A"/>
    <n v="0.8"/>
    <n v="200"/>
    <n v="600"/>
    <n v="400"/>
    <n v="230"/>
    <n v="150"/>
    <n v="650"/>
    <n v="500"/>
    <n v="180"/>
    <s v="N/A"/>
    <n v="83"/>
    <n v="1.1320000000000001"/>
    <m/>
    <n v="1.0100707964601769"/>
    <n v="1.0706750442477875"/>
    <n v="874.04208000000006"/>
    <n v="147.6728869610053"/>
    <n v="161.46891045122629"/>
    <n v="320.97689434263378"/>
    <n v="120"/>
    <n v="135.6"/>
    <n v="145.18353599999998"/>
    <n v="483.94511999999992"/>
    <d v="2023-06-23T00:00:00"/>
    <s v="2023_1903_02960"/>
    <s v="W2240AF LE2 CLEAR r113x0120 CB1P"/>
    <m/>
    <m/>
    <m/>
    <s v="N/A"/>
    <m/>
    <n v="0.53097345132743368"/>
    <m/>
    <x v="0"/>
    <s v="Clear"/>
  </r>
  <r>
    <s v="Fuyao"/>
    <s v="Tianjin"/>
    <s v="BYD"/>
    <s v="UF"/>
    <s v="OEM"/>
    <x v="1"/>
    <s v="W2219AA"/>
    <s v="L"/>
    <s v="E2"/>
    <s v="Clear"/>
    <x v="0"/>
    <s v="BF011664"/>
    <s v="Y"/>
    <s v="L9"/>
    <x v="8"/>
    <n v="130"/>
    <n v="30"/>
    <s v="N/A"/>
    <s v="N/A"/>
    <n v="0.8"/>
    <n v="200"/>
    <n v="600"/>
    <n v="400"/>
    <n v="400"/>
    <n v="200"/>
    <n v="650"/>
    <n v="450"/>
    <n v="350"/>
    <s v="N/A"/>
    <n v="100"/>
    <n v="0.99"/>
    <m/>
    <n v="0.91692307692307695"/>
    <n v="0.97193846153846164"/>
    <n v="860.36998800000003"/>
    <n v="168.85425054531115"/>
    <n v="184.62909760685673"/>
    <n v="367.01600444026406"/>
    <n v="120"/>
    <n v="156"/>
    <n v="151.62240000000003"/>
    <n v="505.40800000000013"/>
    <d v="2023-03-01T00:00:00"/>
    <s v="2023_1919_02976"/>
    <s v="W2219AA LE2 CLEAR r130x0120 CB1P"/>
    <s v="Replacing W2225AB?"/>
    <m/>
    <m/>
    <s v="N/A"/>
    <m/>
    <n v="0.46153846153846156"/>
    <m/>
    <x v="0"/>
    <s v="Clear"/>
  </r>
  <r>
    <s v="Fuyao"/>
    <s v="Tianjin"/>
    <s v="BYD"/>
    <s v="UXE"/>
    <s v="OEM"/>
    <x v="0"/>
    <s v="W2218AAT"/>
    <s v="L"/>
    <s v="E2"/>
    <s v="Clear"/>
    <x v="0"/>
    <s v="BF011911"/>
    <s v="Y"/>
    <s v="L9"/>
    <x v="4"/>
    <n v="122"/>
    <n v="30"/>
    <s v="N/A"/>
    <s v="N/A"/>
    <n v="0.8"/>
    <n v="200"/>
    <n v="600"/>
    <n v="400"/>
    <n v="320"/>
    <n v="200"/>
    <n v="600"/>
    <n v="400"/>
    <n v="320"/>
    <s v="N/A"/>
    <n v="92"/>
    <n v="0.96560000000000001"/>
    <m/>
    <n v="0.90316065573770499"/>
    <n v="0.95735029508196734"/>
    <n v="859.7189360000001"/>
    <n v="173.12107294931445"/>
    <n v="189.29453876427939"/>
    <n v="376.29022824757811"/>
    <n v="189"/>
    <n v="230.58"/>
    <n v="220.74583104000004"/>
    <n v="735.81943680000018"/>
    <d v="2023-07-23T00:00:00"/>
    <s v="2023_2089_03146, 2024_2777_03835"/>
    <s v="W2218AA LE2 CLEAR r122x0189 CB4P"/>
    <m/>
    <m/>
    <m/>
    <s v="N/A"/>
    <m/>
    <n v="0.49180327868852458"/>
    <m/>
    <x v="0"/>
    <s v="Clear"/>
  </r>
  <r>
    <s v="Fuyao"/>
    <s v="Tianjin"/>
    <s v="Geely"/>
    <s v="03 (CS11)"/>
    <s v="OEM"/>
    <x v="0"/>
    <s v="W2225ACT"/>
    <s v="L"/>
    <s v="E2"/>
    <s v="Clear"/>
    <x v="0"/>
    <s v="BF012106"/>
    <s v="Y"/>
    <s v="L9"/>
    <x v="30"/>
    <n v="102"/>
    <n v="30"/>
    <s v="N/A"/>
    <s v="N/A"/>
    <n v="0.8"/>
    <n v="200"/>
    <n v="600"/>
    <n v="400"/>
    <n v="120"/>
    <n v="200"/>
    <n v="600"/>
    <n v="400"/>
    <n v="120"/>
    <s v="N/A"/>
    <n v="72"/>
    <n v="0.98"/>
    <m/>
    <n v="0.91647058823529404"/>
    <n v="0.9714588235294116"/>
    <n v="864.27630000000011"/>
    <n v="170.57725310189596"/>
    <n v="186.51306799060018"/>
    <n v="370.76106571006267"/>
    <n v="187"/>
    <n v="190.74"/>
    <n v="185.29605599999996"/>
    <n v="617.65351999999996"/>
    <d v="2023-12-01T00:00:00"/>
    <s v="2023_2288_03345, 2024_2777_03835"/>
    <s v="W2225AC LE2 CLEAR r102x0187 CB4P"/>
    <m/>
    <m/>
    <m/>
    <m/>
    <m/>
    <n v="0.58823529411764708"/>
    <m/>
    <x v="0"/>
    <m/>
  </r>
  <r>
    <s v="Fuyao"/>
    <s v="Tianjin"/>
    <s v="GM"/>
    <s v="E2UB"/>
    <s v="OEM"/>
    <x v="1"/>
    <s v="W2264AE"/>
    <s v="L"/>
    <s v="E2"/>
    <s v="Clear"/>
    <x v="0"/>
    <s v="BF011549"/>
    <s v="Y"/>
    <s v="L9"/>
    <x v="11"/>
    <n v="110"/>
    <n v="30"/>
    <s v="N/A"/>
    <s v="N/A"/>
    <n v="0.8"/>
    <n v="200"/>
    <n v="600"/>
    <n v="400"/>
    <n v="200"/>
    <n v="150"/>
    <n v="600"/>
    <n v="450"/>
    <n v="200"/>
    <s v="N/A"/>
    <n v="80"/>
    <n v="1.3120000000000001"/>
    <m/>
    <n v="1.1258181818181818"/>
    <n v="1.1933672727272728"/>
    <n v="889.66732800000011"/>
    <n v="127.41288722550155"/>
    <n v="139.31616359053976"/>
    <n v="276.94043017977242"/>
    <n v="120"/>
    <n v="132"/>
    <n v="157.52448000000001"/>
    <n v="525.08160000000009"/>
    <d v="2023-01-01T00:00:00"/>
    <s v="2022_1807_02863"/>
    <s v="W2264AE LE2 CLEAR r110x0120 CB1P"/>
    <s v="Replaced by W2258AE. Also tested at Chongqing for the Seres F1, X1"/>
    <m/>
    <m/>
    <s v="N/A"/>
    <m/>
    <n v="0.54545454545454541"/>
    <m/>
    <x v="0"/>
    <s v="Clear"/>
  </r>
  <r>
    <s v="Fuyao"/>
    <s v="Tianjin"/>
    <s v="GM"/>
    <s v="Envision S (E2UB)"/>
    <s v="OEM"/>
    <x v="2"/>
    <s v="W2258AET"/>
    <s v="L"/>
    <s v="E2"/>
    <s v="Clear"/>
    <x v="0"/>
    <s v="BF011663, BF011912"/>
    <s v="Y"/>
    <s v="L9"/>
    <x v="40"/>
    <n v="110"/>
    <n v="30"/>
    <s v="N/A"/>
    <s v="N/A"/>
    <n v="0.8"/>
    <n v="200"/>
    <n v="600"/>
    <n v="400"/>
    <n v="200"/>
    <n v="150"/>
    <n v="600"/>
    <n v="450"/>
    <n v="200"/>
    <s v="N/A"/>
    <n v="80"/>
    <n v="1.264"/>
    <m/>
    <n v="1.0952727272727274"/>
    <n v="1.1609890909090912"/>
    <n v="885.76101600000004"/>
    <n v="132.25135129735602"/>
    <n v="144.60665081549695"/>
    <n v="287.45715537647266"/>
    <n v="145"/>
    <n v="159.5"/>
    <n v="185.17776000000003"/>
    <n v="617.25920000000019"/>
    <d v="2023-03-01T00:00:00"/>
    <s v="2023_1919_02976, 2023_2089_03146, 2024_2777_03835"/>
    <s v="W2258AE LE2 CLEAR r110x0120 CB1P, W2258AE LE2 CLEAR r110x0145 CB4P"/>
    <s v="Replaced W2264AE"/>
    <m/>
    <m/>
    <s v="N/A"/>
    <m/>
    <n v="0.54545454545454541"/>
    <m/>
    <x v="0"/>
    <s v="Clear"/>
  </r>
  <r>
    <s v="Fuyao"/>
    <s v="Tianjin"/>
    <s v="Great Wall"/>
    <s v="B01"/>
    <s v="OEM"/>
    <x v="0"/>
    <s v="W5048AD"/>
    <s v="F"/>
    <s v="R3"/>
    <s v="Clear"/>
    <x v="1"/>
    <m/>
    <m/>
    <s v="L6"/>
    <x v="47"/>
    <n v="98"/>
    <n v="30"/>
    <s v="N/A"/>
    <s v="N/A"/>
    <n v="0.76"/>
    <n v="150"/>
    <n v="550"/>
    <n v="400"/>
    <n v="130"/>
    <n v="150"/>
    <n v="550"/>
    <n v="400"/>
    <n v="130"/>
    <s v="N/A"/>
    <n v="68"/>
    <n v="1.0864"/>
    <m/>
    <n v="0.97315918367346932"/>
    <n v="1.036414530612245"/>
    <n v="840.79790400000002"/>
    <n v="153.87123346820511"/>
    <n v="168.24632421832493"/>
    <n v="334.44941494464422"/>
    <n v="168"/>
    <n v="164.64"/>
    <n v="170.63528832"/>
    <n v="568.78429440000002"/>
    <s v="?"/>
    <s v="2024_2837_03895"/>
    <m/>
    <s v="Longer commercial rolls, but new variant required due to GWA-to-transition distance"/>
    <m/>
    <m/>
    <m/>
    <m/>
    <m/>
    <m/>
    <x v="2"/>
    <m/>
  </r>
  <r>
    <s v="Fuyao"/>
    <s v="Tianjin"/>
    <s v="Great Wall"/>
    <s v="B01"/>
    <s v="OEM"/>
    <x v="0"/>
    <s v="W5048AB"/>
    <s v="F"/>
    <s v="R3"/>
    <s v="Clear"/>
    <x v="1"/>
    <s v="BF011665"/>
    <m/>
    <s v="L6"/>
    <x v="47"/>
    <n v="98"/>
    <n v="30"/>
    <s v="N/A"/>
    <s v="N/A"/>
    <n v="0.76"/>
    <n v="150"/>
    <n v="550"/>
    <n v="400"/>
    <n v="130"/>
    <n v="150"/>
    <n v="600"/>
    <n v="450"/>
    <n v="80"/>
    <s v="N/A"/>
    <n v="68"/>
    <n v="1.0864"/>
    <m/>
    <n v="0.97315918367346932"/>
    <n v="1.036414530612245"/>
    <n v="840.79790400000002"/>
    <n v="153.87123346820511"/>
    <n v="168.24632421832493"/>
    <n v="334.44941494464422"/>
    <n v="120"/>
    <n v="117.6"/>
    <n v="121.8823488"/>
    <n v="406.274496"/>
    <s v="?"/>
    <s v="2023_1919_02976"/>
    <s v="W5048AB FR3 CLEAR r098x0120 CB1P, _____"/>
    <m/>
    <m/>
    <m/>
    <s v="N/A"/>
    <m/>
    <n v="0.56122448979591832"/>
    <m/>
    <x v="2"/>
    <s v="Clear"/>
  </r>
  <r>
    <s v="Fuyao"/>
    <s v="Tianjin"/>
    <s v="Great Wall"/>
    <s v="B01"/>
    <s v="OEM"/>
    <x v="1"/>
    <s v="W2260AB"/>
    <s v="L"/>
    <s v="E2"/>
    <s v="Clear"/>
    <x v="0"/>
    <s v="BF011448"/>
    <s v="Y"/>
    <s v="L9"/>
    <x v="21"/>
    <n v="91"/>
    <n v="30"/>
    <s v="N/A"/>
    <s v="N/A"/>
    <n v="0.8"/>
    <n v="175"/>
    <n v="375"/>
    <n v="200"/>
    <n v="235"/>
    <n v="100"/>
    <n v="500"/>
    <n v="400"/>
    <n v="110"/>
    <s v="N/A"/>
    <n v="61"/>
    <n v="1.1659999999999999"/>
    <m/>
    <n v="1.0433296703296704"/>
    <n v="1.1059294505494506"/>
    <n v="887.06312000000003"/>
    <n v="143.36681650073587"/>
    <n v="156.7605545718595"/>
    <n v="311.61736226060162"/>
    <n v="50"/>
    <n v="45.5"/>
    <n v="50.319790000000005"/>
    <n v="167.73263333333335"/>
    <d v="2022-12-01T00:00:00"/>
    <s v="2022_1741_02797"/>
    <m/>
    <s v="Unshaped version. (Shaped is at Shanghai.)"/>
    <m/>
    <m/>
    <s v="N/A"/>
    <m/>
    <n v="0.41208791208791207"/>
    <m/>
    <x v="0"/>
    <s v="Clear"/>
  </r>
  <r>
    <s v="Fuyao"/>
    <s v="Tianjin"/>
    <s v="Great Wall"/>
    <s v="B06"/>
    <s v="OEM"/>
    <x v="1"/>
    <s v="W2236AB"/>
    <s v="L"/>
    <s v="E2"/>
    <s v="Clear"/>
    <x v="0"/>
    <s v="BF011447"/>
    <s v="Y"/>
    <s v="L9"/>
    <x v="15"/>
    <n v="97"/>
    <n v="30"/>
    <s v="N/A"/>
    <s v="N/A"/>
    <n v="0.8"/>
    <n v="175"/>
    <n v="375"/>
    <n v="200"/>
    <n v="295"/>
    <n v="100"/>
    <n v="500"/>
    <n v="400"/>
    <n v="170"/>
    <s v="N/A"/>
    <n v="67"/>
    <n v="1.0412000000000001"/>
    <m/>
    <n v="0.95789896907216499"/>
    <n v="1.0153729072164948"/>
    <n v="871.43787200000008"/>
    <n v="160.55100656920669"/>
    <n v="175.55014082864784"/>
    <n v="348.96834844012812"/>
    <n v="50"/>
    <n v="48.5"/>
    <n v="49.245585999999996"/>
    <n v="164.15195333333332"/>
    <d v="2022-12-01T00:00:00"/>
    <s v="2022_1741_02797"/>
    <m/>
    <m/>
    <m/>
    <m/>
    <s v="N/A"/>
    <m/>
    <n v="0.38659793814432991"/>
    <m/>
    <x v="0"/>
    <s v="Clear"/>
  </r>
  <r>
    <s v="Fuyao"/>
    <s v="Tianjin"/>
    <s v="Great Wall"/>
    <s v="B06"/>
    <s v="OEM"/>
    <x v="1"/>
    <s v="W5062AB"/>
    <s v="F"/>
    <s v="R3"/>
    <s v="Clear"/>
    <x v="1"/>
    <s v="BF011792"/>
    <m/>
    <s v="L6"/>
    <x v="2"/>
    <n v="95"/>
    <n v="25"/>
    <s v="N/A"/>
    <s v="N/A"/>
    <n v="0.76"/>
    <n v="150"/>
    <n v="500"/>
    <n v="350"/>
    <n v="200"/>
    <n v="150"/>
    <n v="600"/>
    <n v="450"/>
    <n v="100"/>
    <s v="N/A"/>
    <n v="70"/>
    <n v="1.194"/>
    <m/>
    <n v="1.0341052631578946"/>
    <n v="1.1013221052631577"/>
    <n v="849.95562600000005"/>
    <n v="140.00478060289618"/>
    <n v="153.08442766397673"/>
    <n v="304.30975242534464"/>
    <n v="153"/>
    <n v="145.35"/>
    <n v="160.07716799999997"/>
    <n v="640.30867199999989"/>
    <d v="2023-07-23T00:00:00"/>
    <s v="2023_2009_03066"/>
    <s v="W5062AB FR3 CLEAR r095x0153 CB4P"/>
    <s v="Replaced by W5062AD (new HUD area)"/>
    <m/>
    <m/>
    <s v="N/A"/>
    <m/>
    <n v="0.52631578947368418"/>
    <m/>
    <x v="2"/>
    <s v="Clear"/>
  </r>
  <r>
    <s v="Fuyao"/>
    <s v="Tianjin"/>
    <s v="Great Wall"/>
    <s v="B06"/>
    <s v="OEM"/>
    <x v="1"/>
    <s v="W5062AD"/>
    <s v="F"/>
    <s v="R3"/>
    <s v="Clear"/>
    <x v="1"/>
    <s v="BF012466"/>
    <m/>
    <s v="L6"/>
    <x v="2"/>
    <n v="95"/>
    <n v="25"/>
    <s v="N/A"/>
    <s v="N/A"/>
    <n v="0.76"/>
    <n v="150"/>
    <n v="550"/>
    <n v="400"/>
    <n v="150"/>
    <n v="150"/>
    <n v="550"/>
    <n v="400"/>
    <n v="150"/>
    <s v="N/A"/>
    <n v="70"/>
    <n v="1.194"/>
    <m/>
    <n v="1.0341052631578946"/>
    <n v="1.1013221052631577"/>
    <n v="849.95562600000005"/>
    <n v="140.00478060289618"/>
    <n v="153.08442766397673"/>
    <n v="304.30975242534464"/>
    <n v="153"/>
    <n v="145.35"/>
    <n v="160.07716799999997"/>
    <n v="640.30867199999989"/>
    <s v="?"/>
    <s v="2024_2710_03768"/>
    <s v="W5062AD FR3 CLEAR r095x0153 CB4P"/>
    <s v="Replaced W5062AB (new HUD area). Nearly identical to AC."/>
    <m/>
    <m/>
    <m/>
    <m/>
    <n v="0.57894736842105265"/>
    <m/>
    <x v="2"/>
    <m/>
  </r>
  <r>
    <s v="Fuyao"/>
    <s v="Tianjin"/>
    <s v="Great Wall"/>
    <s v="B06"/>
    <s v="OEM"/>
    <x v="1"/>
    <s v="W5068AB"/>
    <s v="F"/>
    <s v="R3"/>
    <s v="Clear"/>
    <x v="1"/>
    <m/>
    <s v="Y"/>
    <s v="L6"/>
    <x v="33"/>
    <n v="95"/>
    <n v="20"/>
    <s v="N/A"/>
    <s v="N/A"/>
    <n v="0.76"/>
    <n v="150"/>
    <n v="550"/>
    <n v="400"/>
    <n v="200"/>
    <n v="150"/>
    <n v="550"/>
    <n v="400"/>
    <n v="200"/>
    <s v="N/A"/>
    <n v="75"/>
    <n v="1.27"/>
    <m/>
    <n v="1.0686842105263159"/>
    <n v="1.1381486842105264"/>
    <n v="853.88036399999999"/>
    <n v="131.62654176366775"/>
    <n v="143.92346978802217"/>
    <n v="286.09909007548146"/>
    <n v="144"/>
    <n v="136.80000000000001"/>
    <n v="155.69874000000002"/>
    <n v="778.49369999999999"/>
    <s v="?"/>
    <s v="2024_2866_03924"/>
    <m/>
    <m/>
    <m/>
    <m/>
    <m/>
    <m/>
    <m/>
    <m/>
    <x v="1"/>
    <m/>
  </r>
  <r>
    <s v="Fuyao"/>
    <s v="Tianjin"/>
    <s v="Great Wall"/>
    <s v="B06 wired"/>
    <s v="OEM"/>
    <x v="0"/>
    <s v="W5072AA"/>
    <s v="F"/>
    <s v="R3"/>
    <s v="Clear"/>
    <x v="1"/>
    <s v="BF012546"/>
    <m/>
    <s v="L6"/>
    <x v="32"/>
    <n v="86"/>
    <n v="15"/>
    <s v="N/A"/>
    <s v="N/A"/>
    <n v="0.76"/>
    <n v="150"/>
    <n v="550"/>
    <n v="400"/>
    <n v="160"/>
    <n v="150"/>
    <n v="550"/>
    <n v="400"/>
    <n v="160"/>
    <s v="N/A"/>
    <n v="71"/>
    <n v="1.2711999999999999"/>
    <m/>
    <n v="1.0601813953488373"/>
    <n v="1.1290931860465117"/>
    <n v="856.49685599999998"/>
    <n v="131.50228763362023"/>
    <n v="143.78760748174025"/>
    <n v="285.8290154152466"/>
    <n v="140"/>
    <n v="120.4"/>
    <n v="135.94281960000001"/>
    <n v="906.28546400000005"/>
    <s v="?"/>
    <s v="2024_2776_03834"/>
    <s v="W5072AA FR3 CLEAR r086x0144 CB1P"/>
    <s v="Unnecessarily small flat distance"/>
    <m/>
    <m/>
    <m/>
    <m/>
    <m/>
    <m/>
    <x v="1"/>
    <m/>
  </r>
  <r>
    <s v="Fuyao"/>
    <s v="Tianjin"/>
    <s v="Great Wall"/>
    <s v="B16"/>
    <s v="OEM"/>
    <x v="0"/>
    <s v="W2262AF"/>
    <s v="L"/>
    <s v="E2"/>
    <s v="Clear"/>
    <x v="0"/>
    <s v="BF011548"/>
    <s v="Y"/>
    <s v="L9"/>
    <x v="2"/>
    <n v="94"/>
    <n v="30"/>
    <s v="N/A"/>
    <s v="N/A"/>
    <n v="0.8"/>
    <n v="120"/>
    <n v="520"/>
    <n v="400"/>
    <n v="120"/>
    <n v="100"/>
    <n v="550"/>
    <n v="450"/>
    <n v="90"/>
    <s v="N/A"/>
    <n v="64"/>
    <n v="1.1968000000000001"/>
    <m/>
    <n v="1.0617191489361704"/>
    <n v="1.1254222978723405"/>
    <n v="888.36522400000001"/>
    <n v="139.67722931137868"/>
    <n v="152.72627559390722"/>
    <n v="303.59779779065963"/>
    <n v="120"/>
    <n v="112.8"/>
    <n v="126.94763520000001"/>
    <n v="423.15878400000003"/>
    <d v="2024-10-01T00:00:00"/>
    <s v="2022_1807_02863"/>
    <s v="W2262AF LE2 CLEAR r094x0120 CB1P"/>
    <s v="Changed to W2256AC before it could be extruded. Orig. for Hubei. Later made for Guangzhou. Or was it Tianjin?"/>
    <m/>
    <m/>
    <s v="N/A"/>
    <m/>
    <n v="0.55319148936170215"/>
    <m/>
    <x v="0"/>
    <s v="Clear"/>
  </r>
  <r>
    <s v="Fuyao"/>
    <s v="Tianjin"/>
    <s v="Great Wall"/>
    <s v="C01 wired"/>
    <s v="OEM"/>
    <x v="0"/>
    <s v="W2237AB (copy)"/>
    <s v="L"/>
    <s v="E2"/>
    <s v="Clear"/>
    <x v="0"/>
    <s v="Copy"/>
    <s v="Y"/>
    <s v="L9"/>
    <x v="39"/>
    <m/>
    <m/>
    <m/>
    <n v="0"/>
    <m/>
    <m/>
    <m/>
    <n v="0"/>
    <n v="0"/>
    <m/>
    <m/>
    <n v="0"/>
    <n v="0"/>
    <s v="N/A"/>
    <n v="0"/>
    <n v="0"/>
    <m/>
    <e v="#DIV/0!"/>
    <e v="#DIV/0!"/>
    <n v="0"/>
    <e v="#DIV/0!"/>
    <e v="#DIV/0!"/>
    <e v="#DIV/0!"/>
    <m/>
    <n v="0"/>
    <e v="#DIV/0!"/>
    <e v="#DIV/0!"/>
    <m/>
    <s v="N/A"/>
    <m/>
    <m/>
    <m/>
    <m/>
    <m/>
    <m/>
    <m/>
    <m/>
    <x v="1"/>
    <m/>
  </r>
  <r>
    <s v="Fuyao"/>
    <s v="Tianjin"/>
    <s v="Great Wall"/>
    <s v="D03 wired"/>
    <s v="OEM"/>
    <x v="0"/>
    <s v="W2266AB (copy)"/>
    <s v="K"/>
    <s v="E2"/>
    <s v="Clear"/>
    <x v="0"/>
    <s v="Copy"/>
    <s v="Y"/>
    <s v="L9"/>
    <x v="39"/>
    <m/>
    <m/>
    <m/>
    <n v="0"/>
    <m/>
    <m/>
    <m/>
    <n v="0"/>
    <n v="0"/>
    <m/>
    <m/>
    <n v="0"/>
    <n v="0"/>
    <s v="N/A"/>
    <n v="0"/>
    <n v="0"/>
    <m/>
    <e v="#DIV/0!"/>
    <e v="#DIV/0!"/>
    <n v="0"/>
    <e v="#DIV/0!"/>
    <e v="#DIV/0!"/>
    <e v="#DIV/0!"/>
    <m/>
    <n v="0"/>
    <e v="#DIV/0!"/>
    <e v="#DIV/0!"/>
    <m/>
    <s v="N/A"/>
    <m/>
    <m/>
    <m/>
    <m/>
    <m/>
    <m/>
    <m/>
    <m/>
    <x v="1"/>
    <m/>
  </r>
  <r>
    <s v="Fuyao"/>
    <s v="Tianjin"/>
    <s v="Great Wall"/>
    <s v="Dragon Max (B07)"/>
    <s v="OEM"/>
    <x v="0"/>
    <s v="W2250APT"/>
    <s v="L"/>
    <s v="E2"/>
    <s v="Clear"/>
    <x v="0"/>
    <s v="BF011910"/>
    <s v="Y"/>
    <s v="L9"/>
    <x v="29"/>
    <n v="107"/>
    <n v="30"/>
    <s v="N/A"/>
    <s v="N/A"/>
    <n v="0.8"/>
    <n v="200"/>
    <n v="600"/>
    <n v="400"/>
    <n v="170"/>
    <n v="200"/>
    <n v="600"/>
    <n v="400"/>
    <n v="170"/>
    <s v="N/A"/>
    <n v="77"/>
    <n v="1.1850000000000001"/>
    <m/>
    <n v="1.0464719626168224"/>
    <n v="1.1092602803738318"/>
    <n v="880.5526000000001"/>
    <n v="141.0681080505131"/>
    <n v="154.24709420319675"/>
    <n v="306.62096573490419"/>
    <n v="154"/>
    <n v="164.78"/>
    <n v="182.78390900000002"/>
    <n v="609.27969666666672"/>
    <d v="2023-07-01T00:00:00"/>
    <s v="2023_2089_03146, 2024_2777_03835"/>
    <s v="W2250AP LE2 CLEAR r107x0154 CB4P"/>
    <m/>
    <m/>
    <m/>
    <s v="N/A"/>
    <m/>
    <n v="0.56074766355140182"/>
    <m/>
    <x v="0"/>
    <s v="Clear"/>
  </r>
  <r>
    <s v="Fuyao"/>
    <s v="Tianjin"/>
    <s v="Great Wall"/>
    <s v="LanShan DHT (C01)"/>
    <s v="OEM"/>
    <x v="2"/>
    <s v="W2229AAT"/>
    <s v="L"/>
    <s v="E2"/>
    <s v="Clear"/>
    <x v="0"/>
    <s v="BF011908"/>
    <s v="Y"/>
    <s v="L9"/>
    <x v="34"/>
    <n v="115"/>
    <n v="30"/>
    <s v="N/A"/>
    <s v="N/A"/>
    <n v="0.8"/>
    <n v="200"/>
    <n v="600"/>
    <n v="400"/>
    <n v="250"/>
    <n v="200"/>
    <n v="600"/>
    <n v="400"/>
    <n v="250"/>
    <s v="N/A"/>
    <n v="85"/>
    <n v="1.0465"/>
    <m/>
    <n v="0.9554021739130435"/>
    <n v="1.0127263043478261"/>
    <n v="866.88050800000008"/>
    <n v="159.73789588137416"/>
    <n v="174.66106701460888"/>
    <n v="347.20099798935638"/>
    <n v="175"/>
    <n v="201.25"/>
    <n v="203.81116875000001"/>
    <n v="679.37056250000001"/>
    <d v="2023-07-23T00:00:00"/>
    <s v="2023_2089_03146, 2024_2777_03835"/>
    <s v="W2229AA LE2 CLEAR r115x0175 CB4P"/>
    <s v="Very similar to W2229AE. Consolidate?"/>
    <m/>
    <m/>
    <s v="N/A"/>
    <m/>
    <n v="0.52173913043478259"/>
    <m/>
    <x v="0"/>
    <s v="Clear"/>
  </r>
  <r>
    <s v="Fuyao"/>
    <s v="Tianjin"/>
    <s v="Great Wall"/>
    <s v="WEY VV6 (V61)"/>
    <s v="OEM"/>
    <x v="1"/>
    <s v="W2233AA"/>
    <s v="L"/>
    <s v="E2"/>
    <s v="Clear"/>
    <x v="0"/>
    <s v="BF010669 (L8), BF011311 (L9 50m)"/>
    <s v="Y"/>
    <s v="L8"/>
    <x v="27"/>
    <n v="91"/>
    <n v="30"/>
    <s v="N/A"/>
    <s v="N/A"/>
    <n v="0.8"/>
    <n v="178"/>
    <n v="375"/>
    <n v="197"/>
    <n v="235"/>
    <n v="100"/>
    <n v="500"/>
    <n v="400"/>
    <n v="110"/>
    <s v="N/A"/>
    <n v="61"/>
    <n v="1.0013000000000001"/>
    <m/>
    <n v="0.93383131868131874"/>
    <n v="0.98986119780219783"/>
    <n v="869.48471600000005"/>
    <n v="166.94867476266657"/>
    <n v="182.54549748405887"/>
    <n v="362.87410805538946"/>
    <n v="50"/>
    <n v="45.5"/>
    <n v="45.038684500000002"/>
    <n v="150.12894833333334"/>
    <s v="Mar 2022 on L8, Nov '22 on L9"/>
    <s v="2022_1272_02327, 2022_1643_02699"/>
    <s v="W2233AA LE2 CLEAR r091x0050 CT1P, W2233AA LE2 CLEAR r091x0050 CB1P"/>
    <m/>
    <m/>
    <m/>
    <s v="N/A"/>
    <m/>
    <n v="0.41208791208791207"/>
    <m/>
    <x v="0"/>
    <s v="Clear"/>
  </r>
  <r>
    <s v="Fuyao"/>
    <s v="Tianjin"/>
    <s v="Great Wall"/>
    <s v="WEY VV6 (V61)"/>
    <s v="OEM"/>
    <x v="2"/>
    <s v="W2233ABT"/>
    <s v="L"/>
    <s v="E2"/>
    <s v="Clear"/>
    <x v="0"/>
    <s v="BF011518"/>
    <s v="Y"/>
    <s v="L9"/>
    <x v="27"/>
    <n v="91"/>
    <n v="30"/>
    <s v="N/A"/>
    <s v="N/A"/>
    <n v="0.8"/>
    <n v="178"/>
    <n v="375"/>
    <n v="197"/>
    <n v="235"/>
    <n v="100"/>
    <n v="500"/>
    <n v="400"/>
    <n v="110"/>
    <s v="N/A"/>
    <n v="61"/>
    <n v="1.0013000000000001"/>
    <m/>
    <n v="0.93383131868131874"/>
    <n v="0.98986119780219783"/>
    <n v="869.48471600000005"/>
    <n v="166.94867476266657"/>
    <n v="182.54549748405887"/>
    <n v="362.87410805538946"/>
    <n v="183"/>
    <n v="166.53"/>
    <n v="164.84158527"/>
    <n v="549.47195090000002"/>
    <d v="2023-02-23T00:00:00"/>
    <s v="2022_1806_02862, 2024_2777_03835"/>
    <s v="W2233AB LE2 CLEAR r091x0183 CB4P"/>
    <s v="Duplicate of W2233AA, just a 4-roll package. Should not have been a new W-code"/>
    <m/>
    <m/>
    <s v="N/A"/>
    <m/>
    <n v="0.41208791208791207"/>
    <m/>
    <x v="0"/>
    <s v="Clear"/>
  </r>
  <r>
    <s v="Fuyao"/>
    <s v="Tianjin"/>
    <s v="Hyundai"/>
    <s v="NX4C"/>
    <s v="OEM"/>
    <x v="1"/>
    <s v="W5040AA"/>
    <s v="L"/>
    <s v="E2"/>
    <s v="Clear"/>
    <x v="1"/>
    <s v="BF011666"/>
    <m/>
    <s v="L6"/>
    <x v="44"/>
    <n v="110"/>
    <n v="30"/>
    <s v="N/A"/>
    <s v="N/A"/>
    <n v="0.76"/>
    <n v="200"/>
    <n v="600"/>
    <n v="400"/>
    <n v="200"/>
    <n v="150"/>
    <n v="600"/>
    <n v="450"/>
    <n v="200"/>
    <s v="N/A"/>
    <n v="80"/>
    <n v="1.08"/>
    <m/>
    <n v="0.96363636363636374"/>
    <n v="1.0262727272727274"/>
    <n v="835.56492000000003"/>
    <n v="154.78306299986852"/>
    <n v="169.24333947295199"/>
    <n v="336.43133740357536"/>
    <n v="120"/>
    <n v="132"/>
    <n v="135.46800000000002"/>
    <n v="451.56000000000006"/>
    <d v="2023-07-23T00:00:00"/>
    <s v="2023_1919_02976"/>
    <s v="W5040AA FR3 CLEAR r110x0120 CB1P"/>
    <m/>
    <m/>
    <m/>
    <s v="N/A"/>
    <m/>
    <n v="0.54545454545454541"/>
    <m/>
    <x v="2"/>
    <s v="Clear"/>
  </r>
  <r>
    <s v="Fuyao"/>
    <s v="Tianjin"/>
    <s v="LiXiang"/>
    <s v="Mega e-MPV"/>
    <s v="OEM"/>
    <x v="0"/>
    <s v="W2240AP"/>
    <s v="L"/>
    <s v="E2"/>
    <s v="Clear"/>
    <x v="0"/>
    <s v="BF011907"/>
    <s v="Y"/>
    <s v="L9"/>
    <x v="44"/>
    <n v="135"/>
    <n v="30"/>
    <s v="N/A"/>
    <s v="N/A"/>
    <n v="0.8"/>
    <n v="200"/>
    <n v="600"/>
    <n v="400"/>
    <n v="450"/>
    <n v="200"/>
    <n v="600"/>
    <n v="400"/>
    <n v="450"/>
    <s v="N/A"/>
    <n v="105"/>
    <n v="1.22"/>
    <m/>
    <n v="1.0566666666666666"/>
    <n v="1.1200666666666668"/>
    <n v="874.04208000000006"/>
    <n v="137.02107216381808"/>
    <n v="149.82197264818703"/>
    <n v="297.82446261955857"/>
    <n v="150"/>
    <n v="202.5"/>
    <n v="226.81350000000003"/>
    <n v="756.04500000000019"/>
    <d v="2023-07-01T00:00:00"/>
    <s v="2023_2089_03146"/>
    <s v="W2240AP LE2 CLEAR r135x0150 CB1P"/>
    <m/>
    <m/>
    <m/>
    <s v="N/A"/>
    <m/>
    <n v="0.44444444444444442"/>
    <m/>
    <x v="0"/>
    <s v="Clear"/>
  </r>
  <r>
    <s v="Fuyao"/>
    <s v="Tianjin"/>
    <s v="LiXiang"/>
    <s v="W01"/>
    <s v="OEM"/>
    <x v="1"/>
    <s v="W2242AA"/>
    <s v="L"/>
    <s v="E2"/>
    <s v="Clear"/>
    <x v="0"/>
    <s v="BF011708"/>
    <s v="Y"/>
    <s v="L9"/>
    <x v="18"/>
    <n v="135"/>
    <n v="30"/>
    <s v="N/A"/>
    <s v="N/A"/>
    <n v="0.8"/>
    <n v="300"/>
    <n v="700"/>
    <n v="400"/>
    <n v="350"/>
    <n v="300"/>
    <n v="700"/>
    <n v="400"/>
    <n v="350"/>
    <s v="N/A"/>
    <n v="105"/>
    <n v="1.2410000000000001"/>
    <m/>
    <n v="1.0695000000000001"/>
    <n v="1.1336700000000002"/>
    <n v="875.34418400000015"/>
    <n v="134.70242388385014"/>
    <n v="147.28670961385023"/>
    <n v="292.78472554058129"/>
    <n v="147"/>
    <n v="198.45"/>
    <n v="224.97681150000003"/>
    <n v="749.92270500000006"/>
    <d v="2023-04-01T00:00:00"/>
    <s v="2023_1949_03006"/>
    <s v="W2242AA LE2 CLEAR r135x0147 CB1P"/>
    <m/>
    <m/>
    <m/>
    <s v="N/A"/>
    <m/>
    <n v="0.51851851851851849"/>
    <m/>
    <x v="0"/>
    <s v="Clear"/>
  </r>
  <r>
    <s v="Fuyao"/>
    <s v="Tianjin"/>
    <s v="Toyota"/>
    <s v="Crown Kluger (770B)"/>
    <s v="OEM"/>
    <x v="2"/>
    <s v="W2248AGT"/>
    <s v="L"/>
    <s v="E2"/>
    <s v="Clear"/>
    <x v="0"/>
    <s v="BF011909"/>
    <s v="Y"/>
    <s v="L9"/>
    <x v="47"/>
    <n v="103"/>
    <n v="30"/>
    <s v="N/A"/>
    <s v="N/A"/>
    <n v="0.8"/>
    <n v="200"/>
    <n v="600"/>
    <n v="400"/>
    <n v="130"/>
    <n v="200"/>
    <n v="600"/>
    <n v="400"/>
    <n v="130"/>
    <s v="N/A"/>
    <n v="73"/>
    <n v="1.1504000000000001"/>
    <m/>
    <n v="1.0262291262135923"/>
    <n v="1.0878028737864078"/>
    <n v="879.250496"/>
    <n v="145.31094231559285"/>
    <n v="158.88630618114411"/>
    <n v="315.84304971823838"/>
    <n v="159"/>
    <n v="163.77000000000001"/>
    <n v="178.14947664000002"/>
    <n v="593.83158880000008"/>
    <d v="2023-07-23T00:00:00"/>
    <s v="2023_2089_03146, 2024_2777_03835"/>
    <s v="W2248AG LE2 CLEAR r103x0159 CB4P"/>
    <m/>
    <m/>
    <m/>
    <s v="N/A"/>
    <m/>
    <n v="0.58252427184466016"/>
    <m/>
    <x v="0"/>
    <s v="Clear"/>
  </r>
  <r>
    <s v="Fuyao"/>
    <s v="Tianjin"/>
    <s v="Toyota"/>
    <s v="Crown Kluger (770B)"/>
    <s v="OEM"/>
    <x v="2"/>
    <s v="W5048AC"/>
    <s v="L"/>
    <s v="E2"/>
    <s v="Clear"/>
    <x v="1"/>
    <s v="BF011791"/>
    <m/>
    <s v="L6"/>
    <x v="47"/>
    <n v="98"/>
    <n v="25"/>
    <s v="N/A"/>
    <s v="N/A"/>
    <n v="0.76"/>
    <n v="200"/>
    <n v="600"/>
    <n v="400"/>
    <n v="130"/>
    <n v="150"/>
    <n v="600"/>
    <n v="450"/>
    <n v="130"/>
    <s v="N/A"/>
    <n v="73"/>
    <n v="1.1104000000000001"/>
    <m/>
    <n v="0.97989387755102042"/>
    <n v="1.0435869795918369"/>
    <n v="840.79790400000002"/>
    <n v="150.54548634713439"/>
    <n v="164.60987628853402"/>
    <n v="327.22068119223837"/>
    <n v="165"/>
    <n v="161.69999999999999"/>
    <n v="168.7480146"/>
    <n v="674.99205840000002"/>
    <d v="2023-07-23T00:00:00"/>
    <s v="2023_2009_03066"/>
    <s v="W5048AC FR3 CLEAR r098x0165 CB4P"/>
    <m/>
    <m/>
    <m/>
    <s v="N/A"/>
    <m/>
    <n v="0.61224489795918369"/>
    <m/>
    <x v="2"/>
    <s v="Clear"/>
  </r>
  <r>
    <s v="Fuyao"/>
    <s v="Tianjin"/>
    <s v="Toyota"/>
    <s v="Sienna MPV (018D)"/>
    <s v="OEM"/>
    <x v="2"/>
    <s v="W2232ADT"/>
    <s v="L"/>
    <s v="E2"/>
    <s v="Clear"/>
    <x v="0"/>
    <s v="BF011517"/>
    <s v="Y"/>
    <s v="L9"/>
    <x v="50"/>
    <n v="121"/>
    <n v="30"/>
    <s v="N/A"/>
    <s v="N/A"/>
    <n v="0.8"/>
    <n v="200"/>
    <n v="600"/>
    <n v="400"/>
    <n v="310"/>
    <n v="150"/>
    <n v="600"/>
    <n v="450"/>
    <n v="310"/>
    <s v="N/A"/>
    <n v="91"/>
    <n v="1.0912000000000002"/>
    <m/>
    <n v="0.98169917355371916"/>
    <n v="1.0406011239669422"/>
    <n v="868.833664"/>
    <n v="153.19438053506047"/>
    <n v="167.50623774815628"/>
    <n v="332.97822983491699"/>
    <n v="168"/>
    <n v="203.28"/>
    <n v="211.53339647999999"/>
    <n v="705.1113216"/>
    <d v="2023-02-01T00:00:00"/>
    <s v="2022_1806_02862, 2024_2777_03835"/>
    <s v="W2232AD LE2 CLEAR r121x0168 CB4P"/>
    <m/>
    <m/>
    <m/>
    <s v="N/A"/>
    <m/>
    <n v="0.49586776859504134"/>
    <m/>
    <x v="0"/>
    <s v="Clear"/>
  </r>
  <r>
    <s v="Fuyao"/>
    <s v="Tianjin"/>
    <m/>
    <m/>
    <s v="OEM"/>
    <x v="0"/>
    <s v="W5027AA"/>
    <s v="L"/>
    <s v="E2"/>
    <s v="Clear"/>
    <x v="1"/>
    <s v="BF011793"/>
    <m/>
    <s v="L6"/>
    <x v="0"/>
    <n v="108"/>
    <n v="30"/>
    <s v="N/A"/>
    <s v="N/A"/>
    <n v="0.76"/>
    <n v="200"/>
    <n v="600"/>
    <n v="400"/>
    <n v="180"/>
    <n v="150"/>
    <n v="600"/>
    <n v="450"/>
    <n v="180"/>
    <s v="N/A"/>
    <n v="78"/>
    <n v="0.97060000000000002"/>
    <m/>
    <n v="0.89455000000000007"/>
    <n v="0.95269575000000006"/>
    <n v="827.06132100000002"/>
    <n v="172.22924792896976"/>
    <n v="188.3193968996375"/>
    <n v="374.35178693165204"/>
    <n v="188"/>
    <n v="203.04"/>
    <n v="193.43534508000002"/>
    <n v="644.78448360000004"/>
    <s v="?"/>
    <s v="2023_2009_03066"/>
    <s v="W5027AA FR3 CLEAR r108x0188 CB4P"/>
    <m/>
    <m/>
    <m/>
    <s v="N/A"/>
    <m/>
    <n v="0.55555555555555558"/>
    <m/>
    <x v="2"/>
    <s v="Clear"/>
  </r>
  <r>
    <s v="Fuyao"/>
    <s v="Tianjin"/>
    <m/>
    <m/>
    <s v="OEM"/>
    <x v="0"/>
    <s v="W5056AB"/>
    <s v="F"/>
    <s v="R3"/>
    <s v="Clear"/>
    <x v="1"/>
    <s v="BF011647"/>
    <m/>
    <s v="L6"/>
    <x v="51"/>
    <n v="98"/>
    <n v="30"/>
    <s v="N/A"/>
    <s v="N/A"/>
    <n v="0.76"/>
    <n v="160"/>
    <n v="560"/>
    <n v="400"/>
    <n v="120"/>
    <n v="150"/>
    <n v="600"/>
    <n v="450"/>
    <n v="80"/>
    <s v="N/A"/>
    <n v="68"/>
    <n v="1.1408"/>
    <m/>
    <n v="1.0086857142857144"/>
    <n v="1.0742502857142859"/>
    <n v="846.030888"/>
    <n v="146.53375529440572"/>
    <n v="160.22335784606256"/>
    <n v="318.50091549426844"/>
    <n v="120"/>
    <n v="117.6"/>
    <n v="126.33183360000002"/>
    <n v="421.10611200000011"/>
    <s v="?"/>
    <s v="2023_1903_02960"/>
    <s v="W5056AB FR3 CLEAR r098x0120 CB1P"/>
    <m/>
    <m/>
    <m/>
    <s v="N/A"/>
    <m/>
    <n v="0.5714285714285714"/>
    <m/>
    <x v="2"/>
    <s v="Clear"/>
  </r>
  <r>
    <s v="Fuyao"/>
    <s v="Zhengzhou"/>
    <s v="BYD"/>
    <s v="Dynasty Song Plus (SA3F)"/>
    <s v="OEM"/>
    <x v="2"/>
    <s v="W2230ABT"/>
    <s v="L"/>
    <s v="E2"/>
    <s v="Clear"/>
    <x v="0"/>
    <s v="BF011853"/>
    <s v="Y"/>
    <s v="L9"/>
    <x v="14"/>
    <n v="105"/>
    <n v="30"/>
    <s v="N/A"/>
    <s v="N/A"/>
    <n v="0.8"/>
    <n v="200"/>
    <n v="600"/>
    <n v="400"/>
    <n v="150"/>
    <n v="150"/>
    <n v="600"/>
    <n v="450"/>
    <n v="150"/>
    <s v="N/A"/>
    <n v="75"/>
    <n v="1.0250000000000001"/>
    <m/>
    <n v="0.94464285714285712"/>
    <n v="1.0013214285714285"/>
    <n v="867.53156000000013"/>
    <n v="163.08849564864195"/>
    <n v="178.32468939589089"/>
    <n v="354.48375063010872"/>
    <n v="178"/>
    <n v="186.9"/>
    <n v="187.146975"/>
    <n v="623.82325000000003"/>
    <d v="2023-07-23T00:00:00"/>
    <s v="2023_2056_03113"/>
    <s v="W2230AB LE2 CLEAR r105x0178 CB4P"/>
    <m/>
    <m/>
    <m/>
    <s v="N/A"/>
    <m/>
    <n v="0.5714285714285714"/>
    <m/>
    <x v="0"/>
    <s v="Clear"/>
  </r>
  <r>
    <s v="Fuyao"/>
    <s v="Zhengzhou"/>
    <s v="BYD"/>
    <s v="SA3"/>
    <s v="OEM"/>
    <x v="2"/>
    <s v="W2222ACT"/>
    <s v="L"/>
    <s v="E2"/>
    <s v="Clear"/>
    <x v="0"/>
    <s v="BF012558 (CB1P), BF012704 (CB4P)"/>
    <s v="Y"/>
    <s v="L9"/>
    <x v="42"/>
    <n v="112"/>
    <n v="30"/>
    <s v="N/A"/>
    <s v="N/A"/>
    <n v="0.8"/>
    <n v="200"/>
    <n v="600"/>
    <n v="400"/>
    <n v="220"/>
    <n v="200"/>
    <n v="600"/>
    <n v="400"/>
    <n v="220"/>
    <s v="N/A"/>
    <n v="82"/>
    <n v="0.98040000000000005"/>
    <m/>
    <n v="0.91436071428571442"/>
    <n v="0.9692223571428572"/>
    <n v="862.32314400000007"/>
    <n v="170.50765813939009"/>
    <n v="186.43697126763379"/>
    <n v="370.60979640540745"/>
    <n v="186"/>
    <n v="208.32"/>
    <n v="201.90840144000001"/>
    <n v="673.02800480000008"/>
    <d v="2024-11-01T00:00:00"/>
    <s v="2024_2793_03851, 2024_2909_03967"/>
    <s v="W2222ACT LE2 CLEAR r112x0186 CB1P, W2222ACT LE2 CLEAR r112x0186 CB4P"/>
    <m/>
    <m/>
    <m/>
    <m/>
    <m/>
    <m/>
    <m/>
    <x v="1"/>
    <m/>
  </r>
  <r>
    <s v="Fuyao"/>
    <s v="Zhengzhou"/>
    <s v="BYD"/>
    <s v="Formula Leopard Bao 5 (SFH)"/>
    <s v="OEM"/>
    <x v="2"/>
    <s v="W2227AAT"/>
    <s v="L"/>
    <s v="E2"/>
    <s v="Clear"/>
    <x v="0"/>
    <s v="BF011803"/>
    <s v="Y"/>
    <s v="L9"/>
    <x v="0"/>
    <n v="83"/>
    <n v="20"/>
    <s v="N/A"/>
    <s v="N/A"/>
    <n v="0.8"/>
    <n v="100"/>
    <n v="500"/>
    <n v="400"/>
    <n v="130"/>
    <n v="100"/>
    <n v="500"/>
    <n v="400"/>
    <n v="130"/>
    <s v="N/A"/>
    <n v="63"/>
    <n v="0.97010000000000007"/>
    <m/>
    <n v="0.90554397590361468"/>
    <n v="0.95987661445783157"/>
    <n v="865.57840400000009"/>
    <n v="172.31801674039582"/>
    <n v="188.41645874733342"/>
    <n v="374.54473187904483"/>
    <n v="188"/>
    <n v="156.04"/>
    <n v="149.77914692000002"/>
    <n v="748.89573460000008"/>
    <d v="2023-07-23T00:00:00"/>
    <s v="2023_2021_03078, 2024_2777_03835"/>
    <s v="W2227AA LE2 CLEAR r083x0188 CB4P"/>
    <m/>
    <m/>
    <m/>
    <s v="N/A"/>
    <m/>
    <n v="0.60240963855421692"/>
    <m/>
    <x v="0"/>
    <s v="Clear"/>
  </r>
  <r>
    <s v="Fuyao"/>
    <s v="Zhengzhou"/>
    <s v="BYD"/>
    <s v="Formula Leopard Bao 5 (SFH)"/>
    <s v="OEM"/>
    <x v="0"/>
    <s v="W2228AET"/>
    <s v="L"/>
    <s v="E2"/>
    <s v="Clear"/>
    <x v="0"/>
    <s v="BF012717"/>
    <s v="Y"/>
    <s v="L9"/>
    <x v="26"/>
    <n v="83"/>
    <n v="15"/>
    <s v="N/A"/>
    <s v="N/A"/>
    <n v="0.8"/>
    <n v="150"/>
    <n v="550"/>
    <n v="400"/>
    <n v="130"/>
    <n v="150"/>
    <n v="550"/>
    <n v="400"/>
    <n v="130"/>
    <s v="N/A"/>
    <n v="68"/>
    <n v="0.99040000000000006"/>
    <m/>
    <n v="0.91240481927710848"/>
    <n v="0.96714910843373503"/>
    <n v="866.22945600000003"/>
    <n v="168.78605415979203"/>
    <n v="184.55453011993959"/>
    <n v="366.86777503620908"/>
    <n v="185"/>
    <n v="153.55000000000001"/>
    <n v="148.50574560000001"/>
    <n v="990.03830400000015"/>
    <d v="2025-02-01T00:00:00"/>
    <s v="2024_2914_03972"/>
    <s v="W2228AET LE2 CLEAR r083x0185 CB1P"/>
    <m/>
    <m/>
    <m/>
    <m/>
    <m/>
    <m/>
    <m/>
    <x v="1"/>
    <m/>
  </r>
  <r>
    <s v="Fuyao"/>
    <s v="Zhengzhou"/>
    <s v="BYD"/>
    <s v="Formula Leopard Bao 8 (SQ)"/>
    <s v="OEM"/>
    <x v="0"/>
    <s v="W2228AC"/>
    <s v="L"/>
    <s v="E2"/>
    <s v="Clear"/>
    <x v="0"/>
    <s v="BF012372"/>
    <s v="Y"/>
    <s v="L9"/>
    <x v="26"/>
    <n v="92"/>
    <n v="24"/>
    <s v="N/A"/>
    <s v="N/A"/>
    <n v="0.8"/>
    <n v="150"/>
    <n v="550"/>
    <n v="400"/>
    <n v="130"/>
    <n v="150"/>
    <n v="550"/>
    <n v="400"/>
    <n v="130"/>
    <s v="N/A"/>
    <n v="68"/>
    <n v="0.99040000000000006"/>
    <m/>
    <n v="0.92003478260869553"/>
    <n v="0.97523686956521727"/>
    <n v="866.22945600000003"/>
    <n v="168.78605415979203"/>
    <n v="184.55453011993959"/>
    <n v="366.86777503620908"/>
    <n v="185"/>
    <n v="170.2"/>
    <n v="165.98531519999997"/>
    <n v="691.60547999999994"/>
    <d v="2024-06-01T00:00:00"/>
    <s v="2024_2591_03649"/>
    <s v="W2228AC LE2 CLEAR r092x0185 CB1P"/>
    <s v="Needed to change the flat distance vs. W2228AA to get 130 mm"/>
    <m/>
    <m/>
    <m/>
    <m/>
    <n v="0.59782608695652173"/>
    <m/>
    <x v="1"/>
    <m/>
  </r>
  <r>
    <s v="Fuyao"/>
    <s v="Zhengzhou"/>
    <s v="BYD"/>
    <s v="Frigate SUV (SK2F)"/>
    <s v="OEM"/>
    <x v="0"/>
    <s v="W2235AFT"/>
    <s v="L"/>
    <s v="E2"/>
    <s v="Clear"/>
    <x v="0"/>
    <s v="BF012545"/>
    <s v="Y"/>
    <s v="L9"/>
    <x v="7"/>
    <n v="105"/>
    <n v="30"/>
    <s v="N/A"/>
    <s v="N/A"/>
    <n v="0.8"/>
    <n v="200"/>
    <n v="600"/>
    <n v="400"/>
    <n v="150"/>
    <n v="200"/>
    <n v="600"/>
    <n v="400"/>
    <n v="150"/>
    <s v="N/A"/>
    <n v="75"/>
    <n v="1.0625"/>
    <m/>
    <n v="0.96875"/>
    <n v="1.026875"/>
    <n v="870.78682000000003"/>
    <n v="157.33243109633696"/>
    <n v="172.03087682897711"/>
    <n v="341.97255943139908"/>
    <n v="172"/>
    <n v="180.6"/>
    <n v="185.45362499999999"/>
    <n v="618.17875000000004"/>
    <d v="2024-11-01T00:00:00"/>
    <s v="2024_2776_03834"/>
    <s v="W2235AFT LE2 CLEAR r105x0172 CB1P"/>
    <m/>
    <m/>
    <m/>
    <m/>
    <m/>
    <m/>
    <m/>
    <x v="1"/>
    <m/>
  </r>
  <r>
    <s v="Fuyao"/>
    <s v="Zhengzhou"/>
    <s v="BYD"/>
    <s v="Frigate SUV (SK2F)"/>
    <s v="OEM"/>
    <x v="2"/>
    <s v="W2251ADT"/>
    <s v="L"/>
    <s v="E2"/>
    <s v="Clear"/>
    <x v="0"/>
    <s v="BF011579"/>
    <s v="Y"/>
    <s v="L9"/>
    <x v="1"/>
    <n v="105"/>
    <n v="30"/>
    <s v="N/A"/>
    <s v="N/A"/>
    <n v="0.8"/>
    <n v="200"/>
    <n v="600"/>
    <n v="400"/>
    <n v="150"/>
    <n v="150"/>
    <n v="600"/>
    <n v="450"/>
    <n v="150"/>
    <s v="N/A"/>
    <n v="75"/>
    <n v="1.1825000000000001"/>
    <m/>
    <n v="1.0458928571428572"/>
    <n v="1.1086464285714286"/>
    <n v="881.20365200000003"/>
    <n v="141.36634929374887"/>
    <n v="154.57319799643818"/>
    <n v="307.26921301975597"/>
    <n v="155"/>
    <n v="162.75"/>
    <n v="180.43220625000001"/>
    <n v="601.44068750000008"/>
    <d v="2023-02-23T00:00:00"/>
    <s v="2022_1831_02887, 2023_1838_02894, 2024_2777_03835"/>
    <s v="W2251AD LE2 CLEAR r105x0155 CB4P"/>
    <m/>
    <m/>
    <m/>
    <s v="N/A"/>
    <m/>
    <n v="0.5714285714285714"/>
    <m/>
    <x v="0"/>
    <s v="Clear"/>
  </r>
  <r>
    <s v="Fuyao"/>
    <s v="Zhengzhou"/>
    <s v="BYD"/>
    <s v="Frigate SUV (SK2F)"/>
    <s v="OEM"/>
    <x v="0"/>
    <s v="W2253AB"/>
    <s v="L"/>
    <s v="E2"/>
    <s v="Clear"/>
    <x v="0"/>
    <s v="BF012316"/>
    <s v="Y"/>
    <s v="L9"/>
    <x v="35"/>
    <n v="105"/>
    <n v="25"/>
    <s v="N/A"/>
    <s v="N/A"/>
    <n v="0.8"/>
    <n v="200"/>
    <n v="600"/>
    <n v="400"/>
    <n v="200"/>
    <n v="200"/>
    <n v="600"/>
    <n v="400"/>
    <n v="200"/>
    <s v="N/A"/>
    <n v="80"/>
    <n v="1.224"/>
    <m/>
    <n v="1.0624761904761906"/>
    <n v="1.1262247619047618"/>
    <n v="882.50575600000013"/>
    <n v="136.57329088223696"/>
    <n v="149.33235835848708"/>
    <n v="296.85118006197831"/>
    <n v="149"/>
    <n v="156.44999999999999"/>
    <n v="176.19786399999998"/>
    <n v="704.79145599999993"/>
    <s v="?"/>
    <s v="2024_2535_03592"/>
    <s v="W2253AB LE2 CLEAR r105x0149 CB1P"/>
    <s v="Will replace W2251AD LE2"/>
    <m/>
    <m/>
    <m/>
    <m/>
    <n v="0.5714285714285714"/>
    <m/>
    <x v="0"/>
    <m/>
  </r>
  <r>
    <s v="Fuyao"/>
    <s v="Zhengzhou"/>
    <s v="BYD"/>
    <s v="HB"/>
    <s v="OEM"/>
    <x v="0"/>
    <s v="W2227AQT"/>
    <s v="L"/>
    <s v="E2"/>
    <s v="Clear"/>
    <x v="0"/>
    <m/>
    <s v="Y"/>
    <s v="L9"/>
    <x v="0"/>
    <n v="114"/>
    <n v="30"/>
    <s v="N/A"/>
    <s v="N/A"/>
    <n v="0.8"/>
    <n v="200"/>
    <n v="700"/>
    <n v="500"/>
    <n v="140"/>
    <n v="200"/>
    <n v="700"/>
    <n v="500"/>
    <n v="140"/>
    <s v="N/A"/>
    <n v="84"/>
    <n v="1.0268000000000002"/>
    <m/>
    <n v="0.94324210526315799"/>
    <n v="0.99983663157894742"/>
    <n v="865.57840400000009"/>
    <n v="162.80259840266655"/>
    <n v="178.0120828114415"/>
    <n v="353.86233384871576"/>
    <n v="178"/>
    <n v="202.92"/>
    <n v="202.88684928000001"/>
    <n v="676.2894976"/>
    <m/>
    <s v="2025-0307-0454"/>
    <s v="W2227AQT LE2 CLEAR r114x0178 CB1P"/>
    <m/>
    <m/>
    <m/>
    <m/>
    <m/>
    <m/>
    <m/>
    <x v="1"/>
    <m/>
  </r>
  <r>
    <s v="Fuyao"/>
    <s v="Zhengzhou"/>
    <s v="BYD"/>
    <s v="HXHA"/>
    <s v="OEM"/>
    <x v="1"/>
    <s v="W2225AB"/>
    <s v="L"/>
    <s v="E2"/>
    <s v="Clear"/>
    <x v="0"/>
    <s v="BF011538"/>
    <s v="Y"/>
    <s v="L9"/>
    <x v="30"/>
    <n v="130"/>
    <n v="30"/>
    <s v="N/A"/>
    <s v="N/A"/>
    <n v="0.8"/>
    <n v="200"/>
    <n v="600"/>
    <n v="400"/>
    <n v="400"/>
    <n v="150"/>
    <n v="600"/>
    <n v="450"/>
    <n v="400"/>
    <s v="N/A"/>
    <n v="100"/>
    <n v="1.05"/>
    <m/>
    <n v="0.9538461538461539"/>
    <n v="1.011076923076923"/>
    <n v="864.27630000000011"/>
    <n v="159.20543622843621"/>
    <n v="174.0788634578935"/>
    <n v="346.04366132939185"/>
    <n v="120"/>
    <n v="156"/>
    <n v="157.72799999999998"/>
    <n v="525.76"/>
    <d v="2023-01-01T00:00:00"/>
    <s v="2022_1807_02863"/>
    <s v="W2225AB LE2 CLEAR r130x0120 CB1P"/>
    <s v="Originally set up for Tianjin. Was tested at Chonqin, but went with W5025__."/>
    <m/>
    <m/>
    <s v="N/A"/>
    <m/>
    <n v="0.46153846153846156"/>
    <m/>
    <x v="0"/>
    <s v="Clear"/>
  </r>
  <r>
    <s v="Fuyao"/>
    <s v="Zhengzhou"/>
    <s v="BYD"/>
    <s v="HXHA"/>
    <s v="OEM"/>
    <x v="1"/>
    <s v="W2244AJ"/>
    <s v="L"/>
    <s v="E2"/>
    <s v="Clear"/>
    <x v="0"/>
    <s v="BF011802"/>
    <s v="Y"/>
    <s v="L9"/>
    <x v="16"/>
    <n v="107"/>
    <n v="30"/>
    <s v="N/A"/>
    <s v="N/A"/>
    <n v="0.8"/>
    <n v="200"/>
    <n v="600"/>
    <n v="400"/>
    <n v="170"/>
    <n v="150"/>
    <n v="600"/>
    <n v="450"/>
    <n v="170"/>
    <s v="N/A"/>
    <n v="77"/>
    <n v="1.1388"/>
    <m/>
    <n v="1.0168953271028038"/>
    <n v="1.0779090467289723"/>
    <n v="876.64628800000003"/>
    <n v="146.79110295034951"/>
    <n v="160.50474765611887"/>
    <n v="319.06027783268479"/>
    <n v="161"/>
    <n v="172.27"/>
    <n v="185.69139148000005"/>
    <n v="618.9713049333335"/>
    <d v="2023-05-01T00:00:00"/>
    <s v="2023_2021_03078"/>
    <s v="W2244AJ LE2 CLEAR r107x0161 CB1P"/>
    <s v="Shaped"/>
    <m/>
    <m/>
    <s v="N/A"/>
    <m/>
    <n v="0.56074766355140182"/>
    <m/>
    <x v="0"/>
    <e v="#REF!"/>
  </r>
  <r>
    <s v="Fuyao"/>
    <s v="Zhengzhou"/>
    <s v="BYD"/>
    <s v="HXHA"/>
    <s v="OEM"/>
    <x v="2"/>
    <s v="W2247ADT"/>
    <s v="L"/>
    <s v="E2"/>
    <s v="Clear"/>
    <x v="0"/>
    <s v="BF011794"/>
    <s v="Y"/>
    <s v="L9"/>
    <x v="25"/>
    <n v="106"/>
    <n v="30"/>
    <s v="N/A"/>
    <s v="N/A"/>
    <n v="0.8"/>
    <n v="200"/>
    <n v="600"/>
    <n v="400"/>
    <n v="160"/>
    <n v="150"/>
    <n v="600"/>
    <n v="450"/>
    <n v="160"/>
    <s v="N/A"/>
    <n v="76"/>
    <n v="1.1572"/>
    <m/>
    <n v="1.0291471698113206"/>
    <n v="1.0908959999999999"/>
    <n v="878.59944400000006"/>
    <n v="144.45705845131181"/>
    <n v="157.95265004388884"/>
    <n v="313.98707604205106"/>
    <n v="158"/>
    <n v="167.48"/>
    <n v="182.70326207999997"/>
    <n v="609.01087359999997"/>
    <d v="2023-05-01T00:00:00"/>
    <s v="2023_2009_03066, 2024_2777_03835"/>
    <s v="W2247AD LE2 CLEAR r106x0158 CB4P"/>
    <s v="Unshaped"/>
    <m/>
    <m/>
    <s v="N/A"/>
    <m/>
    <n v="0.56603773584905659"/>
    <m/>
    <x v="0"/>
    <s v="Clear"/>
  </r>
  <r>
    <s v="Fuyao"/>
    <s v="Zhengzhou"/>
    <s v="BYD"/>
    <s v="HXHA"/>
    <s v="OEM"/>
    <x v="0"/>
    <s v="W2239AEH (copy)"/>
    <s v="L"/>
    <s v="E2"/>
    <s v="Clear"/>
    <x v="0"/>
    <s v="Copy"/>
    <m/>
    <s v="L9"/>
    <x v="39"/>
    <m/>
    <m/>
    <m/>
    <n v="0"/>
    <m/>
    <m/>
    <m/>
    <n v="0"/>
    <n v="0"/>
    <m/>
    <m/>
    <n v="0"/>
    <n v="0"/>
    <s v="N/A"/>
    <n v="0"/>
    <n v="0"/>
    <m/>
    <e v="#DIV/0!"/>
    <e v="#DIV/0!"/>
    <n v="0"/>
    <e v="#DIV/0!"/>
    <e v="#DIV/0!"/>
    <e v="#DIV/0!"/>
    <m/>
    <n v="0"/>
    <e v="#DIV/0!"/>
    <e v="#DIV/0!"/>
    <m/>
    <s v="N/A"/>
    <m/>
    <m/>
    <m/>
    <m/>
    <m/>
    <m/>
    <m/>
    <m/>
    <x v="1"/>
    <m/>
  </r>
  <r>
    <s v="Fuyao"/>
    <s v="Zhengzhou"/>
    <s v="BYD"/>
    <s v="PAHA"/>
    <s v="OEM"/>
    <x v="1"/>
    <s v="W5063AA"/>
    <s v="F"/>
    <s v="R3"/>
    <s v="Clear"/>
    <x v="1"/>
    <s v="BF011466"/>
    <m/>
    <s v="L6"/>
    <x v="22"/>
    <n v="120"/>
    <n v="30"/>
    <s v="N/A"/>
    <s v="N/A"/>
    <n v="0.76"/>
    <n v="234"/>
    <n v="488"/>
    <n v="254"/>
    <n v="412"/>
    <n v="200"/>
    <n v="600"/>
    <n v="400"/>
    <n v="300"/>
    <s v="N/A"/>
    <n v="90"/>
    <n v="1.327"/>
    <m/>
    <n v="1.1143749999999999"/>
    <n v="1.1868093749999999"/>
    <n v="850.60974900000008"/>
    <n v="125.97265112272649"/>
    <n v="137.74137651152085"/>
    <n v="273.80998070524606"/>
    <n v="50"/>
    <n v="60"/>
    <n v="71.208562499999999"/>
    <n v="237.361875"/>
    <d v="2022-12-01T00:00:00"/>
    <s v="2022_1756_02812"/>
    <s v="W5063AA FR3 CLEAR r120x0050 CB1P"/>
    <m/>
    <m/>
    <m/>
    <s v="N/A"/>
    <m/>
    <n v="0.40666666666666662"/>
    <m/>
    <x v="2"/>
    <s v="Clear"/>
  </r>
  <r>
    <s v="Fuyao"/>
    <s v="Zhengzhou"/>
    <s v="BYD"/>
    <s v="PAHA"/>
    <s v="OEM"/>
    <x v="0"/>
    <s v="W5048AB (copy)"/>
    <s v="F"/>
    <s v="R3"/>
    <s v="Clear"/>
    <x v="1"/>
    <s v="Copy"/>
    <m/>
    <s v="L6"/>
    <x v="39"/>
    <m/>
    <m/>
    <m/>
    <n v="0"/>
    <m/>
    <m/>
    <m/>
    <n v="0"/>
    <n v="0"/>
    <m/>
    <m/>
    <n v="0"/>
    <n v="0"/>
    <s v="N/A"/>
    <n v="0"/>
    <n v="0"/>
    <m/>
    <e v="#DIV/0!"/>
    <e v="#DIV/0!"/>
    <n v="0"/>
    <e v="#DIV/0!"/>
    <e v="#DIV/0!"/>
    <e v="#DIV/0!"/>
    <m/>
    <n v="0"/>
    <e v="#DIV/0!"/>
    <e v="#DIV/0!"/>
    <m/>
    <s v="N/A"/>
    <m/>
    <m/>
    <m/>
    <m/>
    <m/>
    <m/>
    <m/>
    <m/>
    <x v="1"/>
    <m/>
  </r>
  <r>
    <s v="Fuyao"/>
    <s v="Zhengzhou"/>
    <s v="BYD"/>
    <s v="SA5/SA3"/>
    <s v="OEM"/>
    <x v="0"/>
    <s v="W2229AB (copy)"/>
    <s v="L"/>
    <s v="E2"/>
    <s v="Clear"/>
    <x v="0"/>
    <s v="Copy"/>
    <s v="Y"/>
    <s v="L9"/>
    <x v="39"/>
    <m/>
    <s v="See Fuyao Guangzhou for original set-up"/>
    <m/>
    <n v="0"/>
    <m/>
    <m/>
    <m/>
    <n v="0"/>
    <e v="#VALUE!"/>
    <m/>
    <m/>
    <n v="0"/>
    <e v="#VALUE!"/>
    <s v="N/A"/>
    <e v="#VALUE!"/>
    <e v="#VALUE!"/>
    <m/>
    <e v="#VALUE!"/>
    <e v="#VALUE!"/>
    <n v="0"/>
    <e v="#VALUE!"/>
    <e v="#VALUE!"/>
    <e v="#VALUE!"/>
    <m/>
    <n v="0"/>
    <e v="#VALUE!"/>
    <e v="#VALUE!"/>
    <m/>
    <s v="Copy"/>
    <m/>
    <s v="Straight cut"/>
    <m/>
    <m/>
    <m/>
    <m/>
    <m/>
    <m/>
    <x v="1"/>
    <m/>
  </r>
  <r>
    <s v="Fuyao"/>
    <s v="Zhengzhou"/>
    <s v="BYD"/>
    <s v="SC2"/>
    <s v="OEM"/>
    <x v="0"/>
    <s v="W5046AA"/>
    <s v="F"/>
    <s v="R3"/>
    <s v="Clear"/>
    <x v="1"/>
    <m/>
    <s v="Y"/>
    <s v="L6"/>
    <x v="37"/>
    <n v="105"/>
    <n v="30"/>
    <s v="N/A"/>
    <s v="N/A"/>
    <n v="0.76"/>
    <n v="200"/>
    <n v="600"/>
    <n v="400"/>
    <n v="150"/>
    <n v="200"/>
    <n v="600"/>
    <n v="400"/>
    <n v="150"/>
    <s v="N/A"/>
    <n v="75"/>
    <n v="1.105"/>
    <m/>
    <n v="0.98178571428571437"/>
    <n v="1.0456017857142859"/>
    <n v="839.48965799999996"/>
    <n v="151.28118374647786"/>
    <n v="165.41430464324719"/>
    <n v="328.81976868403757"/>
    <n v="165"/>
    <n v="173.25"/>
    <n v="181.15050937500001"/>
    <n v="603.83503125000004"/>
    <s v="?"/>
    <s v="2024_2887_03945"/>
    <m/>
    <m/>
    <m/>
    <m/>
    <m/>
    <m/>
    <m/>
    <m/>
    <x v="1"/>
    <m/>
  </r>
  <r>
    <s v="Fuyao"/>
    <s v="Zhengzhou"/>
    <s v="BYD"/>
    <s v="SC2 EV"/>
    <s v="OEM"/>
    <x v="0"/>
    <s v="W5044AB"/>
    <s v="F"/>
    <s v="R3"/>
    <s v="Clear"/>
    <x v="1"/>
    <s v="tbd"/>
    <s v="Y"/>
    <s v="L6"/>
    <x v="16"/>
    <n v="105"/>
    <n v="30"/>
    <s v="N/A"/>
    <s v="N/A"/>
    <n v="0.76"/>
    <n v="200"/>
    <n v="600"/>
    <n v="400"/>
    <n v="150"/>
    <n v="200"/>
    <n v="600"/>
    <n v="400"/>
    <n v="150"/>
    <s v="N/A"/>
    <n v="75"/>
    <n v="1.0900000000000001"/>
    <m/>
    <n v="0.9721428571428572"/>
    <n v="1.0353321428571429"/>
    <n v="838.18141200000002"/>
    <n v="153.36303489895229"/>
    <n v="167.69064828512674"/>
    <n v="333.34481137234997"/>
    <n v="168"/>
    <n v="176.4"/>
    <n v="182.63259000000002"/>
    <n v="608.77530000000013"/>
    <s v="?"/>
    <s v="2024_2932_03990"/>
    <m/>
    <m/>
    <m/>
    <m/>
    <m/>
    <m/>
    <m/>
    <m/>
    <x v="1"/>
    <m/>
  </r>
  <r>
    <s v="Fuyao"/>
    <s v="Zhengzhou"/>
    <s v="BYD"/>
    <s v="SK2F"/>
    <s v="OEM"/>
    <x v="1"/>
    <s v="W2249AF"/>
    <s v="L"/>
    <s v="E2"/>
    <s v="Clear"/>
    <x v="0"/>
    <s v="BF011637"/>
    <s v="Y"/>
    <s v="L9"/>
    <x v="17"/>
    <n v="120"/>
    <n v="30"/>
    <s v="N/A"/>
    <s v="N/A"/>
    <n v="0.8"/>
    <n v="200"/>
    <n v="600"/>
    <n v="400"/>
    <n v="300"/>
    <n v="150"/>
    <n v="650"/>
    <n v="500"/>
    <n v="250"/>
    <s v="N/A"/>
    <n v="90"/>
    <n v="1.2410000000000001"/>
    <m/>
    <n v="1.0756250000000001"/>
    <n v="1.1401625"/>
    <n v="879.90154800000005"/>
    <n v="134.70242388385014"/>
    <n v="147.28670961385023"/>
    <n v="292.78472554058129"/>
    <n v="120"/>
    <n v="144"/>
    <n v="164.18340000000001"/>
    <n v="547.27800000000002"/>
    <d v="2023-03-01T00:00:00"/>
    <s v="2023_1903_02960"/>
    <s v="W2249AF LE2 CLEAR r120x0120 CB1P"/>
    <s v="Replaced by W2251AD"/>
    <m/>
    <m/>
    <s v="N/A"/>
    <m/>
    <n v="0.5"/>
    <m/>
    <x v="0"/>
    <s v="Clear"/>
  </r>
  <r>
    <s v="Fuyao"/>
    <s v="Zhengzhou"/>
    <s v="BYD"/>
    <s v="SK2F"/>
    <s v="OEM"/>
    <x v="1"/>
    <s v="W2251AB"/>
    <s v="L"/>
    <s v="E2"/>
    <s v="Clear"/>
    <x v="0"/>
    <s v="BF010872 (50m), BF011314 (L9 50m)"/>
    <s v="Y"/>
    <s v="L9"/>
    <x v="1"/>
    <n v="107"/>
    <n v="30"/>
    <s v="N/A"/>
    <s v="N/A"/>
    <n v="0.8"/>
    <n v="238"/>
    <n v="546"/>
    <n v="308"/>
    <n v="224"/>
    <n v="192"/>
    <n v="592"/>
    <n v="400"/>
    <n v="178"/>
    <s v="N/A"/>
    <n v="77"/>
    <n v="1.1927000000000001"/>
    <m/>
    <n v="1.0514014018691591"/>
    <n v="1.1144854859813085"/>
    <n v="881.20365200000003"/>
    <n v="140.15738076620946"/>
    <n v="153.25128417103056"/>
    <n v="304.64143908431407"/>
    <n v="50"/>
    <n v="53.5"/>
    <n v="59.624973500000003"/>
    <n v="198.74991166666669"/>
    <d v="2022-06-01T00:00:00"/>
    <s v="2022_1444_02500, 2022_1610_02666, 2022_1643_02699"/>
    <s v="W2251AB LE2 CLEAR r107x0050 CB1P"/>
    <s v="First extruded on L8, then extended to L9"/>
    <m/>
    <m/>
    <s v="N/A"/>
    <m/>
    <n v="0.51028037383177571"/>
    <m/>
    <x v="0"/>
    <s v="Clear"/>
  </r>
  <r>
    <s v="Fuyao"/>
    <s v="Zhengzhou"/>
    <s v="BYD"/>
    <s v="SK2F"/>
    <s v="OEM"/>
    <x v="1"/>
    <s v="W2251AC"/>
    <s v="L"/>
    <s v="E2"/>
    <s v="Clear"/>
    <x v="0"/>
    <s v="BF011521"/>
    <s v="Y"/>
    <s v="L9"/>
    <x v="1"/>
    <n v="107"/>
    <n v="30"/>
    <s v="N/A"/>
    <s v="N/A"/>
    <n v="0.8"/>
    <n v="238"/>
    <n v="546"/>
    <n v="308"/>
    <n v="224"/>
    <n v="192"/>
    <n v="592"/>
    <n v="400"/>
    <n v="178"/>
    <s v="N/A"/>
    <n v="77"/>
    <n v="1.1927000000000001"/>
    <m/>
    <n v="1.0514014018691591"/>
    <n v="1.1144854859813085"/>
    <n v="881.20365200000003"/>
    <n v="140.15738076620946"/>
    <n v="153.25128417103056"/>
    <n v="304.64143908431407"/>
    <n v="153"/>
    <n v="163.71"/>
    <n v="182.45241891000001"/>
    <n v="608.17472970000006"/>
    <s v="Never"/>
    <s v="2022_1806_02862"/>
    <s v="W2251AC LE2 CLEAR r107x0153 CB4P"/>
    <s v="Changed to W2251AD before it could be extruded. Shouldn't have been set up since the same design as W2251AB."/>
    <m/>
    <m/>
    <s v="N/A"/>
    <m/>
    <n v="0.51028037383177571"/>
    <m/>
    <x v="0"/>
    <s v="Clear"/>
  </r>
  <r>
    <s v="Fuyao"/>
    <s v="Zhengzhou"/>
    <m/>
    <m/>
    <s v="OEM"/>
    <x v="0"/>
    <s v="W2232ALT"/>
    <s v="L"/>
    <s v="E2"/>
    <s v="Clear"/>
    <x v="0"/>
    <s v="tbd"/>
    <s v="Y"/>
    <s v="L9"/>
    <x v="50"/>
    <n v="83"/>
    <n v="20"/>
    <s v="N/A"/>
    <s v="N/A"/>
    <n v="0.8"/>
    <n v="100"/>
    <n v="500"/>
    <n v="400"/>
    <n v="130"/>
    <n v="100"/>
    <n v="500"/>
    <n v="400"/>
    <n v="130"/>
    <s v="N/A"/>
    <n v="63"/>
    <n v="1.0016"/>
    <m/>
    <n v="0.92508915662650615"/>
    <n v="0.98059450602409659"/>
    <n v="868.833664"/>
    <n v="166.89867016758987"/>
    <n v="182.49082131668146"/>
    <n v="362.76541972430255"/>
    <n v="182"/>
    <n v="151.06"/>
    <n v="148.12860608000003"/>
    <n v="740.64303040000004"/>
    <s v="?"/>
    <s v="2025-0264-0410"/>
    <m/>
    <m/>
    <m/>
    <m/>
    <m/>
    <m/>
    <m/>
    <m/>
    <x v="1"/>
    <m/>
  </r>
  <r>
    <s v="Fuyao"/>
    <s v="Zhengzhou"/>
    <s v="BYD"/>
    <s v="Song L SUV (SA5)"/>
    <s v="OEM"/>
    <x v="0"/>
    <s v="W2222ADT"/>
    <s v="L"/>
    <s v="E2"/>
    <s v="Clear"/>
    <x v="0"/>
    <s v="BF012559 (CB1P), BF012705 (CB4P)]"/>
    <s v="Y"/>
    <s v="L9"/>
    <x v="42"/>
    <n v="118"/>
    <n v="30"/>
    <s v="N/A"/>
    <s v="N/A"/>
    <n v="0.8"/>
    <n v="200"/>
    <n v="600"/>
    <n v="400"/>
    <n v="280"/>
    <n v="200"/>
    <n v="600"/>
    <n v="400"/>
    <n v="280"/>
    <s v="N/A"/>
    <n v="88"/>
    <n v="0.99360000000000004"/>
    <m/>
    <n v="0.92141016949152554"/>
    <n v="0.97669477966101703"/>
    <n v="862.32314400000007"/>
    <n v="168.2424597824658"/>
    <n v="183.96015160103477"/>
    <n v="365.68623630823413"/>
    <n v="184"/>
    <n v="217.12"/>
    <n v="212.05997056000001"/>
    <n v="706.86656853333341"/>
    <d v="2024-11-01T00:00:00"/>
    <s v="2024_2793_03851, 2024_2909_03967"/>
    <s v="W2222ADT LE2 CLEAR r118x0184 CB1P, W2222ADT LE2 CLEAR r118x0184 CB4P"/>
    <s v="Shaped"/>
    <m/>
    <m/>
    <m/>
    <m/>
    <m/>
    <m/>
    <x v="1"/>
    <m/>
  </r>
  <r>
    <s v="Fuyao"/>
    <s v="Zhengzhou"/>
    <s v="BYD"/>
    <s v="SQ"/>
    <s v="OEM"/>
    <x v="0"/>
    <s v="W2231ACT"/>
    <s v="L"/>
    <s v="E2"/>
    <s v="Clear"/>
    <x v="0"/>
    <s v="BF012718"/>
    <s v="Y"/>
    <s v="L9"/>
    <x v="46"/>
    <n v="92"/>
    <n v="20"/>
    <s v="N/A"/>
    <s v="N/A"/>
    <n v="0.8"/>
    <n v="150"/>
    <n v="550"/>
    <n v="400"/>
    <n v="170"/>
    <n v="150"/>
    <n v="550"/>
    <n v="400"/>
    <n v="170"/>
    <s v="N/A"/>
    <n v="72"/>
    <n v="1.0232000000000001"/>
    <m/>
    <n v="0.93586086956521752"/>
    <n v="0.99201252173913057"/>
    <n v="868.18261199999995"/>
    <n v="163.37539878797696"/>
    <n v="178.63839584713463"/>
    <n v="355.10735378798034"/>
    <n v="179"/>
    <n v="164.68"/>
    <n v="163.36462208000003"/>
    <n v="816.82311040000013"/>
    <d v="2025-02-01T00:00:00"/>
    <s v="2024_2914_03972"/>
    <s v="W2231ACT LE2 CLEAR r092x0179 CB1P"/>
    <m/>
    <m/>
    <m/>
    <m/>
    <m/>
    <m/>
    <m/>
    <x v="1"/>
    <m/>
  </r>
  <r>
    <s v="Fuyao"/>
    <s v="Zhengzhou"/>
    <s v="BYD"/>
    <s v="SD"/>
    <s v="OEM"/>
    <x v="0"/>
    <s v="W2231ADT"/>
    <s v="L"/>
    <s v="E2"/>
    <s v="Clear"/>
    <x v="0"/>
    <m/>
    <s v="Y"/>
    <s v="L9"/>
    <x v="46"/>
    <n v="107"/>
    <n v="24"/>
    <s v="N/A"/>
    <s v="N/A"/>
    <n v="0.8"/>
    <n v="200"/>
    <n v="700"/>
    <n v="500"/>
    <n v="130"/>
    <n v="200"/>
    <n v="700"/>
    <n v="500"/>
    <n v="130"/>
    <s v="N/A"/>
    <n v="83"/>
    <n v="1.0573000000000001"/>
    <m/>
    <n v="0.95750607476635519"/>
    <n v="1.0149564392523365"/>
    <n v="868.18261199999995"/>
    <n v="158.10622154531163"/>
    <n v="172.87695699497601"/>
    <n v="343.65444471376281"/>
    <n v="173"/>
    <n v="185.11"/>
    <n v="187.87858647000002"/>
    <n v="782.82744362500011"/>
    <m/>
    <m/>
    <s v="W2231 LE2 CLEAR r107x0173 CB1P"/>
    <m/>
    <m/>
    <m/>
    <m/>
    <m/>
    <m/>
    <m/>
    <x v="1"/>
    <m/>
  </r>
  <r>
    <s v="Fuyao"/>
    <s v="Zhengzhou"/>
    <s v="BYD"/>
    <s v="SR"/>
    <s v="OEM"/>
    <x v="0"/>
    <s v="W2232AIT"/>
    <s v="L"/>
    <s v="E2"/>
    <s v="Clear"/>
    <x v="0"/>
    <s v="BF012732"/>
    <s v="Y"/>
    <s v="L9"/>
    <x v="50"/>
    <n v="114"/>
    <n v="30"/>
    <s v="N/A"/>
    <s v="N/A"/>
    <n v="0.8"/>
    <n v="250"/>
    <n v="700"/>
    <n v="450"/>
    <n v="140"/>
    <n v="250"/>
    <n v="700"/>
    <n v="450"/>
    <n v="140"/>
    <s v="N/A"/>
    <n v="84"/>
    <n v="1.0688"/>
    <m/>
    <n v="0.9697684210526315"/>
    <n v="1.0279545263157894"/>
    <n v="868.833664"/>
    <n v="156.40504120495697"/>
    <n v="171.01684752132124"/>
    <n v="339.95681549013983"/>
    <n v="171"/>
    <n v="194.94"/>
    <n v="200.38945536"/>
    <n v="667.9648512"/>
    <s v="?"/>
    <s v="2024_2932_03990"/>
    <s v="changed to different HUD areas 2025-0319-0466, no production run yet and therefore changed"/>
    <m/>
    <m/>
    <m/>
    <m/>
    <m/>
    <m/>
    <m/>
    <x v="1"/>
    <m/>
  </r>
  <r>
    <s v="Fuyao"/>
    <s v="Zhengzhou"/>
    <s v="BYD"/>
    <s v="SFHE"/>
    <s v="OEM"/>
    <x v="0"/>
    <s v="W2224ACT"/>
    <s v="L"/>
    <s v="E2"/>
    <s v="Clear"/>
    <x v="0"/>
    <m/>
    <s v="Y"/>
    <s v="L9"/>
    <x v="19"/>
    <n v="90"/>
    <n v="17"/>
    <s v="N/A"/>
    <s v="N/A"/>
    <n v="0.8"/>
    <n v="100"/>
    <n v="600"/>
    <n v="500"/>
    <n v="130"/>
    <n v="100"/>
    <n v="600"/>
    <n v="500"/>
    <n v="130"/>
    <s v="N/A"/>
    <n v="73"/>
    <n v="0.97520000000000007"/>
    <m/>
    <n v="0.90414666666666677"/>
    <n v="0.95839546666666675"/>
    <n v="863.62524800000006"/>
    <n v="171.41684581609724"/>
    <n v="187.43109785765807"/>
    <n v="372.58597661593666"/>
    <n v="187"/>
    <n v="168.3"/>
    <n v="161.29795704000003"/>
    <n v="948.81151200000011"/>
    <m/>
    <m/>
    <m/>
    <m/>
    <m/>
    <m/>
    <m/>
    <m/>
    <m/>
    <m/>
    <x v="1"/>
    <m/>
  </r>
  <r>
    <s v="Fuyao"/>
    <s v="Zhengzhou"/>
    <s v="BYD"/>
    <s v="URE"/>
    <s v="OEM"/>
    <x v="0"/>
    <s v="W2255AF"/>
    <s v="L"/>
    <s v="E2"/>
    <s v="Clear"/>
    <x v="0"/>
    <s v="BF012733"/>
    <s v="Y"/>
    <s v="L9"/>
    <x v="23"/>
    <n v="90"/>
    <n v="20"/>
    <s v="N/A"/>
    <s v="N/A"/>
    <n v="0.8"/>
    <n v="150"/>
    <n v="550"/>
    <n v="400"/>
    <n v="150"/>
    <n v="150"/>
    <n v="550"/>
    <n v="400"/>
    <n v="150"/>
    <s v="N/A"/>
    <n v="70"/>
    <n v="1.1850000000000001"/>
    <m/>
    <n v="1.035277777777778"/>
    <n v="1.0973944444444446"/>
    <n v="883.80786000000012"/>
    <n v="141.0681080505131"/>
    <n v="154.24709420319675"/>
    <n v="306.62096573490419"/>
    <n v="154"/>
    <n v="138.6"/>
    <n v="152.09887000000001"/>
    <n v="760.49434999999994"/>
    <d v="2025-02-01T00:00:00"/>
    <s v="2024_2932_03990"/>
    <s v="W2255AF LE2 CLEAR r090x0154 CB1P"/>
    <m/>
    <m/>
    <m/>
    <m/>
    <m/>
    <m/>
    <m/>
    <x v="1"/>
    <m/>
  </r>
  <r>
    <s v="Fuyao"/>
    <s v="Zhengzhou"/>
    <s v="BYD"/>
    <s v="URE"/>
    <s v="OEM"/>
    <x v="0"/>
    <s v="W2247AHT"/>
    <s v="L"/>
    <s v="E2"/>
    <s v="Clear"/>
    <x v="0"/>
    <m/>
    <s v="Y"/>
    <s v="L9"/>
    <x v="25"/>
    <n v="97"/>
    <n v="24"/>
    <s v="N/A"/>
    <s v="N/A"/>
    <n v="0.8"/>
    <n v="150"/>
    <n v="600"/>
    <n v="450"/>
    <n v="130"/>
    <n v="150"/>
    <n v="600"/>
    <n v="450"/>
    <n v="130"/>
    <s v="N/A"/>
    <n v="73"/>
    <n v="1.1431"/>
    <m/>
    <n v="1.0139953608247423"/>
    <n v="1.0748350824742268"/>
    <n v="878.59944400000006"/>
    <n v="146.2389187646383"/>
    <n v="159.90097684436023"/>
    <n v="317.86006858180519"/>
    <n v="160"/>
    <n v="155.19999999999999"/>
    <n v="166.81440479999998"/>
    <n v="695.06001999999989"/>
    <m/>
    <m/>
    <m/>
    <m/>
    <m/>
    <m/>
    <m/>
    <m/>
    <m/>
    <m/>
    <x v="1"/>
    <m/>
  </r>
  <r>
    <s v="Fuyao"/>
    <s v="Zhengzhou"/>
    <s v="Geely"/>
    <s v="BoYue L (FX11)"/>
    <s v="OEM"/>
    <x v="0"/>
    <s v="W2232AGT"/>
    <s v="L"/>
    <s v="E2"/>
    <s v="Clear"/>
    <x v="0"/>
    <s v="BF012560 (CB1P),"/>
    <s v="Y"/>
    <s v="L9"/>
    <x v="50"/>
    <n v="101"/>
    <n v="30"/>
    <s v="N/A"/>
    <s v="N/A"/>
    <n v="0.8"/>
    <n v="150"/>
    <n v="550"/>
    <n v="400"/>
    <n v="160"/>
    <n v="150"/>
    <n v="550"/>
    <n v="400"/>
    <n v="160"/>
    <s v="N/A"/>
    <n v="71"/>
    <n v="1.0272000000000001"/>
    <m/>
    <n v="0.94734257425742574"/>
    <n v="1.0041831287128713"/>
    <n v="868.833664"/>
    <n v="162.73920175219823"/>
    <n v="177.94276346455234"/>
    <n v="353.7245369897405"/>
    <n v="178"/>
    <n v="179.78"/>
    <n v="180.53204288000001"/>
    <n v="601.77347626666676"/>
    <d v="2024-11-01T00:00:00"/>
    <s v="2024_2793_03851, 2024_2909_03967"/>
    <s v="W2232AGT LE2 CLEAR r101x0178 CB1P, W2232AGT LE2 CLEAR r101x0178 CB4P"/>
    <s v="Shaped"/>
    <m/>
    <m/>
    <m/>
    <m/>
    <m/>
    <m/>
    <x v="1"/>
    <m/>
  </r>
  <r>
    <s v="Fuyao"/>
    <s v="Zhengzhou"/>
    <s v="Geely"/>
    <s v="BoYue L (FX11)"/>
    <s v="OEM"/>
    <x v="1"/>
    <s v="W2238ABT"/>
    <s v="L"/>
    <s v="E2"/>
    <s v="Clear"/>
    <x v="0"/>
    <s v="BF012123"/>
    <s v="Y"/>
    <s v="L9"/>
    <x v="56"/>
    <n v="94"/>
    <n v="25"/>
    <s v="N/A"/>
    <s v="N/A"/>
    <n v="0.8"/>
    <n v="150"/>
    <n v="550"/>
    <n v="400"/>
    <n v="140"/>
    <n v="150"/>
    <n v="550"/>
    <n v="400"/>
    <n v="140"/>
    <s v="N/A"/>
    <n v="69"/>
    <n v="1.0622"/>
    <m/>
    <n v="0.96596702127659584"/>
    <n v="1.0239250425531916"/>
    <n v="872.73997600000007"/>
    <n v="157.37686691758429"/>
    <n v="172.07946397174558"/>
    <n v="342.06914366019714"/>
    <n v="172"/>
    <n v="161.68"/>
    <n v="165.54820088000002"/>
    <n v="662.1928035200001"/>
    <d v="2024-01-01T00:00:00"/>
    <s v="2023_2320_03377, 2024_2777_03835"/>
    <s v="W2238AB LE2 CLEAR r094x0172 CB4P"/>
    <s v="Unstretched. W/S moved from Shanghai. Liked 0.40 better"/>
    <m/>
    <m/>
    <m/>
    <m/>
    <n v="0.58510638297872342"/>
    <m/>
    <x v="0"/>
    <m/>
  </r>
  <r>
    <s v="Fuyao"/>
    <s v="Zhengzhou"/>
    <s v="Geely"/>
    <s v="BoYue L (FX11)"/>
    <s v="OEM"/>
    <x v="2"/>
    <s v="W2240ART"/>
    <s v="L"/>
    <s v="E2"/>
    <s v="Clear"/>
    <x v="0"/>
    <s v="BF011930"/>
    <s v="Y"/>
    <s v="L9"/>
    <x v="44"/>
    <n v="94"/>
    <n v="25"/>
    <s v="N/A"/>
    <s v="N/A"/>
    <n v="0.8"/>
    <n v="150"/>
    <n v="550"/>
    <n v="400"/>
    <n v="140"/>
    <n v="150"/>
    <n v="550"/>
    <n v="400"/>
    <n v="140"/>
    <s v="N/A"/>
    <n v="69"/>
    <n v="1.0760000000000001"/>
    <m/>
    <n v="0.97470212765957465"/>
    <n v="1.0331842553191493"/>
    <n v="874.04208000000006"/>
    <n v="155.35846472105766"/>
    <n v="169.87249686876225"/>
    <n v="337.6820115203173"/>
    <n v="170"/>
    <n v="159.80000000000001"/>
    <n v="165.10284400000006"/>
    <n v="660.41137600000025"/>
    <d v="2023-07-01T00:00:00"/>
    <s v="2023_2107_03164, 2024_2777_03835"/>
    <s v="W2240AR LE2 CLEAR r094x0170 CB4P"/>
    <s v="Unstretched. W/S moved from Shanghai"/>
    <m/>
    <m/>
    <m/>
    <m/>
    <n v="0.58510638297872342"/>
    <m/>
    <x v="0"/>
    <m/>
  </r>
  <r>
    <s v="Fuyao"/>
    <s v="Zhengzhou"/>
    <s v="Geely"/>
    <s v="BoYue L (FX11)"/>
    <s v="OEM"/>
    <x v="0"/>
    <s v="W2232AMT"/>
    <s v="L"/>
    <s v="E2"/>
    <s v="Clear"/>
    <x v="0"/>
    <s v="tbd"/>
    <s v="Y"/>
    <s v="L9"/>
    <x v="50"/>
    <n v="101"/>
    <n v="23"/>
    <s v="N/A"/>
    <s v="N/A"/>
    <n v="0.8"/>
    <n v="150"/>
    <n v="650"/>
    <n v="500"/>
    <n v="130"/>
    <n v="150"/>
    <n v="650"/>
    <n v="500"/>
    <n v="130"/>
    <s v="N/A"/>
    <n v="78"/>
    <n v="1.0496000000000001"/>
    <m/>
    <n v="0.95321980198019796"/>
    <n v="1.0104129900990098"/>
    <n v="868.833664"/>
    <n v="159.26610903187691"/>
    <n v="174.14520448817467"/>
    <n v="346.17553772471553"/>
    <n v="174"/>
    <n v="175.74"/>
    <n v="177.56997887999998"/>
    <n v="772.04338643478252"/>
    <s v="?"/>
    <s v="2025-0277-0423"/>
    <m/>
    <m/>
    <m/>
    <m/>
    <m/>
    <m/>
    <m/>
    <m/>
    <x v="1"/>
    <m/>
  </r>
  <r>
    <s v="Fuyao"/>
    <s v="Zhengzhou"/>
    <s v="Geely"/>
    <s v="P181"/>
    <s v="OEM"/>
    <x v="0"/>
    <s v="W5047AA"/>
    <s v="F"/>
    <s v="R3"/>
    <s v="Clear"/>
    <x v="0"/>
    <m/>
    <m/>
    <s v="L6"/>
    <x v="25"/>
    <n v="105"/>
    <n v="27"/>
    <s v="N/A"/>
    <s v="N/A"/>
    <n v="0.76"/>
    <n v="250"/>
    <n v="650"/>
    <n v="400"/>
    <n v="130"/>
    <n v="250"/>
    <n v="650"/>
    <n v="400"/>
    <n v="130"/>
    <s v="N/A"/>
    <n v="78"/>
    <n v="1.1265999999999998"/>
    <m/>
    <n v="0.99043428571428571"/>
    <n v="1.0548125142857143"/>
    <n v="840.14378099999999"/>
    <n v="148.3807101365685"/>
    <n v="162.24286049244472"/>
    <n v="322.51539534516377"/>
    <n v="162"/>
    <n v="170.1"/>
    <n v="179.42360868"/>
    <n v="664.53188399999999"/>
    <m/>
    <m/>
    <m/>
    <m/>
    <m/>
    <m/>
    <m/>
    <m/>
    <m/>
    <m/>
    <x v="1"/>
    <m/>
  </r>
  <r>
    <s v="Fuyao"/>
    <s v="Zhengzhou"/>
    <s v="Geely"/>
    <s v="P181"/>
    <s v="OEM"/>
    <x v="0"/>
    <s v="W5047AB"/>
    <s v="F"/>
    <s v="R3"/>
    <s v="Clear"/>
    <x v="0"/>
    <m/>
    <s v="Y"/>
    <s v="L6"/>
    <x v="25"/>
    <n v="105"/>
    <n v="27"/>
    <s v="N/A"/>
    <s v="N/A"/>
    <n v="0.76"/>
    <n v="150"/>
    <n v="650"/>
    <n v="500"/>
    <n v="130"/>
    <n v="150"/>
    <n v="650"/>
    <n v="500"/>
    <n v="130"/>
    <s v="N/A"/>
    <n v="78"/>
    <n v="1.1265999999999998"/>
    <m/>
    <n v="0.99043428571428571"/>
    <n v="1.0548125142857143"/>
    <n v="840.14378099999999"/>
    <n v="148.3807101365685"/>
    <n v="162.24286049244472"/>
    <n v="322.51539534516377"/>
    <n v="162"/>
    <n v="170.1"/>
    <n v="179.42360868"/>
    <n v="664.53188399999999"/>
    <m/>
    <m/>
    <m/>
    <m/>
    <m/>
    <m/>
    <m/>
    <m/>
    <m/>
    <m/>
    <x v="1"/>
    <m/>
  </r>
  <r>
    <s v="Fuyao"/>
    <s v="Zhengzhou"/>
    <s v="Geely"/>
    <s v="P182"/>
    <s v="OEM"/>
    <x v="0"/>
    <s v="W2246AGT"/>
    <s v="L"/>
    <s v="E2"/>
    <s v="Clear"/>
    <x v="0"/>
    <s v="BF013004"/>
    <s v="Y"/>
    <s v="L9"/>
    <x v="37"/>
    <n v="105"/>
    <n v="27"/>
    <s v="N/A"/>
    <s v="N/A"/>
    <n v="0.8"/>
    <n v="250"/>
    <n v="650"/>
    <n v="400"/>
    <n v="130"/>
    <n v="250"/>
    <n v="650"/>
    <n v="400"/>
    <n v="130"/>
    <s v="N/A"/>
    <n v="78"/>
    <n v="1.1588000000000001"/>
    <m/>
    <n v="1.0255314285714285"/>
    <n v="1.0870633142857142"/>
    <n v="877.94839200000001"/>
    <n v="144.25760100091301"/>
    <n v="157.73455870796354"/>
    <n v="313.55354193636646"/>
    <n v="158"/>
    <n v="165.9"/>
    <n v="180.34380383999999"/>
    <n v="667.9400142222222"/>
    <s v="?"/>
    <s v="2025-0283-0429"/>
    <s v="W2246 LE2 CLEAR r105x0158 CB1P"/>
    <m/>
    <m/>
    <m/>
    <m/>
    <m/>
    <m/>
    <m/>
    <x v="1"/>
    <m/>
  </r>
  <r>
    <s v="Fuyao"/>
    <s v="Zhengzhou"/>
    <s v="Geely"/>
    <s v="P182"/>
    <s v="OEM"/>
    <x v="0"/>
    <s v="W2225AJT"/>
    <s v="L"/>
    <s v="E2"/>
    <s v="Clear"/>
    <x v="0"/>
    <s v="BF012979"/>
    <s v="Y"/>
    <s v="L9"/>
    <x v="30"/>
    <n v="108"/>
    <n v="20"/>
    <s v="N/A"/>
    <s v="N/A"/>
    <n v="0.8"/>
    <n v="200"/>
    <n v="750"/>
    <n v="550"/>
    <n v="130"/>
    <n v="200"/>
    <n v="750"/>
    <n v="550"/>
    <n v="130"/>
    <s v="N/A"/>
    <n v="88"/>
    <n v="1.02"/>
    <m/>
    <n v="0.93037037037037029"/>
    <n v="0.98619259259259251"/>
    <n v="864.27630000000011"/>
    <n v="163.88794905868431"/>
    <n v="179.19883003018447"/>
    <n v="356.22141607437402"/>
    <n v="179"/>
    <n v="193.32"/>
    <n v="190.65075199999998"/>
    <n v="953.25375999999983"/>
    <s v="?"/>
    <s v="2025-0261-0406"/>
    <m/>
    <m/>
    <m/>
    <m/>
    <m/>
    <m/>
    <m/>
    <m/>
    <x v="1"/>
    <m/>
  </r>
  <r>
    <s v="Fuyao"/>
    <s v="Zhengzhou"/>
    <s v="Geely"/>
    <s v="P182"/>
    <s v="OEM"/>
    <x v="0"/>
    <s v="W2246AIT"/>
    <s v="L"/>
    <s v="E2"/>
    <s v="Clear"/>
    <x v="0"/>
    <m/>
    <s v="Y"/>
    <s v="L9"/>
    <x v="37"/>
    <n v="105"/>
    <n v="27"/>
    <s v="N/A"/>
    <s v="N/A"/>
    <n v="0.8"/>
    <n v="150"/>
    <n v="650"/>
    <n v="500"/>
    <n v="130"/>
    <n v="150"/>
    <n v="650"/>
    <n v="500"/>
    <n v="130"/>
    <s v="N/A"/>
    <n v="78"/>
    <n v="1.1588000000000001"/>
    <m/>
    <n v="1.0255314285714285"/>
    <n v="1.0870633142857142"/>
    <n v="877.94839200000001"/>
    <n v="144.25760100091301"/>
    <n v="157.73455870796354"/>
    <n v="313.55354193636646"/>
    <n v="158"/>
    <n v="165.9"/>
    <n v="180.34380383999999"/>
    <n v="667.9400142222222"/>
    <m/>
    <m/>
    <m/>
    <m/>
    <m/>
    <m/>
    <m/>
    <m/>
    <m/>
    <m/>
    <x v="1"/>
    <m/>
  </r>
  <r>
    <s v="Fuyao"/>
    <s v="Zhengzhou"/>
    <m/>
    <m/>
    <s v="OEM"/>
    <x v="0"/>
    <s v="W2219AC"/>
    <s v="L"/>
    <s v="E2"/>
    <s v="Clear"/>
    <x v="0"/>
    <s v="BF012105"/>
    <s v="Y"/>
    <s v="L9"/>
    <x v="8"/>
    <n v="98"/>
    <n v="25"/>
    <s v="N/A"/>
    <s v="N/A"/>
    <n v="0.8"/>
    <n v="150"/>
    <n v="550"/>
    <n v="400"/>
    <n v="180"/>
    <n v="150"/>
    <n v="550"/>
    <n v="400"/>
    <n v="180"/>
    <s v="N/A"/>
    <n v="73"/>
    <n v="0.93870000000000009"/>
    <m/>
    <n v="0.8870413265306123"/>
    <n v="0.94026380612244909"/>
    <n v="860.36998800000003"/>
    <n v="178.08214343225526"/>
    <n v="194.71908664193904"/>
    <n v="387.07344667717211"/>
    <n v="195"/>
    <n v="191.1"/>
    <n v="179.68441335000003"/>
    <n v="718.73765340000011"/>
    <d v="2023-12-01T00:00:00"/>
    <s v="2023_2288_03345"/>
    <s v="W2219AC LE2 CLEAR r098x0195 CB1P"/>
    <m/>
    <m/>
    <m/>
    <m/>
    <m/>
    <n v="0.56122448979591832"/>
    <m/>
    <x v="0"/>
    <m/>
  </r>
  <r>
    <s v="Fuyao"/>
    <s v="Zhengzhou"/>
    <m/>
    <m/>
    <s v="OEM"/>
    <x v="0"/>
    <s v="W2226AD"/>
    <s v="L"/>
    <s v="E2"/>
    <s v="Clear"/>
    <x v="0"/>
    <s v="BF012500"/>
    <s v="Y"/>
    <s v="L9"/>
    <x v="43"/>
    <n v="110"/>
    <n v="30"/>
    <s v="N/A"/>
    <s v="N/A"/>
    <n v="0.8"/>
    <n v="200"/>
    <n v="600"/>
    <n v="400"/>
    <n v="200"/>
    <n v="200"/>
    <n v="600"/>
    <n v="400"/>
    <n v="200"/>
    <s v="N/A"/>
    <n v="80"/>
    <n v="1.008"/>
    <m/>
    <n v="0.93236363636363639"/>
    <n v="0.9883054545454546"/>
    <n v="864.92735200000004"/>
    <n v="165.83899607128774"/>
    <n v="181.33214943530572"/>
    <n v="360.46214721811651"/>
    <n v="181"/>
    <n v="199.1"/>
    <n v="196.77161599999999"/>
    <n v="655.90538666666669"/>
    <d v="2024-09-01T00:00:00"/>
    <s v="2024_2723_03781"/>
    <s v="W2226AD LE2 CLEAR r110x0181 CB1P"/>
    <m/>
    <m/>
    <m/>
    <m/>
    <m/>
    <m/>
    <m/>
    <x v="1"/>
    <m/>
  </r>
  <r>
    <s v="Fuyao"/>
    <s v="Zhengzhou"/>
    <m/>
    <m/>
    <s v="OEM"/>
    <x v="1"/>
    <s v="W2228AAT"/>
    <s v="L"/>
    <s v="E2"/>
    <s v="Clear"/>
    <x v="0"/>
    <s v="BF011804"/>
    <s v="Y"/>
    <s v="L9"/>
    <x v="26"/>
    <n v="92"/>
    <n v="25"/>
    <s v="N/A"/>
    <s v="N/A"/>
    <n v="0.8"/>
    <n v="150"/>
    <n v="550"/>
    <n v="400"/>
    <n v="120"/>
    <n v="150"/>
    <n v="550"/>
    <n v="400"/>
    <n v="120"/>
    <s v="N/A"/>
    <n v="67"/>
    <n v="0.98760000000000003"/>
    <m/>
    <n v="0.91928913043478266"/>
    <n v="0.97444647826086961"/>
    <n v="866.22945600000003"/>
    <n v="169.26458894274813"/>
    <n v="185.07777099107753"/>
    <n v="367.90790238544088"/>
    <n v="185"/>
    <n v="170.2"/>
    <n v="165.85079059999998"/>
    <n v="663.40316239999993"/>
    <s v="Never"/>
    <s v="2023_2021_03078, 2024_2777_03835"/>
    <s v="W2228AA LE2 CLEAR r092x0185 CB4P"/>
    <s v="HUD to transition Is too small"/>
    <m/>
    <m/>
    <s v="N/A"/>
    <m/>
    <n v="0.59782608695652173"/>
    <m/>
    <x v="0"/>
    <s v="Clear"/>
  </r>
  <r>
    <s v="Fuyao"/>
    <s v="Zhengzhou"/>
    <m/>
    <m/>
    <s v="OEM"/>
    <x v="0"/>
    <s v="W5029AA"/>
    <s v="F"/>
    <s v="R3"/>
    <s v="Clear"/>
    <x v="1"/>
    <s v="BF011915"/>
    <m/>
    <s v="L6"/>
    <x v="34"/>
    <n v="110"/>
    <n v="30"/>
    <s v="N/A"/>
    <s v="N/A"/>
    <n v="0.76"/>
    <n v="200"/>
    <n v="600"/>
    <n v="400"/>
    <n v="200"/>
    <n v="200"/>
    <n v="600"/>
    <n v="400"/>
    <n v="200"/>
    <s v="N/A"/>
    <n v="80"/>
    <n v="0.99199999999999999"/>
    <m/>
    <n v="0.90763636363636369"/>
    <n v="0.96663272727272731"/>
    <n v="828.36956700000007"/>
    <n v="168.51381858856658"/>
    <n v="184.25686152297195"/>
    <n v="366.27605281840874"/>
    <n v="184"/>
    <n v="202.4"/>
    <n v="195.64646400000001"/>
    <n v="652.15488000000005"/>
    <s v="?"/>
    <s v="2023_2089_03146"/>
    <s v="W5029AA FR3 CLEAR r110x0184 CB1P"/>
    <m/>
    <m/>
    <m/>
    <s v="N/A"/>
    <m/>
    <n v="0.54545454545454541"/>
    <m/>
    <x v="2"/>
    <s v="Clear"/>
  </r>
  <r>
    <s v="Fuyao"/>
    <s v="Zhengzhou"/>
    <m/>
    <m/>
    <s v="OEM"/>
    <x v="0"/>
    <s v="W2240AWT"/>
    <s v="L"/>
    <s v="E2"/>
    <s v="Clear"/>
    <x v="0"/>
    <m/>
    <s v="Y"/>
    <s v="L9"/>
    <x v="44"/>
    <n v="94"/>
    <n v="21"/>
    <s v="N/A"/>
    <s v="N/A"/>
    <n v="0.8"/>
    <n v="200"/>
    <n v="600"/>
    <n v="400"/>
    <n v="130"/>
    <n v="200"/>
    <n v="600"/>
    <n v="400"/>
    <n v="130"/>
    <s v="N/A"/>
    <n v="73"/>
    <n v="1.0920000000000001"/>
    <m/>
    <n v="0.97861702127659589"/>
    <n v="1.0373340425531916"/>
    <n v="874.04208000000006"/>
    <n v="153.0821502196502"/>
    <n v="167.38352255566681"/>
    <n v="332.73428973979986"/>
    <n v="167"/>
    <n v="156.97999999999999"/>
    <n v="162.840698"/>
    <n v="775.43189523809531"/>
    <m/>
    <s v="2025-0422-0582"/>
    <s v="W2240AWT LE2 CLEAR r094x0167 CB1P"/>
    <m/>
    <m/>
    <m/>
    <m/>
    <m/>
    <m/>
    <m/>
    <x v="1"/>
    <m/>
  </r>
  <r>
    <s v="Fuyao"/>
    <s v="Zhengzhou"/>
    <m/>
    <m/>
    <s v="OEM"/>
    <x v="0"/>
    <s v="W2240AS"/>
    <s v="L"/>
    <s v="E2"/>
    <s v="Clear"/>
    <x v="0"/>
    <s v="BF012124"/>
    <s v="Y"/>
    <s v="L9"/>
    <x v="44"/>
    <n v="118"/>
    <n v="30"/>
    <s v="N/A"/>
    <s v="N/A"/>
    <n v="0.8"/>
    <n v="200"/>
    <n v="600"/>
    <n v="400"/>
    <n v="280"/>
    <n v="200"/>
    <n v="600"/>
    <n v="400"/>
    <n v="280"/>
    <s v="N/A"/>
    <n v="88"/>
    <n v="1.1520000000000001"/>
    <m/>
    <n v="1.0207457627118646"/>
    <n v="1.0819905084745765"/>
    <n v="874.04208000000006"/>
    <n v="145.10912156237674"/>
    <n v="158.66563075589249"/>
    <n v="315.40437881585194"/>
    <n v="159"/>
    <n v="187.62"/>
    <n v="203.00305920000005"/>
    <n v="676.67686400000025"/>
    <d v="2023-12-01T00:00:00"/>
    <s v="2023_2320_03377"/>
    <s v="W2240AS LE2 CLEAR r118x0159 CB1P"/>
    <m/>
    <m/>
    <m/>
    <m/>
    <m/>
    <n v="0.50847457627118642"/>
    <m/>
    <x v="0"/>
    <m/>
  </r>
  <r>
    <s v="Fuyao"/>
    <s v="Zhengzhou"/>
    <m/>
    <m/>
    <s v="OEM"/>
    <x v="1"/>
    <s v="W5063AB"/>
    <s v="F"/>
    <s v="R3"/>
    <s v="Clear"/>
    <x v="1"/>
    <s v="BF011805"/>
    <m/>
    <s v="L6"/>
    <x v="22"/>
    <n v="91"/>
    <n v="25"/>
    <s v="N/A"/>
    <s v="N/A"/>
    <n v="0.76"/>
    <n v="140"/>
    <n v="540"/>
    <n v="400"/>
    <n v="120"/>
    <n v="140"/>
    <n v="540"/>
    <n v="400"/>
    <n v="120"/>
    <s v="N/A"/>
    <n v="66"/>
    <n v="1.1758"/>
    <m/>
    <n v="1.0250153846153847"/>
    <n v="1.0916413846153847"/>
    <n v="850.60974900000008"/>
    <n v="142.17188981107165"/>
    <n v="155.45399441298537"/>
    <n v="309.02010919872555"/>
    <n v="155"/>
    <n v="141.05000000000001"/>
    <n v="153.97601730000002"/>
    <n v="615.90406920000009"/>
    <s v="?"/>
    <s v="2023_2021_03078"/>
    <s v="W5063AB FR3 CLEAR r091x0155 CB4P"/>
    <m/>
    <m/>
    <m/>
    <s v="N/A"/>
    <m/>
    <n v="0.59340659340659341"/>
    <m/>
    <x v="2"/>
    <s v="Clear"/>
  </r>
  <r>
    <s v="KCC"/>
    <s v="Jeoneui"/>
    <s v="Hyundai"/>
    <s v="CE1 (IONIQ 6)"/>
    <s v="OEM"/>
    <x v="0"/>
    <s v="W2239AD"/>
    <s v="K"/>
    <s v="E2"/>
    <s v="Clear"/>
    <x v="0"/>
    <s v="BF011451"/>
    <s v="Y"/>
    <s v="L9"/>
    <x v="10"/>
    <n v="113"/>
    <n v="25"/>
    <s v="N/A"/>
    <s v="N/A"/>
    <n v="0.8"/>
    <n v="355"/>
    <n v="755"/>
    <n v="400"/>
    <n v="125"/>
    <n v="355"/>
    <n v="755"/>
    <n v="400"/>
    <n v="125"/>
    <s v="N/A"/>
    <n v="88"/>
    <n v="1.1432"/>
    <m/>
    <n v="1.0095646017699114"/>
    <n v="1.0701384778761061"/>
    <n v="873.39102800000012"/>
    <n v="146.22612669686671"/>
    <n v="159.88698970502813"/>
    <n v="317.83226416712864"/>
    <n v="160"/>
    <n v="180.8"/>
    <n v="193.4810368"/>
    <n v="773.92414719999999"/>
    <d v="2022-12-01T00:00:00"/>
    <s v="2022_1744_02800"/>
    <m/>
    <m/>
    <m/>
    <m/>
    <s v="N/A"/>
    <m/>
    <n v="0.66814159292035402"/>
    <m/>
    <x v="0"/>
    <s v="Clear"/>
  </r>
  <r>
    <s v="KCC"/>
    <s v="Jeoneui"/>
    <s v="Hyundai"/>
    <s v="CE1 (IONIQ 6)"/>
    <s v="OEM"/>
    <x v="0"/>
    <s v="W2241AF"/>
    <s v="K"/>
    <s v="E2"/>
    <s v="Clear"/>
    <x v="0"/>
    <s v="BF011739"/>
    <s v="Y"/>
    <s v="L9"/>
    <x v="24"/>
    <n v="113"/>
    <n v="25"/>
    <s v="N/A"/>
    <s v="N/A"/>
    <n v="0.8"/>
    <n v="355"/>
    <n v="755"/>
    <n v="400"/>
    <n v="125"/>
    <n v="355"/>
    <n v="755"/>
    <n v="400"/>
    <n v="125"/>
    <s v="N/A"/>
    <n v="88"/>
    <n v="1.1608000000000001"/>
    <m/>
    <n v="1.0203115044247788"/>
    <n v="1.0815301946902653"/>
    <n v="874.69313200000011"/>
    <n v="144.00905241200726"/>
    <n v="157.46278999895603"/>
    <n v="313.01330495852983"/>
    <n v="313"/>
    <n v="353.69"/>
    <n v="382.52641455999992"/>
    <n v="1530.1056582399997"/>
    <d v="2023-04-23T00:00:00"/>
    <s v="2023_1967_03024"/>
    <s v="W2241AF KE2 CLEAR r113x0313 CB2P"/>
    <s v="Angle offset correction"/>
    <m/>
    <m/>
    <s v="N/A"/>
    <m/>
    <n v="0.66814159292035402"/>
    <m/>
    <x v="0"/>
    <s v="Clear"/>
  </r>
  <r>
    <s v="KCC"/>
    <s v="Jeoneui"/>
    <s v="Hyundai"/>
    <s v="DN8 (Sonata, 2020-?)"/>
    <s v="OEM"/>
    <x v="1"/>
    <s v="W2043"/>
    <s v="K"/>
    <s v="E2"/>
    <s v="Clear"/>
    <x v="1"/>
    <s v="BF008936"/>
    <s v="Y"/>
    <s v="L8"/>
    <x v="57"/>
    <n v="101"/>
    <n v="30"/>
    <s v="N/A"/>
    <s v="N/A"/>
    <n v="0.76"/>
    <n v="315"/>
    <n v="585"/>
    <n v="270"/>
    <n v="125"/>
    <n v="185"/>
    <n v="585"/>
    <n v="400"/>
    <n v="125"/>
    <s v="N/A"/>
    <n v="71"/>
    <n v="1.0653000000000001"/>
    <m/>
    <n v="0.9579915841584159"/>
    <n v="1.0202610371287129"/>
    <n v="837.527289"/>
    <n v="156.91890363264622"/>
    <n v="171.57871644681137"/>
    <n v="341.07372983747433"/>
    <n v="170"/>
    <n v="171.7"/>
    <n v="175.17882007499998"/>
    <n v="583.92940024999996"/>
    <d v="2020-01-01T00:00:00"/>
    <s v="2020_0064_01115"/>
    <s v="W2043 KE2 CLEAR r101x0.95x0170 CT4P"/>
    <s v="For embossed pattern (instead of W50xx)"/>
    <s v="4 _x000a_2 x 0,43mrad_x000a_2 x 0,46mrad "/>
    <s v="will be lamianted July 2020"/>
    <s v="N/A"/>
    <m/>
    <n v="0.57920792079207917"/>
    <m/>
    <x v="3"/>
    <s v="Clear"/>
  </r>
  <r>
    <s v="KCC"/>
    <s v="Jeoneui"/>
    <s v="Hyundai"/>
    <s v="DN8 (Sonata, 2020-?)"/>
    <s v="OEM"/>
    <x v="1"/>
    <s v="W2045AA"/>
    <s v="K"/>
    <s v="E2"/>
    <s v="Clear"/>
    <x v="1"/>
    <s v="BF009297"/>
    <s v="Y"/>
    <s v="L8"/>
    <x v="3"/>
    <n v="101"/>
    <n v="30"/>
    <s v="N/A"/>
    <s v="N/A"/>
    <n v="0.76"/>
    <n v="315"/>
    <n v="585"/>
    <n v="270"/>
    <n v="125"/>
    <n v="185"/>
    <n v="585"/>
    <n v="400"/>
    <n v="125"/>
    <s v="N/A"/>
    <n v="71"/>
    <n v="1.0795000000000001"/>
    <m/>
    <n v="0.967200495049505"/>
    <n v="1.0300685272277228"/>
    <n v="838.83553499999994"/>
    <n v="154.85475501607968"/>
    <n v="169.32172916237903"/>
    <n v="336.58716479468399"/>
    <n v="165"/>
    <n v="166.65"/>
    <n v="171.6609200625"/>
    <n v="572.20306687499999"/>
    <s v="?"/>
    <s v="2020_0244_01296"/>
    <s v="W2045AA KE2 CLEAR r101x0165 CT4P"/>
    <s v="New, increased wedge angle. For embossed pattern (instead of W50xx)"/>
    <s v="Never produced?"/>
    <m/>
    <s v="N/A"/>
    <m/>
    <n v="0.57920792079207917"/>
    <m/>
    <x v="3"/>
    <s v="Clear"/>
  </r>
  <r>
    <s v="KCC"/>
    <s v="Jeoneui"/>
    <s v="Hyundai"/>
    <s v="HI (G90)"/>
    <s v="OEM"/>
    <x v="1"/>
    <s v="W1340AA"/>
    <s v="K"/>
    <s v="E2"/>
    <s v="Blue"/>
    <x v="0"/>
    <s v="BF008714"/>
    <s v="Y"/>
    <s v="L8"/>
    <x v="44"/>
    <n v="102"/>
    <n v="30"/>
    <n v="14"/>
    <n v="88"/>
    <n v="0.8"/>
    <n v="325"/>
    <n v="595"/>
    <n v="270"/>
    <n v="125"/>
    <m/>
    <m/>
    <n v="0"/>
    <n v="720"/>
    <n v="160"/>
    <n v="72"/>
    <n v="1.0880000000000001"/>
    <m/>
    <n v="0.98635294117647065"/>
    <e v="#VALUE!"/>
    <e v="#VALUE!"/>
    <n v="153.64495224251655"/>
    <n v="167.99890315329793"/>
    <n v="333.95757756972563"/>
    <n v="165"/>
    <n v="168.3"/>
    <e v="#VALUE!"/>
    <e v="#VALUE!"/>
    <s v="TBD"/>
    <s v="2020_0064_01115"/>
    <s v="W1340AA KE2 BLU2 r102/14x0165 CT4P"/>
    <m/>
    <s v="Never produced"/>
    <m/>
    <s v="N/A"/>
    <m/>
    <n v="0.58333333333333337"/>
    <m/>
    <x v="7"/>
    <s v="S/B"/>
  </r>
  <r>
    <s v="KCC"/>
    <s v="Jeoneui"/>
    <s v="Hyundai"/>
    <s v="HI (G90)"/>
    <s v="OEM"/>
    <x v="1"/>
    <s v="W1342AA"/>
    <s v="K"/>
    <s v="E2"/>
    <s v="Blue"/>
    <x v="0"/>
    <s v="BF009293"/>
    <s v="Y"/>
    <s v="L8"/>
    <x v="18"/>
    <n v="102"/>
    <n v="30"/>
    <n v="14"/>
    <n v="88"/>
    <n v="0.8"/>
    <n v="325"/>
    <n v="595"/>
    <n v="270"/>
    <n v="125"/>
    <m/>
    <m/>
    <n v="0"/>
    <n v="720"/>
    <n v="160"/>
    <n v="72"/>
    <n v="1.1024"/>
    <m/>
    <n v="0.9956705882352942"/>
    <e v="#VALUE!"/>
    <e v="#VALUE!"/>
    <n v="151.63797899116295"/>
    <n v="165.80443272023601"/>
    <n v="329.59528700640556"/>
    <n v="165"/>
    <n v="168.3"/>
    <e v="#VALUE!"/>
    <e v="#VALUE!"/>
    <s v="TBD"/>
    <s v="2020_0244_01296"/>
    <s v="W1342AA KE2 BLU2 r102/14x0165 CT4P"/>
    <s v="New, increased wedge angle"/>
    <s v="Never produced"/>
    <m/>
    <s v="N/A"/>
    <m/>
    <n v="0.58333333333333337"/>
    <m/>
    <x v="7"/>
    <s v="S/B"/>
  </r>
  <r>
    <s v="KCC"/>
    <s v="Jeoneui"/>
    <s v="Hyundai"/>
    <s v="IG F/L (Grandeur/Azera 2017-?)"/>
    <s v="OEM"/>
    <x v="1"/>
    <s v="W1353"/>
    <s v="K"/>
    <s v="E2"/>
    <s v="Blue"/>
    <x v="0"/>
    <s v="BF008929"/>
    <s v="Y"/>
    <s v="L8"/>
    <x v="35"/>
    <n v="100"/>
    <n v="30"/>
    <n v="13"/>
    <n v="87"/>
    <n v="0.8"/>
    <n v="285"/>
    <n v="555"/>
    <n v="270"/>
    <n v="145"/>
    <m/>
    <m/>
    <n v="0"/>
    <n v="700"/>
    <n v="170"/>
    <n v="70"/>
    <n v="1.171"/>
    <m/>
    <n v="1.04115"/>
    <e v="#VALUE!"/>
    <e v="#VALUE!"/>
    <n v="142.75466100756449"/>
    <n v="156.09120976156117"/>
    <n v="310.28680136281929"/>
    <n v="155"/>
    <n v="155"/>
    <e v="#VALUE!"/>
    <e v="#VALUE!"/>
    <d v="2020-01-01T00:00:00"/>
    <s v="2020_0064_01115"/>
    <s v="W1353 KE2 BLU2 R100/13X0.95X0155 CT4P"/>
    <m/>
    <s v="4 (2x 0,53mrad, 2x 0,56mrad)"/>
    <s v="Image acceptable with 0.531 mrad but worse than competition"/>
    <s v="N/A"/>
    <m/>
    <n v="0.55500000000000005"/>
    <m/>
    <x v="7"/>
    <s v="S/B"/>
  </r>
  <r>
    <s v="KCC"/>
    <s v="Jeoneui"/>
    <s v="Hyundai"/>
    <s v="IG F/L (Grandeur/Azera 2017-?)"/>
    <s v="OEM"/>
    <x v="1"/>
    <s v="W1353AA"/>
    <s v="K"/>
    <s v="E2"/>
    <s v="Blue"/>
    <x v="0"/>
    <s v="BF009452"/>
    <s v="Y"/>
    <s v="L8"/>
    <x v="35"/>
    <n v="104"/>
    <n v="30"/>
    <n v="14"/>
    <n v="90"/>
    <n v="0.8"/>
    <n v="300"/>
    <n v="620"/>
    <n v="320"/>
    <n v="120"/>
    <m/>
    <m/>
    <n v="0"/>
    <n v="740"/>
    <n v="160"/>
    <n v="74"/>
    <n v="1.1922000000000001"/>
    <m/>
    <n v="1.0526673076923079"/>
    <e v="#VALUE!"/>
    <e v="#VALUE!"/>
    <n v="140.21616175126491"/>
    <n v="153.31555664384175"/>
    <n v="304.76920348587601"/>
    <n v="150"/>
    <n v="156"/>
    <e v="#VALUE!"/>
    <e v="#VALUE!"/>
    <d v="2020-09-01T00:00:00"/>
    <s v="2020_0421_01473"/>
    <s v="W1353AA KE2 BLU2 r104/14x0150 CT4P"/>
    <s v="Wider band, wider roll, different HUD area"/>
    <s v="2 rolls?"/>
    <m/>
    <s v="N/A"/>
    <m/>
    <n v="0.59615384615384615"/>
    <m/>
    <x v="7"/>
    <s v="S/B"/>
  </r>
  <r>
    <s v="KCC"/>
    <s v="Jeoneui"/>
    <s v="Hyundai"/>
    <s v="IG F/L (Grandeur/Azera 2017-?)"/>
    <s v="OEM"/>
    <x v="1"/>
    <s v="W1355AA"/>
    <s v="K"/>
    <s v="E2"/>
    <s v="Blue"/>
    <x v="0"/>
    <s v="BF009292"/>
    <s v="Y"/>
    <s v="L8"/>
    <x v="23"/>
    <n v="100"/>
    <n v="30"/>
    <n v="13"/>
    <n v="87"/>
    <n v="0.8"/>
    <n v="285"/>
    <n v="555"/>
    <n v="270"/>
    <n v="145"/>
    <m/>
    <m/>
    <n v="0"/>
    <n v="700"/>
    <n v="170"/>
    <n v="70"/>
    <n v="1.1850000000000001"/>
    <m/>
    <n v="1.0502500000000001"/>
    <e v="#VALUE!"/>
    <e v="#VALUE!"/>
    <n v="141.0681080505131"/>
    <n v="154.24709420319675"/>
    <n v="306.62096573490419"/>
    <n v="150"/>
    <n v="150"/>
    <e v="#VALUE!"/>
    <e v="#VALUE!"/>
    <s v="TBD"/>
    <s v="2020_0244_01296"/>
    <s v="W1355AA KE2 BLU2 r100/13x0150 CT4P"/>
    <s v="New, increased wedge angle"/>
    <s v="Never produced"/>
    <m/>
    <s v="N/A"/>
    <m/>
    <n v="0.55500000000000005"/>
    <m/>
    <x v="7"/>
    <s v="S/B"/>
  </r>
  <r>
    <s v="KCC"/>
    <s v="Jeoneui"/>
    <s v="Hyundai"/>
    <s v="ME (IONIQ 7)"/>
    <s v="OEM"/>
    <x v="2"/>
    <s v="W2246AE"/>
    <s v="K"/>
    <s v="R"/>
    <s v="Clear"/>
    <x v="0"/>
    <s v="BF012305 (CB1P), BF012521 (CB2P), ___ (MB2P)"/>
    <s v="Y"/>
    <s v="L9"/>
    <x v="37"/>
    <n v="122"/>
    <n v="30"/>
    <s v="N/A"/>
    <s v="N/A"/>
    <n v="0.8"/>
    <n v="360"/>
    <n v="650"/>
    <n v="290"/>
    <n v="270"/>
    <n v="305"/>
    <n v="705"/>
    <n v="400"/>
    <n v="215"/>
    <s v="N/A"/>
    <n v="92"/>
    <n v="1.2232000000000001"/>
    <m/>
    <n v="1.063632786885246"/>
    <n v="1.1274507540983607"/>
    <n v="877.94839200000001"/>
    <n v="136.66261285142087"/>
    <n v="149.43002504152074"/>
    <n v="297.0453273347461"/>
    <n v="295"/>
    <n v="359.9"/>
    <n v="405.76952640000002"/>
    <n v="1352.5650880000001"/>
    <d v="2024-04-01T00:00:00"/>
    <s v="2024_2519_03576, 2024_2752_03810, 2024_2987_04045, 2024_2996_04054"/>
    <s v="W2246AE KR CLEAR r122x0145 CB1P, W2246AES KR CLEAR r122x0295 CB2P"/>
    <m/>
    <m/>
    <m/>
    <m/>
    <m/>
    <n v="0.53278688524590168"/>
    <m/>
    <x v="0"/>
    <m/>
  </r>
  <r>
    <s v="KCC"/>
    <s v="Jeoneui"/>
    <s v="Hyundai"/>
    <s v="ME (IONIQ 7)"/>
    <s v="OEM"/>
    <x v="1"/>
    <s v="W2250AS"/>
    <s v="K"/>
    <s v="E2"/>
    <s v="Clear"/>
    <x v="0"/>
    <s v="BF012073"/>
    <s v="Y"/>
    <s v="L9"/>
    <x v="29"/>
    <n v="119"/>
    <n v="30"/>
    <s v="N/A"/>
    <s v="N/A"/>
    <n v="0.8"/>
    <n v="330"/>
    <n v="620"/>
    <n v="290"/>
    <n v="270"/>
    <n v="275"/>
    <n v="675"/>
    <n v="400"/>
    <n v="215"/>
    <s v="N/A"/>
    <n v="89"/>
    <n v="1.2450000000000001"/>
    <m/>
    <n v="1.0785924369747899"/>
    <n v="1.1433079831932773"/>
    <n v="880.5526000000001"/>
    <n v="134.26964501193416"/>
    <n v="146.81349930183788"/>
    <n v="291.84405172358345"/>
    <n v="290"/>
    <n v="345.1"/>
    <n v="394.55558500000001"/>
    <n v="1315.1852833333335"/>
    <d v="2023-10-23T00:00:00"/>
    <s v="2023_2248_03305"/>
    <s v="W2250AS KR CLEAR r119x0290 CB2P"/>
    <m/>
    <m/>
    <m/>
    <s v="N/A"/>
    <m/>
    <n v="0.52100840336134457"/>
    <m/>
    <x v="0"/>
    <m/>
  </r>
  <r>
    <s v="KCC"/>
    <s v="Jeoneui"/>
    <s v="Hyundai"/>
    <s v="MX5 (new Santa Fe)"/>
    <s v="OEM"/>
    <x v="1"/>
    <s v="W2258AF"/>
    <s v="K"/>
    <s v="E2"/>
    <s v="Clear"/>
    <x v="0"/>
    <s v="BF011687"/>
    <s v="Y"/>
    <s v="L9"/>
    <x v="40"/>
    <n v="113"/>
    <n v="28"/>
    <s v="N/A"/>
    <s v="N/A"/>
    <n v="0.8"/>
    <n v="325"/>
    <n v="725"/>
    <n v="400"/>
    <n v="125"/>
    <n v="325"/>
    <n v="725"/>
    <n v="400"/>
    <n v="125"/>
    <s v="N/A"/>
    <n v="85"/>
    <n v="1.2930000000000001"/>
    <m/>
    <n v="1.1075796460176992"/>
    <n v="1.1740344247787611"/>
    <n v="885.76101600000004"/>
    <n v="129.2851570300526"/>
    <n v="141.36334619550513"/>
    <n v="281.00993379416968"/>
    <n v="141"/>
    <n v="159.33000000000001"/>
    <n v="187.05890490000002"/>
    <n v="668.06751750000001"/>
    <d v="2023-04-23T00:00:00"/>
    <s v="2023_1935_02992"/>
    <s v="W2258AF KE2 CLEAR r113x0141 CB1P"/>
    <s v="Sample was actually 0.597mrad"/>
    <m/>
    <m/>
    <s v="N/A"/>
    <m/>
    <n v="0.6415929203539823"/>
    <m/>
    <x v="0"/>
    <s v="Clear"/>
  </r>
  <r>
    <s v="KCC"/>
    <s v="Jeoneui"/>
    <s v="Hyundai"/>
    <s v="MX5 (new Santa Fe)"/>
    <s v="OEM"/>
    <x v="2"/>
    <s v="W2260AG"/>
    <s v="K"/>
    <s v="E2"/>
    <s v="Clear"/>
    <x v="0"/>
    <s v="BF011843 (277m), BF012442 (275m), ___ (MB2P)"/>
    <s v="Y"/>
    <s v="L9"/>
    <x v="21"/>
    <n v="113"/>
    <n v="28"/>
    <s v="N/A"/>
    <s v="N/A"/>
    <n v="0.8"/>
    <n v="325"/>
    <n v="725"/>
    <n v="400"/>
    <n v="125"/>
    <n v="325"/>
    <n v="725"/>
    <n v="400"/>
    <n v="125"/>
    <s v="N/A"/>
    <n v="85"/>
    <n v="1.31"/>
    <m/>
    <n v="1.1181858407079648"/>
    <n v="1.1852769911504428"/>
    <n v="887.06312000000003"/>
    <n v="127.60741071744887"/>
    <n v="139.52886002350243"/>
    <n v="277.36323999684083"/>
    <n v="275"/>
    <n v="310.75"/>
    <n v="368.32482500000009"/>
    <n v="1315.4458035714288"/>
    <d v="2023-06-23T00:00:00"/>
    <s v="2023_2046_03103, 2024_2663_03721 (length change), 2024_2759_03817 (add S), 2024_2987_04045, 2024_2996_04054"/>
    <s v="W2260AG KE2 CLEAR r113x0277 CB2P"/>
    <s v="Original sample of W2258AF was actually 0.597mrad"/>
    <m/>
    <m/>
    <s v="N/A"/>
    <m/>
    <n v="0.6415929203539823"/>
    <m/>
    <x v="0"/>
    <m/>
  </r>
  <r>
    <s v="KCC"/>
    <s v="Jeoneui"/>
    <s v="Hyundai"/>
    <s v="NE (IONIQ 5 AR HUD)"/>
    <s v="OEM"/>
    <x v="2"/>
    <s v="W2217AB"/>
    <s v="K"/>
    <s v="E2"/>
    <s v="Clear"/>
    <x v="0"/>
    <s v="BF011459 (CB1P), BF012424 (CB4P)"/>
    <s v="Y"/>
    <s v="L9"/>
    <x v="41"/>
    <n v="119"/>
    <n v="20"/>
    <s v="N/A"/>
    <s v="N/A"/>
    <n v="0.8"/>
    <n v="470"/>
    <n v="870"/>
    <n v="400"/>
    <n v="120"/>
    <n v="470"/>
    <n v="870"/>
    <n v="400"/>
    <n v="120"/>
    <s v="N/A"/>
    <n v="99"/>
    <n v="0.96830000000000005"/>
    <m/>
    <n v="0.89829285714285712"/>
    <n v="0.95219042857142855"/>
    <n v="859.06788400000005"/>
    <n v="172.63834352975115"/>
    <n v="188.7667113815844"/>
    <n v="375.24098357519512"/>
    <n v="189"/>
    <n v="224.91"/>
    <n v="214.15714928999998"/>
    <n v="1070.7857464499998"/>
    <d v="2022-12-01T00:00:00"/>
    <s v="2022_1748_02804, 2024_2666_03724"/>
    <s v="W2217AB KE2 CLEAR r119x0189 CB1P, W2217AB KE2 CLEAR r119x0189 CB4P"/>
    <s v="Said they would switch to melt fracture, but then didn't"/>
    <m/>
    <m/>
    <s v="N/A"/>
    <m/>
    <n v="0.73109243697478987"/>
    <m/>
    <x v="0"/>
    <s v="Clear"/>
  </r>
  <r>
    <s v="KCC"/>
    <s v="Jeoneui"/>
    <s v="Hyundai"/>
    <s v="NE (IONIQ 5 AR HUD)"/>
    <s v="OEM"/>
    <x v="2"/>
    <s v="W2217AC"/>
    <s v="K"/>
    <s v="R"/>
    <s v="Clear"/>
    <x v="0"/>
    <s v="BF011710, BF011969 (375m), ___ (MB2P)"/>
    <s v="Y"/>
    <s v="L9"/>
    <x v="41"/>
    <n v="119"/>
    <n v="20"/>
    <s v="N/A"/>
    <s v="N/A"/>
    <n v="0.8"/>
    <n v="470"/>
    <n v="870"/>
    <n v="400"/>
    <n v="120"/>
    <n v="470"/>
    <n v="870"/>
    <n v="400"/>
    <n v="120"/>
    <s v="N/A"/>
    <n v="99"/>
    <n v="0.96830000000000005"/>
    <m/>
    <n v="0.89829285714285712"/>
    <n v="0.95219042857142855"/>
    <n v="859.06788400000005"/>
    <n v="172.63834352975115"/>
    <n v="188.7667113815844"/>
    <n v="375.24098357519512"/>
    <n v="375"/>
    <n v="446.25"/>
    <n v="424.91497874999999"/>
    <n v="2124.5748937499998"/>
    <d v="2023-04-01T00:00:00"/>
    <s v="2023_1952_03009, 2023_2171_03228, 2024_2759_03817, 2024_2987_04045, 2024_2996_04054"/>
    <s v="W2217AC KR CLEAR r119x0189 CB1P, W2217AC KR CLEAR r119x0375 CB2P"/>
    <s v="Nip roll version of W2217AB. We should have kept the same variant code."/>
    <m/>
    <m/>
    <s v="N/A"/>
    <m/>
    <n v="0.73109243697478987"/>
    <m/>
    <x v="0"/>
    <s v="Clear"/>
  </r>
  <r>
    <s v="KCC"/>
    <s v="Jeoneui"/>
    <s v="Hyundai"/>
    <s v="NE (IONIQ 5 std HUD)"/>
    <s v="OEM"/>
    <x v="2"/>
    <s v="W2241AG"/>
    <s v="K"/>
    <s v="E2"/>
    <s v="Clear"/>
    <x v="0"/>
    <s v="BF011844, ___"/>
    <s v="Y"/>
    <s v="L9"/>
    <x v="24"/>
    <n v="119"/>
    <n v="28"/>
    <s v="N/A"/>
    <s v="N/A"/>
    <n v="0.8"/>
    <n v="380"/>
    <n v="790"/>
    <n v="410"/>
    <n v="120"/>
    <n v="380"/>
    <n v="790"/>
    <n v="410"/>
    <n v="120"/>
    <s v="N/A"/>
    <n v="91"/>
    <n v="1.1731"/>
    <m/>
    <n v="1.0304441176470589"/>
    <n v="1.0922707647058825"/>
    <n v="874.69313200000011"/>
    <n v="142.49911178915528"/>
    <n v="155.81178640421803"/>
    <n v="309.73134804864162"/>
    <n v="310"/>
    <n v="368.9"/>
    <n v="402.93868510000004"/>
    <n v="1439.0667324999999"/>
    <d v="2023-06-23T00:00:00"/>
    <s v="2023_2046_03103, 2023_2140_03197, 2024_2759_03817, 2024_2987_04045, 2024_2996_04054"/>
    <s v="W2241AG KE2 CLEAR r119x0310 CB2P, W2241AG KR CLEAR r119x0310 CB2P"/>
    <m/>
    <m/>
    <m/>
    <s v="N/A"/>
    <m/>
    <n v="0.66386554621848737"/>
    <m/>
    <x v="0"/>
    <s v="Clear"/>
  </r>
  <r>
    <s v="KCC"/>
    <s v="Jeoneui"/>
    <s v="Hyundai"/>
    <s v="NE (IONIQ 5)"/>
    <s v="OEM"/>
    <x v="1"/>
    <s v="W2212AB"/>
    <s v="K"/>
    <s v="E2"/>
    <s v="Clear"/>
    <x v="0"/>
    <s v="BF010630"/>
    <s v="Y"/>
    <s v="L9"/>
    <x v="58"/>
    <n v="119"/>
    <n v="21"/>
    <s v="N/A"/>
    <s v="N/A"/>
    <n v="0.8"/>
    <n v="455"/>
    <n v="855"/>
    <n v="400"/>
    <n v="125"/>
    <n v="455"/>
    <n v="855"/>
    <n v="400"/>
    <n v="125"/>
    <s v="N/A"/>
    <n v="98"/>
    <n v="0.91760000000000008"/>
    <m/>
    <n v="0.86917647058823533"/>
    <n v="0.92132705882352939"/>
    <n v="855.81262400000003"/>
    <n v="182.1771011768287"/>
    <n v="199.19660705186155"/>
    <n v="395.97411115503644"/>
    <n v="150"/>
    <n v="178.5"/>
    <n v="164.45687999999998"/>
    <n v="783.12799999999993"/>
    <s v="Never"/>
    <s v="2022_1259_02314"/>
    <s v="W2212AB KE2 CLEAR r119x0150 CB1P"/>
    <m/>
    <m/>
    <m/>
    <s v="N/A"/>
    <m/>
    <n v="0.71848739495798319"/>
    <m/>
    <x v="0"/>
    <s v="Clear"/>
  </r>
  <r>
    <s v="KCC"/>
    <s v="Jeoneui"/>
    <s v="Hyundai"/>
    <s v="NE (IONIQ 5)"/>
    <s v="OEM"/>
    <x v="1"/>
    <s v="W2217AA"/>
    <s v="K"/>
    <s v="E2"/>
    <s v="Clear"/>
    <x v="0"/>
    <s v="BF010191 (CT4P), BF010270 (CB4P = L9)"/>
    <s v="Y"/>
    <s v="L8"/>
    <x v="41"/>
    <n v="119"/>
    <n v="21"/>
    <s v="N/A"/>
    <s v="N/A"/>
    <n v="0.8"/>
    <n v="485"/>
    <n v="855"/>
    <n v="370"/>
    <n v="125"/>
    <n v="455"/>
    <n v="855"/>
    <n v="400"/>
    <n v="125"/>
    <s v="N/A"/>
    <n v="98"/>
    <n v="0.96660000000000013"/>
    <m/>
    <n v="0.89800000000000002"/>
    <n v="0.95188000000000006"/>
    <n v="859.06788400000005"/>
    <n v="172.94196983225535"/>
    <n v="189.09870332173406"/>
    <n v="375.90093564645292"/>
    <n v="189"/>
    <n v="224.91"/>
    <n v="214.08733080000002"/>
    <n v="1019.4634800000001"/>
    <d v="2021-11-01T00:00:00"/>
    <s v="2021_1050_02105"/>
    <s v="W2217AA KE2 CLEAR r119x0189 CT4P (error and originally set up CT4A), W2217AA KE2 CLEAR r119x0189 CB4P = L9"/>
    <s v="Moved to L9"/>
    <s v="4?"/>
    <m/>
    <s v="N/A"/>
    <m/>
    <n v="0.71848739495798319"/>
    <m/>
    <x v="0"/>
    <s v="Clear"/>
  </r>
  <r>
    <s v="KCC"/>
    <s v="Jeoneui"/>
    <s v="Hyundai"/>
    <s v="NX5 (Tucson)"/>
    <s v="OEM"/>
    <x v="0"/>
    <s v="W2245AF"/>
    <s v="K"/>
    <s v="E2"/>
    <s v="Clear"/>
    <x v="0"/>
    <m/>
    <s v="Y"/>
    <s v="L9"/>
    <x v="3"/>
    <n v="107"/>
    <n v="30"/>
    <s v="N/A"/>
    <s v="N/A"/>
    <n v="0.8"/>
    <n v="240"/>
    <n v="640"/>
    <n v="400"/>
    <n v="130"/>
    <n v="240"/>
    <n v="640"/>
    <n v="400"/>
    <n v="130"/>
    <s v="N/A"/>
    <n v="77"/>
    <n v="1.1465000000000001"/>
    <m/>
    <n v="1.0218247663551403"/>
    <n v="1.0831342523364487"/>
    <n v="877.29733999999996"/>
    <n v="145.80524033131968"/>
    <n v="159.426782931346"/>
    <n v="316.91743950794722"/>
    <n v="315"/>
    <n v="337.05"/>
    <n v="365.07039975000004"/>
    <n v="1216.9013325000001"/>
    <m/>
    <s v="2025-0299-0445"/>
    <m/>
    <m/>
    <m/>
    <m/>
    <m/>
    <m/>
    <m/>
    <m/>
    <x v="1"/>
    <m/>
  </r>
  <r>
    <s v="KCC"/>
    <s v="Jeoneui"/>
    <s v="Hyundai"/>
    <s v="NE N"/>
    <s v="OEM"/>
    <x v="2"/>
    <s v="W2241AG"/>
    <s v="K"/>
    <s v="R"/>
    <s v="Clear"/>
    <x v="0"/>
    <s v="BF011950, ____"/>
    <s v="Y"/>
    <s v="L9"/>
    <x v="24"/>
    <n v="119"/>
    <n v="28"/>
    <s v="N/A"/>
    <s v="N/A"/>
    <n v="0.8"/>
    <n v="380"/>
    <n v="790"/>
    <n v="410"/>
    <n v="120"/>
    <n v="380"/>
    <n v="790"/>
    <n v="410"/>
    <n v="120"/>
    <s v="N/A"/>
    <n v="91"/>
    <n v="1.1731"/>
    <m/>
    <n v="1.0304441176470589"/>
    <n v="1.0922707647058825"/>
    <n v="874.69313200000011"/>
    <n v="142.49911178915528"/>
    <n v="155.81178640421803"/>
    <n v="309.73134804864162"/>
    <n v="310"/>
    <n v="368.9"/>
    <n v="402.93868510000004"/>
    <n v="1439.0667324999999"/>
    <d v="2023-06-23T00:00:00"/>
    <s v="2023_2046_03103, 2023_2140_03197, 2024_2759_03817, 2024_2987_04045, 2024_2996_04054"/>
    <s v="W2241AG KE2 CLEAR r119x0310 CB2P, W2241AG KR CLEAR r119x0310 CB2P"/>
    <m/>
    <m/>
    <m/>
    <s v="N/A"/>
    <m/>
    <n v="0.66386554621848737"/>
    <m/>
    <x v="0"/>
    <s v="Clear"/>
  </r>
  <r>
    <s v="KCC"/>
    <s v="Jeoneui"/>
    <s v="Hyundai"/>
    <s v="NE N (IONIQ 5 N)"/>
    <s v="OEM"/>
    <x v="1"/>
    <s v="W2240AH"/>
    <s v="K"/>
    <s v="E2"/>
    <s v="Clear"/>
    <x v="0"/>
    <s v="BF011658 (L9, CB1P), BF012367 (CB4P)"/>
    <s v="Y"/>
    <s v="L9"/>
    <x v="44"/>
    <n v="113"/>
    <n v="28"/>
    <s v="N/A"/>
    <s v="N/A"/>
    <n v="0.8"/>
    <n v="320"/>
    <n v="730"/>
    <n v="410"/>
    <n v="120"/>
    <n v="320"/>
    <n v="730"/>
    <n v="410"/>
    <n v="120"/>
    <s v="N/A"/>
    <n v="85"/>
    <n v="1.1400000000000001"/>
    <m/>
    <n v="1.0121238938053099"/>
    <n v="1.0728513274336284"/>
    <n v="874.04208000000006"/>
    <n v="146.63658599987545"/>
    <n v="160.33579529016504"/>
    <n v="318.72442490865035"/>
    <n v="148"/>
    <n v="167.24"/>
    <n v="179.42365600000002"/>
    <n v="640.7987714285714"/>
    <d v="2023-03-01T00:00:00"/>
    <s v="2023_1918_02975, 2024_2498_03555 (extension to China), 2024_2598_03656 (CB4P)"/>
    <s v="W2240AH KE2 CLEAR r113x0148 CB1P. No L8 set up? W2240AH KE2 CLEAR r113x0148 CB4P"/>
    <s v="Wanted for initial trial. Will be replaced by W2240AN. Later tested at SGS Meizhou."/>
    <m/>
    <m/>
    <s v="N/A"/>
    <m/>
    <n v="0.64601769911504425"/>
    <m/>
    <x v="0"/>
    <s v="Clear"/>
  </r>
  <r>
    <s v="KCC"/>
    <s v="Jeoneui"/>
    <s v="Hyundai"/>
    <s v="NE N (IONIQ 5 N)"/>
    <s v="OEM"/>
    <x v="1"/>
    <s v="W2240AN"/>
    <s v="K"/>
    <s v="E2"/>
    <s v="Clear"/>
    <x v="0"/>
    <s v="BF011725"/>
    <s v="Y"/>
    <s v="L9"/>
    <x v="44"/>
    <n v="119"/>
    <n v="28"/>
    <s v="N/A"/>
    <s v="N/A"/>
    <n v="0.8"/>
    <n v="380"/>
    <n v="790"/>
    <n v="410"/>
    <n v="120"/>
    <n v="380"/>
    <n v="790"/>
    <n v="410"/>
    <n v="120"/>
    <s v="N/A"/>
    <n v="91"/>
    <n v="1.1640000000000001"/>
    <m/>
    <n v="1.0248235294117647"/>
    <n v="1.0863129411764705"/>
    <n v="874.04208000000006"/>
    <n v="143.61315123699143"/>
    <n v="157.02990260376987"/>
    <n v="312.15278728166788"/>
    <n v="145"/>
    <n v="172.55"/>
    <n v="187.443298"/>
    <n v="669.44034999999997"/>
    <s v="Never"/>
    <s v="2023_1955_03012"/>
    <s v="W2240AN KE2 CLEAR r119x0145 CB1P"/>
    <s v="Wider versions"/>
    <m/>
    <m/>
    <s v="N/A"/>
    <m/>
    <n v="0.66386554621848737"/>
    <m/>
    <x v="0"/>
    <s v="Clear"/>
  </r>
  <r>
    <s v="KCC"/>
    <s v="Jeoneui"/>
    <s v="Hyundai"/>
    <s v="NE N (IONIQ 5 N)"/>
    <s v="OEM"/>
    <x v="1"/>
    <s v="W2251AF"/>
    <s v="K"/>
    <s v="E2"/>
    <s v="Clear"/>
    <x v="0"/>
    <s v="BF011659 (L9)"/>
    <s v="Y"/>
    <s v="L9"/>
    <x v="1"/>
    <n v="113"/>
    <n v="28"/>
    <s v="N/A"/>
    <s v="N/A"/>
    <n v="0.8"/>
    <n v="320"/>
    <n v="730"/>
    <n v="410"/>
    <n v="120"/>
    <n v="320"/>
    <n v="730"/>
    <n v="410"/>
    <n v="120"/>
    <s v="N/A"/>
    <n v="85"/>
    <n v="1.2335"/>
    <m/>
    <n v="1.0704579646017698"/>
    <n v="1.1346854424778758"/>
    <n v="881.20365200000003"/>
    <n v="135.52144956615973"/>
    <n v="148.18225101806905"/>
    <n v="294.56493262737047"/>
    <n v="148"/>
    <n v="167.24"/>
    <n v="189.76479339999997"/>
    <n v="677.73140499999988"/>
    <d v="2023-03-01T00:00:00"/>
    <s v="2023_1918_02975"/>
    <s v="W2251AF KE2 CLEAR r113x0148 CB1P. No L8 set up?"/>
    <s v="Wanted for initial trial. Will be replaced by W2251AG."/>
    <m/>
    <m/>
    <s v="N/A"/>
    <m/>
    <n v="0.64601769911504425"/>
    <m/>
    <x v="0"/>
    <s v="Clear"/>
  </r>
  <r>
    <s v="KCC"/>
    <s v="Jeoneui"/>
    <s v="Hyundai"/>
    <s v="NE N (IONIQ 5 N)"/>
    <s v="OEM"/>
    <x v="1"/>
    <s v="W2251AG"/>
    <s v="K"/>
    <s v="E2"/>
    <s v="Clear"/>
    <x v="0"/>
    <s v="BF011726"/>
    <s v="Y"/>
    <s v="L9"/>
    <x v="1"/>
    <n v="119"/>
    <n v="28"/>
    <s v="N/A"/>
    <s v="N/A"/>
    <n v="0.8"/>
    <n v="380"/>
    <n v="790"/>
    <n v="410"/>
    <n v="120"/>
    <n v="380"/>
    <n v="790"/>
    <n v="410"/>
    <n v="120"/>
    <s v="N/A"/>
    <n v="91"/>
    <n v="1.2641"/>
    <m/>
    <n v="1.0866500000000001"/>
    <n v="1.1518490000000001"/>
    <n v="881.20365200000003"/>
    <n v="132.24088920169135"/>
    <n v="144.59521132093045"/>
    <n v="287.43441531197016"/>
    <n v="145"/>
    <n v="172.55"/>
    <n v="198.75154495000004"/>
    <n v="709.82694625000011"/>
    <s v="Never"/>
    <s v="2023_1955_03012"/>
    <s v="W2251AG KE2 CLEAR r119x0145 CB1P"/>
    <s v="Wider versions"/>
    <m/>
    <m/>
    <s v="N/A"/>
    <m/>
    <n v="0.66386554621848737"/>
    <m/>
    <x v="0"/>
    <s v="Clear"/>
  </r>
  <r>
    <s v="KCC"/>
    <s v="Jeoneui"/>
    <s v="Hyundai"/>
    <s v="Santa Fe"/>
    <s v="OEM"/>
    <x v="1"/>
    <s v="W1240AA"/>
    <s v="K"/>
    <s v="E2"/>
    <s v="Clear"/>
    <x v="0"/>
    <s v="BF007143, BF007142"/>
    <s v="Y"/>
    <s v="L8"/>
    <x v="44"/>
    <n v="107"/>
    <m/>
    <s v="N/A"/>
    <s v="N/A"/>
    <n v="0.76"/>
    <m/>
    <m/>
    <n v="0"/>
    <n v="1070"/>
    <m/>
    <m/>
    <n v="0"/>
    <n v="1070"/>
    <s v="N/A"/>
    <n v="107"/>
    <n v="1.1879999999999999"/>
    <m/>
    <n v="0.97400000000000009"/>
    <n v="0"/>
    <n v="0"/>
    <n v="140.71187545442598"/>
    <n v="153.8575813390473"/>
    <n v="305.84667036688677"/>
    <s v="150, 300"/>
    <e v="#VALUE!"/>
    <e v="#VALUE!"/>
    <e v="#VALUE!"/>
    <d v="2018-09-01T00:00:00"/>
    <s v="Old"/>
    <s v="W1240AA KE2 CLEAR r107x0150 CT4P, W1240AA KE2 CLEAR r107x0300 CT2P"/>
    <s v="Old SKU"/>
    <m/>
    <m/>
    <s v="N/A"/>
    <m/>
    <m/>
    <m/>
    <x v="6"/>
    <s v="Clear"/>
  </r>
  <r>
    <s v="KCC"/>
    <s v="Jeoneui"/>
    <s v="Hyundai"/>
    <s v="Sonata"/>
    <s v="OEM"/>
    <x v="1"/>
    <s v="W5043"/>
    <s v="B"/>
    <s v="R3"/>
    <s v="Clear"/>
    <x v="1"/>
    <s v="BF007248"/>
    <m/>
    <s v="L6"/>
    <x v="57"/>
    <n v="108"/>
    <n v="30"/>
    <s v="N/A"/>
    <s v="N/A"/>
    <n v="0.76"/>
    <m/>
    <m/>
    <n v="0"/>
    <n v="780"/>
    <m/>
    <m/>
    <n v="0"/>
    <n v="780"/>
    <s v="N/A"/>
    <n v="78"/>
    <n v="1.0953999999999999"/>
    <m/>
    <n v="0.97428333333333317"/>
    <n v="1.0376117499999999"/>
    <n v="837.527289"/>
    <n v="152.60700021896844"/>
    <n v="166.86398268284481"/>
    <n v="331.7015194411735"/>
    <n v="100"/>
    <n v="108"/>
    <n v="112.06206899999999"/>
    <n v="373.54023000000001"/>
    <d v="2018-11-18T00:00:00"/>
    <s v="Old"/>
    <s v="W5043 BR3 CLEAR r108x0.95x0100 CB1P"/>
    <m/>
    <m/>
    <m/>
    <s v="N/A"/>
    <m/>
    <m/>
    <m/>
    <x v="2"/>
    <s v="Clear"/>
  </r>
  <r>
    <s v="KCC"/>
    <s v="Jeoneui"/>
    <s v="Hyundai"/>
    <s v="TM (Korea market Santa Fe, 2018-?)"/>
    <s v="OEM"/>
    <x v="1"/>
    <s v="W1340AB"/>
    <s v="K"/>
    <s v="E2"/>
    <s v="Blue"/>
    <x v="0"/>
    <s v="BF008914"/>
    <s v="Y"/>
    <s v="L8"/>
    <x v="44"/>
    <n v="105"/>
    <n v="25"/>
    <n v="14"/>
    <n v="91"/>
    <n v="0.8"/>
    <n v="325"/>
    <n v="675"/>
    <n v="350"/>
    <n v="125"/>
    <m/>
    <m/>
    <n v="0"/>
    <n v="800"/>
    <n v="110"/>
    <n v="80"/>
    <n v="1.1200000000000001"/>
    <m/>
    <n v="0.99809523809523826"/>
    <e v="#VALUE!"/>
    <e v="#VALUE!"/>
    <n v="149.25509646415895"/>
    <n v="163.19893449177513"/>
    <n v="324.41593249630483"/>
    <n v="160"/>
    <n v="168"/>
    <e v="#VALUE!"/>
    <e v="#VALUE!"/>
    <s v="TBD"/>
    <s v="2020_0064_01115"/>
    <s v="W1340AB KE2 BLU2 R105/14X0160 CT4P"/>
    <s v="New SKU for TM shadeband"/>
    <s v="Never produced"/>
    <m/>
    <s v="N/A"/>
    <m/>
    <n v="0.6428571428571429"/>
    <m/>
    <x v="7"/>
    <s v="S/B"/>
  </r>
  <r>
    <s v="KCC"/>
    <s v="Jeoneui"/>
    <s v="Hyundai"/>
    <s v="TM (Korea market Santa Fe, 2018-?)"/>
    <s v="OEM"/>
    <x v="1"/>
    <s v="W2340"/>
    <s v="K"/>
    <s v="E2"/>
    <s v="Blue"/>
    <x v="0"/>
    <s v="BF008932"/>
    <s v="Y"/>
    <s v="L8"/>
    <x v="44"/>
    <n v="105"/>
    <n v="25"/>
    <n v="14"/>
    <n v="91"/>
    <n v="0.8"/>
    <n v="325"/>
    <n v="675"/>
    <n v="350"/>
    <n v="125"/>
    <m/>
    <m/>
    <n v="0"/>
    <n v="800"/>
    <n v="110"/>
    <n v="80"/>
    <n v="1.1200000000000001"/>
    <m/>
    <n v="0.99809523809523826"/>
    <n v="1.0579809523809525"/>
    <n v="874.04208000000006"/>
    <n v="149.25509646415895"/>
    <n v="163.19893449177513"/>
    <n v="324.41593249630483"/>
    <n v="150"/>
    <n v="157.5"/>
    <n v="166.63200000000001"/>
    <n v="666.52800000000002"/>
    <s v="TBD"/>
    <s v="2020_0018_01069"/>
    <s v="W2340 KE2 BLU2 R105/14X0.95X0150 CT4P"/>
    <s v="BPCM summary section was incorrect so this was created"/>
    <s v="Never produced"/>
    <m/>
    <s v="N/A"/>
    <m/>
    <n v="0.6428571428571429"/>
    <m/>
    <x v="8"/>
    <s v="S/B"/>
  </r>
  <r>
    <s v="KCC"/>
    <s v="Jeoneui"/>
    <s v="Hyundai"/>
    <s v="TM (Korea market Santa Fe, 2018-?)"/>
    <s v="OEM"/>
    <x v="1"/>
    <s v="W1342AB"/>
    <s v="K"/>
    <s v="E2"/>
    <s v="Blue"/>
    <x v="0"/>
    <s v="BF009295"/>
    <s v="Y"/>
    <s v="L8"/>
    <x v="18"/>
    <n v="105"/>
    <n v="25"/>
    <n v="14"/>
    <n v="91"/>
    <n v="0.8"/>
    <n v="325"/>
    <n v="675"/>
    <n v="350"/>
    <n v="125"/>
    <m/>
    <m/>
    <n v="0"/>
    <n v="800"/>
    <n v="110"/>
    <n v="80"/>
    <n v="1.1360000000000001"/>
    <m/>
    <n v="1.0080000000000002"/>
    <e v="#VALUE!"/>
    <e v="#VALUE!"/>
    <n v="147.15291200691726"/>
    <n v="160.90035794963748"/>
    <n v="319.84669401044141"/>
    <n v="160"/>
    <n v="168"/>
    <e v="#VALUE!"/>
    <e v="#VALUE!"/>
    <s v="TBD"/>
    <s v="2020_0244_01296"/>
    <s v="W1342AB KE2 BLU2 r105/14x0160 CT4P"/>
    <s v="New, increased wedge angle"/>
    <s v="Never produced"/>
    <m/>
    <s v="N/A"/>
    <m/>
    <n v="0.6428571428571429"/>
    <m/>
    <x v="7"/>
    <s v="S/B"/>
  </r>
  <r>
    <s v="KCC"/>
    <s v="Jeoneui"/>
    <s v="Hyundai"/>
    <s v="TM [Korea market Santa Fe (old)]"/>
    <s v="OEM"/>
    <x v="1"/>
    <s v="W1340"/>
    <s v="K"/>
    <s v="E2"/>
    <s v="Blue"/>
    <x v="0"/>
    <s v="BF007129, BF008309, BF007128"/>
    <s v="Y"/>
    <s v="L8"/>
    <x v="44"/>
    <n v="107"/>
    <n v="25"/>
    <n v="15"/>
    <n v="92"/>
    <n v="0.8"/>
    <n v="345"/>
    <n v="690"/>
    <n v="345"/>
    <n v="130"/>
    <m/>
    <m/>
    <n v="0"/>
    <n v="820"/>
    <n v="100"/>
    <n v="82"/>
    <n v="1.1280000000000001"/>
    <m/>
    <n v="1.0023177570093458"/>
    <e v="#VALUE!"/>
    <e v="#VALUE!"/>
    <n v="148.19654968072518"/>
    <n v="162.04149524006041"/>
    <n v="322.115110280019"/>
    <s v="150, 300"/>
    <e v="#VALUE!"/>
    <e v="#VALUE!"/>
    <e v="#VALUE!"/>
    <d v="2018-09-01T00:00:00"/>
    <s v="Old"/>
    <s v="W1340 KE2 BLU2 R107/15X0.95X0150 CT1P, W1340 KE2 BLU2 r107/15x0.95x0150 CT4P, W1340 KE2 BLU2 r107/15x0.95x0300 CT2P"/>
    <s v="Old SKU for TM shadeband. Being tested, but commercialization in this windshield would be the new clear version (W1240)."/>
    <s v="2x (Sept. 2018)_x000a_12 (Oct 2019)_x000a_4 (Jan 2020)2x 0,40mrad, 2x0,42mrad"/>
    <s v="??_x000a_??_x000a_ghosting with 0,42mrad ok"/>
    <s v="N/A"/>
    <m/>
    <n v="0.64485981308411211"/>
    <m/>
    <x v="7"/>
    <s v="S/B"/>
  </r>
  <r>
    <s v="KCC"/>
    <s v="Jeoneui"/>
    <s v="Hyundai"/>
    <s v="TMa (Export Santa Fe, 2018-?)"/>
    <s v="OEM"/>
    <x v="1"/>
    <s v="W2240AC"/>
    <s v="K"/>
    <s v="E2"/>
    <s v="Clear"/>
    <x v="0"/>
    <s v="BF009969"/>
    <s v="Y"/>
    <s v="L9"/>
    <x v="44"/>
    <n v="108"/>
    <n v="25"/>
    <s v="N/A"/>
    <s v="N/A"/>
    <n v="0.8"/>
    <n v="355"/>
    <n v="705"/>
    <n v="350"/>
    <n v="125"/>
    <n v="305"/>
    <n v="705"/>
    <n v="400"/>
    <n v="125"/>
    <s v="N/A"/>
    <n v="83"/>
    <n v="1.1320000000000001"/>
    <m/>
    <n v="1.0044259259259261"/>
    <n v="1.0646914814814816"/>
    <n v="874.04208000000006"/>
    <n v="147.6728869610053"/>
    <n v="161.46891045122629"/>
    <n v="320.97689434263378"/>
    <n v="150"/>
    <n v="162"/>
    <n v="172.48002000000002"/>
    <n v="689.9200800000001"/>
    <d v="2021-06-01T00:00:00"/>
    <s v="2021_0795_01849"/>
    <m/>
    <s v="F5 version of W1240AB (Klopper). Single roll pallet set up initially at shorter roll length."/>
    <m/>
    <m/>
    <s v="N/A"/>
    <m/>
    <n v="0.65277777777777779"/>
    <m/>
    <x v="0"/>
    <s v="Clear"/>
  </r>
  <r>
    <s v="KCC"/>
    <s v="Jeoneui"/>
    <s v="Hyundai"/>
    <s v="TMa (Export Santa Fe, 2018-?)"/>
    <s v="OEM"/>
    <x v="1"/>
    <s v="W2240AD"/>
    <s v="K"/>
    <s v="E2"/>
    <s v="Clear"/>
    <x v="0"/>
    <s v="BF009971 (160m, L8), BF010584 (321m, L9)"/>
    <s v="Y"/>
    <s v="L8 &amp; L9"/>
    <x v="44"/>
    <n v="108"/>
    <n v="25"/>
    <s v="N/A"/>
    <s v="N/A"/>
    <n v="0.8"/>
    <n v="335"/>
    <n v="710"/>
    <n v="375"/>
    <n v="120"/>
    <n v="310"/>
    <n v="710"/>
    <n v="400"/>
    <n v="120"/>
    <s v="N/A"/>
    <n v="83"/>
    <n v="1.1320000000000001"/>
    <m/>
    <n v="1.0044259259259261"/>
    <n v="1.0646914814814816"/>
    <n v="874.04208000000006"/>
    <n v="147.6728869610053"/>
    <n v="161.46891045122629"/>
    <n v="320.97689434263378"/>
    <n v="321"/>
    <n v="346.68"/>
    <n v="369.10724280000005"/>
    <n v="1476.4289712000002"/>
    <d v="2021-08-01T00:00:00"/>
    <s v="2021_0906_01961 (L8), 2022_1219_02274 (L9)"/>
    <s v="W2240AD KE2 CLEAR r108x0160 CT4P (L8), W2240AD KE2 CLEAR r108x0321 CB2P (L9)"/>
    <s v="F5 version of W1240AD (new wider HUD area, Klopper). Initially only set up for L8. Replaced by W2242AB."/>
    <m/>
    <m/>
    <s v="N/A"/>
    <m/>
    <n v="0.65740740740740744"/>
    <m/>
    <x v="0"/>
    <s v="Clear"/>
  </r>
  <r>
    <s v="KCC"/>
    <s v="Jeoneui"/>
    <s v="Hyundai"/>
    <s v="TMa (Export Santa Fe, 2018-?)"/>
    <s v="OEM"/>
    <x v="1"/>
    <s v="W1240"/>
    <s v="K"/>
    <s v="E2"/>
    <s v="Clear"/>
    <x v="0"/>
    <s v="BF008928"/>
    <s v="Y"/>
    <s v="L8"/>
    <x v="44"/>
    <n v="104"/>
    <n v="25"/>
    <s v="N/A"/>
    <s v="N/A"/>
    <n v="0.8"/>
    <n v="315"/>
    <n v="665"/>
    <n v="350"/>
    <n v="125"/>
    <m/>
    <m/>
    <n v="0"/>
    <n v="790"/>
    <s v="N/A"/>
    <n v="79"/>
    <n v="1.1160000000000001"/>
    <m/>
    <n v="0.99598076923076928"/>
    <n v="0"/>
    <n v="0"/>
    <n v="149.79006096761472"/>
    <n v="163.78387690930839"/>
    <n v="325.5787136163633"/>
    <n v="160"/>
    <n v="166.4"/>
    <n v="0"/>
    <n v="0"/>
    <d v="2018-09-01T00:00:00"/>
    <s v="2020_0064_01115, 2019_0904_01030"/>
    <s v="W1240 KE2 CLEAR R104X0.95X0160 CT4P"/>
    <s v="Was the new SKU for TMa clear. But then the angle was increased."/>
    <n v="2"/>
    <s v="??"/>
    <s v="N/A"/>
    <m/>
    <n v="0.63942307692307687"/>
    <m/>
    <x v="6"/>
    <s v="Clear"/>
  </r>
  <r>
    <s v="KCC"/>
    <s v="Jeoneui"/>
    <s v="Hyundai"/>
    <s v="TMa (Export Santa Fe, 2018-?)"/>
    <s v="OEM"/>
    <x v="1"/>
    <s v="W1240AB"/>
    <s v="K"/>
    <s v="E2"/>
    <s v="Clear"/>
    <x v="0"/>
    <s v="BF009411"/>
    <s v="Y"/>
    <s v="L8"/>
    <x v="44"/>
    <n v="108"/>
    <n v="25"/>
    <s v="N/A"/>
    <s v="N/A"/>
    <n v="0.8"/>
    <n v="355"/>
    <n v="705"/>
    <n v="350"/>
    <n v="125"/>
    <m/>
    <m/>
    <n v="0"/>
    <n v="830"/>
    <s v="N/A"/>
    <n v="83"/>
    <n v="1.1320000000000001"/>
    <m/>
    <n v="1.0044259259259261"/>
    <n v="0"/>
    <n v="0"/>
    <n v="147.6728869610053"/>
    <n v="161.46891045122629"/>
    <n v="320.97689434263378"/>
    <n v="160"/>
    <n v="172.8"/>
    <n v="0"/>
    <n v="0"/>
    <d v="2020-09-01T00:00:00"/>
    <s v="2020_0341_01393"/>
    <m/>
    <s v="Reduced angle and increased width due to the move to shape on Klopper line"/>
    <m/>
    <m/>
    <s v="N/A"/>
    <m/>
    <n v="0.65277777777777779"/>
    <m/>
    <x v="6"/>
    <s v="Clear"/>
  </r>
  <r>
    <s v="KCC"/>
    <s v="Jeoneui"/>
    <s v="Hyundai"/>
    <s v="TMa (Export Santa Fe, 2018-?)"/>
    <s v="OEM"/>
    <x v="1"/>
    <s v="W1240AC"/>
    <s v="K"/>
    <s v="E2"/>
    <s v="Clear"/>
    <x v="0"/>
    <s v="BF009661"/>
    <s v="Y"/>
    <s v="L8"/>
    <x v="44"/>
    <n v="106"/>
    <n v="25"/>
    <s v="N/A"/>
    <s v="N/A"/>
    <n v="0.8"/>
    <n v="335"/>
    <n v="685"/>
    <n v="350"/>
    <n v="125"/>
    <m/>
    <m/>
    <n v="0"/>
    <n v="810"/>
    <s v="N/A"/>
    <n v="81"/>
    <n v="1.1240000000000001"/>
    <m/>
    <n v="1.0002075471698115"/>
    <n v="0"/>
    <n v="0"/>
    <n v="148.72393953724023"/>
    <n v="162.61815536546987"/>
    <n v="323.26142739845324"/>
    <n v="160"/>
    <n v="169.6"/>
    <n v="0"/>
    <n v="0"/>
    <d v="2021-02-01T00:00:00"/>
    <s v="2020_0607_01659, 2021_0744_01798"/>
    <s v="W1240AC KE2 CLEAR r106x0150 CT4P"/>
    <s v="Ford Type B shaper"/>
    <n v="12"/>
    <m/>
    <s v="N/A"/>
    <m/>
    <n v="0.64622641509433965"/>
    <m/>
    <x v="6"/>
    <s v="Clear"/>
  </r>
  <r>
    <s v="KCC"/>
    <s v="Jeoneui"/>
    <s v="Hyundai"/>
    <s v="TMa (Export Santa Fe, 2018-?)"/>
    <s v="OEM"/>
    <x v="1"/>
    <s v="W1240AD"/>
    <s v="K"/>
    <s v="E2"/>
    <s v="Clear"/>
    <x v="0"/>
    <s v="BF009985"/>
    <s v="Y"/>
    <s v="L8"/>
    <x v="44"/>
    <n v="108"/>
    <n v="25"/>
    <s v="N/A"/>
    <s v="N/A"/>
    <n v="0.8"/>
    <n v="335"/>
    <n v="710"/>
    <n v="375"/>
    <n v="120"/>
    <n v="310"/>
    <n v="710"/>
    <n v="400"/>
    <n v="120"/>
    <s v="N/A"/>
    <n v="83"/>
    <n v="1.1320000000000001"/>
    <m/>
    <n v="1.0044259259259261"/>
    <n v="0"/>
    <n v="0"/>
    <n v="147.6728869610053"/>
    <n v="161.46891045122629"/>
    <n v="320.97689434263378"/>
    <n v="160"/>
    <n v="172.8"/>
    <n v="0"/>
    <n v="0"/>
    <d v="2021-08-01T00:00:00"/>
    <s v="2021_0929_01984"/>
    <m/>
    <s v="Wider HUD area, for Klopper shaper"/>
    <m/>
    <m/>
    <s v="N/A"/>
    <m/>
    <n v="0.65740740740740744"/>
    <m/>
    <x v="6"/>
    <s v="Clear"/>
  </r>
  <r>
    <s v="KCC"/>
    <s v="Jeoneui"/>
    <s v="Hyundai"/>
    <s v="TMa (Export Santa Fe, 2018-?)"/>
    <s v="OEM"/>
    <x v="2"/>
    <s v="W2242AB"/>
    <s v="K"/>
    <s v="E2"/>
    <s v="Clear"/>
    <x v="0"/>
    <s v="BF011740, BF012440 (315m)"/>
    <s v="Y"/>
    <s v="L9"/>
    <x v="18"/>
    <n v="108"/>
    <n v="25"/>
    <s v="N/A"/>
    <s v="N/A"/>
    <n v="0.8"/>
    <n v="335"/>
    <n v="710"/>
    <n v="375"/>
    <n v="120"/>
    <n v="320"/>
    <n v="720"/>
    <n v="400"/>
    <n v="110"/>
    <s v="N/A"/>
    <n v="83"/>
    <n v="1.1486000000000001"/>
    <m/>
    <n v="1.0146472222222223"/>
    <n v="1.0755260555555555"/>
    <n v="875.34418400000015"/>
    <n v="145.53866275453424"/>
    <n v="159.13530091484256"/>
    <n v="316.33801531939878"/>
    <n v="315"/>
    <n v="340.2"/>
    <n v="365.89396409999995"/>
    <n v="1463.5758563999998"/>
    <d v="2023-06-23T00:00:00"/>
    <s v="2023_1967_03024, 2024_2663_03721, 2024_2759_03817, 2024_2987_04045"/>
    <s v="W2242AB KE2 CLEAR r108x0316 CB2P"/>
    <s v="Angle offset correction. Replaced W2240AD"/>
    <m/>
    <m/>
    <s v="N/A"/>
    <m/>
    <n v="0.65740740740740744"/>
    <m/>
    <x v="0"/>
    <s v="Clear"/>
  </r>
  <r>
    <s v="KCC"/>
    <s v="Jeoneui"/>
    <s v="Hyundai"/>
    <s v="TMa (Export Santa Fe, 2018-?)"/>
    <s v="OEM"/>
    <x v="1"/>
    <s v="W1242AA"/>
    <s v="K"/>
    <s v="E2"/>
    <s v="Clear"/>
    <x v="0"/>
    <s v="BF009217"/>
    <s v="Y"/>
    <s v="L8"/>
    <x v="18"/>
    <n v="104"/>
    <n v="25"/>
    <s v="N/A"/>
    <s v="N/A"/>
    <n v="0.8"/>
    <n v="315"/>
    <n v="665"/>
    <n v="350"/>
    <n v="125"/>
    <m/>
    <m/>
    <n v="0"/>
    <n v="790"/>
    <s v="N/A"/>
    <n v="79"/>
    <n v="1.1318000000000001"/>
    <m/>
    <n v="1.0057798076923077"/>
    <n v="0"/>
    <n v="0"/>
    <n v="147.6989821875402"/>
    <n v="161.49744356846452"/>
    <n v="321.03361406243278"/>
    <n v="160"/>
    <n v="166.4"/>
    <n v="0"/>
    <n v="0"/>
    <d v="2020-04-01T00:00:00"/>
    <s v="2020_0215_01267"/>
    <s v="W1242AA KE2 CLEAR r104x0160 CT4P"/>
    <s v="New, increased wedge angle. KAC changed process conditions so the increase was no longer needed."/>
    <n v="12"/>
    <s v="slippage at heating cone"/>
    <s v="N/A"/>
    <m/>
    <n v="0.63942307692307687"/>
    <m/>
    <x v="6"/>
    <s v="Clear"/>
  </r>
  <r>
    <s v="KCC"/>
    <s v="Jeoneui"/>
    <s v="Kia"/>
    <s v="CT1 (EV4)"/>
    <s v="OEM"/>
    <x v="2"/>
    <s v="W2245AC"/>
    <s v="K"/>
    <s v="E2"/>
    <s v="Clear"/>
    <x v="0"/>
    <s v="BF012208"/>
    <s v="Y"/>
    <s v="L9"/>
    <x v="3"/>
    <n v="111"/>
    <n v="30"/>
    <s v="N/A"/>
    <s v="N/A"/>
    <n v="0.8"/>
    <n v="310"/>
    <n v="620"/>
    <n v="310"/>
    <n v="190"/>
    <n v="265"/>
    <n v="665"/>
    <n v="400"/>
    <n v="145"/>
    <s v="N/A"/>
    <n v="81"/>
    <n v="1.1645000000000001"/>
    <m/>
    <n v="1.0315067567567568"/>
    <n v="1.0933971621621623"/>
    <n v="877.29733999999996"/>
    <n v="143.55148822658481"/>
    <n v="156.96247885855573"/>
    <n v="312.01875860529105"/>
    <n v="145"/>
    <n v="160.94999999999999"/>
    <n v="175.98227325000002"/>
    <n v="586.60757750000005"/>
    <d v="2024-03-01T00:00:00"/>
    <s v="2024_2431_03488"/>
    <s v="W2245AC KE2 CLEAR r111x0145 CB1P"/>
    <m/>
    <m/>
    <m/>
    <m/>
    <m/>
    <n v="0.55855855855855852"/>
    <m/>
    <x v="0"/>
    <m/>
  </r>
  <r>
    <s v="KCC"/>
    <s v="Jeoneui"/>
    <s v="Kia"/>
    <s v="CT1 (EV4)"/>
    <s v="OEM"/>
    <x v="1"/>
    <s v="W2249AK"/>
    <s v="K"/>
    <s v="E2"/>
    <s v="Clear"/>
    <x v="0"/>
    <s v="BF012714 (CB1P), ____"/>
    <s v="Y"/>
    <s v="L9"/>
    <x v="17"/>
    <n v="111"/>
    <n v="30"/>
    <s v="N/A"/>
    <s v="N/A"/>
    <n v="0.8"/>
    <n v="275"/>
    <n v="675"/>
    <n v="400"/>
    <n v="135"/>
    <n v="275"/>
    <n v="675"/>
    <n v="400"/>
    <n v="135"/>
    <s v="N/A"/>
    <n v="81"/>
    <n v="1.1969000000000001"/>
    <m/>
    <n v="1.0520851351351352"/>
    <n v="1.1152102432432434"/>
    <n v="879.90154800000005"/>
    <n v="139.66555939498539"/>
    <n v="152.71351544054488"/>
    <n v="303.57243244703938"/>
    <n v="300"/>
    <n v="333"/>
    <n v="371.36501100000004"/>
    <n v="1237.8833700000002"/>
    <d v="2025-01-01T00:00:00"/>
    <s v="2024_2912_03970, 2024_2992_04050"/>
    <s v="W2249AK KE2 CLEAR r111x0150 CB1P"/>
    <m/>
    <m/>
    <m/>
    <m/>
    <m/>
    <n v="0.60810810810810811"/>
    <m/>
    <x v="0"/>
    <m/>
  </r>
  <r>
    <s v="KCC"/>
    <s v="Jeoneui"/>
    <s v="Kia"/>
    <s v="CT1 (EV4)"/>
    <s v="OEM"/>
    <x v="1"/>
    <s v="W2251AI"/>
    <s v="K"/>
    <s v="E2"/>
    <s v="Clear"/>
    <x v="0"/>
    <s v="BF012209"/>
    <s v="Y"/>
    <s v="L9"/>
    <x v="1"/>
    <n v="111"/>
    <n v="30"/>
    <s v="N/A"/>
    <s v="N/A"/>
    <n v="0.8"/>
    <n v="310"/>
    <n v="620"/>
    <n v="310"/>
    <n v="190"/>
    <n v="265"/>
    <n v="665"/>
    <n v="400"/>
    <n v="145"/>
    <s v="N/A"/>
    <n v="81"/>
    <n v="1.2131000000000001"/>
    <m/>
    <n v="1.0623743243243244"/>
    <n v="1.1261167837837838"/>
    <n v="881.20365200000003"/>
    <n v="137.80043528139313"/>
    <n v="150.67414609742656"/>
    <n v="299.51846046975641"/>
    <n v="145"/>
    <n v="160.94999999999999"/>
    <n v="181.24849634999998"/>
    <n v="604.16165449999994"/>
    <d v="2024-03-01T00:00:00"/>
    <s v="2024_2431_03488"/>
    <s v="W2251AI KE2 CLEAR r111x0145 CB1P"/>
    <m/>
    <m/>
    <m/>
    <m/>
    <m/>
    <n v="0.55855855855855852"/>
    <m/>
    <x v="0"/>
    <m/>
  </r>
  <r>
    <s v="KCC"/>
    <s v="Jeoneui"/>
    <s v="Kia"/>
    <s v="CT1 (EV4)"/>
    <s v="OEM"/>
    <x v="1"/>
    <s v="W2256AI"/>
    <s v="K"/>
    <s v="E2"/>
    <s v="Clear"/>
    <x v="0"/>
    <s v="BF012210"/>
    <s v="Y"/>
    <s v="L9"/>
    <x v="51"/>
    <n v="111"/>
    <n v="30"/>
    <s v="N/A"/>
    <s v="N/A"/>
    <n v="0.8"/>
    <n v="310"/>
    <n v="620"/>
    <n v="310"/>
    <n v="190"/>
    <n v="265"/>
    <n v="665"/>
    <n v="400"/>
    <n v="145"/>
    <s v="N/A"/>
    <n v="81"/>
    <n v="1.2536"/>
    <m/>
    <n v="1.0880972972972975"/>
    <n v="1.1533831351351354"/>
    <n v="884.45891200000005"/>
    <n v="133.34852268654916"/>
    <n v="145.80632309411948"/>
    <n v="289.84193075611159"/>
    <n v="145"/>
    <n v="160.94999999999999"/>
    <n v="185.63701560000001"/>
    <n v="618.79005200000006"/>
    <d v="2024-03-01T00:00:00"/>
    <s v="2024_2431_03488"/>
    <s v="W2256AI KE2 CLEAR r111x0145 CB1P"/>
    <m/>
    <m/>
    <m/>
    <m/>
    <m/>
    <n v="0.55855855855855852"/>
    <m/>
    <x v="0"/>
    <m/>
  </r>
  <r>
    <s v="KCC"/>
    <s v="Jeoneui"/>
    <s v="Kia"/>
    <s v="CVa (EV6)"/>
    <s v="OEM"/>
    <x v="2"/>
    <s v="W2233AH"/>
    <s v="K"/>
    <s v="E2"/>
    <s v="Clear"/>
    <x v="0"/>
    <s v="BF012527, ___ (MB2P)"/>
    <s v="Y"/>
    <s v="L9"/>
    <x v="27"/>
    <n v="122"/>
    <n v="30"/>
    <s v="N/A"/>
    <s v="N/A"/>
    <n v="0.8"/>
    <n v="400"/>
    <n v="730"/>
    <n v="330"/>
    <n v="190"/>
    <n v="365"/>
    <n v="765"/>
    <n v="400"/>
    <n v="155"/>
    <s v="N/A"/>
    <n v="92"/>
    <n v="1.1036000000000001"/>
    <m/>
    <n v="0.98912786885245907"/>
    <n v="1.0484755409836064"/>
    <n v="869.48471600000005"/>
    <n v="151.47309536050926"/>
    <n v="165.62414518918823"/>
    <n v="329.23690140980557"/>
    <n v="325"/>
    <n v="396.5"/>
    <n v="415.72055199999994"/>
    <n v="1385.7351733333333"/>
    <d v="2024-10-01T00:00:00"/>
    <s v="2024_2761_03819, 2024_2987_04045, 2024_2996_04054"/>
    <m/>
    <m/>
    <m/>
    <m/>
    <m/>
    <m/>
    <n v="0.59836065573770492"/>
    <m/>
    <x v="1"/>
    <m/>
  </r>
  <r>
    <s v="KCC"/>
    <s v="Jeoneui"/>
    <s v="Kia"/>
    <s v="CVa (EV6)"/>
    <s v="OEM"/>
    <x v="1"/>
    <s v="W2233AG"/>
    <s v="K"/>
    <s v="E2"/>
    <s v="Clear"/>
    <x v="0"/>
    <s v="BF012306, BF012511 (CB2P)"/>
    <s v="Y"/>
    <s v="L9"/>
    <x v="27"/>
    <n v="120"/>
    <n v="30"/>
    <s v="N/A"/>
    <s v="N/A"/>
    <n v="0.8"/>
    <n v="410"/>
    <n v="720"/>
    <n v="310"/>
    <n v="180"/>
    <n v="365"/>
    <n v="765"/>
    <n v="400"/>
    <n v="135"/>
    <s v="N/A"/>
    <n v="90"/>
    <n v="1.097"/>
    <m/>
    <n v="0.98562499999999997"/>
    <n v="1.0447625"/>
    <n v="869.48471600000005"/>
    <n v="152.38441936176667"/>
    <n v="166.62060768531282"/>
    <n v="331.2177250645957"/>
    <n v="330"/>
    <n v="396"/>
    <n v="413.72595000000001"/>
    <n v="1379.0865000000001"/>
    <d v="2024-04-01T00:00:00"/>
    <s v="2024_2519_03576, 2024_2741_03799 (CB2P), 2024_2759_03817 (xxS), 2024_2987_04045"/>
    <s v="W2233AG KE2 CLEAR r120x0165 CB1P, W2233AG KE2 CLEAR r120x0330 CB2P"/>
    <m/>
    <m/>
    <m/>
    <m/>
    <m/>
    <n v="0.6"/>
    <m/>
    <x v="1"/>
    <m/>
  </r>
  <r>
    <s v="KCC"/>
    <s v="Jeoneui"/>
    <s v="Kia"/>
    <s v="CVa (EV6)"/>
    <s v="OEM"/>
    <x v="1"/>
    <s v="W2233AE"/>
    <s v="K"/>
    <s v="E2"/>
    <s v="Clear"/>
    <x v="0"/>
    <s v="BF012141"/>
    <s v="Y"/>
    <s v="L9"/>
    <x v="27"/>
    <n v="116"/>
    <n v="30"/>
    <s v="N/A"/>
    <s v="N/A"/>
    <n v="0.8"/>
    <n v="370"/>
    <n v="680"/>
    <n v="310"/>
    <n v="180"/>
    <n v="325"/>
    <n v="725"/>
    <n v="400"/>
    <n v="135"/>
    <s v="N/A"/>
    <n v="86"/>
    <n v="1.0838000000000001"/>
    <m/>
    <n v="0.97859827586206904"/>
    <n v="1.0373141724137933"/>
    <n v="869.48471600000005"/>
    <n v="154.24036541784281"/>
    <n v="168.64994153052976"/>
    <n v="335.25174792015264"/>
    <n v="155"/>
    <n v="179.8"/>
    <n v="186.50908820000004"/>
    <n v="621.69696066666677"/>
    <d v="2023-12-01T00:00:00"/>
    <s v="2023_2338_03395"/>
    <s v="W2233AE KE2 CLEAR r116x0155 CB1P"/>
    <s v="Nearly identical to W2233AF at Guangzhou"/>
    <m/>
    <m/>
    <m/>
    <m/>
    <n v="0.58620689655172409"/>
    <m/>
    <x v="0"/>
    <m/>
  </r>
  <r>
    <s v="KCC"/>
    <s v="Jeoneui"/>
    <s v="Kia"/>
    <s v="CVa (EV6)"/>
    <s v="OEM"/>
    <x v="1"/>
    <s v="W2238AA"/>
    <s v="K"/>
    <s v="E2"/>
    <s v="Clear"/>
    <x v="0"/>
    <s v="BF012142"/>
    <s v="Y"/>
    <s v="L9"/>
    <x v="56"/>
    <n v="116"/>
    <n v="30"/>
    <s v="N/A"/>
    <s v="N/A"/>
    <n v="0.8"/>
    <n v="370"/>
    <n v="680"/>
    <n v="310"/>
    <n v="180"/>
    <n v="325"/>
    <n v="725"/>
    <n v="400"/>
    <n v="135"/>
    <s v="N/A"/>
    <n v="86"/>
    <n v="1.1268"/>
    <m/>
    <n v="1.0056586206896552"/>
    <n v="1.0659981379310346"/>
    <n v="872.73997600000007"/>
    <n v="148.35437348230212"/>
    <n v="162.21406339260577"/>
    <n v="322.45815086604676"/>
    <n v="155"/>
    <n v="179.8"/>
    <n v="191.66646520000003"/>
    <n v="638.8882173333335"/>
    <d v="2023-12-01T00:00:00"/>
    <s v="2023_2338_03395"/>
    <s v="W2238AA KE2 CLEAR r116x0155 CB1P"/>
    <m/>
    <m/>
    <m/>
    <m/>
    <m/>
    <n v="0.58620689655172409"/>
    <m/>
    <x v="0"/>
    <m/>
  </r>
  <r>
    <s v="KCC"/>
    <s v="Jeoneui"/>
    <s v="Kia"/>
    <s v="CVa (EV6)"/>
    <s v="OEM"/>
    <x v="1"/>
    <s v="W2243AB"/>
    <s v="K"/>
    <s v="E2"/>
    <s v="Clear"/>
    <x v="0"/>
    <s v="BF012143"/>
    <s v="Y"/>
    <s v="L9"/>
    <x v="57"/>
    <n v="115"/>
    <n v="30"/>
    <s v="N/A"/>
    <s v="N/A"/>
    <n v="0.8"/>
    <n v="360"/>
    <n v="670"/>
    <n v="310"/>
    <n v="180"/>
    <n v="315"/>
    <n v="715"/>
    <n v="400"/>
    <n v="135"/>
    <s v="N/A"/>
    <n v="85"/>
    <n v="1.1655"/>
    <m/>
    <n v="1.0304239130434782"/>
    <n v="1.0922493478260868"/>
    <n v="875.99523599999998"/>
    <n v="143.42832092651912"/>
    <n v="156.82780491702115"/>
    <n v="311.75104624269539"/>
    <n v="155"/>
    <n v="178.25"/>
    <n v="194.69344624999999"/>
    <n v="648.97815416666663"/>
    <d v="2023-12-01T00:00:00"/>
    <s v="2023_2338_03395"/>
    <s v="W2243AB KE2 CLEAR r115x0155 CB1P"/>
    <m/>
    <m/>
    <m/>
    <m/>
    <m/>
    <n v="0.58260869565217388"/>
    <m/>
    <x v="0"/>
    <m/>
  </r>
  <r>
    <s v="KCC"/>
    <s v="Jeoneui"/>
    <s v="Kia"/>
    <s v="JX1, UM (Sorento III, 2015-2020)"/>
    <s v="OEM"/>
    <x v="1"/>
    <s v="W1338"/>
    <s v="K"/>
    <s v="E2"/>
    <s v="Blue"/>
    <x v="0"/>
    <s v="BF008930"/>
    <s v="Y"/>
    <s v="L8"/>
    <x v="56"/>
    <n v="104"/>
    <n v="30"/>
    <n v="15"/>
    <n v="89"/>
    <n v="0.8"/>
    <n v="325"/>
    <n v="585"/>
    <n v="260"/>
    <n v="155"/>
    <m/>
    <m/>
    <n v="0"/>
    <n v="740"/>
    <n v="150"/>
    <n v="74"/>
    <n v="1.0811999999999999"/>
    <m/>
    <n v="0.98115769230769234"/>
    <e v="#VALUE!"/>
    <e v="#VALUE!"/>
    <n v="154.61127269687205"/>
    <n v="169.05550002847593"/>
    <n v="336.05793969280569"/>
    <n v="165"/>
    <n v="171.6"/>
    <e v="#VALUE!"/>
    <e v="#VALUE!"/>
    <s v="TBD"/>
    <s v="2020_0064_01115"/>
    <s v="W1338 KE2 BLU2 R104/15X0.95X0165 CT4P"/>
    <m/>
    <s v="Never produced"/>
    <m/>
    <s v="N/A"/>
    <m/>
    <n v="0.5625"/>
    <m/>
    <x v="7"/>
    <s v="S/B"/>
  </r>
  <r>
    <s v="KCC"/>
    <s v="Jeoneui"/>
    <s v="Kia"/>
    <s v="JX1, UM (Sorento III, 2015-2020)"/>
    <s v="OEM"/>
    <x v="1"/>
    <s v="W1340AC"/>
    <s v="K"/>
    <s v="E2"/>
    <s v="Blue"/>
    <x v="0"/>
    <s v="BF009294"/>
    <s v="Y"/>
    <s v="L8"/>
    <x v="44"/>
    <n v="104"/>
    <n v="30"/>
    <n v="15"/>
    <n v="89"/>
    <n v="0.8"/>
    <n v="325"/>
    <n v="585"/>
    <n v="260"/>
    <n v="155"/>
    <m/>
    <m/>
    <n v="0"/>
    <n v="740"/>
    <n v="150"/>
    <n v="74"/>
    <n v="1.0960000000000001"/>
    <m/>
    <n v="0.99069230769230776"/>
    <e v="#VALUE!"/>
    <e v="#VALUE!"/>
    <n v="152.52345624074638"/>
    <n v="166.77263378721548"/>
    <n v="331.51993101812178"/>
    <n v="165"/>
    <n v="171.6"/>
    <e v="#VALUE!"/>
    <e v="#VALUE!"/>
    <s v="TBD"/>
    <s v="2020_0244_01296"/>
    <s v="W1340AC KE2 BLU2 r104/15x0165 CT4P"/>
    <s v="New, increased wedge angle"/>
    <s v="Never produced"/>
    <m/>
    <s v="N/A"/>
    <m/>
    <n v="0.5625"/>
    <m/>
    <x v="7"/>
    <s v="S/B"/>
  </r>
  <r>
    <s v="KCC"/>
    <s v="Jeoneui"/>
    <s v="Kia"/>
    <s v="KA4 PE (Grand Carnival)"/>
    <s v="OEM"/>
    <x v="2"/>
    <s v="W2252AL"/>
    <s v="K"/>
    <s v="E2"/>
    <s v="Clear"/>
    <x v="0"/>
    <s v="BF011660 (L9), BF012029 (285m), ___(MB2P)"/>
    <s v="Y"/>
    <s v="L9"/>
    <x v="28"/>
    <n v="119"/>
    <n v="30"/>
    <s v="N/A"/>
    <s v="N/A"/>
    <n v="0.8"/>
    <n v="365"/>
    <n v="765"/>
    <n v="400"/>
    <n v="125"/>
    <n v="365"/>
    <n v="765"/>
    <n v="400"/>
    <n v="125"/>
    <s v="N/A"/>
    <n v="89"/>
    <n v="1.2627999999999999"/>
    <m/>
    <n v="1.0897361344537817"/>
    <n v="1.1551203025210086"/>
    <n v="881.85470400000008"/>
    <n v="132.37702568883279"/>
    <n v="144.74406606809325"/>
    <n v="287.73031706989349"/>
    <n v="285"/>
    <n v="339.15"/>
    <n v="391.75905060000002"/>
    <n v="1305.8635020000002"/>
    <d v="2023-03-01T00:00:00"/>
    <s v="2023_1918_02975 (short), 2023_2194_03251 (long), 2024_2663_03721 (length change), 2024_2759_03817 (add S), 2024_2987_04045 (remove S), 2024_2996_04054"/>
    <s v="W2252AL KE2 CLEAR r119x0134 CB1P, W2252AL KE2 CLEAR r119x0288 CB2P. No L8 set up."/>
    <m/>
    <m/>
    <m/>
    <s v="N/A"/>
    <m/>
    <n v="0.6428571428571429"/>
    <m/>
    <x v="0"/>
    <s v="Clear"/>
  </r>
  <r>
    <s v="KCC"/>
    <s v="Jeoneui"/>
    <s v="Kia"/>
    <s v="KA4 PE (Grand Carnival)"/>
    <s v="OEM"/>
    <x v="1"/>
    <s v="W2254AG"/>
    <s v="K"/>
    <s v="E2"/>
    <s v="Clear"/>
    <x v="0"/>
    <s v="BF011918"/>
    <s v="Y"/>
    <s v="L9"/>
    <x v="38"/>
    <n v="119"/>
    <n v="30"/>
    <s v="N/A"/>
    <s v="N/A"/>
    <n v="0.8"/>
    <n v="365"/>
    <n v="765"/>
    <n v="400"/>
    <n v="125"/>
    <n v="365"/>
    <n v="765"/>
    <n v="400"/>
    <n v="125"/>
    <s v="N/A"/>
    <n v="89"/>
    <n v="1.2806000000000002"/>
    <m/>
    <n v="1.1008798319327733"/>
    <n v="1.1669326218487397"/>
    <n v="883.15680800000007"/>
    <n v="130.53702017793069"/>
    <n v="142.73216197937541"/>
    <n v="283.73094205517839"/>
    <n v="134"/>
    <n v="159.46"/>
    <n v="186.07907588000003"/>
    <n v="620.26358626666683"/>
    <s v="Never"/>
    <s v="2023_2091_03148"/>
    <s v="W2254AG KE2 CLEAR r119x0134 CB1P"/>
    <s v="Decided to stay with W2252AL"/>
    <m/>
    <m/>
    <m/>
    <m/>
    <n v="0.6428571428571429"/>
    <m/>
    <x v="0"/>
    <m/>
  </r>
  <r>
    <s v="KCC"/>
    <s v="Jeoneui"/>
    <s v="Kia"/>
    <s v="KA4 PE (Grand Carnival)"/>
    <s v="OEM"/>
    <x v="1"/>
    <s v="W2263AA"/>
    <s v="K"/>
    <s v="E2"/>
    <s v="Clear"/>
    <x v="0"/>
    <s v="BF011661 (L9)"/>
    <s v="Y"/>
    <s v="L9"/>
    <x v="22"/>
    <n v="119"/>
    <n v="30"/>
    <s v="N/A"/>
    <s v="N/A"/>
    <n v="0.8"/>
    <n v="365"/>
    <n v="765"/>
    <n v="400"/>
    <n v="125"/>
    <n v="365"/>
    <n v="765"/>
    <n v="400"/>
    <n v="125"/>
    <s v="N/A"/>
    <n v="89"/>
    <n v="1.3607"/>
    <m/>
    <n v="1.1510264705882354"/>
    <n v="1.2200880588235294"/>
    <n v="889.01627600000006"/>
    <n v="122.85272877185128"/>
    <n v="134.32998209067992"/>
    <n v="267.02862085387039"/>
    <n v="134"/>
    <n v="159.46"/>
    <n v="194.55524186000002"/>
    <n v="648.51747286666682"/>
    <d v="2023-03-01T00:00:00"/>
    <s v="2023_1918_02975"/>
    <s v="W2263AA KE2 CLEAR r119x0134 CB1P. No L8 set up?"/>
    <s v="Will shape"/>
    <m/>
    <m/>
    <s v="N/A"/>
    <m/>
    <n v="0.6428571428571429"/>
    <m/>
    <x v="0"/>
    <s v="Clear"/>
  </r>
  <r>
    <s v="KCC"/>
    <s v="Jeoneui"/>
    <s v="Kia"/>
    <s v="LQ2 (Telluride)"/>
    <s v="OEM"/>
    <x v="0"/>
    <s v="W2257AF"/>
    <s v="K"/>
    <s v="E2"/>
    <s v="Clear"/>
    <x v="0"/>
    <s v="BF012199"/>
    <s v="Y"/>
    <s v="L9"/>
    <x v="52"/>
    <n v="107"/>
    <n v="30"/>
    <s v="N/A"/>
    <s v="N/A"/>
    <n v="0.8"/>
    <n v="360"/>
    <n v="560"/>
    <n v="200"/>
    <n v="210"/>
    <n v="260"/>
    <n v="660"/>
    <n v="400"/>
    <n v="110"/>
    <s v="N/A"/>
    <n v="77"/>
    <n v="1.2389000000000001"/>
    <m/>
    <n v="1.0809780373831774"/>
    <n v="1.1458367196261681"/>
    <n v="885.10996399999999"/>
    <n v="134.93075150525306"/>
    <n v="147.53636825473257"/>
    <n v="293.28101089342272"/>
    <n v="140"/>
    <n v="149.80000000000001"/>
    <n v="171.6463406"/>
    <n v="572.15446866666673"/>
    <d v="2023-03-01T00:00:00"/>
    <s v="2024_2424_03481"/>
    <s v="W2257AF KE2 CLEAR r107x0140 CB1P"/>
    <m/>
    <m/>
    <m/>
    <m/>
    <m/>
    <n v="0.52336448598130836"/>
    <m/>
    <x v="0"/>
    <m/>
  </r>
  <r>
    <s v="KCC"/>
    <s v="Jeoneui"/>
    <s v="Kia"/>
    <s v="LQ2 (Telluride)"/>
    <s v="OEM"/>
    <x v="0"/>
    <s v="W2260AL"/>
    <s v="K"/>
    <s v="R &amp; E2"/>
    <s v="Clear"/>
    <x v="0"/>
    <s v="BF012719 (LR), BF012816 (KE2 140m), _______ (KE2 285m)"/>
    <s v="Y"/>
    <s v="L9"/>
    <x v="21"/>
    <n v="107"/>
    <n v="28"/>
    <s v="N/A"/>
    <s v="N/A"/>
    <n v="0.8"/>
    <n v="260"/>
    <n v="660"/>
    <n v="400"/>
    <n v="130"/>
    <n v="260"/>
    <n v="660"/>
    <n v="400"/>
    <n v="130"/>
    <s v="N/A"/>
    <n v="79"/>
    <n v="1.274"/>
    <m/>
    <n v="1.099018691588785"/>
    <n v="1.1649598130841121"/>
    <n v="887.06312000000003"/>
    <n v="131.21327161684303"/>
    <n v="143.47159076200012"/>
    <n v="285.20081977697129"/>
    <n v="140"/>
    <n v="149.80000000000001"/>
    <n v="174.51098000000002"/>
    <n v="623.25350000000003"/>
    <d v="2023-02-01T00:00:00"/>
    <s v="2024_2916_03974 (KR), 2024_2916_03975 (KE2), 2025-0255-0400 (285 m). 2025-0284-0430 (285 m KR)"/>
    <s v="W2260AL KR CLEAR r107x0140 CB1P, W2260AL KE2 CLEAR r107x0140 CB1P"/>
    <m/>
    <m/>
    <m/>
    <m/>
    <m/>
    <n v="0.61682242990654201"/>
    <m/>
    <x v="1"/>
    <m/>
  </r>
  <r>
    <s v="KCC"/>
    <s v="Jeoneui"/>
    <s v="Kia"/>
    <s v="LQ2 (Telluride)"/>
    <s v="OEM"/>
    <x v="0"/>
    <s v="W2263AB"/>
    <s v="K"/>
    <s v="E2"/>
    <s v="Clear"/>
    <x v="0"/>
    <s v="BF012200"/>
    <s v="Y"/>
    <s v="L9"/>
    <x v="22"/>
    <n v="107"/>
    <n v="30"/>
    <s v="N/A"/>
    <s v="N/A"/>
    <n v="0.8"/>
    <n v="360"/>
    <n v="560"/>
    <n v="200"/>
    <n v="210"/>
    <n v="260"/>
    <n v="660"/>
    <n v="400"/>
    <n v="110"/>
    <s v="N/A"/>
    <n v="77"/>
    <n v="1.2850999999999999"/>
    <m/>
    <n v="1.1105546728971962"/>
    <n v="1.1771879532710281"/>
    <n v="889.01627600000006"/>
    <n v="130.07992221605949"/>
    <n v="142.23236061846407"/>
    <n v="282.73740907000354"/>
    <n v="140"/>
    <n v="149.80000000000001"/>
    <n v="176.34275540000002"/>
    <n v="587.80918466666674"/>
    <d v="2023-03-01T00:00:00"/>
    <s v="2024_2424_03481"/>
    <s v="W2263AB KE2 CLEAR r107x0140 CB1P"/>
    <m/>
    <m/>
    <m/>
    <m/>
    <m/>
    <n v="0.52336448598130836"/>
    <m/>
    <x v="0"/>
    <m/>
  </r>
  <r>
    <s v="KCC"/>
    <s v="Jeoneui"/>
    <s v="Kia"/>
    <s v="MQ4 (Sorento)"/>
    <s v="OEM"/>
    <x v="1"/>
    <s v="W2249AA"/>
    <s v="K"/>
    <s v="E2"/>
    <s v="Clear"/>
    <x v="0"/>
    <s v="BF010192 (CT4P), BF010439"/>
    <s v="Y"/>
    <s v="L8"/>
    <x v="17"/>
    <n v="109"/>
    <n v="30"/>
    <s v="N/A"/>
    <s v="N/A"/>
    <n v="0.8"/>
    <n v="315"/>
    <n v="605"/>
    <n v="290"/>
    <n v="185"/>
    <n v="205"/>
    <n v="605"/>
    <n v="400"/>
    <n v="185"/>
    <s v="N/A"/>
    <n v="79"/>
    <n v="1.1871"/>
    <m/>
    <n v="1.0468206422018349"/>
    <n v="1.1096298807339449"/>
    <n v="879.90154800000005"/>
    <n v="140.81855617880382"/>
    <n v="153.97422848183655"/>
    <n v="306.07854805480702"/>
    <n v="154"/>
    <n v="167.86"/>
    <n v="186.26247178"/>
    <n v="620.87490593333337"/>
    <s v="TBD"/>
    <s v="2021_1050_02105"/>
    <s v="W2249AA KE2 CLEAR r109x0154 CT4P, W2249AA KE2 CLEAR r109x0154 CB4P"/>
    <m/>
    <m/>
    <m/>
    <s v="N/A"/>
    <m/>
    <n v="0.55504587155963303"/>
    <m/>
    <x v="0"/>
    <s v="Clear"/>
  </r>
  <r>
    <s v="KCC"/>
    <s v="Jeoneui"/>
    <s v="Kia"/>
    <s v="MVa (EV7)"/>
    <s v="OEM"/>
    <x v="2"/>
    <s v="W2255AB"/>
    <s v="K"/>
    <s v="E2"/>
    <s v="Clear"/>
    <x v="0"/>
    <s v="BF012072, ____"/>
    <s v="Y"/>
    <s v="L9"/>
    <x v="23"/>
    <n v="104"/>
    <n v="30"/>
    <s v="N/A"/>
    <s v="N/A"/>
    <n v="0.8"/>
    <n v="280"/>
    <n v="620"/>
    <n v="340"/>
    <n v="120"/>
    <n v="250"/>
    <n v="650"/>
    <n v="400"/>
    <n v="90"/>
    <s v="N/A"/>
    <n v="74"/>
    <n v="1.2070000000000001"/>
    <m/>
    <n v="1.0622019230769231"/>
    <n v="1.1259340384615384"/>
    <n v="883.80786000000012"/>
    <n v="138.49685835945155"/>
    <n v="151.43563101142351"/>
    <n v="301.03218259806255"/>
    <n v="300"/>
    <n v="312"/>
    <n v="351.29141999999996"/>
    <n v="1170.9713999999999"/>
    <d v="2023-10-23T00:00:00"/>
    <s v="2023_2248_03305, 2024_2759_03817, 2024_2987_04045, 2024_2996_04054"/>
    <s v="W2255AB KE2 CLEAR r104x0300 CB2P"/>
    <m/>
    <m/>
    <m/>
    <s v="N/A"/>
    <m/>
    <n v="0.59615384615384615"/>
    <m/>
    <x v="0"/>
    <m/>
  </r>
  <r>
    <s v="KCC"/>
    <s v="Jeoneui"/>
    <s v="Kia"/>
    <s v="MVa (EV7)"/>
    <s v="OEM"/>
    <x v="1"/>
    <s v="W2257AE"/>
    <s v="K"/>
    <s v="E2"/>
    <s v="Clear"/>
    <x v="0"/>
    <s v="BF011780"/>
    <s v="Y"/>
    <s v="L9"/>
    <x v="52"/>
    <n v="104"/>
    <n v="30"/>
    <s v="N/A"/>
    <s v="N/A"/>
    <n v="0.8"/>
    <n v="280"/>
    <n v="620"/>
    <n v="340"/>
    <n v="120"/>
    <n v="250"/>
    <n v="650"/>
    <n v="400"/>
    <n v="90"/>
    <s v="N/A"/>
    <n v="74"/>
    <n v="1.2218"/>
    <m/>
    <n v="1.0717365384615383"/>
    <n v="1.1360407307692304"/>
    <n v="885.10996399999999"/>
    <n v="136.81920775892783"/>
    <n v="149.60124949319706"/>
    <n v="297.38569683733954"/>
    <n v="140"/>
    <n v="145.6"/>
    <n v="165.40753039999993"/>
    <n v="551.35843466666643"/>
    <d v="2023-05-01T00:00:00"/>
    <s v="2023_1983_03040"/>
    <s v="W2257AE KE2 CLEAR r104x0140 CB1P"/>
    <m/>
    <m/>
    <m/>
    <s v="N/A"/>
    <m/>
    <n v="0.59615384615384615"/>
    <m/>
    <x v="0"/>
    <s v="Clear"/>
  </r>
  <r>
    <s v="KCC"/>
    <s v="Jeoneui"/>
    <s v="Kia"/>
    <s v="MVa (EV7)"/>
    <s v="OEM"/>
    <x v="1"/>
    <s v="W2262AG"/>
    <s v="K"/>
    <s v="E2"/>
    <s v="Clear"/>
    <x v="0"/>
    <s v="BF011781"/>
    <s v="Y"/>
    <s v="L9"/>
    <x v="2"/>
    <n v="104"/>
    <n v="30"/>
    <s v="N/A"/>
    <s v="N/A"/>
    <n v="0.8"/>
    <n v="280"/>
    <n v="620"/>
    <n v="340"/>
    <n v="120"/>
    <n v="250"/>
    <n v="650"/>
    <n v="400"/>
    <n v="90"/>
    <s v="N/A"/>
    <n v="74"/>
    <n v="1.2587999999999999"/>
    <m/>
    <n v="1.0955730769230767"/>
    <n v="1.1613074615384613"/>
    <n v="888.36522400000001"/>
    <n v="132.79767082924852"/>
    <n v="145.20400908070241"/>
    <n v="288.64461741012195"/>
    <n v="140"/>
    <n v="145.6"/>
    <n v="169.08636639999997"/>
    <n v="563.62122133333332"/>
    <d v="2023-05-01T00:00:00"/>
    <s v="2023_1983_03040"/>
    <s v="W2262AG KE2 CLEAR r104x0140 CB1P"/>
    <m/>
    <m/>
    <m/>
    <s v="N/A"/>
    <m/>
    <n v="0.59615384615384615"/>
    <m/>
    <x v="0"/>
    <s v="Clear"/>
  </r>
  <r>
    <s v="KCC"/>
    <s v="Jeoneui"/>
    <s v="Kia"/>
    <s v="MVa (EV7)"/>
    <s v="OEM"/>
    <x v="1"/>
    <s v="W2267AB"/>
    <s v="K"/>
    <s v="E2"/>
    <s v="Clear"/>
    <x v="0"/>
    <s v="BF011782"/>
    <s v="Y"/>
    <s v="L9"/>
    <x v="59"/>
    <n v="104"/>
    <n v="30"/>
    <s v="N/A"/>
    <s v="N/A"/>
    <n v="0.8"/>
    <n v="280"/>
    <n v="620"/>
    <n v="340"/>
    <n v="120"/>
    <n v="250"/>
    <n v="650"/>
    <n v="400"/>
    <n v="90"/>
    <s v="N/A"/>
    <n v="74"/>
    <n v="1.2958000000000001"/>
    <m/>
    <n v="1.1194096153846154"/>
    <n v="1.1865741923076922"/>
    <n v="891.62048400000003"/>
    <n v="129.00579413478781"/>
    <n v="141.05788441950006"/>
    <n v="280.40271986098276"/>
    <n v="140"/>
    <n v="145.6"/>
    <n v="172.76520239999999"/>
    <n v="575.88400799999999"/>
    <d v="2023-05-01T00:00:00"/>
    <s v="2023_1983_03040"/>
    <s v="W2267AB KE2 CLEAR r104x0140 CB1P"/>
    <m/>
    <m/>
    <m/>
    <s v="N/A"/>
    <m/>
    <n v="0.59615384615384615"/>
    <m/>
    <x v="0"/>
    <s v="Clear"/>
  </r>
  <r>
    <s v="KCC"/>
    <s v="Jeoneui"/>
    <s v="Kia"/>
    <s v="NQ5 (Sportage)"/>
    <s v="OEM"/>
    <x v="0"/>
    <s v="W2255AG"/>
    <s v="K"/>
    <s v="E2"/>
    <s v="Clear"/>
    <x v="0"/>
    <s v="tbd"/>
    <s v="Y"/>
    <s v="L9"/>
    <x v="23"/>
    <n v="115"/>
    <n v="30"/>
    <s v="N/A"/>
    <s v="N/A"/>
    <n v="0.8"/>
    <n v="440"/>
    <n v="680"/>
    <n v="240"/>
    <n v="170"/>
    <n v="360"/>
    <n v="760"/>
    <n v="400"/>
    <n v="90"/>
    <s v="N/A"/>
    <n v="85"/>
    <n v="1.2675000000000001"/>
    <m/>
    <n v="1.0947282608695652"/>
    <n v="1.160411956521739"/>
    <n v="883.80786000000012"/>
    <n v="131.8861601892371"/>
    <n v="144.20734250949758"/>
    <n v="286.66338808351992"/>
    <n v="285"/>
    <n v="327.75"/>
    <n v="380.32501874999997"/>
    <n v="1267.7500625"/>
    <d v="2025-07-01T00:00:00"/>
    <s v="2025-0213-0358"/>
    <s v="W2255 KE2 CLEAR r115x0285 MB2P"/>
    <m/>
    <m/>
    <m/>
    <m/>
    <m/>
    <m/>
    <m/>
    <x v="1"/>
    <m/>
  </r>
  <r>
    <s v="KCC"/>
    <s v="Jeoneui"/>
    <s v="Kia"/>
    <s v="ON (Telluride)"/>
    <s v="OEM"/>
    <x v="1"/>
    <s v="W2243AA"/>
    <s v="K"/>
    <s v="E2"/>
    <s v="Clear"/>
    <x v="0"/>
    <s v="BF010193 (CT4P), BF010440"/>
    <s v="Y"/>
    <s v="L8"/>
    <x v="57"/>
    <n v="109"/>
    <n v="30"/>
    <s v="N/A"/>
    <s v="N/A"/>
    <n v="0.8"/>
    <n v="400"/>
    <n v="630"/>
    <n v="230"/>
    <n v="160"/>
    <n v="230"/>
    <n v="630"/>
    <n v="400"/>
    <n v="160"/>
    <s v="N/A"/>
    <n v="79"/>
    <n v="1.1396999999999999"/>
    <m/>
    <n v="1.0165977064220182"/>
    <n v="1.0775935688073393"/>
    <n v="875.99523599999998"/>
    <n v="146.67518473269988"/>
    <n v="160.37800002701431"/>
    <n v="318.80832183544925"/>
    <n v="160"/>
    <n v="174.4"/>
    <n v="187.93231839999999"/>
    <n v="626.44106133333332"/>
    <s v="Never"/>
    <s v="2021_1050_02105"/>
    <s v="W2243AA KE2 CLEAR r109x0160 CT4P, W2243AA KE2 CLEAR r109x0160 CB4P"/>
    <s v="F5 version of W1243AB. Never produced on L8. Stopped usage after W1243AB."/>
    <m/>
    <m/>
    <s v="N/A"/>
    <m/>
    <n v="0.57798165137614677"/>
    <m/>
    <x v="0"/>
    <s v="Clear"/>
  </r>
  <r>
    <s v="KCC"/>
    <s v="Jeoneui"/>
    <s v="Kia"/>
    <s v="ON (Telluride)"/>
    <s v="OEM"/>
    <x v="1"/>
    <s v="W1243AB"/>
    <s v="K"/>
    <s v="E2"/>
    <s v="Clear"/>
    <x v="0"/>
    <s v="BF009986"/>
    <s v="Y"/>
    <s v="L8"/>
    <x v="57"/>
    <n v="109"/>
    <n v="30"/>
    <s v="N/A"/>
    <s v="N/A"/>
    <n v="0.8"/>
    <n v="400"/>
    <n v="630"/>
    <n v="230"/>
    <n v="160"/>
    <n v="230"/>
    <n v="630"/>
    <n v="400"/>
    <n v="160"/>
    <s v="N/A"/>
    <n v="79"/>
    <n v="1.1396999999999999"/>
    <m/>
    <n v="1.0165977064220182"/>
    <n v="0"/>
    <n v="0"/>
    <n v="146.67518473269988"/>
    <n v="160.37800002701431"/>
    <n v="318.80832183544925"/>
    <n v="160"/>
    <n v="174.4"/>
    <n v="0"/>
    <n v="0"/>
    <d v="2021-08-01T00:00:00"/>
    <s v="2021_0929_01984"/>
    <m/>
    <s v="Wider HUD area, wider roll for Klopper shaper"/>
    <m/>
    <m/>
    <s v="N/A"/>
    <m/>
    <n v="0.57798165137614677"/>
    <m/>
    <x v="6"/>
    <s v="Clear"/>
  </r>
  <r>
    <s v="KCC"/>
    <s v="Jeoneui"/>
    <s v="Kia"/>
    <s v="ON (Telluride)"/>
    <s v="OEM"/>
    <x v="1"/>
    <s v="W1243"/>
    <s v="K"/>
    <s v="E2"/>
    <s v="Clear"/>
    <x v="0"/>
    <s v="BF008931"/>
    <s v="Y"/>
    <s v="L8"/>
    <x v="57"/>
    <n v="105"/>
    <n v="30"/>
    <s v="N/A"/>
    <s v="N/A"/>
    <n v="0.8"/>
    <n v="375"/>
    <n v="575"/>
    <n v="200"/>
    <n v="175"/>
    <m/>
    <m/>
    <n v="0"/>
    <n v="750"/>
    <s v="N/A"/>
    <n v="75"/>
    <n v="1.1225000000000001"/>
    <m/>
    <n v="1.0073214285714287"/>
    <n v="0"/>
    <n v="0"/>
    <n v="148.92267976824769"/>
    <n v="162.83546247731684"/>
    <n v="323.69340257983202"/>
    <n v="160"/>
    <n v="168"/>
    <n v="0"/>
    <n v="0"/>
    <s v="TBD"/>
    <s v="2020_0064_01115"/>
    <s v="W1243 KE2 CLEAR R105X0.95X0160 CT4P"/>
    <m/>
    <s v="Never produced"/>
    <m/>
    <s v="N/A"/>
    <m/>
    <n v="0.54761904761904767"/>
    <m/>
    <x v="6"/>
    <s v="Clear"/>
  </r>
  <r>
    <s v="KCC"/>
    <s v="Jeoneui"/>
    <s v="Kia"/>
    <s v="ON (Telluride)"/>
    <s v="OEM"/>
    <x v="1"/>
    <s v="W1243AA"/>
    <s v="K"/>
    <s v="E2"/>
    <s v="Clear"/>
    <x v="0"/>
    <s v="BF009673"/>
    <s v="Y"/>
    <s v="L8"/>
    <x v="57"/>
    <n v="107"/>
    <n v="30"/>
    <s v="N/A"/>
    <s v="N/A"/>
    <n v="0.8"/>
    <n v="395"/>
    <n v="595"/>
    <n v="200"/>
    <n v="175"/>
    <m/>
    <m/>
    <n v="0"/>
    <n v="770"/>
    <s v="N/A"/>
    <n v="77"/>
    <n v="1.1311"/>
    <m/>
    <n v="1.0119658878504674"/>
    <n v="0"/>
    <n v="0"/>
    <n v="147.79038815299975"/>
    <n v="161.59738894066675"/>
    <n v="321.23229104045748"/>
    <n v="160"/>
    <n v="171.2"/>
    <n v="0"/>
    <n v="0"/>
    <d v="2021-02-01T00:00:00"/>
    <s v="2021_0613_01665"/>
    <m/>
    <s v="Wider width. Back to original angle."/>
    <n v="4"/>
    <m/>
    <s v="N/A"/>
    <m/>
    <n v="0.55607476635514019"/>
    <m/>
    <x v="6"/>
    <s v="Clear"/>
  </r>
  <r>
    <s v="KCC"/>
    <s v="Jeoneui"/>
    <s v="Kia"/>
    <s v="ON (Telluride)"/>
    <s v="OEM"/>
    <x v="1"/>
    <s v="W1245AA"/>
    <s v="K"/>
    <s v="E2"/>
    <s v="Clear"/>
    <x v="0"/>
    <s v="BF009296"/>
    <s v="Y"/>
    <s v="L8"/>
    <x v="3"/>
    <n v="105"/>
    <n v="30"/>
    <s v="N/A"/>
    <s v="N/A"/>
    <n v="0.8"/>
    <n v="375"/>
    <n v="575"/>
    <n v="200"/>
    <n v="175"/>
    <m/>
    <m/>
    <n v="0"/>
    <n v="750"/>
    <s v="N/A"/>
    <n v="75"/>
    <n v="1.1375000000000002"/>
    <m/>
    <n v="1.016964285714286"/>
    <n v="0"/>
    <n v="0"/>
    <n v="146.95886421086416"/>
    <n v="160.68818165344013"/>
    <n v="319.42491815020787"/>
    <n v="160"/>
    <n v="168"/>
    <n v="0"/>
    <n v="0"/>
    <s v="Never"/>
    <s v="2020_0244_01296"/>
    <s v="W1245AA KE2 CLEAR r105x0160 CT4P"/>
    <s v="New, increased wedge angle"/>
    <s v="Never produced?"/>
    <m/>
    <s v="N/A"/>
    <m/>
    <n v="0.54761904761904767"/>
    <m/>
    <x v="6"/>
    <s v="Clear"/>
  </r>
  <r>
    <s v="KCC"/>
    <s v="Jeoneui"/>
    <s v="Kia"/>
    <s v="SV1 (EV3)"/>
    <s v="OEM"/>
    <x v="0"/>
    <s v="W2249AI"/>
    <s v="K"/>
    <s v="E2"/>
    <s v="Clear"/>
    <x v="0"/>
    <s v="BF012302"/>
    <s v="Y"/>
    <s v="L9"/>
    <x v="17"/>
    <n v="106"/>
    <n v="29"/>
    <s v="N/A"/>
    <s v="N/A"/>
    <n v="0.8"/>
    <n v="350"/>
    <n v="620"/>
    <n v="270"/>
    <n v="150"/>
    <n v="285"/>
    <n v="685"/>
    <n v="400"/>
    <n v="85"/>
    <s v="N/A"/>
    <n v="77"/>
    <n v="1.1773"/>
    <m/>
    <n v="1.0402617924528303"/>
    <n v="1.1026775000000002"/>
    <n v="879.90154800000005"/>
    <n v="141.99074835628815"/>
    <n v="155.25593020537517"/>
    <n v="308.62638613425759"/>
    <n v="150"/>
    <n v="159"/>
    <n v="175.32572250000004"/>
    <n v="604.57145689655192"/>
    <d v="2024-03-01T00:00:00"/>
    <s v="2024_2510_03567"/>
    <s v="W2249AI KE2 CLEAR r106x0150 CB1P"/>
    <m/>
    <m/>
    <m/>
    <m/>
    <m/>
    <n v="0.58490566037735847"/>
    <m/>
    <x v="0"/>
    <m/>
  </r>
  <r>
    <s v="NSG"/>
    <s v="Chmielow"/>
    <s v="Audi"/>
    <s v="Q3"/>
    <s v="OEM"/>
    <x v="1"/>
    <s v="W2248AC"/>
    <s v="K"/>
    <s v="E2"/>
    <s v="Clear"/>
    <x v="0"/>
    <s v="BF011557"/>
    <s v="Y"/>
    <s v="L8"/>
    <x v="47"/>
    <n v="106"/>
    <n v="25"/>
    <s v="N/A"/>
    <s v="N/A"/>
    <n v="0.8"/>
    <n v="200"/>
    <n v="600"/>
    <n v="400"/>
    <n v="210"/>
    <n v="200"/>
    <n v="600"/>
    <n v="400"/>
    <n v="210"/>
    <s v="N/A"/>
    <n v="81"/>
    <n v="1.1888000000000001"/>
    <m/>
    <n v="1.0402490566037736"/>
    <n v="1.1026640000000001"/>
    <n v="879.250496"/>
    <n v="140.61718374819819"/>
    <n v="153.75404326277604"/>
    <n v="305.64085161159272"/>
    <n v="154"/>
    <n v="163.24"/>
    <n v="179.99887136000004"/>
    <n v="719.99548544000015"/>
    <d v="2023-01-23T00:00:00"/>
    <s v="2022_1819_02875"/>
    <s v="W2248AC KE2 CLEAR r106x0154 CT1P"/>
    <m/>
    <m/>
    <m/>
    <s v="N/A"/>
    <m/>
    <n v="0.56603773584905659"/>
    <m/>
    <x v="0"/>
    <s v="Clear"/>
  </r>
  <r>
    <s v="NSG"/>
    <s v="Chmielow"/>
    <s v="Audi"/>
    <s v="Q3 (or A3?)"/>
    <s v="OEM"/>
    <x v="2"/>
    <s v="W2248AI"/>
    <s v="K"/>
    <s v="E2"/>
    <s v="Clear"/>
    <x v="0"/>
    <s v="BF012076"/>
    <s v="Y"/>
    <s v="L8 &amp; L9"/>
    <x v="47"/>
    <n v="108"/>
    <n v="25"/>
    <s v="N/A"/>
    <s v="N/A"/>
    <n v="0.8"/>
    <n v="200"/>
    <n v="600"/>
    <n v="400"/>
    <n v="230"/>
    <n v="200"/>
    <n v="600"/>
    <n v="400"/>
    <n v="230"/>
    <s v="N/A"/>
    <n v="83"/>
    <n v="1.1983999999999999"/>
    <m/>
    <n v="1.0453111111111111"/>
    <n v="1.1080297777777779"/>
    <n v="879.250496"/>
    <n v="139.49074435902708"/>
    <n v="152.52236868390202"/>
    <n v="303.19246027692049"/>
    <n v="303"/>
    <n v="327.24"/>
    <n v="362.59166448000002"/>
    <n v="1450.3666579200001"/>
    <d v="2023-12-01T00:00:00"/>
    <s v="2023_2249_03306"/>
    <s v="W2248AI KE2 CLEAR r108x0303 MT2P"/>
    <m/>
    <m/>
    <m/>
    <m/>
    <m/>
    <n v="0.55555555555555558"/>
    <m/>
    <x v="0"/>
    <m/>
  </r>
  <r>
    <s v="NSG"/>
    <s v="Collingwood"/>
    <s v="Toyota"/>
    <s v="Highlander (220D)"/>
    <s v="OEM"/>
    <x v="1"/>
    <s v="W2257AB"/>
    <s v="L"/>
    <s v="E2"/>
    <s v="Clear"/>
    <x v="0"/>
    <s v="BF011512"/>
    <s v="Y"/>
    <s v="L9"/>
    <x v="52"/>
    <n v="111"/>
    <n v="30"/>
    <s v="N/A"/>
    <s v="N/A"/>
    <n v="0.8"/>
    <n v="273"/>
    <n v="491"/>
    <n v="218"/>
    <n v="319"/>
    <n v="273"/>
    <n v="673"/>
    <n v="400"/>
    <n v="137"/>
    <s v="N/A"/>
    <n v="81"/>
    <n v="1.2617"/>
    <m/>
    <n v="1.093241891891892"/>
    <n v="1.1588364054054054"/>
    <n v="885.10996399999999"/>
    <n v="132.4924372195118"/>
    <n v="144.87025967408113"/>
    <n v="287.98117174911744"/>
    <n v="145"/>
    <n v="160.94999999999999"/>
    <n v="186.51471945"/>
    <n v="621.71573150000006"/>
    <d v="2023-01-01T00:00:00"/>
    <s v="2022_1793_02849"/>
    <s v="W2257AB LE2 CLEAR r111x0145 CB1P"/>
    <m/>
    <m/>
    <m/>
    <s v="N/A"/>
    <m/>
    <n v="0.44234234234234238"/>
    <m/>
    <x v="0"/>
    <s v="Clear"/>
  </r>
  <r>
    <s v="NSG"/>
    <s v="Collingwood"/>
    <s v="Toyota"/>
    <s v="Highlander (ZZ03-200D)"/>
    <s v="OEM"/>
    <x v="1"/>
    <s v="W2254AC"/>
    <s v="L"/>
    <s v="E2"/>
    <s v="Clear"/>
    <x v="0"/>
    <s v="BF011507"/>
    <s v="Y"/>
    <s v="L9"/>
    <x v="38"/>
    <n v="111"/>
    <n v="30"/>
    <s v="N/A"/>
    <s v="N/A"/>
    <n v="0.8"/>
    <n v="273"/>
    <n v="491"/>
    <n v="218"/>
    <n v="319"/>
    <n v="273"/>
    <n v="673"/>
    <n v="400"/>
    <n v="137"/>
    <s v="N/A"/>
    <n v="81"/>
    <n v="1.2374000000000001"/>
    <m/>
    <n v="1.0778081081081081"/>
    <n v="1.1424765945945947"/>
    <n v="883.15680800000007"/>
    <n v="135.09431714874577"/>
    <n v="147.7152146684889"/>
    <n v="293.63653175679769"/>
    <n v="148"/>
    <n v="164.28"/>
    <n v="187.68605496000004"/>
    <n v="625.62018320000016"/>
    <d v="2023-01-01T00:00:00"/>
    <s v="2022_1790_02846"/>
    <s v="W2254AC LE2 CLEAR r111x0148 CB1P"/>
    <m/>
    <m/>
    <m/>
    <s v="N/A"/>
    <m/>
    <n v="0.44234234234234238"/>
    <m/>
    <x v="0"/>
    <s v="Clear"/>
  </r>
  <r>
    <s v="NSG"/>
    <s v="Collingwood"/>
    <s v="Honda"/>
    <s v="CRV 34A"/>
    <s v="OEM"/>
    <x v="0"/>
    <s v="W2220AF"/>
    <s v="L"/>
    <s v="E2"/>
    <s v="Clear"/>
    <x v="0"/>
    <m/>
    <m/>
    <s v="L9"/>
    <x v="13"/>
    <n v="110"/>
    <n v="30"/>
    <s v="N/A"/>
    <s v="N/A"/>
    <n v="0.8"/>
    <n v="100"/>
    <n v="600"/>
    <n v="500"/>
    <n v="200"/>
    <n v="100"/>
    <n v="600"/>
    <n v="500"/>
    <n v="200"/>
    <s v="N/A"/>
    <n v="80"/>
    <n v="0.96000000000000008"/>
    <m/>
    <n v="0.90181818181818185"/>
    <n v="0.95592727272727274"/>
    <n v="861.02103999999997"/>
    <n v="174.1309458748521"/>
    <n v="190.398756907071"/>
    <n v="378.48525457902235"/>
    <n v="190"/>
    <n v="209"/>
    <n v="199.78880000000001"/>
    <n v="665.96266666666668"/>
    <m/>
    <m/>
    <s v="W2220AF LE2 CLEAR r110x0190 CB1P"/>
    <m/>
    <m/>
    <m/>
    <m/>
    <m/>
    <m/>
    <m/>
    <x v="1"/>
    <m/>
  </r>
  <r>
    <s v="NSG"/>
    <s v="Collingwood"/>
    <s v="Toyota/Lexus"/>
    <s v="Grand Highlander/TX (220/220D)"/>
    <s v="OEM"/>
    <x v="0"/>
    <s v="W2248AF"/>
    <s v="L"/>
    <s v="E2"/>
    <s v="Clear"/>
    <x v="0"/>
    <s v="BF011812"/>
    <s v="Y"/>
    <s v="L9"/>
    <x v="47"/>
    <n v="111"/>
    <n v="30"/>
    <s v="N/A"/>
    <s v="N/A"/>
    <n v="0.8"/>
    <n v="273"/>
    <n v="491"/>
    <n v="218"/>
    <n v="319"/>
    <n v="273"/>
    <n v="673"/>
    <n v="400"/>
    <n v="137"/>
    <s v="N/A"/>
    <n v="81"/>
    <n v="1.1888000000000001"/>
    <m/>
    <n v="1.0469405405405405"/>
    <n v="1.109756972972973"/>
    <n v="879.250496"/>
    <n v="140.61718374819819"/>
    <n v="153.75404326277604"/>
    <n v="305.64085161159272"/>
    <n v="120"/>
    <n v="133.19999999999999"/>
    <n v="147.8196288"/>
    <n v="492.73209600000001"/>
    <d v="2023-06-23T00:00:00"/>
    <s v="2023_2028_03085"/>
    <s v="W2248AF LE2 CLEAR r111x0120 C01P"/>
    <m/>
    <m/>
    <m/>
    <m/>
    <m/>
    <n v="0.44234234234234238"/>
    <m/>
    <x v="0"/>
    <s v="Clear"/>
  </r>
  <r>
    <s v="NSG"/>
    <s v="Maizuru"/>
    <s v="Mazda"/>
    <s v="6 (J69)"/>
    <s v="OEM"/>
    <x v="0"/>
    <s v="W2239AF"/>
    <s v="L"/>
    <s v="E2"/>
    <s v="Clear"/>
    <x v="0"/>
    <s v="BF012392 (50m), BF012393 (163m)"/>
    <s v="Y"/>
    <s v="L9"/>
    <x v="10"/>
    <n v="112"/>
    <n v="30"/>
    <s v="N/A"/>
    <s v="N/A"/>
    <n v="0.8"/>
    <n v="200"/>
    <n v="600"/>
    <n v="400"/>
    <n v="220"/>
    <n v="200"/>
    <n v="600"/>
    <n v="400"/>
    <n v="220"/>
    <s v="N/A"/>
    <n v="82"/>
    <n v="1.1198000000000001"/>
    <m/>
    <n v="1.0027303571428572"/>
    <n v="1.0628941785714288"/>
    <n v="873.39102800000012"/>
    <n v="149.28175392021612"/>
    <n v="163.22808236362579"/>
    <n v="324.47387425956549"/>
    <n v="163"/>
    <n v="182.56"/>
    <n v="194.04196124000003"/>
    <n v="646.80653746666678"/>
    <d v="2024-06-01T00:00:00"/>
    <s v="2024_2621_03679"/>
    <s v="W2239AF LE2 CLEAR r112x0050 CB1P, W2239AF LE2 CLEAR r112x0163 CB1P"/>
    <m/>
    <m/>
    <m/>
    <m/>
    <m/>
    <n v="0.5357142857142857"/>
    <m/>
    <x v="0"/>
    <m/>
  </r>
  <r>
    <s v="NSG"/>
    <s v="Maizuru"/>
    <s v="Mazda"/>
    <s v="6 (J69P)"/>
    <s v="OEM"/>
    <x v="0"/>
    <s v="W2238AC"/>
    <s v="L"/>
    <s v="R &amp; E2"/>
    <s v="Clear"/>
    <x v="0"/>
    <s v="BF012814 (120 m), ___ (300 m)"/>
    <s v="Y"/>
    <s v="L9"/>
    <x v="56"/>
    <n v="112"/>
    <n v="30"/>
    <s v="N/A"/>
    <s v="N/A"/>
    <n v="0.8"/>
    <n v="200"/>
    <n v="600"/>
    <n v="400"/>
    <n v="220"/>
    <n v="200"/>
    <n v="600"/>
    <n v="400"/>
    <n v="220"/>
    <s v="N/A"/>
    <n v="82"/>
    <n v="1.1116000000000001"/>
    <m/>
    <n v="0.99753214285714287"/>
    <n v="1.0573840714285716"/>
    <n v="872.73997600000007"/>
    <n v="150.38296872963119"/>
    <n v="164.43217581035279"/>
    <n v="326.8674382834306"/>
    <n v="300"/>
    <n v="336"/>
    <n v="355.28104800000006"/>
    <n v="1184.2701600000003"/>
    <s v="?"/>
    <s v="2025-0064-0201, 2025-0214-0359"/>
    <s v="W2238AC LE2 CLEAR r112x0120 CB1P"/>
    <m/>
    <m/>
    <m/>
    <m/>
    <m/>
    <m/>
    <m/>
    <x v="1"/>
    <m/>
  </r>
  <r>
    <s v="NSG"/>
    <s v="Maizuru"/>
    <s v="Mazda"/>
    <s v="CX-5, CX-8, M6"/>
    <s v="OEM"/>
    <x v="2"/>
    <s v="W2243AC"/>
    <s v="L"/>
    <s v="R &amp; E2"/>
    <s v="Clear"/>
    <x v="0"/>
    <s v="BF012191 (E2), BF012617 (LR)"/>
    <s v="Y"/>
    <s v="L9"/>
    <x v="57"/>
    <n v="112"/>
    <n v="20"/>
    <s v="N/A"/>
    <s v="N/A"/>
    <n v="0.8"/>
    <n v="150"/>
    <n v="550"/>
    <n v="400"/>
    <n v="370"/>
    <n v="150"/>
    <n v="550"/>
    <n v="400"/>
    <n v="370"/>
    <s v="N/A"/>
    <n v="92"/>
    <n v="1.1956"/>
    <m/>
    <n v="1.0331214285714285"/>
    <n v="1.0951087142857141"/>
    <n v="875.99523599999998"/>
    <n v="139.81742057532455"/>
    <n v="152.87956392672146"/>
    <n v="303.90251287710061"/>
    <s v="300, 120"/>
    <e v="#VALUE!"/>
    <e v="#VALUE!"/>
    <e v="#VALUE!"/>
    <d v="2024-01-01T00:00:00"/>
    <s v="2024_2405_03462, 2024_2829_03887"/>
    <s v="W2243AC LE2 CLEAR r112x0300 CB2P, W2243AC LR CLEAR r112x0120 CB1P"/>
    <s v="Eliminated the &quot;H&quot;"/>
    <m/>
    <m/>
    <m/>
    <m/>
    <n v="0.49107142857142855"/>
    <m/>
    <x v="0"/>
    <m/>
  </r>
  <r>
    <s v="NSG"/>
    <s v="Maizuru"/>
    <s v="Mazda"/>
    <s v="CX-5, CX-8, M7"/>
    <s v="OEM"/>
    <x v="1"/>
    <s v="W2243ACH"/>
    <s v="L"/>
    <s v="E2"/>
    <s v="Clear"/>
    <x v="0"/>
    <s v="BF012173"/>
    <s v="Y"/>
    <s v="L9"/>
    <x v="57"/>
    <n v="112"/>
    <n v="20"/>
    <s v="N/A"/>
    <s v="N/A"/>
    <n v="0.8"/>
    <n v="150"/>
    <n v="550"/>
    <n v="400"/>
    <n v="370"/>
    <n v="150"/>
    <n v="550"/>
    <n v="400"/>
    <n v="370"/>
    <s v="N/A"/>
    <n v="92"/>
    <n v="1.1956"/>
    <m/>
    <n v="1.0331214285714285"/>
    <n v="1.0951087142857141"/>
    <n v="875.99523599999998"/>
    <n v="139.81742057532455"/>
    <n v="152.87956392672146"/>
    <n v="303.90251287710061"/>
    <n v="300"/>
    <n v="336"/>
    <n v="367.95652799999993"/>
    <n v="1839.7826399999997"/>
    <s v="Never"/>
    <s v="2024_2389_03446"/>
    <s v="W2243AC-H LE2 CLEAR r112x0300 CB2P"/>
    <s v="Extra &quot;H&quot; on code for winding direction"/>
    <m/>
    <m/>
    <m/>
    <m/>
    <n v="0.49107142857142855"/>
    <m/>
    <x v="0"/>
    <m/>
  </r>
  <r>
    <s v="NSG"/>
    <s v="Maizuru"/>
    <s v="Mazda"/>
    <s v="CX-60 (J30)"/>
    <s v="OEM"/>
    <x v="1"/>
    <s v="W2248AHH"/>
    <s v="L"/>
    <s v="E2"/>
    <s v="Clear"/>
    <x v="0"/>
    <s v="BF011951"/>
    <s v="Y"/>
    <s v="L9"/>
    <x v="47"/>
    <n v="112"/>
    <n v="25"/>
    <s v="N/A"/>
    <s v="N/A"/>
    <n v="0.8"/>
    <n v="200"/>
    <n v="600"/>
    <n v="400"/>
    <n v="270"/>
    <n v="200"/>
    <n v="600"/>
    <n v="400"/>
    <n v="270"/>
    <s v="N/A"/>
    <n v="87"/>
    <n v="1.2176"/>
    <m/>
    <n v="1.0554071428571428"/>
    <n v="1.1187315714285713"/>
    <n v="879.250496"/>
    <n v="137.29115312077695"/>
    <n v="150.11728534066046"/>
    <n v="298.41150163917661"/>
    <n v="150"/>
    <n v="168"/>
    <n v="187.94690399999996"/>
    <n v="751.78761599999984"/>
    <d v="2023-09-01T00:00:00"/>
    <s v="2023_2146_03203"/>
    <s v="W2248AH-H LE2 CLEAR r112x0150 CB2P"/>
    <s v="Extra &quot;H&quot; on code for winding direction"/>
    <m/>
    <m/>
    <m/>
    <m/>
    <n v="0.5357142857142857"/>
    <m/>
    <x v="0"/>
    <s v="Clear"/>
  </r>
  <r>
    <s v="NSG"/>
    <s v="Maizuru"/>
    <s v="Toyota"/>
    <s v="Alphard"/>
    <s v="OEM"/>
    <x v="1"/>
    <s v="W2237AF"/>
    <s v="L"/>
    <s v="E2"/>
    <s v="Clear"/>
    <x v="0"/>
    <s v="BF012217"/>
    <s v="Y"/>
    <s v="L9"/>
    <x v="31"/>
    <n v="136"/>
    <n v="15"/>
    <s v="N/A"/>
    <s v="N/A"/>
    <n v="0.85"/>
    <n v="350"/>
    <n v="800"/>
    <n v="450"/>
    <n v="410"/>
    <n v="350"/>
    <n v="800"/>
    <n v="450"/>
    <n v="410"/>
    <s v="N/A"/>
    <n v="121"/>
    <n v="1.2977000000000001"/>
    <m/>
    <n v="1.0985393382352939"/>
    <n v="1.1644516985294115"/>
    <n v="925.08892400000002"/>
    <n v="128.81691303063732"/>
    <n v="140.85135750234119"/>
    <n v="279.99217415108382"/>
    <n v="141"/>
    <n v="191.76"/>
    <n v="223.29525770999996"/>
    <n v="1488.6350513999998"/>
    <d v="2024-02-01T00:00:00"/>
    <s v="2024_2444_03501"/>
    <s v="W2237AF LE2 CLEAR r136x0141 CB2P"/>
    <s v="Why short rolls in a 2-roll package?"/>
    <s v="Increased thin edge caliper"/>
    <m/>
    <m/>
    <m/>
    <n v="0.58823529411764708"/>
    <m/>
    <x v="0"/>
    <m/>
  </r>
  <r>
    <s v="NSG"/>
    <s v="Maizuru"/>
    <s v="Toyota"/>
    <s v="Alphard"/>
    <s v="OEM"/>
    <x v="2"/>
    <s v="W2237AG"/>
    <s v="L"/>
    <s v="R &amp; E2"/>
    <s v="Clear"/>
    <x v="0"/>
    <s v="BF012505"/>
    <s v="Y"/>
    <s v="L9"/>
    <x v="31"/>
    <n v="136"/>
    <n v="15"/>
    <s v="N/A"/>
    <s v="N/A"/>
    <n v="0.87"/>
    <n v="350"/>
    <n v="800"/>
    <n v="450"/>
    <n v="410"/>
    <n v="350"/>
    <n v="800"/>
    <n v="450"/>
    <n v="410"/>
    <s v="N/A"/>
    <n v="121"/>
    <n v="1.3177000000000001"/>
    <m/>
    <n v="1.1185393382352942"/>
    <n v="1.1856516985294119"/>
    <n v="946.28892399999995"/>
    <n v="126.86173487125903"/>
    <n v="138.713521006897"/>
    <n v="275.74246368358615"/>
    <n v="120"/>
    <n v="163.19999999999999"/>
    <n v="193.49835720000002"/>
    <n v="1289.9890480000001"/>
    <d v="2024-10-01T00:00:00"/>
    <s v="2024_2730_03788"/>
    <s v="W2237AG LE2 CLEAR r136x0120 CB1P"/>
    <m/>
    <m/>
    <m/>
    <m/>
    <m/>
    <m/>
    <m/>
    <x v="0"/>
    <m/>
  </r>
  <r>
    <s v="NSG"/>
    <s v="Maizuru"/>
    <s v="Toyota"/>
    <s v="Alphard"/>
    <s v="OEM"/>
    <x v="1"/>
    <s v="W2237ADH"/>
    <s v="L"/>
    <s v="E2"/>
    <s v="Clear"/>
    <x v="0"/>
    <s v="BF011968"/>
    <s v="Y"/>
    <s v="L9"/>
    <x v="31"/>
    <n v="136"/>
    <n v="20"/>
    <s v="N/A"/>
    <s v="N/A"/>
    <n v="0.8"/>
    <n v="350"/>
    <n v="800"/>
    <n v="450"/>
    <n v="360"/>
    <n v="350"/>
    <n v="800"/>
    <n v="450"/>
    <n v="360"/>
    <s v="N/A"/>
    <n v="116"/>
    <n v="1.2292000000000001"/>
    <m/>
    <n v="1.0461588235294119"/>
    <n v="1.1089283529411766"/>
    <n v="872.08892400000002"/>
    <n v="135.99553208579403"/>
    <n v="148.70062368271084"/>
    <n v="295.59538268456026"/>
    <n v="149"/>
    <n v="202.64"/>
    <n v="224.71324144000002"/>
    <n v="1123.5662072"/>
    <d v="2023-09-01T00:00:00"/>
    <s v="2023_2159_03216"/>
    <s v="W2237ADH LE2 CLEAR r136x0149 CB1P"/>
    <m/>
    <m/>
    <m/>
    <m/>
    <m/>
    <n v="0.58823529411764708"/>
    <m/>
    <x v="0"/>
    <m/>
  </r>
  <r>
    <s v="NSG"/>
    <s v="Maizuru"/>
    <s v="Toyota"/>
    <s v="Alphard"/>
    <s v="OEM"/>
    <x v="1"/>
    <s v="W2237AAH"/>
    <s v="L"/>
    <s v="E2"/>
    <s v="Clear"/>
    <x v="0"/>
    <s v="BF011335"/>
    <s v="Y"/>
    <s v="L9"/>
    <x v="31"/>
    <n v="139"/>
    <n v="30"/>
    <s v="N/A"/>
    <s v="N/A"/>
    <n v="0.8"/>
    <n v="350"/>
    <n v="800"/>
    <n v="450"/>
    <n v="290"/>
    <n v="350"/>
    <n v="800"/>
    <n v="450"/>
    <n v="290"/>
    <s v="N/A"/>
    <n v="109"/>
    <n v="1.2033"/>
    <m/>
    <n v="1.0451715827338133"/>
    <n v="1.1078818776978421"/>
    <n v="872.08892400000002"/>
    <n v="138.92271922202113"/>
    <n v="151.90127701386865"/>
    <n v="301.95781965915523"/>
    <n v="50"/>
    <n v="69.5"/>
    <n v="76.997790500000022"/>
    <n v="256.65930166666675"/>
    <s v="Never"/>
    <s v="2022_1650_02706"/>
    <s v="W2237AAH r139x0050 CB1P"/>
    <s v="Extra &quot;H&quot; on code for winding direction"/>
    <m/>
    <m/>
    <s v="N/A"/>
    <m/>
    <n v="0.57553956834532372"/>
    <m/>
    <x v="0"/>
    <s v="Clear"/>
  </r>
  <r>
    <s v="NSG"/>
    <s v="Maizuru"/>
    <s v="Toyota"/>
    <s v="Alphard"/>
    <s v="OEM"/>
    <x v="1"/>
    <s v="W2237ACH"/>
    <s v="L"/>
    <s v="E2"/>
    <s v="Clear"/>
    <x v="0"/>
    <s v="BF011586"/>
    <s v="Y"/>
    <s v="L9"/>
    <x v="31"/>
    <n v="136"/>
    <n v="30"/>
    <s v="N/A"/>
    <s v="N/A"/>
    <n v="0.8"/>
    <n v="320"/>
    <n v="770"/>
    <n v="450"/>
    <n v="290"/>
    <n v="320"/>
    <n v="770"/>
    <n v="450"/>
    <n v="290"/>
    <s v="N/A"/>
    <n v="106"/>
    <n v="1.1922000000000001"/>
    <m/>
    <n v="1.0393573529411764"/>
    <n v="1.1017187941176469"/>
    <n v="872.08892400000002"/>
    <n v="140.21616175126491"/>
    <n v="153.31555664384175"/>
    <n v="304.76920348587601"/>
    <n v="153"/>
    <n v="208.08"/>
    <n v="229.24564667999999"/>
    <n v="764.15215560000001"/>
    <d v="2023-02-23T00:00:00"/>
    <s v="2023_1863_02920"/>
    <s v="W2237ACH LE2 CLEAR r136x0153 CB4P"/>
    <s v="Extra &quot;H&quot; on code for winding direction"/>
    <m/>
    <m/>
    <s v="N/A"/>
    <m/>
    <n v="0.56617647058823528"/>
    <m/>
    <x v="0"/>
    <s v="Clear"/>
  </r>
  <r>
    <s v="NSG"/>
    <s v="Maizuru"/>
    <s v="Toyota"/>
    <s v="Alphard"/>
    <s v="OEM"/>
    <x v="1"/>
    <s v="W2237AEH"/>
    <s v="L"/>
    <s v="E2"/>
    <s v="Clear"/>
    <x v="0"/>
    <s v="BF012188 (142m), BF012189 (283m)"/>
    <s v="Y"/>
    <s v="L9"/>
    <x v="31"/>
    <n v="136"/>
    <n v="5"/>
    <s v="N/A"/>
    <s v="N/A"/>
    <n v="0.8"/>
    <n v="350"/>
    <n v="800"/>
    <n v="450"/>
    <n v="510"/>
    <n v="350"/>
    <n v="800"/>
    <n v="450"/>
    <n v="510"/>
    <s v="N/A"/>
    <n v="131"/>
    <n v="1.2847"/>
    <m/>
    <n v="1.051259926470588"/>
    <n v="1.1143355220588231"/>
    <n v="872.08892400000002"/>
    <n v="130.12042347618745"/>
    <n v="142.27664562215941"/>
    <n v="282.82544126711406"/>
    <s v="142, 283"/>
    <e v="#VALUE!"/>
    <e v="#VALUE!"/>
    <e v="#VALUE!"/>
    <d v="2024-01-01T00:00:00"/>
    <s v="2024_2401_03458"/>
    <s v="W2237AEH LE2 CLEAR r136x0142 CB1P, W2237AEH LE2 CLEAR r136x0283 CB2P"/>
    <s v="Too much slippage to be packed vertically"/>
    <m/>
    <m/>
    <m/>
    <m/>
    <n v="0.58823529411764708"/>
    <m/>
    <x v="0"/>
    <m/>
  </r>
  <r>
    <s v="NSG"/>
    <s v="Mexicali"/>
    <s v="?"/>
    <s v="?"/>
    <s v="ARG"/>
    <x v="1"/>
    <s v="W2256AH"/>
    <s v="L"/>
    <s v="R"/>
    <s v="Clear"/>
    <x v="0"/>
    <s v="BF012248"/>
    <s v="Y"/>
    <s v="L8"/>
    <x v="51"/>
    <n v="105"/>
    <n v="13"/>
    <s v="N/A"/>
    <s v="N/A"/>
    <n v="0.8"/>
    <n v="200"/>
    <n v="800"/>
    <n v="600"/>
    <n v="120"/>
    <n v="200"/>
    <n v="800"/>
    <n v="600"/>
    <n v="120"/>
    <s v="N/A"/>
    <n v="92"/>
    <n v="1.3152000000000001"/>
    <m/>
    <n v="1.0894933333333334"/>
    <n v="1.1548629333333333"/>
    <n v="884.45891200000005"/>
    <n v="127.10288020062197"/>
    <n v="138.97719482267954"/>
    <n v="276.2666091817681"/>
    <n v="139"/>
    <n v="145.94999999999999"/>
    <n v="168.55224511999998"/>
    <n v="1296.5557316923075"/>
    <d v="2024-03-01T00:00:00"/>
    <s v="2024_2462_03519"/>
    <s v="W2256AH LR CLEAR r105x0139 CT1P"/>
    <s v="Replacing W2256AD. But being replaced with W2252AN"/>
    <m/>
    <m/>
    <m/>
    <m/>
    <n v="0.76190476190476186"/>
    <m/>
    <x v="0"/>
    <m/>
  </r>
  <r>
    <s v="NSG"/>
    <s v="Mexicali"/>
    <s v="?"/>
    <s v="?"/>
    <s v="ARG"/>
    <x v="2"/>
    <s v="W2265AC"/>
    <s v="L"/>
    <s v="R"/>
    <s v="Clear"/>
    <x v="0"/>
    <s v="BF012345 (WT4P), _____ (L8 i)"/>
    <s v="Y"/>
    <s v="L8"/>
    <x v="49"/>
    <n v="118"/>
    <n v="25"/>
    <s v="N/A"/>
    <s v="N/A"/>
    <n v="0.8"/>
    <n v="200"/>
    <n v="800"/>
    <n v="600"/>
    <n v="130"/>
    <n v="200"/>
    <n v="800"/>
    <n v="600"/>
    <n v="130"/>
    <s v="N/A"/>
    <n v="93"/>
    <n v="1.4045000000000001"/>
    <m/>
    <n v="1.1662860169491527"/>
    <n v="1.2362631779661017"/>
    <n v="890.31838000000005"/>
    <n v="119.02150803834675"/>
    <n v="130.14083775777013"/>
    <n v="258.70120640502768"/>
    <n v="130"/>
    <n v="153.4"/>
    <n v="189.64277150000001"/>
    <n v="758.57108600000004"/>
    <d v="2024-05-01T00:00:00"/>
    <s v="2024_2564_03622, 2024_2827_03885 (L8 i)"/>
    <s v="W2265AC LR CLEAR r118x0130 CT1P, W2265AC LR CLEAR r118x0130 WT4P"/>
    <m/>
    <m/>
    <m/>
    <m/>
    <m/>
    <n v="0.67796610169491522"/>
    <m/>
    <x v="1"/>
    <m/>
  </r>
  <r>
    <s v="NSG"/>
    <s v="Mexicali"/>
    <s v="Buick"/>
    <s v="Envision (2016-2017)"/>
    <s v="ARG"/>
    <x v="2"/>
    <s v="W2240AM"/>
    <s v="L"/>
    <s v="R"/>
    <s v="Clear"/>
    <x v="0"/>
    <s v="BF011653 (L9), BF012355 (L8 WT4P), _____ (L8 i)"/>
    <s v="Y"/>
    <s v="L8 &amp; L9"/>
    <x v="44"/>
    <n v="115"/>
    <n v="23"/>
    <s v="N/A"/>
    <s v="N/A"/>
    <n v="0.8"/>
    <n v="200"/>
    <n v="800"/>
    <n v="600"/>
    <n v="120"/>
    <n v="200"/>
    <n v="800"/>
    <n v="600"/>
    <n v="120"/>
    <s v="N/A"/>
    <n v="92"/>
    <n v="1.1680000000000001"/>
    <m/>
    <n v="1.0208000000000002"/>
    <n v="1.0820480000000001"/>
    <n v="874.04208000000006"/>
    <n v="143.12132537659076"/>
    <n v="156.49212896471587"/>
    <n v="311.08377088686763"/>
    <n v="156"/>
    <n v="179.4"/>
    <n v="194.11941120000003"/>
    <n v="843.9974400000001"/>
    <s v="May 2024 (L8)"/>
    <s v="2023_1916_02973 (L9), 2024_2577_03635 (L8, deleted??), 2024_2581_03639 (L8 WT4P), 2024_2827_03885 (L8 i)"/>
    <s v="W2240AM LR CLEAR r115x0156 CB1P (L9), W2240AM LR CLEAR r115x0156 CT1P (L8), W2240AM LR CLEAR r115x0156WT4P (L8)"/>
    <s v="Allowed 120 mm on move to L8 since the restriction is L9"/>
    <m/>
    <m/>
    <s v="N/A"/>
    <m/>
    <n v="0.69565217391304346"/>
    <m/>
    <x v="0"/>
    <s v="Clear"/>
  </r>
  <r>
    <s v="NSG"/>
    <s v="Mexicali"/>
    <s v="Buick"/>
    <s v="Envision (2016-2017)"/>
    <s v="ARG"/>
    <x v="2"/>
    <s v="W2240AV"/>
    <s v="L"/>
    <s v="R"/>
    <s v="Clear"/>
    <x v="0"/>
    <m/>
    <m/>
    <s v="L9"/>
    <x v="44"/>
    <n v="115"/>
    <n v="22"/>
    <s v="N/A"/>
    <s v="N/A"/>
    <n v="0.8"/>
    <n v="200"/>
    <n v="800"/>
    <n v="600"/>
    <n v="130"/>
    <n v="200"/>
    <n v="800"/>
    <n v="600"/>
    <n v="130"/>
    <s v="N/A"/>
    <n v="93"/>
    <n v="1.1720000000000002"/>
    <m/>
    <n v="1.0215826086956523"/>
    <n v="1.0828775652173914"/>
    <n v="874.04208000000006"/>
    <n v="142.63285668929865"/>
    <n v="155.95802613548477"/>
    <n v="310.022051532305"/>
    <n v="156"/>
    <n v="179.4"/>
    <n v="194.26823520000002"/>
    <n v="883.03743272727286"/>
    <m/>
    <m/>
    <m/>
    <m/>
    <m/>
    <m/>
    <m/>
    <m/>
    <m/>
    <m/>
    <x v="1"/>
    <m/>
  </r>
  <r>
    <s v="NSG"/>
    <s v="Mexicali"/>
    <s v="Buick"/>
    <s v="Lacrosse (2010-2014)"/>
    <s v="ARG"/>
    <x v="2"/>
    <s v="W2256AD"/>
    <s v="L"/>
    <s v="R"/>
    <s v="Clear"/>
    <x v="0"/>
    <s v="BF011655 (L9), BF012350 (L8 CT1P), BF012388 (L8 WT4P), ________ (L8 i)"/>
    <s v="Y"/>
    <s v="L8 &amp; L9"/>
    <x v="51"/>
    <n v="115"/>
    <n v="23"/>
    <s v="N/A"/>
    <s v="N/A"/>
    <n v="0.8"/>
    <n v="200"/>
    <n v="800"/>
    <n v="600"/>
    <n v="120"/>
    <n v="200"/>
    <n v="800"/>
    <n v="600"/>
    <n v="120"/>
    <s v="N/A"/>
    <n v="92"/>
    <n v="1.3152000000000001"/>
    <m/>
    <n v="1.1091200000000001"/>
    <n v="1.1756672000000001"/>
    <n v="884.45891200000005"/>
    <n v="127.10288020062197"/>
    <n v="138.97719482267954"/>
    <n v="276.2666091817681"/>
    <n v="139"/>
    <n v="159.85"/>
    <n v="187.93040192000001"/>
    <n v="817.08870400000001"/>
    <d v="2023-04-23T00:00:00"/>
    <s v="2023_1916_02973, 2024_2573_03631 (L8), 2024_2827_03885 (L8 i)"/>
    <s v="W2256AD LR CLEAR r115x0139 CB1P (L9), W2256AD LR CLEAR r115x0139 CT1P (L8)"/>
    <m/>
    <m/>
    <m/>
    <s v="N/A"/>
    <m/>
    <n v="0.69565217391304346"/>
    <m/>
    <x v="0"/>
    <s v="Clear"/>
  </r>
  <r>
    <s v="NSG"/>
    <s v="Mexicali"/>
    <s v="Buick"/>
    <s v="Lacrosse (2010-2014)"/>
    <s v="ARG"/>
    <x v="2"/>
    <s v="W2256AK"/>
    <s v="L"/>
    <s v="R"/>
    <s v="Clear"/>
    <x v="0"/>
    <m/>
    <s v="Y"/>
    <s v="L9"/>
    <x v="51"/>
    <n v="115"/>
    <n v="22"/>
    <s v="N/A"/>
    <s v="N/A"/>
    <n v="0.8"/>
    <n v="200"/>
    <n v="800"/>
    <n v="600"/>
    <n v="130"/>
    <n v="200"/>
    <n v="800"/>
    <n v="600"/>
    <n v="130"/>
    <s v="N/A"/>
    <n v="93"/>
    <n v="1.3208000000000002"/>
    <m/>
    <n v="1.110215652173913"/>
    <n v="1.1768285913043479"/>
    <n v="884.45891200000005"/>
    <n v="126.56398246506511"/>
    <n v="138.38795171925207"/>
    <n v="275.09527891873211"/>
    <n v="138"/>
    <n v="158.69999999999999"/>
    <n v="186.76269744000001"/>
    <n v="848.92135200000007"/>
    <m/>
    <m/>
    <m/>
    <m/>
    <m/>
    <m/>
    <m/>
    <m/>
    <m/>
    <m/>
    <x v="1"/>
    <m/>
  </r>
  <r>
    <s v="NSG"/>
    <s v="Mexicali"/>
    <s v="Cadillac"/>
    <s v="CT6 (2016-2017)"/>
    <s v="ARG"/>
    <x v="2"/>
    <s v="W2244AI"/>
    <s v="L"/>
    <s v="R"/>
    <s v="Clear"/>
    <x v="0"/>
    <s v="BF011654 (L9), BF012349 (L8, CT1P), BF012499 (L8 WT4P), ____ (L8 i)"/>
    <s v="Y"/>
    <s v="L8 &amp; L9"/>
    <x v="16"/>
    <n v="115"/>
    <n v="23"/>
    <s v="N/A"/>
    <s v="N/A"/>
    <n v="0.8"/>
    <n v="200"/>
    <n v="800"/>
    <n v="600"/>
    <n v="120"/>
    <n v="200"/>
    <n v="800"/>
    <n v="600"/>
    <n v="120"/>
    <s v="N/A"/>
    <n v="92"/>
    <n v="1.2048000000000001"/>
    <m/>
    <n v="1.0428800000000003"/>
    <n v="1.1054528000000001"/>
    <n v="876.64628800000003"/>
    <n v="138.74975766920485"/>
    <n v="151.71215689806456"/>
    <n v="301.58187615858355"/>
    <n v="152"/>
    <n v="174.8"/>
    <n v="193.23314944000003"/>
    <n v="840.14412800000014"/>
    <d v="2023-04-23T00:00:00"/>
    <s v="2023_1916_02973, 2024_2573_03631 (L8), 2024_2722_03780 (WT4P), 2024_2827_03885 (L8 i)"/>
    <s v="W2244AI LR CLEAR r115x0152 CB1P (L9), W2244AI LR CLEAR r115x0152 CT1P (L8), W2244AI LR CLEAR r115x0152 WT4P, W2244AI LR CLEAR r115x0152 WT4P"/>
    <m/>
    <m/>
    <m/>
    <s v="N/A"/>
    <m/>
    <n v="0.69565217391304346"/>
    <m/>
    <x v="0"/>
    <s v="Clear"/>
  </r>
  <r>
    <s v="NSG"/>
    <s v="Mexicali"/>
    <s v="Cadillac"/>
    <s v="CT6 (2016-2017)"/>
    <s v="ARG"/>
    <x v="2"/>
    <s v="W2244AO"/>
    <s v="L"/>
    <s v="R"/>
    <s v="Clear"/>
    <x v="0"/>
    <m/>
    <s v="Y"/>
    <s v="L9"/>
    <x v="16"/>
    <n v="115"/>
    <n v="22"/>
    <s v="N/A"/>
    <s v="N/A"/>
    <n v="0.8"/>
    <n v="200"/>
    <n v="800"/>
    <n v="600"/>
    <n v="130"/>
    <n v="200"/>
    <n v="800"/>
    <n v="600"/>
    <n v="130"/>
    <s v="N/A"/>
    <n v="93"/>
    <n v="1.2092000000000001"/>
    <m/>
    <n v="1.0437408695652173"/>
    <n v="1.1063653217391303"/>
    <n v="876.64628800000003"/>
    <n v="138.24487929197653"/>
    <n v="151.16011133872655"/>
    <n v="300.48448924566776"/>
    <n v="151"/>
    <n v="173.65"/>
    <n v="192.12033811999999"/>
    <n v="873.27426418181813"/>
    <m/>
    <m/>
    <m/>
    <m/>
    <m/>
    <m/>
    <m/>
    <m/>
    <m/>
    <m/>
    <x v="1"/>
    <m/>
  </r>
  <r>
    <s v="NSG"/>
    <s v="Mexicali"/>
    <s v="Cadillac"/>
    <s v="XT5 (2017)"/>
    <s v="ARG"/>
    <x v="1"/>
    <s v="W2248AE"/>
    <s v="L"/>
    <s v="R"/>
    <s v="Clear"/>
    <x v="0"/>
    <s v="BF011656"/>
    <s v="Y"/>
    <s v="L9"/>
    <x v="47"/>
    <n v="115"/>
    <n v="23"/>
    <s v="N/A"/>
    <s v="N/A"/>
    <n v="0.8"/>
    <n v="200"/>
    <n v="800"/>
    <n v="600"/>
    <n v="120"/>
    <n v="200"/>
    <n v="800"/>
    <n v="600"/>
    <n v="120"/>
    <s v="N/A"/>
    <n v="92"/>
    <n v="1.2416"/>
    <m/>
    <n v="1.0649599999999999"/>
    <n v="1.1288575999999999"/>
    <n v="879.250496"/>
    <n v="134.63732928467948"/>
    <n v="147.2155336910343"/>
    <n v="292.6432380765637"/>
    <n v="147"/>
    <n v="169.05"/>
    <n v="190.83337728000001"/>
    <n v="829.71033599999998"/>
    <s v="Never"/>
    <s v="2023_1916_02973"/>
    <s v="W2248AE LR CLEAR r115x0147 CB1P"/>
    <s v="Replaced by W2248AJ"/>
    <m/>
    <m/>
    <s v="N/A"/>
    <m/>
    <n v="0.69565217391304346"/>
    <m/>
    <x v="0"/>
    <s v="Clear"/>
  </r>
  <r>
    <s v="NSG"/>
    <s v="Mexicali"/>
    <s v="Cadillac"/>
    <s v="XT5 (2017)"/>
    <s v="ARG"/>
    <x v="2"/>
    <s v="W2248AJ"/>
    <s v="L"/>
    <s v="R"/>
    <s v="Clear"/>
    <x v="0"/>
    <s v="BF012249 (CT1P), BF012377 (WT4P), _____ (L8 i)"/>
    <s v="Y"/>
    <s v="L8"/>
    <x v="47"/>
    <n v="117"/>
    <n v="25"/>
    <s v="N/A"/>
    <s v="N/A"/>
    <n v="0.8"/>
    <n v="200"/>
    <n v="800"/>
    <n v="600"/>
    <n v="120"/>
    <n v="200"/>
    <n v="800"/>
    <n v="600"/>
    <n v="120"/>
    <s v="N/A"/>
    <n v="92"/>
    <n v="1.2416"/>
    <m/>
    <n v="1.0679794871794872"/>
    <n v="1.1320582564102564"/>
    <n v="879.250496"/>
    <n v="134.63732928467948"/>
    <n v="147.2155336910343"/>
    <n v="292.6432380765637"/>
    <n v="152"/>
    <n v="177.84"/>
    <n v="201.32524032000001"/>
    <n v="805.30096128000002"/>
    <d v="2024-03-01T00:00:00"/>
    <s v="2024_2462_03519, 2024_2827_03885 (L8 i)"/>
    <s v="W2248AJ LR CLEAR r117x0152 CT1P, W2248AJ LR CLEAR r117x0152 WT4P"/>
    <s v="Replacing W2248AE, which was never extruded"/>
    <m/>
    <m/>
    <m/>
    <m/>
    <n v="0.68376068376068377"/>
    <m/>
    <x v="0"/>
    <m/>
  </r>
  <r>
    <s v="NSG"/>
    <s v="Mexicali"/>
    <s v="Cadillac"/>
    <s v="XT5 (2017)"/>
    <s v="ARG"/>
    <x v="2"/>
    <s v="W2248AL"/>
    <s v="L"/>
    <s v="R"/>
    <s v="Clear"/>
    <x v="0"/>
    <m/>
    <m/>
    <s v="L9"/>
    <x v="47"/>
    <n v="117"/>
    <n v="24"/>
    <s v="N/A"/>
    <s v="N/A"/>
    <n v="0.8"/>
    <n v="200"/>
    <n v="800"/>
    <n v="600"/>
    <n v="130"/>
    <n v="200"/>
    <n v="800"/>
    <n v="600"/>
    <n v="130"/>
    <s v="N/A"/>
    <n v="93"/>
    <n v="1.2464"/>
    <m/>
    <n v="1.0689846153846156"/>
    <n v="1.1331236923076926"/>
    <n v="879.250496"/>
    <n v="134.11882865842267"/>
    <n v="146.64859325319975"/>
    <n v="291.51624229449732"/>
    <n v="147"/>
    <n v="171.99"/>
    <n v="194.88594384000007"/>
    <n v="812.02476600000034"/>
    <m/>
    <m/>
    <m/>
    <m/>
    <m/>
    <m/>
    <m/>
    <m/>
    <m/>
    <m/>
    <x v="1"/>
    <m/>
  </r>
  <r>
    <s v="NSG"/>
    <s v="Mexicali"/>
    <m/>
    <m/>
    <s v="ARG"/>
    <x v="0"/>
    <s v="W2248AM"/>
    <s v="L"/>
    <s v="R"/>
    <s v="Clear"/>
    <x v="0"/>
    <m/>
    <m/>
    <s v="L9"/>
    <x v="47"/>
    <n v="118"/>
    <n v="30"/>
    <s v="N/A"/>
    <s v="N/A"/>
    <n v="0.8"/>
    <n v="200"/>
    <n v="600"/>
    <n v="400"/>
    <n v="280"/>
    <n v="200"/>
    <n v="600"/>
    <n v="400"/>
    <n v="280"/>
    <s v="N/A"/>
    <n v="88"/>
    <n v="1.2223999999999999"/>
    <m/>
    <n v="1.0648949152542373"/>
    <n v="1.1287886101694915"/>
    <n v="879.250496"/>
    <n v="136.75205173417709"/>
    <n v="149.52781956052698"/>
    <n v="297.23972872698096"/>
    <n v="150"/>
    <n v="177"/>
    <n v="199.79558399999999"/>
    <n v="665.98527999999999"/>
    <m/>
    <m/>
    <s v="W2348AA LR BLU2 i118/12x0150 CB1P"/>
    <m/>
    <m/>
    <m/>
    <m/>
    <m/>
    <m/>
    <m/>
    <x v="1"/>
    <m/>
  </r>
  <r>
    <s v="NSG"/>
    <s v="Mexicali"/>
    <m/>
    <m/>
    <s v="ARG"/>
    <x v="0"/>
    <s v="W2348AA"/>
    <s v="L"/>
    <s v="R"/>
    <s v="Clear"/>
    <x v="0"/>
    <m/>
    <m/>
    <s v="L9"/>
    <x v="47"/>
    <n v="118"/>
    <n v="30"/>
    <n v="12"/>
    <n v="106"/>
    <n v="0.8"/>
    <n v="200"/>
    <n v="600"/>
    <n v="400"/>
    <n v="280"/>
    <n v="200"/>
    <n v="600"/>
    <n v="400"/>
    <n v="280"/>
    <s v="N/A"/>
    <n v="88"/>
    <n v="1.2223999999999999"/>
    <m/>
    <n v="1.0648949152542373"/>
    <n v="1.1287886101694915"/>
    <n v="879.250496"/>
    <n v="136.75205173417709"/>
    <n v="149.52781956052698"/>
    <n v="297.23972872698096"/>
    <n v="150"/>
    <n v="177"/>
    <n v="199.79558399999999"/>
    <n v="665.98527999999999"/>
    <m/>
    <m/>
    <s v="W2248AM LR CLEAR i118x0150 CB1P"/>
    <m/>
    <m/>
    <m/>
    <m/>
    <m/>
    <m/>
    <m/>
    <x v="1"/>
    <m/>
  </r>
  <r>
    <s v="NSG"/>
    <s v="Mexicali"/>
    <s v="GMC"/>
    <s v="Yukon (2015-2018)"/>
    <s v="ARG"/>
    <x v="0"/>
    <s v="W2362AA"/>
    <s v="L"/>
    <s v="R"/>
    <s v="Blue"/>
    <x v="0"/>
    <s v="BF010269 (L8), BF010571 (CB1A), BF012030 (CB2P)"/>
    <s v="Y"/>
    <s v="L9"/>
    <x v="2"/>
    <n v="92"/>
    <n v="24"/>
    <n v="18"/>
    <n v="74"/>
    <n v="0.8"/>
    <n v="160"/>
    <n v="560"/>
    <n v="400"/>
    <n v="120"/>
    <n v="160"/>
    <n v="560"/>
    <n v="400"/>
    <n v="120"/>
    <n v="60"/>
    <n v="68"/>
    <n v="1.2216"/>
    <m/>
    <n v="1.0657913043478262"/>
    <n v="1.1297387826086958"/>
    <n v="888.36522400000001"/>
    <n v="136.84160776019814"/>
    <n v="149.62574216665698"/>
    <n v="297.43438473793503"/>
    <n v="250"/>
    <n v="230"/>
    <n v="259.83992000000001"/>
    <n v="1082.6663333333333"/>
    <d v="2022-01-01T00:00:00"/>
    <s v="2021_1090_02145, 2022_1198_02253, 2023_2210_03267"/>
    <s v="W2362AA LR BLU2 r092/18X0150 CB1A from Ulsan, W2362AA LR BLU2 r092/18x0250 CB2P, W2362AA LR BLU2 r092/18x0150 WT2A from Troisdorf but never made"/>
    <m/>
    <m/>
    <m/>
    <s v="N/A"/>
    <m/>
    <n v="0.60869565217391308"/>
    <m/>
    <x v="8"/>
    <s v="S/B"/>
  </r>
  <r>
    <s v="NSG"/>
    <s v="Mexicali"/>
    <s v="Lincoln"/>
    <s v="Navigator (2020-2021)"/>
    <s v="ARG"/>
    <x v="1"/>
    <s v="W2264AH"/>
    <s v="L"/>
    <s v="R"/>
    <s v="Clear"/>
    <x v="0"/>
    <s v="BF011657"/>
    <s v="Y"/>
    <s v="L9"/>
    <x v="11"/>
    <n v="115"/>
    <n v="23"/>
    <s v="N/A"/>
    <s v="N/A"/>
    <n v="0.8"/>
    <n v="200"/>
    <n v="800"/>
    <n v="600"/>
    <n v="120"/>
    <n v="200"/>
    <n v="800"/>
    <n v="600"/>
    <n v="120"/>
    <s v="N/A"/>
    <n v="92"/>
    <n v="1.3888"/>
    <m/>
    <n v="1.1532800000000001"/>
    <n v="1.2224767999999999"/>
    <n v="889.66732800000011"/>
    <n v="120.36701327754754"/>
    <n v="131.61204394497997"/>
    <n v="261.62575201314911"/>
    <n v="132"/>
    <n v="151.80000000000001"/>
    <n v="185.57197823999999"/>
    <n v="806.83468799999991"/>
    <s v="Never"/>
    <s v="2023_1916_02973"/>
    <s v="W2264AH LR CLEAR r115x0132 CB1P"/>
    <m/>
    <m/>
    <m/>
    <s v="N/A"/>
    <m/>
    <n v="0.69565217391304346"/>
    <m/>
    <x v="0"/>
    <s v="Clear"/>
  </r>
  <r>
    <s v="NSG"/>
    <s v="Mexicali"/>
    <s v="Multiple"/>
    <s v="Multiple ARG"/>
    <s v="ARG"/>
    <x v="1"/>
    <s v="W2252AF"/>
    <s v="L"/>
    <s v="R"/>
    <s v="Clear"/>
    <x v="0"/>
    <s v="BF011442"/>
    <s v="Y"/>
    <s v="L9"/>
    <x v="28"/>
    <n v="113"/>
    <n v="21"/>
    <s v="N/A"/>
    <s v="N/A"/>
    <n v="0.8"/>
    <n v="200"/>
    <n v="800"/>
    <n v="600"/>
    <n v="120"/>
    <n v="200"/>
    <n v="800"/>
    <n v="600"/>
    <n v="120"/>
    <s v="N/A"/>
    <n v="92"/>
    <n v="1.2784"/>
    <m/>
    <n v="1.0836530973451328"/>
    <n v="1.1486722831858407"/>
    <n v="881.85470400000008"/>
    <n v="130.76166148299282"/>
    <n v="142.97778991770036"/>
    <n v="284.21921495295794"/>
    <n v="143"/>
    <n v="161.59"/>
    <n v="185.61395424"/>
    <n v="883.87597257142863"/>
    <d v="2023-01-23T00:00:00"/>
    <s v="2022_1703_02759"/>
    <s v="W2252AF LR CLEAR r113x0143 CB1A"/>
    <s v="Changed width, so replaced with W2252AN"/>
    <n v="4"/>
    <m/>
    <s v="N/A"/>
    <m/>
    <n v="0.70796460176991149"/>
    <m/>
    <x v="0"/>
    <s v="Clear"/>
  </r>
  <r>
    <s v="NSG"/>
    <s v="Mexicali"/>
    <s v="Multiple"/>
    <s v="Multiple ARG"/>
    <s v="ARG"/>
    <x v="2"/>
    <s v="W2252AN"/>
    <s v="L"/>
    <s v="R"/>
    <s v="Clear"/>
    <x v="0"/>
    <s v="BF011652 (L9), BF012348 (L8, CT1P), BF012498 (L8 WT4P), _________ (L8 i)"/>
    <s v="Y"/>
    <s v="L8 &amp; L9"/>
    <x v="28"/>
    <n v="115"/>
    <n v="23"/>
    <s v="N/A"/>
    <s v="N/A"/>
    <n v="0.8"/>
    <n v="200"/>
    <n v="800"/>
    <n v="600"/>
    <n v="120"/>
    <n v="200"/>
    <n v="800"/>
    <n v="600"/>
    <n v="120"/>
    <s v="N/A"/>
    <n v="92"/>
    <n v="1.2784"/>
    <m/>
    <n v="1.08704"/>
    <n v="1.1522624000000001"/>
    <n v="881.85470400000008"/>
    <n v="130.76166148299282"/>
    <n v="142.97778991770036"/>
    <n v="284.21921495295794"/>
    <n v="143"/>
    <n v="164.45"/>
    <n v="189.48955168000001"/>
    <n v="823.867616"/>
    <d v="2023-04-23T00:00:00"/>
    <s v="2023_1916_02973, 2024_2573_03631 (L8), 2024_2722_03780 (WT4P), 2024_2827_03885 (L8 i)"/>
    <s v="W2252AN LR CLEAR r115x0143 CB1P (L9), W2252AN LR CLEAR r115x0143 CT1P (L8), W2252AN LR CLEAR r115x0143 WT4P, ____________"/>
    <s v="Replacing W2256AH, also"/>
    <m/>
    <m/>
    <s v="N/A"/>
    <m/>
    <n v="0.69565217391304346"/>
    <m/>
    <x v="0"/>
    <s v="Clear"/>
  </r>
  <r>
    <s v="NSG"/>
    <s v="Mexicali"/>
    <s v="Multiple"/>
    <s v="Multiple ARG"/>
    <s v="ARG"/>
    <x v="2"/>
    <s v="W2252AS"/>
    <s v="L"/>
    <s v="R"/>
    <s v="Clear"/>
    <x v="0"/>
    <m/>
    <s v="Y"/>
    <s v="L9"/>
    <x v="28"/>
    <n v="115"/>
    <n v="22"/>
    <s v="N/A"/>
    <s v="N/A"/>
    <n v="0.8"/>
    <n v="200"/>
    <n v="800"/>
    <n v="600"/>
    <n v="130"/>
    <n v="200"/>
    <n v="800"/>
    <n v="600"/>
    <n v="130"/>
    <s v="N/A"/>
    <n v="93"/>
    <n v="1.2836000000000001"/>
    <m/>
    <n v="1.0880573913043479"/>
    <n v="1.1533408347826086"/>
    <n v="881.85470400000008"/>
    <n v="130.23193209711596"/>
    <n v="142.39857169740432"/>
    <n v="283.06781271101704"/>
    <n v="142"/>
    <n v="163.30000000000001"/>
    <n v="188.34055832000001"/>
    <n v="856.09344690909097"/>
    <m/>
    <m/>
    <m/>
    <m/>
    <m/>
    <m/>
    <m/>
    <m/>
    <m/>
    <m/>
    <x v="1"/>
    <m/>
  </r>
  <r>
    <s v="NSG"/>
    <s v="Mexicali"/>
    <m/>
    <s v="FW3152"/>
    <s v="ARG"/>
    <x v="0"/>
    <s v="W2342AB"/>
    <s v="L"/>
    <s v="R"/>
    <s v="Blue"/>
    <x v="0"/>
    <m/>
    <s v="Y"/>
    <s v="L9"/>
    <x v="18"/>
    <n v="115"/>
    <n v="30"/>
    <n v="18"/>
    <n v="97"/>
    <n v="0.8"/>
    <n v="200"/>
    <n v="600"/>
    <n v="400"/>
    <n v="250"/>
    <n v="200"/>
    <n v="600"/>
    <n v="400"/>
    <n v="250"/>
    <n v="120"/>
    <n v="85"/>
    <n v="1.157"/>
    <m/>
    <n v="1.0250652173913042"/>
    <n v="1.0865691304347824"/>
    <n v="875.34418400000015"/>
    <n v="144.48202942079345"/>
    <n v="157.97995387276421"/>
    <n v="314.0413521139684"/>
    <n v="158"/>
    <n v="181.7"/>
    <n v="197.42961099999997"/>
    <n v="658.09870333333322"/>
    <d v="2025-07-01T00:00:00"/>
    <s v="2025-0155-0295"/>
    <m/>
    <m/>
    <m/>
    <m/>
    <m/>
    <m/>
    <m/>
    <m/>
    <x v="1"/>
    <m/>
  </r>
  <r>
    <s v="NSG"/>
    <s v="Mexicali"/>
    <m/>
    <m/>
    <s v="ARG"/>
    <x v="0"/>
    <s v="W2344AA"/>
    <s v="L"/>
    <s v="R"/>
    <s v="Blue"/>
    <x v="0"/>
    <m/>
    <s v="Y"/>
    <s v="L9"/>
    <x v="16"/>
    <n v="97"/>
    <n v="20"/>
    <n v="17"/>
    <n v="80"/>
    <n v="0.8"/>
    <n v="200"/>
    <n v="640"/>
    <n v="440"/>
    <n v="130"/>
    <n v="200"/>
    <n v="640"/>
    <n v="440"/>
    <n v="130"/>
    <n v="30"/>
    <n v="77"/>
    <n v="1.1388"/>
    <m/>
    <n v="1.0043278350515463"/>
    <n v="1.0645875051546392"/>
    <n v="876.64628800000003"/>
    <n v="146.79110295034951"/>
    <n v="160.50474765611887"/>
    <n v="319.06027783268479"/>
    <n v="161"/>
    <n v="156.16999999999999"/>
    <n v="166.25663068"/>
    <n v="831.28315339999995"/>
    <d v="2025-07-01T00:00:00"/>
    <s v="2025-0114-0253"/>
    <m/>
    <m/>
    <m/>
    <m/>
    <m/>
    <m/>
    <m/>
    <m/>
    <x v="1"/>
    <m/>
  </r>
  <r>
    <s v="NSG"/>
    <s v="San Salvo"/>
    <s v="?"/>
    <s v="?"/>
    <s v="?"/>
    <x v="1"/>
    <s v="W2050AA"/>
    <s v="L"/>
    <s v="E2"/>
    <s v="Clear"/>
    <x v="1"/>
    <s v="BF010865"/>
    <s v="Y"/>
    <s v="L8"/>
    <x v="29"/>
    <n v="110"/>
    <n v="25"/>
    <s v="N/A"/>
    <s v="N/A"/>
    <n v="0.76"/>
    <n v="300"/>
    <n v="600"/>
    <n v="300"/>
    <n v="250"/>
    <n v="250"/>
    <n v="650"/>
    <n v="400"/>
    <n v="200"/>
    <s v="N/A"/>
    <n v="85"/>
    <n v="1.1850000000000001"/>
    <m/>
    <n v="1.0207954545454547"/>
    <n v="1.0871471590909094"/>
    <n v="842.10615000000007"/>
    <n v="141.0681080505131"/>
    <n v="154.24709420319675"/>
    <n v="306.62096573490419"/>
    <n v="305"/>
    <n v="335.5"/>
    <n v="364.73787187500011"/>
    <n v="1458.9514875000004"/>
    <d v="2022-06-01T00:00:00"/>
    <s v="2022_1436_02492"/>
    <s v="W2050AA LE2 CLEAR r110x0305 MT2P"/>
    <s v="Incorrectly specified by San Salvo. Replaced by W2045AC."/>
    <m/>
    <m/>
    <s v="N/A"/>
    <m/>
    <n v="0.54545454545454541"/>
    <m/>
    <x v="3"/>
    <s v="Clear"/>
  </r>
  <r>
    <s v="NSG"/>
    <s v="San Salvo"/>
    <s v="Ford"/>
    <s v="C-Hatch"/>
    <s v="OEM"/>
    <x v="2"/>
    <s v="W2045AC"/>
    <s v="L"/>
    <s v="E2"/>
    <s v="Clear"/>
    <x v="1"/>
    <s v="BF010905"/>
    <s v="Y"/>
    <s v="L8"/>
    <x v="3"/>
    <n v="110"/>
    <n v="25"/>
    <s v="N/A"/>
    <s v="N/A"/>
    <n v="0.76"/>
    <n v="300"/>
    <n v="600"/>
    <n v="300"/>
    <n v="250"/>
    <n v="250"/>
    <n v="650"/>
    <n v="400"/>
    <n v="200"/>
    <s v="N/A"/>
    <n v="85"/>
    <n v="1.1425000000000001"/>
    <m/>
    <n v="0.99471590909090912"/>
    <n v="1.0593724431818181"/>
    <n v="838.83553499999994"/>
    <n v="146.31571819681227"/>
    <n v="159.98495109915814"/>
    <n v="318.02699728302969"/>
    <s v="318, 160"/>
    <e v="#VALUE!"/>
    <e v="#VALUE!"/>
    <e v="#VALUE!"/>
    <d v="2022-07-01T00:00:00"/>
    <s v="2022_1509_02565, 2024_2414_03471"/>
    <s v="W2045AC LE2 CLEAR r110x0318 LE2 MT2P, W2045AC LE2 CLEAR r110x0160 LE2 MT4P"/>
    <m/>
    <m/>
    <m/>
    <s v="N/A"/>
    <m/>
    <n v="0.54545454545454541"/>
    <m/>
    <x v="3"/>
    <s v="Clear"/>
  </r>
  <r>
    <s v="NSG"/>
    <s v="San Salvo"/>
    <s v="Ford"/>
    <s v="Explorer"/>
    <s v="OEM"/>
    <x v="0"/>
    <s v="W2045AD"/>
    <s v="L"/>
    <s v="E2"/>
    <s v="Clear"/>
    <x v="1"/>
    <m/>
    <s v="Y"/>
    <s v="L8"/>
    <x v="3"/>
    <n v="104"/>
    <n v="26"/>
    <s v="N/A"/>
    <s v="N/A"/>
    <n v="0.76"/>
    <n v="250"/>
    <n v="650"/>
    <n v="400"/>
    <n v="130"/>
    <n v="250"/>
    <n v="650"/>
    <n v="400"/>
    <n v="130"/>
    <s v="N/A"/>
    <n v="78"/>
    <n v="1.111"/>
    <m/>
    <n v="0.97937499999999988"/>
    <n v="1.0430343749999997"/>
    <n v="838.83553499999994"/>
    <n v="150.46418365423764"/>
    <n v="164.52097806551589"/>
    <n v="327.04396435271059"/>
    <n v="326"/>
    <n v="339.04"/>
    <n v="353.63037449999996"/>
    <n v="1360.1168249999998"/>
    <m/>
    <m/>
    <m/>
    <m/>
    <m/>
    <m/>
    <m/>
    <m/>
    <m/>
    <m/>
    <x v="1"/>
    <m/>
  </r>
  <r>
    <s v="NSG"/>
    <s v="Versailles"/>
    <s v="Chevy, GMC"/>
    <s v="Silverado, Sierra (T1XX-2PU)"/>
    <s v="OEM"/>
    <x v="0"/>
    <s v="W2241AI"/>
    <s v="L"/>
    <s v="R"/>
    <s v="Clear"/>
    <x v="0"/>
    <s v="BF012526"/>
    <s v="Y"/>
    <s v="L9"/>
    <x v="24"/>
    <n v="110"/>
    <n v="30"/>
    <s v="N/A"/>
    <s v="N/A"/>
    <n v="0.8"/>
    <n v="279"/>
    <n v="650"/>
    <n v="371"/>
    <n v="150"/>
    <n v="250"/>
    <n v="650"/>
    <n v="400"/>
    <n v="150"/>
    <s v="N/A"/>
    <n v="80"/>
    <n v="1.1280000000000001"/>
    <m/>
    <n v="1.0087272727272727"/>
    <n v="1.069250909090909"/>
    <n v="874.69313200000011"/>
    <n v="148.19654968072518"/>
    <n v="162.04149524006041"/>
    <n v="322.115110280019"/>
    <n v="162"/>
    <n v="178.2"/>
    <n v="190.54051199999998"/>
    <n v="635.13504"/>
    <d v="2024-10-01T00:00:00"/>
    <s v="2024_2755_03813"/>
    <m/>
    <m/>
    <m/>
    <m/>
    <m/>
    <m/>
    <m/>
    <m/>
    <x v="1"/>
    <m/>
  </r>
  <r>
    <s v="NSG"/>
    <s v="Versailles"/>
    <s v="Toyota"/>
    <s v="Highlander"/>
    <s v="OEM"/>
    <x v="0"/>
    <s v="W2249AJ"/>
    <s v="L"/>
    <s v="R"/>
    <s v="Clear"/>
    <x v="0"/>
    <s v="BF012339 (CB2A), BF012384 (CB1A)"/>
    <s v="Y"/>
    <s v="L9"/>
    <x v="17"/>
    <n v="110"/>
    <n v="30"/>
    <s v="N/A"/>
    <s v="N/A"/>
    <n v="0.8"/>
    <n v="180"/>
    <n v="440"/>
    <n v="260"/>
    <n v="360"/>
    <n v="180"/>
    <n v="580"/>
    <n v="400"/>
    <n v="220"/>
    <s v="N/A"/>
    <n v="80"/>
    <n v="1.1920000000000002"/>
    <m/>
    <n v="1.0494545454545456"/>
    <n v="1.1124218181818184"/>
    <n v="879.90154800000005"/>
    <n v="140.23968795290102"/>
    <n v="153.34128073052699"/>
    <n v="304.82033925827301"/>
    <n v="305"/>
    <n v="335.5"/>
    <n v="373.21752000000009"/>
    <n v="1244.0584000000003"/>
    <d v="2024-06-01T00:00:00"/>
    <s v="2024_2556_03613, 2024_2617_03675"/>
    <s v="W2249AJ LR CLEAR r110x0305 CB2A, W2249AJ LR CLEAR r110x0130 CB1A"/>
    <m/>
    <m/>
    <m/>
    <m/>
    <m/>
    <n v="0.4"/>
    <m/>
    <x v="0"/>
    <m/>
  </r>
  <r>
    <s v="NSG"/>
    <s v="Witten"/>
    <s v="Audi"/>
    <s v="Q7"/>
    <s v="OEM"/>
    <x v="1"/>
    <s v="W2241AB"/>
    <s v="L"/>
    <s v="R"/>
    <s v="Clear"/>
    <x v="0"/>
    <s v="BF010389 (332m), BF010390 (167m)"/>
    <s v="Y"/>
    <s v="L8"/>
    <x v="24"/>
    <n v="102"/>
    <n v="30"/>
    <s v="N/A"/>
    <s v="N/A"/>
    <n v="0.8"/>
    <n v="200"/>
    <n v="600"/>
    <n v="400"/>
    <n v="120"/>
    <n v="200"/>
    <n v="600"/>
    <n v="400"/>
    <n v="120"/>
    <s v="N/A"/>
    <n v="72"/>
    <n v="1.0952"/>
    <m/>
    <n v="0.99101176470588237"/>
    <n v="1.0504724705882353"/>
    <n v="874.69313200000011"/>
    <n v="152.63486855355922"/>
    <n v="166.89445455696512"/>
    <n v="331.76209312989545"/>
    <n v="167"/>
    <n v="170.34"/>
    <n v="178.93748064000002"/>
    <n v="596.45826880000004"/>
    <d v="2022-02-01T00:00:00"/>
    <s v="2021_1127_02182"/>
    <s v="W2241AB LR CLEAR r102x0167 CT1P, W2241AB LR CLEAR r102x0332 MT2P"/>
    <m/>
    <m/>
    <m/>
    <s v="N/A"/>
    <m/>
    <n v="0.58823529411764708"/>
    <m/>
    <x v="0"/>
    <s v="Clear"/>
  </r>
  <r>
    <s v="NSG"/>
    <s v="Witten"/>
    <s v="BMW"/>
    <s v="4-series Gran Coupe (G26)"/>
    <s v="OEM"/>
    <x v="2"/>
    <s v="W2245AD"/>
    <s v="L"/>
    <s v="R"/>
    <s v="Clear"/>
    <x v="0"/>
    <s v="BF012438"/>
    <s v="Y"/>
    <s v="L8"/>
    <x v="3"/>
    <n v="92"/>
    <n v="30"/>
    <s v="N/A"/>
    <s v="N/A"/>
    <n v="0.8"/>
    <n v="150"/>
    <n v="450"/>
    <n v="300"/>
    <n v="170"/>
    <n v="100"/>
    <n v="500"/>
    <n v="400"/>
    <n v="120"/>
    <s v="N/A"/>
    <n v="62"/>
    <n v="1.0790000000000002"/>
    <m/>
    <n v="0.98498913043478276"/>
    <n v="1.0440884782608697"/>
    <n v="877.29733999999996"/>
    <n v="154.92651347530861"/>
    <n v="169.40019150212061"/>
    <n v="336.7431366041348"/>
    <n v="337"/>
    <n v="310.04000000000002"/>
    <n v="323.70919180000004"/>
    <n v="1079.0306393333335"/>
    <d v="2024-06-01T00:00:00"/>
    <s v="2024_2673_03731"/>
    <s v="W2245AD LR CLEAR r092x0337 MT2P"/>
    <m/>
    <m/>
    <m/>
    <m/>
    <m/>
    <n v="0.4891304347826087"/>
    <m/>
    <x v="0"/>
    <m/>
  </r>
  <r>
    <s v="NSG"/>
    <s v="Witten"/>
    <s v="BMW"/>
    <s v="F10 (5 Series)"/>
    <s v="ARG"/>
    <x v="2"/>
    <s v="W2034AA"/>
    <s v="L"/>
    <s v="R"/>
    <s v="Clear"/>
    <x v="1"/>
    <s v="BF009716, BF011572 (MT2P)"/>
    <s v="Y"/>
    <s v="L8"/>
    <x v="55"/>
    <n v="98"/>
    <n v="26"/>
    <s v="N/A"/>
    <s v="N/A"/>
    <n v="0.76"/>
    <n v="200"/>
    <n v="600"/>
    <n v="400"/>
    <n v="120"/>
    <n v="200"/>
    <n v="600"/>
    <n v="400"/>
    <n v="120"/>
    <s v="N/A"/>
    <n v="72"/>
    <n v="1.0047999999999999"/>
    <m/>
    <n v="0.91487346938775493"/>
    <n v="0.97434024489795901"/>
    <n v="831.64018199999998"/>
    <n v="166.36714574030458"/>
    <n v="181.90964035707424"/>
    <n v="361.61011583983031"/>
    <n v="362"/>
    <n v="354.76"/>
    <n v="345.65694527999995"/>
    <n v="1329.4497895384613"/>
    <d v="2021-03-01T00:00:00"/>
    <s v="2021_0688_01741, 2023_1861_02918"/>
    <s v="W2034AA LR CLEAR r098x0362 MT2P"/>
    <s v="F5 version of W1034AA (with some slight modifications)"/>
    <m/>
    <s v="qualified"/>
    <s v="N/A"/>
    <m/>
    <n v="0.61224489795918369"/>
    <m/>
    <x v="3"/>
    <s v="Clear"/>
  </r>
  <r>
    <s v="NSG"/>
    <s v="Witten"/>
    <s v="BMW"/>
    <s v="F10 (5 Series)"/>
    <s v="ARG"/>
    <x v="1"/>
    <s v="W1034AA"/>
    <s v="L"/>
    <s v="R"/>
    <s v="Clear"/>
    <x v="1"/>
    <s v="BF009487"/>
    <s v="Y"/>
    <s v="L8"/>
    <x v="55"/>
    <n v="98"/>
    <n v="25"/>
    <s v="N/A"/>
    <s v="N/A"/>
    <n v="0.76"/>
    <n v="200"/>
    <n v="600"/>
    <n v="400"/>
    <n v="130"/>
    <m/>
    <m/>
    <n v="0"/>
    <n v="730"/>
    <s v="N/A"/>
    <n v="73"/>
    <n v="1.0082"/>
    <m/>
    <n v="0.91575816326530612"/>
    <n v="0"/>
    <n v="0"/>
    <n v="165.80609803596315"/>
    <n v="181.29617797142251"/>
    <n v="360.39064113852561"/>
    <n v="181"/>
    <n v="177.38"/>
    <n v="0"/>
    <n v="0"/>
    <d v="2020-10-01T00:00:00"/>
    <s v="2020_0457_01509"/>
    <s v="W1034AA LR CLEAR R098X0181 MT4P"/>
    <s v="2010-2017 5 Series (F10, 6th gen)"/>
    <n v="4"/>
    <s v="qualified"/>
    <s v="N/A"/>
    <s v="Nov 2020?"/>
    <n v="0.61224489795918369"/>
    <s v="29M kg"/>
    <x v="5"/>
    <s v="Clear"/>
  </r>
  <r>
    <s v="NSG"/>
    <s v="Witten"/>
    <s v="BMW"/>
    <s v="F12 6-series Conv. Coupe"/>
    <s v="ARG"/>
    <x v="2"/>
    <s v="W2030AA"/>
    <s v="L"/>
    <s v="R"/>
    <s v="Clear"/>
    <x v="1"/>
    <s v="BF009724, BF011571 (MT2P)"/>
    <s v="Y"/>
    <s v="L8"/>
    <x v="14"/>
    <n v="98"/>
    <n v="26"/>
    <s v="N/A"/>
    <s v="N/A"/>
    <n v="0.76"/>
    <n v="200"/>
    <n v="600"/>
    <n v="400"/>
    <n v="120"/>
    <n v="200"/>
    <n v="600"/>
    <n v="400"/>
    <n v="120"/>
    <s v="N/A"/>
    <n v="72"/>
    <n v="0.97599999999999998"/>
    <m/>
    <n v="0.89665306122448984"/>
    <n v="0.95493551020408174"/>
    <n v="829.0236900000001"/>
    <n v="171.27634020477259"/>
    <n v="187.27746581023382"/>
    <n v="372.28057827444826"/>
    <n v="372"/>
    <n v="364.56"/>
    <n v="348.13128960000006"/>
    <n v="1338.9664984615385"/>
    <d v="2021-03-01T00:00:00"/>
    <s v="2021_0702_01756, 2023_1861_02918"/>
    <s v="W2030AA LR CLEAR r098x0372 MT2P"/>
    <m/>
    <n v="6"/>
    <m/>
    <s v="N/A"/>
    <d v="2021-03-01T00:00:00"/>
    <n v="0.61224489795918369"/>
    <n v="9375"/>
    <x v="3"/>
    <s v="Clear"/>
  </r>
  <r>
    <s v="NSG"/>
    <s v="Witten"/>
    <s v="BMW"/>
    <s v="F30 (3 Series, F32 Limo Coupe)"/>
    <s v="ARG"/>
    <x v="2"/>
    <s v="W2040AA"/>
    <s v="L"/>
    <s v="R"/>
    <s v="Clear"/>
    <x v="1"/>
    <s v="BF009717, BF011574 (MT2P)"/>
    <s v="Y"/>
    <s v="L8"/>
    <x v="44"/>
    <n v="92"/>
    <n v="24"/>
    <s v="N/A"/>
    <s v="N/A"/>
    <n v="0.76"/>
    <n v="200"/>
    <n v="560"/>
    <n v="360"/>
    <n v="120"/>
    <n v="160"/>
    <n v="560"/>
    <n v="400"/>
    <n v="120"/>
    <s v="N/A"/>
    <n v="68"/>
    <n v="1.032"/>
    <m/>
    <n v="0.9314782608695652"/>
    <n v="0.99202434782608695"/>
    <n v="835.56492000000003"/>
    <n v="161.98227523242059"/>
    <n v="177.11512270425209"/>
    <n v="352.07930658513709"/>
    <n v="352"/>
    <n v="323.83999999999997"/>
    <n v="321.2571648"/>
    <n v="1338.57152"/>
    <d v="2021-03-01T00:00:00"/>
    <s v="2021_0688_01741, 2023_1861_02918"/>
    <s v="W2040AA LR CLEAR r092x0352 MT2P"/>
    <s v="F5 version of W1040AA (with some slight modifications)"/>
    <m/>
    <s v="qualified"/>
    <s v="N/A"/>
    <d v="2021-03-01T00:00:00"/>
    <n v="0.60869565217391308"/>
    <m/>
    <x v="3"/>
    <s v="Clear"/>
  </r>
  <r>
    <s v="NSG"/>
    <s v="Witten"/>
    <s v="BMW"/>
    <s v="F30 (3 Series, F32 Limo Coupe)"/>
    <s v="ARG"/>
    <x v="1"/>
    <s v="W1040AA"/>
    <s v="L"/>
    <s v="R"/>
    <s v="Clear"/>
    <x v="1"/>
    <s v="BF009103, BF009104"/>
    <s v="Y"/>
    <s v="L8"/>
    <x v="44"/>
    <n v="92"/>
    <n v="20"/>
    <s v="N/A"/>
    <s v="N/A"/>
    <n v="0.76"/>
    <n v="200"/>
    <n v="600"/>
    <n v="400"/>
    <n v="120"/>
    <m/>
    <m/>
    <n v="0"/>
    <n v="720"/>
    <s v="N/A"/>
    <n v="72"/>
    <n v="1.048"/>
    <m/>
    <n v="0.93530434782608696"/>
    <n v="0"/>
    <n v="0"/>
    <n v="159.50926339681109"/>
    <n v="174.411075029378"/>
    <n v="346.70404999605103"/>
    <n v="174"/>
    <n v="160.08000000000001"/>
    <n v="0"/>
    <n v="0"/>
    <d v="2020-03-01T00:00:00"/>
    <s v="2020_0041_01092"/>
    <m/>
    <s v="2011-2019 3 Series (F30, 6th gen)"/>
    <n v="4"/>
    <s v="qualified"/>
    <s v="N/A"/>
    <d v="2020-09-01T00:00:00"/>
    <n v="0.65217391304347827"/>
    <s v="50M kg"/>
    <x v="5"/>
    <s v="Clear"/>
  </r>
  <r>
    <s v="NSG"/>
    <s v="Witten"/>
    <s v="BMW"/>
    <s v="F33, F34 3-series Conv. GT"/>
    <s v="ARG"/>
    <x v="2"/>
    <s v="W2040AB"/>
    <s v="L"/>
    <s v="R"/>
    <s v="Clear"/>
    <x v="1"/>
    <s v="BF009718, BF011570 (MT2P)"/>
    <s v="Y"/>
    <s v="L8"/>
    <x v="44"/>
    <n v="98"/>
    <n v="26"/>
    <s v="N/A"/>
    <s v="N/A"/>
    <n v="0.76"/>
    <n v="200"/>
    <n v="600"/>
    <n v="400"/>
    <n v="120"/>
    <n v="200"/>
    <n v="600"/>
    <n v="400"/>
    <n v="120"/>
    <s v="N/A"/>
    <n v="72"/>
    <n v="1.048"/>
    <m/>
    <n v="0.94220408163265323"/>
    <n v="1.0034473469387757"/>
    <n v="835.56492000000003"/>
    <n v="159.50926339681109"/>
    <n v="174.411075029378"/>
    <n v="346.70404999605103"/>
    <n v="347"/>
    <n v="340.06"/>
    <n v="341.23230480000007"/>
    <n v="1312.4319415384618"/>
    <d v="2021-03-01T00:00:00"/>
    <s v="2021_0688_01741, 2023_1861_02918"/>
    <s v="W2040AB LR CLEAR r098x0347 MT2P"/>
    <m/>
    <n v="16"/>
    <m/>
    <s v="N/A"/>
    <d v="2021-03-01T00:00:00"/>
    <n v="0.61224489795918369"/>
    <m/>
    <x v="3"/>
    <s v="Clear"/>
  </r>
  <r>
    <s v="NSG"/>
    <s v="Witten"/>
    <s v="BMW"/>
    <s v="F39 X2"/>
    <s v="OEM"/>
    <x v="1"/>
    <s v="W2240AQ"/>
    <s v="L"/>
    <s v="R"/>
    <s v="Clear"/>
    <x v="0"/>
    <s v="BF011924"/>
    <s v="Y"/>
    <s v="L8"/>
    <x v="44"/>
    <n v="90"/>
    <n v="22"/>
    <s v="N/A"/>
    <s v="N/A"/>
    <n v="0.8"/>
    <n v="200"/>
    <n v="560"/>
    <n v="360"/>
    <n v="120"/>
    <n v="180"/>
    <n v="580"/>
    <n v="400"/>
    <n v="100"/>
    <s v="N/A"/>
    <n v="68"/>
    <n v="1.0720000000000001"/>
    <m/>
    <n v="0.96924444444444446"/>
    <n v="1.0273991111111112"/>
    <n v="874.04208000000006"/>
    <n v="155.93816048494219"/>
    <n v="170.50634946901883"/>
    <n v="338.94201902599013"/>
    <n v="339"/>
    <n v="305.10000000000002"/>
    <n v="313.45946880000002"/>
    <n v="1424.8157672727273"/>
    <d v="2023-08-01T00:00:00"/>
    <s v="2023_2104_03161"/>
    <s v="W2240AQ LR CLEAR r090x0339 MT2P"/>
    <s v="Replaced W2240AB. But never bought any. Fuyao took this windshield."/>
    <m/>
    <m/>
    <m/>
    <m/>
    <n v="0.62222222222222223"/>
    <m/>
    <x v="0"/>
    <m/>
  </r>
  <r>
    <s v="NSG"/>
    <s v="Witten"/>
    <s v="BMW"/>
    <s v="F39 X2"/>
    <s v="OEM"/>
    <x v="1"/>
    <s v="W2240AB"/>
    <s v="L"/>
    <s v="R"/>
    <s v="Clear"/>
    <x v="0"/>
    <s v="BF009713, BF011577 (MT2P)"/>
    <s v="Y"/>
    <s v="L8"/>
    <x v="44"/>
    <n v="92"/>
    <n v="24"/>
    <s v="N/A"/>
    <s v="N/A"/>
    <n v="0.8"/>
    <n v="200"/>
    <n v="560"/>
    <n v="360"/>
    <n v="120"/>
    <n v="160"/>
    <n v="560"/>
    <n v="400"/>
    <n v="120"/>
    <s v="N/A"/>
    <n v="68"/>
    <n v="1.0720000000000001"/>
    <m/>
    <n v="0.97147826086956524"/>
    <n v="1.0297669565217391"/>
    <n v="874.04208000000006"/>
    <n v="155.93816048494219"/>
    <n v="170.50634946901883"/>
    <n v="338.94201902599013"/>
    <n v="339"/>
    <n v="311.88"/>
    <n v="321.16371839999999"/>
    <n v="1338.1821600000001"/>
    <d v="2021-04-01T00:00:00"/>
    <s v="2021_0688_01741"/>
    <s v="W2240AB LR CLEAR r092x0339 MT2P"/>
    <s v="Switched to W2240AQ"/>
    <n v="4"/>
    <m/>
    <s v="N/A"/>
    <d v="2021-04-01T00:00:00"/>
    <n v="0.60869565217391308"/>
    <m/>
    <x v="0"/>
    <s v="Clear"/>
  </r>
  <r>
    <s v="NSG"/>
    <s v="Witten"/>
    <s v="BMW"/>
    <s v="G11 7-series"/>
    <s v="OEM"/>
    <x v="2"/>
    <s v="W2240AA"/>
    <s v="L"/>
    <s v="R"/>
    <s v="Clear"/>
    <x v="0"/>
    <s v="BF009714 (171m), BF010190 (339m), BF010216 (300m)"/>
    <s v="Y"/>
    <s v="L8"/>
    <x v="44"/>
    <n v="96"/>
    <n v="28"/>
    <s v="N/A"/>
    <s v="N/A"/>
    <n v="0.8"/>
    <n v="200"/>
    <n v="560"/>
    <n v="360"/>
    <n v="120"/>
    <n v="160"/>
    <n v="560"/>
    <n v="400"/>
    <n v="120"/>
    <s v="N/A"/>
    <n v="68"/>
    <n v="1.0720000000000001"/>
    <m/>
    <n v="0.97566666666666668"/>
    <n v="1.0342066666666667"/>
    <n v="874.04208000000006"/>
    <n v="155.93816048494219"/>
    <n v="170.50634946901883"/>
    <n v="338.94201902599013"/>
    <n v="300"/>
    <n v="288"/>
    <n v="297.85151999999999"/>
    <n v="1063.7554285714284"/>
    <d v="2021-04-01T00:00:00"/>
    <s v="2021_0688_01741, 2021_1041_02096, 2021_1081_02136"/>
    <s v="_02096 set up long rolls thick end up (MT2Y)"/>
    <m/>
    <n v="4"/>
    <m/>
    <s v="N/A"/>
    <d v="2021-04-01T00:00:00"/>
    <n v="0.58333333333333337"/>
    <m/>
    <x v="0"/>
    <s v="Clear"/>
  </r>
  <r>
    <s v="NSG"/>
    <s v="Witten"/>
    <s v="BMW"/>
    <s v="G14-15-16 8-series Grande Coupe"/>
    <s v="OEM"/>
    <x v="2"/>
    <s v="W2232AB"/>
    <s v="L"/>
    <s v="R"/>
    <s v="Clear"/>
    <x v="0"/>
    <s v="BF009715, BF011575 (MT2P)"/>
    <s v="Y"/>
    <s v="L8"/>
    <x v="50"/>
    <n v="92"/>
    <n v="24"/>
    <s v="N/A"/>
    <s v="N/A"/>
    <n v="0.8"/>
    <n v="200"/>
    <n v="560"/>
    <n v="360"/>
    <n v="120"/>
    <n v="160"/>
    <n v="560"/>
    <n v="400"/>
    <n v="120"/>
    <s v="N/A"/>
    <n v="68"/>
    <n v="1.0176000000000001"/>
    <m/>
    <n v="0.93718260869565218"/>
    <n v="0.99341356521739133"/>
    <n v="868.833664"/>
    <n v="164.27447724042653"/>
    <n v="179.62146878025567"/>
    <n v="357.06156092360601"/>
    <n v="357"/>
    <n v="328.44"/>
    <n v="326.27675135999999"/>
    <n v="1359.4864640000001"/>
    <d v="2021-04-01T00:00:00"/>
    <s v="2021_0688_01741"/>
    <s v="W2232AB LR CLEAR r092x0357 MT2P"/>
    <m/>
    <n v="4"/>
    <m/>
    <s v="N/A"/>
    <d v="2021-04-01T00:00:00"/>
    <n v="0.60869565217391308"/>
    <m/>
    <x v="0"/>
    <s v="Clear"/>
  </r>
  <r>
    <s v="NSG"/>
    <s v="Witten"/>
    <s v="BMW/Toyota"/>
    <s v="G29 Z4, Toyota Supra"/>
    <s v="OEM"/>
    <x v="2"/>
    <s v="W2038AA"/>
    <s v="L"/>
    <s v="R"/>
    <s v="Clear"/>
    <x v="1"/>
    <s v="BF009725, BF011576 (MT2P)"/>
    <s v="Y"/>
    <s v="L8"/>
    <x v="56"/>
    <n v="86"/>
    <n v="24"/>
    <s v="N/A"/>
    <s v="N/A"/>
    <n v="0.76"/>
    <n v="200"/>
    <n v="500"/>
    <n v="300"/>
    <n v="120"/>
    <n v="100"/>
    <n v="500"/>
    <n v="400"/>
    <n v="120"/>
    <s v="N/A"/>
    <n v="62"/>
    <n v="0.99560000000000004"/>
    <m/>
    <n v="0.91067441860465115"/>
    <n v="0.96986825581395353"/>
    <n v="834.25667399999998"/>
    <n v="167.9044877861169"/>
    <n v="183.59060529408214"/>
    <n v="364.9516315747905"/>
    <n v="365"/>
    <n v="313.89999999999998"/>
    <n v="304.44164549999999"/>
    <n v="1268.5068562500001"/>
    <d v="2021-03-01T00:00:00"/>
    <s v="2021_0702_01756, 2023_1861_02918"/>
    <s v="W2038AA LR CLEAR r086x0365 MT2P"/>
    <m/>
    <n v="2"/>
    <m/>
    <s v="N/A"/>
    <d v="2021-03-01T00:00:00"/>
    <n v="0.58139534883720934"/>
    <n v="9375"/>
    <x v="3"/>
    <s v="Clear"/>
  </r>
  <r>
    <s v="NSG"/>
    <s v="Witten"/>
    <s v="Mercedes"/>
    <s v="R323SL Roadster, C192 AMG GT"/>
    <s v="OEM"/>
    <x v="2"/>
    <s v="W2248AA"/>
    <s v="L"/>
    <s v="R"/>
    <s v="Clear"/>
    <x v="0"/>
    <s v="BF009261 (CT1P), BF009262 (MT4P), BF011573 (MT2P)"/>
    <s v="Y"/>
    <s v="L8"/>
    <x v="47"/>
    <n v="82"/>
    <n v="15"/>
    <s v="N/A"/>
    <s v="N/A"/>
    <n v="0.8"/>
    <n v="150"/>
    <n v="550"/>
    <n v="400"/>
    <n v="120"/>
    <n v="150"/>
    <n v="550"/>
    <n v="400"/>
    <n v="120"/>
    <s v="N/A"/>
    <n v="67"/>
    <n v="1.1215999999999999"/>
    <m/>
    <n v="0.99021463414634137"/>
    <n v="1.049627512195122"/>
    <n v="879.250496"/>
    <n v="149.04217906549397"/>
    <n v="162.96612574071699"/>
    <n v="323.95314229302915"/>
    <n v="324"/>
    <n v="265.68"/>
    <n v="278.86503744000004"/>
    <n v="1859.1002496000003"/>
    <d v="2020-09-01T00:00:00"/>
    <s v="2020_0294_01346, 2023_1861_02918"/>
    <s v="W2248AA LR CLEAR r82x0163 CT1P, W2248AA LR CLEAR r82x0163 MT4P, W2248AA LR CLEAR r082x0324 MT2P"/>
    <s v="Should run 2x or even 1x per year since very small volume"/>
    <s v="4 from Sept '20, plus 4 more from Feb '21"/>
    <m/>
    <s v="N/A"/>
    <d v="2020-08-01T00:00:00"/>
    <n v="0.67073170731707321"/>
    <n v="10"/>
    <x v="0"/>
    <s v="Clear"/>
  </r>
  <r>
    <s v="NSG"/>
    <s v="Witten"/>
    <s v="Toyota"/>
    <s v="Yaris"/>
    <s v="OEM"/>
    <x v="1"/>
    <s v="W5036"/>
    <s v="F"/>
    <s v="R1"/>
    <s v="Clear"/>
    <x v="1"/>
    <s v="BF007714"/>
    <s v="N"/>
    <s v="L6"/>
    <x v="15"/>
    <n v="96"/>
    <n v="33"/>
    <s v="N/A"/>
    <s v="N/A"/>
    <n v="0.78"/>
    <n v="200"/>
    <n v="550"/>
    <n v="350"/>
    <n v="80"/>
    <m/>
    <m/>
    <n v="0"/>
    <n v="630"/>
    <s v="N/A"/>
    <n v="63"/>
    <n v="1.0068000000000001"/>
    <m/>
    <n v="0.93238125000000005"/>
    <n v="0.99298603124999996"/>
    <n v="854.24842799999999"/>
    <n v="166.03665876028805"/>
    <n v="181.54827833808915"/>
    <n v="360.89178028989016"/>
    <n v="150"/>
    <n v="144"/>
    <n v="142.98998849999998"/>
    <n v="433.3029954545454"/>
    <d v="2018-04-01T00:00:00"/>
    <s v="Old"/>
    <s v="W5036 FR1 CLEAR r096x0.95x0150 CB1P"/>
    <s v="Development work was done with this W-code"/>
    <m/>
    <s v="went with different roll width"/>
    <s v="N/A"/>
    <m/>
    <n v="0.57291666666666663"/>
    <m/>
    <x v="2"/>
    <s v="Clear"/>
  </r>
  <r>
    <s v="NSG"/>
    <s v="Witten"/>
    <s v="Toyota"/>
    <s v="Yaris"/>
    <s v="OEM"/>
    <x v="1"/>
    <s v="W5036AB"/>
    <s v="F"/>
    <s v="R1"/>
    <s v="Clear"/>
    <x v="1"/>
    <s v="?"/>
    <s v="N"/>
    <s v="L6"/>
    <x v="15"/>
    <n v="98"/>
    <n v="30"/>
    <s v="N/A"/>
    <s v="N/A"/>
    <n v="0.76"/>
    <n v="200"/>
    <n v="550"/>
    <n v="350"/>
    <n v="130"/>
    <m/>
    <m/>
    <n v="0"/>
    <n v="680"/>
    <s v="N/A"/>
    <n v="68"/>
    <n v="1.0047999999999999"/>
    <m/>
    <n v="0.91986938775510207"/>
    <n v="0.97966089795918365"/>
    <n v="832.94842800000004"/>
    <n v="166.36714574030458"/>
    <n v="181.90964035707424"/>
    <n v="361.61011583983031"/>
    <n v="150"/>
    <n v="147"/>
    <n v="144.01015200000001"/>
    <n v="480.03384000000005"/>
    <s v="Oct '20?"/>
    <s v="2020_0389_01441"/>
    <s v="W5036AB FR1 CLEAR R098X0150 CB1P"/>
    <s v="Commercial purchases needed to be 2cm wider"/>
    <m/>
    <s v="qualified"/>
    <s v="N/A"/>
    <m/>
    <n v="0.56122448979591832"/>
    <m/>
    <x v="2"/>
    <s v="Clear"/>
  </r>
  <r>
    <s v="NSG"/>
    <s v="Witten"/>
    <s v="Toyota"/>
    <s v="Yaris Cross TSS3 (369D)"/>
    <s v="OEM"/>
    <x v="2"/>
    <s v="W2260AE"/>
    <s v="L"/>
    <s v="R"/>
    <s v="Clear"/>
    <x v="0"/>
    <s v="BF011558 (CT1P), BF012192 (MT2P)"/>
    <s v="Y"/>
    <s v="L8"/>
    <x v="21"/>
    <n v="98"/>
    <n v="25"/>
    <s v="N/A"/>
    <s v="N/A"/>
    <n v="0.8"/>
    <n v="200"/>
    <n v="600"/>
    <n v="400"/>
    <n v="130"/>
    <n v="200"/>
    <n v="600"/>
    <n v="400"/>
    <n v="130"/>
    <s v="N/A"/>
    <n v="73"/>
    <n v="1.238"/>
    <m/>
    <n v="1.0748673469387757"/>
    <n v="1.1393593877551023"/>
    <n v="887.06312000000003"/>
    <n v="135.02884332783364"/>
    <n v="147.64362409595168"/>
    <n v="293.49422002896728"/>
    <n v="295"/>
    <n v="289.10000000000002"/>
    <n v="329.38879900000006"/>
    <n v="1317.5551960000003"/>
    <d v="2023-01-23T00:00:00"/>
    <s v="2022_1824_02880, 2024_2406_03463"/>
    <s v="W2260AE LR CLEAR r098x0148 CT1P, MT2P"/>
    <m/>
    <m/>
    <m/>
    <s v="N/A"/>
    <m/>
    <n v="0.61224489795918369"/>
    <m/>
    <x v="0"/>
    <s v="Clear"/>
  </r>
  <r>
    <s v="NSG"/>
    <s v="Witten"/>
    <s v="Toyota"/>
    <s v="Yaris TW402"/>
    <s v="OEM"/>
    <x v="2"/>
    <s v="W2036AA"/>
    <s v="L"/>
    <s v="R"/>
    <s v="Clear"/>
    <x v="1"/>
    <s v="BF009727, BF011578 (MT2P)"/>
    <s v="Y"/>
    <s v="L8"/>
    <x v="15"/>
    <n v="98"/>
    <n v="30"/>
    <s v="N/A"/>
    <s v="N/A"/>
    <n v="0.76"/>
    <n v="200"/>
    <n v="550"/>
    <n v="350"/>
    <n v="130"/>
    <n v="150"/>
    <n v="550"/>
    <n v="400"/>
    <n v="130"/>
    <s v="N/A"/>
    <n v="68"/>
    <n v="1.0047999999999999"/>
    <m/>
    <n v="0.91986938775510207"/>
    <n v="0.97966089795918365"/>
    <n v="832.94842800000004"/>
    <n v="166.36714574030458"/>
    <n v="181.90964035707424"/>
    <n v="361.61011583983031"/>
    <n v="362"/>
    <n v="354.76"/>
    <n v="347.54450015999998"/>
    <n v="1158.4816671999999"/>
    <d v="2021-03-01T00:00:00"/>
    <s v="2021_0702_01756, 2023_1861_02918"/>
    <s v="W2036AA LR CLEAR r098x0362 MT2P"/>
    <m/>
    <n v="6"/>
    <m/>
    <s v="N/A"/>
    <m/>
    <n v="0.56122448979591832"/>
    <n v="625"/>
    <x v="3"/>
    <s v="Clear"/>
  </r>
  <r>
    <s v="NSG"/>
    <s v="Witten"/>
    <s v="Toyota"/>
    <s v="Yaris TW402"/>
    <s v="OEM"/>
    <x v="0"/>
    <s v="W2236AA"/>
    <s v="L"/>
    <s v="R"/>
    <s v="Clear"/>
    <x v="0"/>
    <s v="BF010178"/>
    <s v="Y"/>
    <s v="L8"/>
    <x v="15"/>
    <n v="98"/>
    <n v="30"/>
    <s v="N/A"/>
    <s v="N/A"/>
    <n v="0.8"/>
    <n v="200"/>
    <n v="550"/>
    <n v="350"/>
    <n v="130"/>
    <n v="150"/>
    <n v="550"/>
    <n v="400"/>
    <n v="130"/>
    <s v="N/A"/>
    <n v="68"/>
    <n v="1.0448"/>
    <m/>
    <n v="0.959869387755102"/>
    <n v="1.0174615510204081"/>
    <n v="871.43787200000008"/>
    <n v="159.99780631686261"/>
    <n v="174.94525902640521"/>
    <n v="347.76593070048"/>
    <n v="175"/>
    <n v="171.5"/>
    <n v="174.49465599999999"/>
    <n v="581.64885333333336"/>
    <d v="2021-11-01T00:00:00"/>
    <s v="2021_1019_02074"/>
    <s v="MT4Y"/>
    <s v="Acoustic version of W2036AA LR"/>
    <n v="4"/>
    <m/>
    <s v="N/A"/>
    <m/>
    <n v="0.56122448979591832"/>
    <m/>
    <x v="0"/>
    <s v="Clear"/>
  </r>
  <r>
    <s v="NSG"/>
    <s v="Witten"/>
    <s v="Toyota"/>
    <s v="Yaris TW412 Cross"/>
    <s v="OEM"/>
    <x v="1"/>
    <s v="W2252AB"/>
    <s v="L"/>
    <s v="R"/>
    <s v="Clear"/>
    <x v="0"/>
    <s v="BF009801"/>
    <s v="Y"/>
    <s v="L8"/>
    <x v="28"/>
    <n v="98"/>
    <n v="26"/>
    <s v="N/A"/>
    <s v="N/A"/>
    <n v="0.8"/>
    <n v="200"/>
    <n v="600"/>
    <n v="400"/>
    <n v="120"/>
    <n v="200"/>
    <n v="600"/>
    <n v="400"/>
    <n v="120"/>
    <s v="N/A"/>
    <n v="72"/>
    <n v="1.1743999999999999"/>
    <m/>
    <n v="1.0368653061224489"/>
    <n v="1.0990772244897957"/>
    <n v="881.85470400000008"/>
    <n v="142.34137264974288"/>
    <n v="155.63931082321881"/>
    <n v="309.38849148148967"/>
    <n v="155"/>
    <n v="151.9"/>
    <n v="166.94983039999997"/>
    <n v="642.11473230769218"/>
    <d v="2021-04-01T00:00:00"/>
    <s v="2021_0736_01790"/>
    <m/>
    <m/>
    <n v="4"/>
    <m/>
    <s v="N/A"/>
    <m/>
    <n v="0.61224489795918369"/>
    <m/>
    <x v="0"/>
    <s v="Clear"/>
  </r>
  <r>
    <s v="NSG"/>
    <s v="Witten &amp; Maizuru"/>
    <s v="N/A"/>
    <s v="N/A"/>
    <s v="N/A"/>
    <x v="1"/>
    <s v="W5045AA"/>
    <s v="F"/>
    <s v="R1"/>
    <s v="Clear"/>
    <x v="1"/>
    <s v="BF007094, BF007095"/>
    <m/>
    <s v="L6"/>
    <x v="3"/>
    <n v="98"/>
    <m/>
    <s v="N/A"/>
    <s v="N/A"/>
    <m/>
    <m/>
    <m/>
    <n v="0"/>
    <n v="980"/>
    <m/>
    <m/>
    <n v="0"/>
    <n v="980"/>
    <s v="N/A"/>
    <n v="98"/>
    <n v="0.44100000000000006"/>
    <m/>
    <n v="0.22050000000000003"/>
    <n v="0.23483250000000003"/>
    <n v="29.435535000000002"/>
    <n v="379.06056244865761"/>
    <n v="414.47348442355587"/>
    <n v="823.9134793556949"/>
    <s v="30, 150"/>
    <e v="#VALUE!"/>
    <e v="#VALUE!"/>
    <e v="#VALUE!"/>
    <d v="2018-08-01T00:00:00"/>
    <s v="Old"/>
    <m/>
    <s v="Was only for initial testing. Not for a specific vehicle. Same code as SGS"/>
    <m/>
    <m/>
    <s v="N/A"/>
    <m/>
    <m/>
    <m/>
    <x v="2"/>
    <s v="Clear"/>
  </r>
  <r>
    <s v="SGS"/>
    <s v="Cuautla"/>
    <s v="?"/>
    <s v="?"/>
    <s v="OEM"/>
    <x v="1"/>
    <s v="W5022AB"/>
    <s v="D"/>
    <s v="E2"/>
    <s v="Clear"/>
    <x v="1"/>
    <s v="N/A"/>
    <m/>
    <s v="L6"/>
    <x v="42"/>
    <n v="183"/>
    <n v="60"/>
    <s v="N/A"/>
    <s v="N/A"/>
    <n v="0.38"/>
    <n v="240"/>
    <n v="740"/>
    <n v="500"/>
    <n v="490"/>
    <n v="240"/>
    <n v="740"/>
    <n v="500"/>
    <n v="490"/>
    <s v="N/A"/>
    <n v="123"/>
    <n v="0.65060000000000007"/>
    <m/>
    <n v="0.55966065573770496"/>
    <n v="0.59603859836065576"/>
    <n v="419.09070600000001"/>
    <n v="256.94083621250849"/>
    <n v="280.94498406207833"/>
    <n v="558.47808852730009"/>
    <n v="281"/>
    <n v="514.23"/>
    <n v="306.50092843500005"/>
    <n v="510.83488072500012"/>
    <s v="Never"/>
    <s v="2023_2090_03147"/>
    <m/>
    <s v="BPCM was canceled"/>
    <m/>
    <m/>
    <m/>
    <m/>
    <n v="0.40437158469945356"/>
    <m/>
    <x v="2"/>
    <m/>
  </r>
  <r>
    <s v="SGS"/>
    <s v="Cuautla"/>
    <s v="?"/>
    <s v="?"/>
    <m/>
    <x v="1"/>
    <s v="W2272AD"/>
    <s v="K"/>
    <s v="E2"/>
    <s v="Clear"/>
    <x v="0"/>
    <s v="BF012148"/>
    <s v="Y"/>
    <s v="L8"/>
    <x v="32"/>
    <n v="118"/>
    <n v="30"/>
    <s v="N/A"/>
    <s v="N/A"/>
    <n v="0.8"/>
    <n v="240"/>
    <n v="630"/>
    <n v="390"/>
    <n v="250"/>
    <n v="240"/>
    <n v="640"/>
    <n v="400"/>
    <n v="240"/>
    <s v="N/A"/>
    <n v="88"/>
    <n v="1.4336"/>
    <m/>
    <n v="1.1973423728813561"/>
    <n v="1.2691829152542375"/>
    <n v="894.87574400000005"/>
    <n v="116.60554411262419"/>
    <n v="127.49916757169935"/>
    <n v="253.44994726273819"/>
    <n v="253"/>
    <n v="298.54000000000002"/>
    <n v="378.90186752000011"/>
    <n v="1263.0062250666672"/>
    <s v="Never"/>
    <s v="2023_2348_03405"/>
    <s v="W2272AD KE2 CLEAR r118x0253 WT2A"/>
    <s v="Opportunity was canceled before we could extrude a sample"/>
    <m/>
    <m/>
    <m/>
    <m/>
    <n v="0.53389830508474578"/>
    <m/>
    <x v="0"/>
    <m/>
  </r>
  <r>
    <s v="SGS"/>
    <s v="Cuautla"/>
    <s v="BMW"/>
    <s v="2-series (G42)"/>
    <s v="OEM"/>
    <x v="0"/>
    <s v="W2244AM"/>
    <s v="K"/>
    <s v="E2"/>
    <s v="Clear"/>
    <x v="0"/>
    <s v="BF012405"/>
    <s v="Y"/>
    <s v="L8"/>
    <x v="16"/>
    <n v="92"/>
    <n v="22"/>
    <s v="N/A"/>
    <s v="N/A"/>
    <n v="0.8"/>
    <n v="220"/>
    <n v="570"/>
    <n v="350"/>
    <n v="130"/>
    <n v="200"/>
    <n v="600"/>
    <n v="400"/>
    <n v="100"/>
    <s v="N/A"/>
    <n v="70"/>
    <n v="1.1080000000000001"/>
    <m/>
    <n v="0.99082608695652186"/>
    <n v="1.0502756521739132"/>
    <n v="876.64628800000003"/>
    <n v="150.87157765330147"/>
    <n v="164.96643197724563"/>
    <n v="327.92946245113848"/>
    <n v="163"/>
    <n v="149.96"/>
    <n v="157.49933680000004"/>
    <n v="715.90607636363654"/>
    <d v="2024-06-01T00:00:00"/>
    <s v="2024_2643_03701"/>
    <s v="W2244AM KE2 CLEAR r092x0163 CT1P"/>
    <m/>
    <m/>
    <m/>
    <m/>
    <m/>
    <n v="0.61956521739130432"/>
    <m/>
    <x v="1"/>
    <m/>
  </r>
  <r>
    <s v="SGS"/>
    <s v="Cuautla"/>
    <s v="BMW"/>
    <s v="2-series (G42)"/>
    <s v="OEM"/>
    <x v="0"/>
    <s v="W2250AV"/>
    <s v="K"/>
    <s v="E2"/>
    <s v="Clear"/>
    <x v="0"/>
    <s v="BF012381"/>
    <s v="Y"/>
    <s v="L8"/>
    <x v="29"/>
    <n v="87"/>
    <n v="17"/>
    <s v="N/A"/>
    <s v="N/A"/>
    <n v="0.8"/>
    <n v="220"/>
    <n v="570"/>
    <n v="350"/>
    <n v="130"/>
    <n v="200"/>
    <n v="600"/>
    <n v="400"/>
    <n v="100"/>
    <s v="N/A"/>
    <n v="70"/>
    <n v="1.1500000000000001"/>
    <m/>
    <n v="1.0091954022988505"/>
    <n v="1.0697471264367815"/>
    <n v="880.5526000000001"/>
    <n v="145.36148525205044"/>
    <n v="158.94157098329404"/>
    <n v="315.95290817031423"/>
    <n v="157"/>
    <n v="136.59"/>
    <n v="146.11676"/>
    <n v="859.51035294117639"/>
    <d v="2024-06-01T00:00:00"/>
    <s v="2024_2643_03701"/>
    <s v="W2250AV KE2 CLEAR r087x0157 CT1P"/>
    <m/>
    <m/>
    <m/>
    <m/>
    <m/>
    <n v="0.65517241379310343"/>
    <m/>
    <x v="0"/>
    <m/>
  </r>
  <r>
    <s v="SGS"/>
    <s v="Cuautla"/>
    <s v="BMW"/>
    <s v="2-series (G42) &amp; 3-series (G20)"/>
    <s v="OEM"/>
    <x v="0"/>
    <s v="W2241AK"/>
    <s v="K"/>
    <s v="E2"/>
    <s v="Clear"/>
    <x v="0"/>
    <m/>
    <s v="Y"/>
    <s v="L8 &amp; L9"/>
    <x v="24"/>
    <n v="92"/>
    <n v="22"/>
    <s v="N/A"/>
    <s v="N/A"/>
    <n v="0.8"/>
    <n v="210"/>
    <n v="560"/>
    <n v="350"/>
    <n v="140"/>
    <n v="210"/>
    <n v="610"/>
    <n v="400"/>
    <n v="90"/>
    <s v="N/A"/>
    <n v="70"/>
    <n v="1.087"/>
    <m/>
    <n v="0.97781521739130439"/>
    <n v="1.0364841304347825"/>
    <n v="874.69313200000011"/>
    <n v="153.78629994467161"/>
    <n v="168.15345596208667"/>
    <n v="334.2648062519425"/>
    <n v="168"/>
    <n v="154.56"/>
    <n v="160.19898719999998"/>
    <n v="728.17721454545449"/>
    <s v="?"/>
    <s v="2025-0078-0215"/>
    <m/>
    <m/>
    <m/>
    <m/>
    <m/>
    <m/>
    <n v="0.60869565217391308"/>
    <m/>
    <x v="0"/>
    <m/>
  </r>
  <r>
    <s v="SGS"/>
    <s v="Cuautla"/>
    <s v="BMW"/>
    <s v="2-series (G42)"/>
    <s v="OEM"/>
    <x v="0"/>
    <s v="W2245AG"/>
    <s v="K"/>
    <s v="E2"/>
    <s v="Clear"/>
    <x v="0"/>
    <m/>
    <s v="Y"/>
    <s v="L9"/>
    <x v="3"/>
    <n v="110"/>
    <n v="30"/>
    <s v="N/A"/>
    <s v="N/A"/>
    <n v="0.8"/>
    <n v="235"/>
    <n v="635"/>
    <n v="400"/>
    <n v="165"/>
    <n v="235"/>
    <n v="635"/>
    <n v="400"/>
    <n v="165"/>
    <s v="N/A"/>
    <n v="80"/>
    <n v="1.1600000000000001"/>
    <m/>
    <n v="1.0290909090909093"/>
    <n v="1.0908363636363638"/>
    <n v="877.29733999999996"/>
    <n v="144.1083689998776"/>
    <n v="157.57138502654149"/>
    <n v="313.22917620332879"/>
    <n v="158"/>
    <n v="173.8"/>
    <n v="189.58736000000005"/>
    <n v="631.95786666666686"/>
    <m/>
    <m/>
    <m/>
    <m/>
    <m/>
    <m/>
    <m/>
    <m/>
    <m/>
    <m/>
    <x v="1"/>
    <m/>
  </r>
  <r>
    <s v="SGS"/>
    <s v="Cuautla"/>
    <s v="Nissan/Infinity"/>
    <s v="Pathfinder/QX60 (P42R? R53?)"/>
    <s v="OEM"/>
    <x v="2"/>
    <s v="W2264AA"/>
    <s v="K"/>
    <s v="E2"/>
    <s v="Clear"/>
    <x v="0"/>
    <s v="BF009451 (269m), BF010781 (135m)"/>
    <s v="Y"/>
    <s v="L8"/>
    <x v="11"/>
    <n v="116"/>
    <n v="30"/>
    <s v="N/A"/>
    <s v="N/A"/>
    <n v="0.8"/>
    <n v="240"/>
    <n v="630"/>
    <n v="390"/>
    <n v="230"/>
    <n v="230"/>
    <n v="630"/>
    <n v="400"/>
    <n v="230"/>
    <s v="N/A"/>
    <n v="86"/>
    <n v="1.3504"/>
    <m/>
    <n v="1.1463724137931037"/>
    <n v="1.2151547586206901"/>
    <n v="889.66732800000011"/>
    <n v="123.78977194894701"/>
    <n v="135.35456652161446"/>
    <n v="269.06534685712495"/>
    <n v="269"/>
    <n v="312.04000000000002"/>
    <n v="379.17689088000014"/>
    <n v="1263.9229696000004"/>
    <d v="2020-09-01T00:00:00"/>
    <s v="2020_0406_01458 (269m), 2022_1358_02414 (135m)"/>
    <s v="W2264AA KE2 CLEAR r116x0269 WT2A, W2264AA KE2 CLEAR r116x0135 CT4P"/>
    <m/>
    <s v="6 from Sept '20, plus 6 from Nov '20"/>
    <s v="qualified"/>
    <s v="N/A"/>
    <m/>
    <n v="0.5431034482758621"/>
    <n v="50"/>
    <x v="0"/>
    <s v="Clear"/>
  </r>
  <r>
    <s v="SGS"/>
    <s v="Cuautla"/>
    <s v="Nissan/Infinity"/>
    <s v="Pathfinder/QX60 (P42R? R53?)"/>
    <s v="OEM"/>
    <x v="1"/>
    <s v="W2267AA"/>
    <s v="K"/>
    <s v="E2"/>
    <s v="Clear"/>
    <x v="0"/>
    <s v="BF010875"/>
    <s v="Y"/>
    <s v="L8"/>
    <x v="59"/>
    <n v="116"/>
    <n v="30"/>
    <s v="N/A"/>
    <s v="N/A"/>
    <n v="0.8"/>
    <n v="240"/>
    <n v="630"/>
    <n v="390"/>
    <n v="230"/>
    <n v="230"/>
    <n v="630"/>
    <n v="400"/>
    <n v="230"/>
    <s v="N/A"/>
    <n v="86"/>
    <n v="1.3762000000000001"/>
    <m/>
    <n v="1.1626086206896551"/>
    <n v="1.2323651379310345"/>
    <n v="891.62048400000003"/>
    <n v="121.46905103898999"/>
    <n v="132.81703722626665"/>
    <n v="264.02110477827455"/>
    <n v="133"/>
    <n v="154.28"/>
    <n v="190.12929348"/>
    <n v="633.76431160000004"/>
    <d v="2022-06-01T00:00:00"/>
    <s v="2022_1455_02511"/>
    <s v="W2267AA KE2 CLEAR r116x0133 CT4P"/>
    <s v="Increased wedge angle due to ghosting, but never tested"/>
    <m/>
    <m/>
    <s v="N/A"/>
    <m/>
    <n v="0.5431034482758621"/>
    <m/>
    <x v="0"/>
    <s v="Clear"/>
  </r>
  <r>
    <s v="SGS"/>
    <s v="Cuautla"/>
    <s v="VW"/>
    <s v="Atlas (P416PA)"/>
    <s v="OEM"/>
    <x v="1"/>
    <s v="W2262AC"/>
    <s v="K"/>
    <s v="E2"/>
    <s v="Clear"/>
    <x v="0"/>
    <s v="Wasted W-code. Canceled before it was ever extruded."/>
    <s v="Y"/>
    <s v="L9"/>
    <x v="2"/>
    <n v="93"/>
    <n v="30"/>
    <s v="N/A"/>
    <s v="N/A"/>
    <n v="0.8"/>
    <n v="250"/>
    <n v="480"/>
    <n v="230"/>
    <n v="150"/>
    <n v="110"/>
    <n v="510"/>
    <n v="400"/>
    <n v="120"/>
    <s v="N/A"/>
    <n v="63"/>
    <n v="1.1906000000000001"/>
    <m/>
    <n v="1.0583"/>
    <n v="1.1217980000000001"/>
    <n v="888.36522400000001"/>
    <n v="140.40459267584245"/>
    <n v="153.52159132436429"/>
    <n v="305.17877070037076"/>
    <n v="250"/>
    <n v="232.5"/>
    <n v="260.81803500000001"/>
    <n v="869.39345000000003"/>
    <s v="Never"/>
    <s v="2022_1656_02712, 2022_1668_02724, 2022_1707_02763"/>
    <s v=", Thick down"/>
    <m/>
    <m/>
    <m/>
    <s v="N/A"/>
    <m/>
    <n v="0.5161290322580645"/>
    <m/>
    <x v="0"/>
    <s v="Clear"/>
  </r>
  <r>
    <s v="SGS"/>
    <s v="Cuautla"/>
    <s v="VW"/>
    <s v="Atlas (P416PA)"/>
    <s v="OEM"/>
    <x v="1"/>
    <s v="W2264AD"/>
    <s v="K"/>
    <s v="E2"/>
    <s v="Clear"/>
    <x v="0"/>
    <s v="BF011508 (single), BF011686 (4-roll)"/>
    <s v="Y"/>
    <s v="L9"/>
    <x v="11"/>
    <n v="96"/>
    <n v="30"/>
    <s v="N/A"/>
    <s v="N/A"/>
    <n v="0.8"/>
    <n v="262"/>
    <n v="502"/>
    <n v="240"/>
    <n v="158"/>
    <n v="120"/>
    <n v="580"/>
    <n v="460"/>
    <n v="80"/>
    <s v="N/A"/>
    <n v="66"/>
    <n v="1.2223999999999999"/>
    <m/>
    <n v="1.0772000000000002"/>
    <n v="1.1418320000000002"/>
    <n v="889.66732800000011"/>
    <n v="136.75205173417709"/>
    <n v="149.52781956052698"/>
    <n v="297.23972872698096"/>
    <n v="150"/>
    <n v="144"/>
    <n v="164.42380800000004"/>
    <n v="548.07936000000018"/>
    <d v="2023-01-01T00:00:00"/>
    <s v="2022_1789_02845, 2023_1929_02986"/>
    <s v="W2264AD KE2 CLEAR r096x0150 CB1P, W2264AD KE2 CLEAR r096x0150 CB4P"/>
    <s v="Went with 0.72mrad"/>
    <m/>
    <m/>
    <s v="N/A"/>
    <m/>
    <n v="0.5229166666666667"/>
    <m/>
    <x v="0"/>
    <s v="Clear"/>
  </r>
  <r>
    <s v="SGS"/>
    <s v="Cuautla"/>
    <s v="VW"/>
    <s v="Atlas (P416PA)"/>
    <s v="OEM"/>
    <x v="1"/>
    <s v="W2272AB"/>
    <s v="K"/>
    <s v="E2"/>
    <s v="Clear"/>
    <x v="0"/>
    <s v="BF011509 (L9)"/>
    <s v="Y"/>
    <s v="L9"/>
    <x v="32"/>
    <n v="96"/>
    <n v="30"/>
    <s v="N/A"/>
    <s v="N/A"/>
    <n v="0.8"/>
    <n v="267"/>
    <n v="494"/>
    <n v="227"/>
    <n v="166"/>
    <n v="120"/>
    <n v="580"/>
    <n v="460"/>
    <n v="80"/>
    <s v="N/A"/>
    <n v="66"/>
    <n v="1.2752000000000001"/>
    <m/>
    <n v="1.11185"/>
    <n v="1.178561"/>
    <n v="894.87574400000005"/>
    <n v="131.08979614167032"/>
    <n v="143.33657985475858"/>
    <n v="284.93243757517359"/>
    <n v="143"/>
    <n v="137.28"/>
    <n v="161.79285407999998"/>
    <n v="539.30951359999995"/>
    <s v="Never"/>
    <s v="2022_1789_02845 (L9)"/>
    <s v="W2272AB KE2 CLEAR R096X0143 CB1P"/>
    <s v="Not made on L9 due to steep wedge angle"/>
    <m/>
    <m/>
    <s v="N/A"/>
    <m/>
    <n v="0.51458333333333328"/>
    <m/>
    <x v="0"/>
    <s v="Clear"/>
  </r>
  <r>
    <s v="SGS"/>
    <s v="Cuautla"/>
    <s v="VW"/>
    <s v="Atlas (P416PA)"/>
    <s v="OEM"/>
    <x v="2"/>
    <s v="W2272AC"/>
    <s v="K"/>
    <s v="E2"/>
    <s v="Clear"/>
    <x v="0"/>
    <s v="BF011560 (single), BF011685 (4-roll), BF012715 (CT2A)"/>
    <s v="Y"/>
    <s v="L8"/>
    <x v="32"/>
    <n v="96"/>
    <n v="30"/>
    <s v="N/A"/>
    <s v="N/A"/>
    <n v="0.8"/>
    <n v="267"/>
    <n v="494"/>
    <n v="227"/>
    <n v="166"/>
    <n v="120"/>
    <n v="580"/>
    <n v="460"/>
    <n v="80"/>
    <s v="N/A"/>
    <n v="66"/>
    <n v="1.2752000000000001"/>
    <m/>
    <n v="1.11185"/>
    <n v="1.178561"/>
    <n v="894.87574400000005"/>
    <n v="131.08979614167032"/>
    <n v="143.33657985475858"/>
    <n v="284.93243757517359"/>
    <n v="143"/>
    <n v="137.28"/>
    <n v="161.79285407999998"/>
    <n v="539.30951359999995"/>
    <d v="2023-01-23T00:00:00"/>
    <s v="2022_1810_02866, 2023_1928_02985, 2024_2920_03978"/>
    <s v="W2272AC KE2 CLEAR r096x0143 CT1P, W2272AC KE2 CLEAR r096x0143 WT4A, W2272AC KE2 CLEAR r096x0285 CT2A"/>
    <s v="New W-code since difficult to extend codes from Ulsan to TDF"/>
    <m/>
    <m/>
    <s v="N/A"/>
    <m/>
    <n v="0.51458333333333328"/>
    <m/>
    <x v="0"/>
    <s v="Clear"/>
  </r>
  <r>
    <s v="SGS"/>
    <s v="Cuautla"/>
    <s v="VW"/>
    <s v="Atlas (P416PA)"/>
    <s v="OEM"/>
    <x v="2"/>
    <s v="W2272AE"/>
    <s v="K"/>
    <s v="E2"/>
    <s v="Clear"/>
    <x v="0"/>
    <m/>
    <s v="Y"/>
    <s v="L9"/>
    <x v="32"/>
    <n v="96"/>
    <n v="30"/>
    <s v="N/A"/>
    <s v="N/A"/>
    <n v="0.8"/>
    <n v="267"/>
    <n v="494"/>
    <n v="227"/>
    <n v="166"/>
    <n v="120"/>
    <n v="570"/>
    <n v="450"/>
    <n v="90"/>
    <s v="N/A"/>
    <n v="66"/>
    <n v="1.2752000000000001"/>
    <m/>
    <n v="1.11185"/>
    <n v="1.178561"/>
    <n v="894.87574400000005"/>
    <n v="131.08979614167032"/>
    <n v="143.33657985475858"/>
    <n v="284.93243757517359"/>
    <n v="285"/>
    <n v="273.60000000000002"/>
    <n v="322.45428960000004"/>
    <n v="1074.8476320000002"/>
    <m/>
    <m/>
    <m/>
    <m/>
    <m/>
    <m/>
    <m/>
    <m/>
    <m/>
    <m/>
    <x v="0"/>
    <m/>
  </r>
  <r>
    <s v="SGS"/>
    <s v="Cuautla"/>
    <s v="VW"/>
    <s v="Tayron (VW336)"/>
    <s v="OEM"/>
    <x v="2"/>
    <s v="W2254AF"/>
    <s v="K"/>
    <s v="E2"/>
    <s v="Clear"/>
    <x v="0"/>
    <s v="BF01179 (CT1P)7, BF012196 (WT4A)"/>
    <s v="Y"/>
    <s v="L8"/>
    <x v="38"/>
    <n v="99"/>
    <n v="28"/>
    <s v="N/A"/>
    <s v="N/A"/>
    <n v="0.8"/>
    <n v="325"/>
    <n v="585"/>
    <n v="260"/>
    <n v="125"/>
    <n v="185"/>
    <n v="585"/>
    <n v="400"/>
    <n v="125"/>
    <s v="N/A"/>
    <n v="71"/>
    <n v="1.1834"/>
    <m/>
    <n v="1.0459181818181817"/>
    <n v="1.1086732727272726"/>
    <n v="883.15680800000007"/>
    <n v="141.25883728228666"/>
    <n v="154.45564190534745"/>
    <n v="307.03552847377176"/>
    <n v="154"/>
    <n v="152.46"/>
    <n v="169.02832715999998"/>
    <n v="603.67259699999988"/>
    <d v="2023-06-01T00:00:00"/>
    <s v="2023_2016_03073, 2024_2413_03470"/>
    <s v="W2254AF KE2 CLEAR r099x0154 CT1P, W2254AF KE2 CLEAR r099x0154 WT4A"/>
    <m/>
    <m/>
    <m/>
    <s v="N/A"/>
    <m/>
    <n v="0.59090909090909094"/>
    <m/>
    <x v="0"/>
    <s v="Clear"/>
  </r>
  <r>
    <s v="SGS"/>
    <s v="Cuautla"/>
    <s v="VW"/>
    <s v="Tayron (VW336)"/>
    <s v="OEM"/>
    <x v="2"/>
    <s v="W2254AK"/>
    <s v="K"/>
    <s v="E2"/>
    <s v="Clear"/>
    <x v="0"/>
    <m/>
    <s v="Y"/>
    <s v="L9"/>
    <x v="38"/>
    <n v="99"/>
    <n v="27"/>
    <s v="N/A"/>
    <s v="N/A"/>
    <n v="0.8"/>
    <n v="325"/>
    <n v="585"/>
    <n v="260"/>
    <n v="135"/>
    <n v="185"/>
    <n v="585"/>
    <n v="400"/>
    <n v="135"/>
    <s v="N/A"/>
    <n v="72"/>
    <n v="1.1888000000000001"/>
    <m/>
    <n v="1.0474181818181818"/>
    <n v="1.1102632727272728"/>
    <n v="883.15680800000007"/>
    <n v="140.61718374819819"/>
    <n v="153.75404326277604"/>
    <n v="305.64085161159272"/>
    <n v="154"/>
    <n v="152.46"/>
    <n v="169.27073856000001"/>
    <n v="626.92866133333337"/>
    <m/>
    <m/>
    <m/>
    <m/>
    <m/>
    <m/>
    <m/>
    <m/>
    <m/>
    <m/>
    <x v="1"/>
    <s v="Clear"/>
  </r>
  <r>
    <s v="SGS"/>
    <s v="Herzogenrath"/>
    <s v="Porsche"/>
    <s v="EV (PO426)"/>
    <s v="OEM"/>
    <x v="0"/>
    <s v="W2220AE"/>
    <s v="K"/>
    <s v="E2"/>
    <s v="Clear"/>
    <x v="0"/>
    <s v="BF012681"/>
    <s v="Y"/>
    <s v="L8"/>
    <x v="13"/>
    <n v="103"/>
    <n v="20"/>
    <s v="N/A"/>
    <s v="N/A"/>
    <n v="0.8"/>
    <n v="270"/>
    <n v="660"/>
    <n v="390"/>
    <n v="170"/>
    <n v="260"/>
    <n v="660"/>
    <n v="400"/>
    <n v="170"/>
    <s v="N/A"/>
    <n v="83"/>
    <n v="0.96600000000000008"/>
    <m/>
    <n v="0.899116504854369"/>
    <n v="0.95306349514563116"/>
    <n v="861.02103999999997"/>
    <n v="173.04938720482198"/>
    <n v="189.21615593249291"/>
    <n v="376.13441448846942"/>
    <n v="376"/>
    <n v="387.28"/>
    <n v="369.1024304"/>
    <n v="1845.512152"/>
    <d v="2024-12-01T00:00:00"/>
    <s v="2024_2876_03934"/>
    <m/>
    <m/>
    <m/>
    <m/>
    <m/>
    <m/>
    <m/>
    <m/>
    <x v="1"/>
    <m/>
  </r>
  <r>
    <s v="SGS"/>
    <s v="Herzogenrath"/>
    <s v="n/a"/>
    <s v="lab validation"/>
    <s v="OEM"/>
    <x v="0"/>
    <s v="W2222AF"/>
    <s v="K"/>
    <s v="R"/>
    <s v="Clear"/>
    <x v="0"/>
    <s v="tbd"/>
    <s v="Y"/>
    <s v="L8"/>
    <x v="42"/>
    <n v="121"/>
    <n v="20"/>
    <s v="N/A"/>
    <s v="N/A"/>
    <n v="0.8"/>
    <n v="230"/>
    <n v="860"/>
    <n v="630"/>
    <n v="150"/>
    <n v="230"/>
    <n v="860"/>
    <n v="630"/>
    <n v="150"/>
    <s v="N/A"/>
    <n v="101"/>
    <n v="1.0222"/>
    <m/>
    <n v="0.92946363636363638"/>
    <n v="0.98523145454545458"/>
    <n v="862.32314400000007"/>
    <n v="163.53522602216594"/>
    <n v="178.81315459869708"/>
    <n v="355.4547489687551"/>
    <n v="179"/>
    <n v="216.59"/>
    <n v="213.39128074000001"/>
    <n v="1066.9564037"/>
    <s v="?"/>
    <s v="2025-0178-0319"/>
    <m/>
    <m/>
    <m/>
    <m/>
    <m/>
    <m/>
    <m/>
    <m/>
    <x v="1"/>
    <m/>
  </r>
  <r>
    <s v="SGS"/>
    <s v="Herzogenrath"/>
    <s v="VW"/>
    <s v="Idx (VW413)"/>
    <s v="OEM"/>
    <x v="0"/>
    <s v="W2225AG"/>
    <s v="K"/>
    <s v="E2"/>
    <s v="Clear"/>
    <x v="0"/>
    <s v="BF012680"/>
    <s v="Y"/>
    <s v="L8 &amp; L9"/>
    <x v="30"/>
    <n v="119"/>
    <n v="20"/>
    <s v="N/A"/>
    <s v="N/A"/>
    <n v="0.8"/>
    <n v="238"/>
    <n v="854"/>
    <n v="616"/>
    <n v="136"/>
    <n v="230"/>
    <n v="860"/>
    <n v="630"/>
    <n v="130"/>
    <s v="N/A"/>
    <n v="99"/>
    <n v="1.0475000000000001"/>
    <m/>
    <n v="0.94454831932773109"/>
    <n v="1.001221218487395"/>
    <n v="864.27630000000011"/>
    <n v="159.58540147003151"/>
    <n v="174.49432613917725"/>
    <n v="346.86954118936649"/>
    <n v="347"/>
    <n v="412.93"/>
    <n v="413.43427775000004"/>
    <n v="2067.17138875"/>
    <d v="2024-12-01T00:00:00"/>
    <s v="2024_2876_03934"/>
    <m/>
    <m/>
    <m/>
    <m/>
    <m/>
    <m/>
    <m/>
    <m/>
    <x v="1"/>
    <m/>
  </r>
  <r>
    <s v="SGS"/>
    <s v="Herzogenrath"/>
    <s v="VW"/>
    <s v="Tiguan (VW336)"/>
    <s v="OEM"/>
    <x v="0"/>
    <s v="W2254AJ"/>
    <s v="K"/>
    <s v="E2"/>
    <s v="Clear"/>
    <x v="0"/>
    <s v="BF012679"/>
    <s v="Y"/>
    <s v="L8 &amp; L9"/>
    <x v="38"/>
    <n v="104"/>
    <n v="30"/>
    <s v="N/A"/>
    <s v="N/A"/>
    <n v="0.8"/>
    <n v="300"/>
    <n v="580"/>
    <n v="280"/>
    <n v="160"/>
    <n v="250"/>
    <n v="650"/>
    <n v="400"/>
    <n v="90"/>
    <s v="N/A"/>
    <n v="74"/>
    <n v="1.1996"/>
    <m/>
    <n v="1.0574346153846155"/>
    <n v="1.1208806923076924"/>
    <n v="883.15680800000007"/>
    <n v="139.35120710224911"/>
    <n v="152.36979545747599"/>
    <n v="302.88916671879082"/>
    <n v="303"/>
    <n v="315.12"/>
    <n v="353.21192376000005"/>
    <n v="1177.3730792000001"/>
    <d v="2024-12-01T00:00:00"/>
    <s v="2024_2876_03934"/>
    <m/>
    <m/>
    <m/>
    <m/>
    <m/>
    <m/>
    <m/>
    <m/>
    <x v="1"/>
    <m/>
  </r>
  <r>
    <s v="SGS"/>
    <s v="Horovice"/>
    <s v="Audi"/>
    <s v="e-tron (513-2)"/>
    <s v="OEM"/>
    <x v="0"/>
    <s v="W2240AE"/>
    <s v="K"/>
    <s v="E2"/>
    <s v="Clear"/>
    <x v="0"/>
    <s v="BF010388"/>
    <s v="Y"/>
    <s v="L8"/>
    <x v="44"/>
    <n v="98"/>
    <n v="26"/>
    <s v="N/A"/>
    <s v="N/A"/>
    <n v="0.8"/>
    <n v="215"/>
    <n v="596"/>
    <n v="381"/>
    <n v="124"/>
    <n v="196"/>
    <n v="596"/>
    <n v="400"/>
    <n v="124"/>
    <s v="N/A"/>
    <n v="72"/>
    <n v="1.0880000000000001"/>
    <m/>
    <n v="0.98220408163265305"/>
    <n v="1.0411363265306122"/>
    <n v="874.04208000000006"/>
    <n v="153.64495224251655"/>
    <n v="167.99890315329793"/>
    <n v="333.95757756972563"/>
    <n v="168"/>
    <n v="164.64"/>
    <n v="171.41268479999997"/>
    <n v="659.27955692307671"/>
    <d v="2022-02-01T00:00:00"/>
    <s v="2021_1128_02183"/>
    <m/>
    <s v="For comparison with Sekisui"/>
    <m/>
    <m/>
    <s v="N/A"/>
    <m/>
    <n v="0.60816326530612241"/>
    <m/>
    <x v="0"/>
    <s v="Clear"/>
  </r>
  <r>
    <s v="SGS"/>
    <s v="Horovice"/>
    <s v="BMW"/>
    <s v="F01(7-er 2008-2015) &amp; E70 (X5 2007-2010)"/>
    <s v="ARG"/>
    <x v="0"/>
    <s v="W2041AA"/>
    <s v="K"/>
    <s v="E2"/>
    <s v="Clear"/>
    <x v="1"/>
    <m/>
    <s v="Y"/>
    <s v="L8"/>
    <x v="24"/>
    <n v="105"/>
    <n v="25"/>
    <s v="N/A"/>
    <s v="N/A"/>
    <n v="0.76"/>
    <n v="235"/>
    <n v="615"/>
    <n v="380"/>
    <n v="185"/>
    <n v="220"/>
    <n v="620"/>
    <n v="400"/>
    <n v="180"/>
    <s v="N/A"/>
    <n v="80"/>
    <n v="1.0880000000000001"/>
    <m/>
    <n v="0.96304761904761904"/>
    <n v="1.0256457142857143"/>
    <n v="836.21904300000006"/>
    <n v="153.64495224251655"/>
    <n v="167.99890315329793"/>
    <n v="333.95757756972563"/>
    <n v="334"/>
    <n v="350.7"/>
    <n v="359.69395199999997"/>
    <n v="1438.7758079999999"/>
    <s v="?"/>
    <s v="2025-0102-0239"/>
    <m/>
    <m/>
    <m/>
    <m/>
    <m/>
    <m/>
    <n v="0.58571428571428574"/>
    <m/>
    <x v="3"/>
    <m/>
  </r>
  <r>
    <s v="SGS"/>
    <s v="Horovice"/>
    <s v="Land Rover"/>
    <s v="Range Rover (L460)"/>
    <s v="OEM"/>
    <x v="2"/>
    <s v="W2267AC"/>
    <s v="K"/>
    <s v="E2"/>
    <s v="Clear"/>
    <x v="0"/>
    <s v="BF012121"/>
    <s v="Y"/>
    <s v="L8 &amp; L9"/>
    <x v="59"/>
    <n v="110"/>
    <n v="30"/>
    <s v="N/A"/>
    <s v="N/A"/>
    <n v="0.8"/>
    <n v="280"/>
    <n v="600"/>
    <n v="320"/>
    <n v="200"/>
    <n v="200"/>
    <n v="600"/>
    <n v="400"/>
    <n v="200"/>
    <s v="N/A"/>
    <n v="80"/>
    <n v="1.3360000000000001"/>
    <m/>
    <n v="1.1410909090909092"/>
    <n v="1.2095563636363635"/>
    <n v="891.62048400000003"/>
    <n v="125.1240329639656"/>
    <n v="136.81347801705704"/>
    <n v="271.9654523921119"/>
    <n v="272"/>
    <n v="299.2"/>
    <n v="361.89926399999996"/>
    <n v="1206.33088"/>
    <d v="2023-12-01T00:00:00"/>
    <s v="2023_2314_03371"/>
    <s v="W2267AC KE2 CLEAR r110x0272 MT2P"/>
    <m/>
    <m/>
    <m/>
    <m/>
    <m/>
    <n v="0.54545454545454541"/>
    <m/>
    <x v="0"/>
    <m/>
  </r>
  <r>
    <s v="SGS"/>
    <s v="Horovice"/>
    <s v="Land Rover"/>
    <s v="Range Rover Sport (L461)"/>
    <s v="OEM"/>
    <x v="2"/>
    <s v="W2260AJ"/>
    <s v="K"/>
    <s v="E2"/>
    <s v="Clear"/>
    <x v="0"/>
    <s v="BF012120"/>
    <s v="Y"/>
    <s v="L8 &amp; L9"/>
    <x v="21"/>
    <n v="110"/>
    <n v="30"/>
    <s v="N/A"/>
    <s v="N/A"/>
    <n v="0.8"/>
    <n v="280"/>
    <n v="600"/>
    <n v="320"/>
    <n v="200"/>
    <n v="200"/>
    <n v="600"/>
    <n v="400"/>
    <n v="200"/>
    <s v="N/A"/>
    <n v="80"/>
    <n v="1.28"/>
    <m/>
    <n v="1.1054545454545455"/>
    <n v="1.1717818181818183"/>
    <n v="887.06312000000003"/>
    <n v="130.59820940613909"/>
    <n v="142.79906768030324"/>
    <n v="283.86394093426674"/>
    <n v="284"/>
    <n v="312.39999999999998"/>
    <n v="366.06464"/>
    <n v="1220.2154666666668"/>
    <d v="2023-12-01T00:00:00"/>
    <s v="2023_2314_03371"/>
    <s v="W2260AJ KE2 CLEAR r110x0284 MT2P"/>
    <m/>
    <m/>
    <m/>
    <m/>
    <m/>
    <n v="0.54545454545454541"/>
    <m/>
    <x v="0"/>
    <m/>
  </r>
  <r>
    <s v="SGS"/>
    <s v="Horovice"/>
    <s v="Porsche"/>
    <s v="Cayenne (536)"/>
    <s v="OEM"/>
    <x v="1"/>
    <s v="W2235AA"/>
    <s v="K"/>
    <s v="E2"/>
    <s v="Clear"/>
    <x v="0"/>
    <s v="BF010217"/>
    <s v="Y"/>
    <s v="L8"/>
    <x v="7"/>
    <n v="98"/>
    <n v="28"/>
    <s v="N/A"/>
    <s v="N/A"/>
    <n v="0.8"/>
    <n v="260"/>
    <n v="570"/>
    <n v="310"/>
    <n v="130"/>
    <n v="170"/>
    <n v="570"/>
    <n v="400"/>
    <n v="130"/>
    <s v="N/A"/>
    <n v="70"/>
    <n v="1.0449999999999999"/>
    <m/>
    <n v="0.95750000000000013"/>
    <n v="1.0149500000000002"/>
    <n v="870.78682000000003"/>
    <n v="159.9671847271369"/>
    <n v="174.91177668018008"/>
    <n v="347.69937262761863"/>
    <n v="175"/>
    <n v="171.5"/>
    <n v="174.06392500000004"/>
    <n v="621.65687500000013"/>
    <s v="Never"/>
    <s v="2021_1082_02137"/>
    <m/>
    <s v="To compare with Sekisui's straight-line wedge, but we never produced this SKU"/>
    <s v="Never produced"/>
    <m/>
    <s v="N/A"/>
    <m/>
    <n v="0.58163265306122447"/>
    <m/>
    <x v="0"/>
    <s v="Clear"/>
  </r>
  <r>
    <s v="SGS"/>
    <s v="Horovice"/>
    <s v="Skoda"/>
    <s v="Octavia (SK381)"/>
    <s v="OEM"/>
    <x v="2"/>
    <s v="W2251AE"/>
    <s v="K"/>
    <s v="E2"/>
    <s v="Clear"/>
    <x v="0"/>
    <s v="BF011589"/>
    <s v="Y"/>
    <s v="L8 &amp; L9"/>
    <x v="1"/>
    <n v="101"/>
    <n v="25"/>
    <s v="N/A"/>
    <s v="N/A"/>
    <n v="0.8"/>
    <n v="200"/>
    <n v="600"/>
    <n v="400"/>
    <n v="160"/>
    <n v="200"/>
    <n v="600"/>
    <n v="400"/>
    <n v="160"/>
    <s v="N/A"/>
    <n v="76"/>
    <n v="1.1876000000000002"/>
    <m/>
    <n v="1.0417702970297031"/>
    <n v="1.1042765148514853"/>
    <n v="881.20365200000003"/>
    <n v="140.75926914774166"/>
    <n v="153.90940268675322"/>
    <n v="305.94968372841146"/>
    <n v="306"/>
    <n v="309.06"/>
    <n v="341.28769968000006"/>
    <n v="1365.1507987200002"/>
    <d v="2023-03-01T00:00:00"/>
    <s v="2023_1873_02930"/>
    <m/>
    <m/>
    <m/>
    <m/>
    <s v="N/A"/>
    <m/>
    <n v="0.59405940594059403"/>
    <m/>
    <x v="0"/>
    <s v="Clear"/>
  </r>
  <r>
    <s v="SGS"/>
    <s v="Horovice"/>
    <s v="Volvo"/>
    <s v="XC60 (V426)"/>
    <s v="OEM"/>
    <x v="2"/>
    <s v="W2241AA"/>
    <s v="K"/>
    <s v="E2"/>
    <s v="Clear"/>
    <x v="0"/>
    <s v="BF009793 (164m), BF011210 (326m)"/>
    <s v="Y"/>
    <s v="L8 &amp; L9"/>
    <x v="24"/>
    <n v="111"/>
    <n v="34"/>
    <s v="N/A"/>
    <s v="N/A"/>
    <n v="0.8"/>
    <n v="280"/>
    <n v="600"/>
    <n v="320"/>
    <n v="170"/>
    <n v="200"/>
    <n v="600"/>
    <n v="400"/>
    <n v="170"/>
    <s v="N/A"/>
    <n v="77"/>
    <n v="1.1156999999999999"/>
    <m/>
    <n v="1.0062004504504503"/>
    <n v="1.0665724774774772"/>
    <n v="874.69313200000011"/>
    <n v="149.83033794017931"/>
    <n v="163.82791667185461"/>
    <n v="325.66625830945731"/>
    <n v="326"/>
    <n v="361.86"/>
    <n v="385.9499166999999"/>
    <n v="1135.1468138235291"/>
    <d v="2021-03-01T00:00:00"/>
    <s v="2021_0745_01799, 2022_1628_02684"/>
    <s v="W2241AA KE2 CLEAR r111x0164 MT4, W2241AA KE2 CLEAR r111x0326 MT2P"/>
    <s v="F5 version of W1241AC"/>
    <m/>
    <m/>
    <s v="N/A"/>
    <d v="2021-03-01T00:00:00"/>
    <n v="0.54054054054054057"/>
    <m/>
    <x v="0"/>
    <s v="Clear"/>
  </r>
  <r>
    <s v="SGS"/>
    <s v="Horovice"/>
    <s v="Volvo"/>
    <s v="XC60 (V426)"/>
    <s v="OEM"/>
    <x v="1"/>
    <s v="W1241"/>
    <s v="K"/>
    <s v="E2"/>
    <s v="Clear"/>
    <x v="0"/>
    <s v="BF007855, BF009161"/>
    <s v="Y"/>
    <s v="L8"/>
    <x v="24"/>
    <n v="107"/>
    <n v="30"/>
    <s v="N/A"/>
    <s v="N/A"/>
    <n v="0.8"/>
    <n v="280"/>
    <n v="600"/>
    <n v="320"/>
    <n v="170"/>
    <m/>
    <m/>
    <n v="0"/>
    <n v="770"/>
    <s v="N/A"/>
    <n v="77"/>
    <n v="1.1156999999999999"/>
    <m/>
    <n v="1.0021070093457944"/>
    <n v="0"/>
    <n v="0"/>
    <n v="149.83033794017931"/>
    <n v="163.82791667185461"/>
    <n v="325.66625830945731"/>
    <n v="164"/>
    <n v="175.48"/>
    <n v="0"/>
    <n v="0"/>
    <d v="2019-07-01T00:00:00"/>
    <s v="2020_0153_01205"/>
    <s v="W1241 KE2 Clear r107x0.95x0164 MT4P, W1241 KE2 CLEAR r107x0.95x0150 MT4P"/>
    <m/>
    <n v="12"/>
    <s v="qualified"/>
    <s v="N/A"/>
    <s v="June 2020?"/>
    <n v="0.56074766355140182"/>
    <m/>
    <x v="6"/>
    <s v="Clear"/>
  </r>
  <r>
    <s v="SGS"/>
    <s v="Horovice"/>
    <s v="Volvo"/>
    <s v="XC60 (V426)"/>
    <s v="OEM"/>
    <x v="1"/>
    <s v="W1241AC"/>
    <s v="K"/>
    <s v="E2"/>
    <s v="Clear"/>
    <x v="0"/>
    <s v="BF009488"/>
    <s v="Y"/>
    <s v="L8"/>
    <x v="24"/>
    <n v="111"/>
    <n v="34"/>
    <s v="N/A"/>
    <s v="N/A"/>
    <n v="0.8"/>
    <n v="280"/>
    <n v="600"/>
    <n v="320"/>
    <n v="170"/>
    <m/>
    <m/>
    <n v="0"/>
    <n v="770"/>
    <s v="N/A"/>
    <n v="77"/>
    <n v="1.1156999999999999"/>
    <m/>
    <n v="1.0062004504504503"/>
    <n v="0"/>
    <n v="0"/>
    <n v="149.83033794017931"/>
    <n v="163.82791667185461"/>
    <n v="325.66625830945731"/>
    <n v="164"/>
    <n v="182.04"/>
    <n v="0"/>
    <n v="0"/>
    <d v="2020-11-01T00:00:00"/>
    <s v="2020_0458_01510"/>
    <s v="W1241AC KE2 r111x0164 MT4P"/>
    <m/>
    <s v="None.  Went straight to commercial production."/>
    <s v="qualified"/>
    <s v="N/A"/>
    <s v="Nov 2020?"/>
    <n v="0.54054054054054057"/>
    <m/>
    <x v="6"/>
    <s v="Clear"/>
  </r>
  <r>
    <s v="SGS"/>
    <s v="Horovice"/>
    <s v="VW"/>
    <s v="Tiguan? (VW316)"/>
    <s v="OEM"/>
    <x v="2"/>
    <s v="W2231AA"/>
    <s v="K"/>
    <s v="E2"/>
    <s v="Clear"/>
    <x v="0"/>
    <s v="BF012662 (CT1P), BF012663 (MT2P)"/>
    <s v="Y"/>
    <s v="L8 &amp; L9"/>
    <x v="46"/>
    <n v="110"/>
    <n v="16"/>
    <s v="N/A"/>
    <s v="N/A"/>
    <n v="0.8"/>
    <n v="195"/>
    <n v="810"/>
    <n v="615"/>
    <n v="130"/>
    <n v="195"/>
    <n v="810"/>
    <n v="615"/>
    <n v="130"/>
    <s v="N/A"/>
    <n v="94"/>
    <n v="1.0914000000000001"/>
    <m/>
    <n v="0.96689272727272735"/>
    <n v="1.0249062909090909"/>
    <n v="868.18261199999995"/>
    <n v="153.16630753148067"/>
    <n v="167.47554208428454"/>
    <n v="332.91721128446159"/>
    <s v="167, 333"/>
    <e v="#VALUE!"/>
    <e v="#VALUE!"/>
    <e v="#VALUE!"/>
    <d v="2024-11-01T00:00:00"/>
    <s v="2024_2856_03914"/>
    <s v="W2231AA KE2 CLEAR r110x0167 CT1P, W2231AA KE2 CLEAR r110x0333 MT2P"/>
    <m/>
    <m/>
    <m/>
    <m/>
    <m/>
    <n v="0.73636363636363633"/>
    <m/>
    <x v="0"/>
    <m/>
  </r>
  <r>
    <s v="SGS"/>
    <s v="HRDC"/>
    <s v="None"/>
    <s v="None"/>
    <m/>
    <x v="1"/>
    <s v="W5045"/>
    <s v="B"/>
    <s v="R1"/>
    <s v="Clear"/>
    <x v="1"/>
    <s v="BF007093"/>
    <m/>
    <s v="L6"/>
    <x v="3"/>
    <n v="98"/>
    <m/>
    <s v="N/A"/>
    <s v="N/A"/>
    <m/>
    <n v="200"/>
    <n v="600"/>
    <n v="400"/>
    <n v="380"/>
    <m/>
    <m/>
    <n v="0"/>
    <n v="980"/>
    <s v="N/A"/>
    <n v="98"/>
    <n v="0.44100000000000006"/>
    <m/>
    <n v="0.22050000000000003"/>
    <n v="0.23483250000000003"/>
    <n v="29.435535000000002"/>
    <n v="379.06056244865761"/>
    <n v="414.47348442355587"/>
    <n v="823.9134793556949"/>
    <n v="30"/>
    <n v="29.4"/>
    <n v="6.9040755000000003"/>
    <e v="#DIV/0!"/>
    <s v="Produced"/>
    <s v="Old"/>
    <s v="W5045 BR1 CLEAR i098x0.95x0030 CB1P"/>
    <s v="For initial testing only"/>
    <m/>
    <m/>
    <s v="N/A"/>
    <m/>
    <n v="0.61224489795918369"/>
    <m/>
    <x v="2"/>
    <s v="Clear"/>
  </r>
  <r>
    <s v="SGS"/>
    <s v="HRDC"/>
    <m/>
    <m/>
    <m/>
    <x v="1"/>
    <s v="W2340AB"/>
    <s v="K"/>
    <s v="E2"/>
    <s v="Blue"/>
    <x v="0"/>
    <s v="BF008373"/>
    <s v="Y"/>
    <s v="L8"/>
    <x v="44"/>
    <n v="107"/>
    <n v="25"/>
    <n v="15"/>
    <n v="92"/>
    <n v="0.8"/>
    <n v="200"/>
    <n v="500"/>
    <n v="300"/>
    <n v="320"/>
    <m/>
    <m/>
    <n v="0"/>
    <n v="820"/>
    <n v="100"/>
    <n v="82"/>
    <n v="1.1280000000000001"/>
    <m/>
    <n v="1.0023177570093458"/>
    <n v="1.0624568224299065"/>
    <n v="874.04208000000006"/>
    <n v="148.19654968072518"/>
    <n v="162.04149524006041"/>
    <n v="322.115110280019"/>
    <n v="15"/>
    <n v="16.05"/>
    <n v="17.052432"/>
    <n v="68.209727999999998"/>
    <d v="2019-10-01T00:00:00"/>
    <s v="Old"/>
    <s v="W2340AB KE2 BLU2 R107/15X0015 CT1P"/>
    <s v="Initial F5 validation testing. Extruded in 2019 as W2340 KR?"/>
    <n v="2"/>
    <m/>
    <s v="N/A"/>
    <m/>
    <n v="0.46728971962616822"/>
    <m/>
    <x v="8"/>
    <s v="S/B"/>
  </r>
  <r>
    <s v="SGS"/>
    <s v="HRDC &amp; Horovice"/>
    <s v="Volvo"/>
    <s v="XC60 (V426)"/>
    <s v="OEM"/>
    <x v="1"/>
    <s v="W2241"/>
    <s v="K"/>
    <s v="E2"/>
    <s v="Clear"/>
    <x v="0"/>
    <s v="BF008311, BF008707"/>
    <s v="Y"/>
    <s v="L8"/>
    <x v="24"/>
    <n v="107"/>
    <n v="30"/>
    <s v="N/A"/>
    <s v="N/A"/>
    <n v="0.8"/>
    <n v="280"/>
    <n v="600"/>
    <n v="320"/>
    <n v="170"/>
    <m/>
    <m/>
    <n v="0"/>
    <n v="770"/>
    <s v="N/A"/>
    <n v="77"/>
    <n v="1.1156999999999999"/>
    <m/>
    <n v="1.0021070093457944"/>
    <n v="1.0622334299065421"/>
    <n v="874.69313200000011"/>
    <n v="149.83033794017931"/>
    <n v="163.82791667185461"/>
    <n v="325.66625830945731"/>
    <n v="150"/>
    <n v="160.5"/>
    <n v="170.48846550000002"/>
    <n v="568.29488500000014"/>
    <d v="2019-10-01T00:00:00"/>
    <s v="Old"/>
    <s v="W2241 KE2 CLEAR r107x0.95x0150 CT1P, W2241 KE2 CLEAR R107X0.95X0150 CT4P"/>
    <s v="Initial F5 validation testing"/>
    <n v="3"/>
    <s v="Never tested?"/>
    <s v="N/A"/>
    <m/>
    <n v="0.56074766355140182"/>
    <m/>
    <x v="0"/>
    <s v="Clear"/>
  </r>
  <r>
    <s v="SGS"/>
    <s v="HRDC &amp; Stolberg"/>
    <s v="Mini (or Mercedes?)"/>
    <s v="Mercedes C-Class"/>
    <m/>
    <x v="1"/>
    <s v="W1264"/>
    <s v="L"/>
    <s v="E2"/>
    <s v="Clear"/>
    <x v="0"/>
    <s v="BF007147, BF007146"/>
    <s v="Y"/>
    <s v="L8"/>
    <x v="11"/>
    <n v="100"/>
    <n v="35"/>
    <s v="N/A"/>
    <s v="N/A"/>
    <n v="0.8"/>
    <n v="280"/>
    <n v="510"/>
    <n v="230"/>
    <n v="140"/>
    <m/>
    <m/>
    <n v="0"/>
    <n v="290"/>
    <s v="N/A"/>
    <n v="79"/>
    <n v="1.0133000000000001"/>
    <m/>
    <n v="0.93600321100917439"/>
    <n v="0.99216340366972477"/>
    <n v="0"/>
    <n v="164.97158594676603"/>
    <n v="180.38370337588884"/>
    <n v="358.57677331082749"/>
    <s v="150, 300"/>
    <e v="#VALUE!"/>
    <n v="129.77497320000001"/>
    <n v="432.58324400000004"/>
    <d v="2018-09-01T00:00:00"/>
    <s v="Old"/>
    <s v="W1264 KE2 CLEAR r100x0.95x0150 MT4P, W1264 KE2 CLEAR R100X0.95X0300 CT2P"/>
    <s v="With MgNeo, delivered week 44. Just scouting. Won't change vinyl supply in mid-stream."/>
    <s v="1_x000a_(four more rolls from Feb '19 were still in our inventory in May '21)"/>
    <s v="good results comparable to competition"/>
    <s v="N/A"/>
    <m/>
    <n v="0.51"/>
    <m/>
    <x v="6"/>
    <s v="Clear"/>
  </r>
  <r>
    <s v="SGS"/>
    <s v="Kenitra"/>
    <s v="Nissan"/>
    <s v="P33"/>
    <s v="OEM"/>
    <x v="0"/>
    <s v="W2253AD"/>
    <s v="K"/>
    <s v="E2"/>
    <s v="Clear"/>
    <x v="0"/>
    <m/>
    <s v="Y"/>
    <s v="L8"/>
    <x v="35"/>
    <n v="115"/>
    <n v="30"/>
    <s v="N/A"/>
    <s v="N/A"/>
    <n v="0.8"/>
    <n v="250"/>
    <n v="650"/>
    <n v="400"/>
    <n v="200"/>
    <n v="250"/>
    <n v="650"/>
    <n v="400"/>
    <n v="200"/>
    <s v="N/A"/>
    <n v="85"/>
    <n v="1.2505000000000002"/>
    <m/>
    <n v="1.0840108695652175"/>
    <n v="1.1490515217391306"/>
    <n v="882.50575600000013"/>
    <n v="133.67909479396883"/>
    <n v="146.16777819335317"/>
    <n v="290.56045133615464"/>
    <n v="146"/>
    <n v="167.9"/>
    <n v="192.92575050000005"/>
    <n v="643.0858350000002"/>
    <s v="?"/>
    <m/>
    <s v="W2253AD KE2 CLEAR r115x0146 CT1P"/>
    <m/>
    <m/>
    <m/>
    <m/>
    <m/>
    <m/>
    <m/>
    <x v="1"/>
    <m/>
  </r>
  <r>
    <s v="SGS"/>
    <s v="Kunsan"/>
    <s v="Hyundai"/>
    <s v="Genesis G80 (RG3 PE)"/>
    <s v="OEM"/>
    <x v="1"/>
    <s v="W2339AA"/>
    <s v="K"/>
    <s v="R"/>
    <s v="Blue"/>
    <x v="0"/>
    <s v="BF012318"/>
    <s v="Y"/>
    <s v="L9"/>
    <x v="10"/>
    <n v="99"/>
    <n v="30"/>
    <n v="12"/>
    <n v="87"/>
    <n v="0.8"/>
    <n v="236"/>
    <n v="543"/>
    <n v="307"/>
    <n v="147"/>
    <n v="190"/>
    <n v="590"/>
    <n v="400"/>
    <n v="100"/>
    <n v="180"/>
    <n v="69"/>
    <n v="1.0691000000000002"/>
    <m/>
    <n v="0.9753227272727274"/>
    <n v="1.0338420909090911"/>
    <n v="873.39102800000012"/>
    <n v="156.36115240843515"/>
    <n v="170.96885850789278"/>
    <n v="339.86142025616073"/>
    <n v="150"/>
    <n v="148.5"/>
    <n v="153.52555050000004"/>
    <n v="511.75183500000014"/>
    <d v="2023-04-01T00:00:00"/>
    <s v="2024_2538_03595"/>
    <s v="W2339AA KR BLU2 r099/12x0150 CB1P"/>
    <m/>
    <m/>
    <m/>
    <m/>
    <m/>
    <n v="0.54848484848484846"/>
    <m/>
    <x v="1"/>
    <m/>
  </r>
  <r>
    <s v="SGS"/>
    <s v="Kunsan"/>
    <s v="Hyundai"/>
    <s v="Nexo (NH2)"/>
    <s v="OEM"/>
    <x v="0"/>
    <s v="W2241AJ"/>
    <s v="K"/>
    <s v="R"/>
    <s v="Clear"/>
    <x v="0"/>
    <s v="BF012811, ____, _____"/>
    <s v="Y"/>
    <s v="L9"/>
    <x v="24"/>
    <n v="112"/>
    <n v="30"/>
    <s v="N/A"/>
    <s v="N/A"/>
    <n v="0.8"/>
    <n v="190"/>
    <n v="670"/>
    <n v="480"/>
    <n v="150"/>
    <n v="190"/>
    <n v="670"/>
    <n v="480"/>
    <n v="150"/>
    <s v="N/A"/>
    <n v="82"/>
    <n v="1.1362000000000001"/>
    <m/>
    <n v="1.0131267857142858"/>
    <n v="1.0739143928571429"/>
    <n v="874.69313200000011"/>
    <n v="147.12700936442351"/>
    <n v="160.87203540819235"/>
    <n v="319.79039288493351"/>
    <n v="250"/>
    <n v="280"/>
    <n v="300.69603000000001"/>
    <n v="1002.3201"/>
    <d v="2025-03-01T00:00:00"/>
    <s v="2025-0068-0205, 2025-0141-0281"/>
    <s v="W2241AJ KR CLEAR r112x0150 CB1P, W2241AJ KR CLEAR r112x0250 CB2P, W2241AJ KR CLEAR r112x0250 MB2P"/>
    <m/>
    <m/>
    <m/>
    <m/>
    <m/>
    <m/>
    <m/>
    <x v="1"/>
    <m/>
  </r>
  <r>
    <s v="SGS"/>
    <s v="Kunsan"/>
    <s v="Hyundai"/>
    <s v="Nexo (NH2)"/>
    <s v="OEM"/>
    <x v="0"/>
    <s v="W2241AL"/>
    <s v="K"/>
    <s v="R"/>
    <s v="Clear"/>
    <x v="0"/>
    <s v="BF012917"/>
    <s v="Y"/>
    <s v="L9"/>
    <x v="24"/>
    <n v="114"/>
    <n v="30"/>
    <s v="N/A"/>
    <s v="N/A"/>
    <n v="0.8"/>
    <n v="180"/>
    <n v="680"/>
    <n v="500"/>
    <n v="160"/>
    <n v="180"/>
    <n v="680"/>
    <n v="500"/>
    <n v="160"/>
    <s v="N/A"/>
    <n v="84"/>
    <n v="1.1444000000000001"/>
    <m/>
    <n v="1.0175157894736844"/>
    <n v="1.0785667368421055"/>
    <n v="874.69313200000011"/>
    <n v="146.07279625992484"/>
    <n v="159.71933470009449"/>
    <n v="317.49899020959577"/>
    <n v="250"/>
    <n v="285"/>
    <n v="307.39152000000007"/>
    <n v="1024.6384000000003"/>
    <d v="2025-07-01T00:00:00"/>
    <s v="2025-0215-0360, 2025-0312-0459"/>
    <s v="W2241AL KR CLEAR r114x0150 CB1P"/>
    <s v="Width and HUZ zone changes, considering more sheet stretching (SOP: 2025/05)"/>
    <m/>
    <m/>
    <m/>
    <m/>
    <m/>
    <m/>
    <x v="1"/>
    <m/>
  </r>
  <r>
    <s v="SGS"/>
    <s v="Kunsan"/>
    <s v="Hyundai"/>
    <s v="Nexo (NH2)"/>
    <s v="OEM"/>
    <x v="0"/>
    <s v="W2241AM"/>
    <s v="K"/>
    <s v="R"/>
    <s v="Clear"/>
    <x v="0"/>
    <s v="BF012918 (CB2P), BF012919 (MB2P)"/>
    <s v="Y"/>
    <s v="L9"/>
    <x v="24"/>
    <n v="113"/>
    <n v="30"/>
    <s v="N/A"/>
    <s v="N/A"/>
    <n v="0.8"/>
    <n v="180"/>
    <n v="680"/>
    <n v="500"/>
    <n v="150"/>
    <n v="180"/>
    <n v="680"/>
    <n v="500"/>
    <n v="150"/>
    <s v="N/A"/>
    <n v="83"/>
    <n v="1.1402999999999999"/>
    <m/>
    <n v="1.0153225663716814"/>
    <n v="1.0762419203539824"/>
    <n v="874.69313200000011"/>
    <n v="146.59800757682896"/>
    <n v="160.29361276049127"/>
    <n v="318.64057212651187"/>
    <n v="250"/>
    <n v="282.5"/>
    <n v="304.0383425"/>
    <n v="1013.4611416666667"/>
    <d v="2025-07-01T00:00:00"/>
    <s v="2025-0221-0366"/>
    <s v="W2241AM KR CLEAR r113x0250 CB2P, W2241AM KR CLEAR r113x0250 MB2P"/>
    <m/>
    <m/>
    <m/>
    <m/>
    <m/>
    <m/>
    <m/>
    <x v="1"/>
    <m/>
  </r>
  <r>
    <s v="SGS"/>
    <s v="Kunsan"/>
    <s v="Hyundai"/>
    <s v="Nexo (NH2)"/>
    <s v="OEM"/>
    <x v="0"/>
    <s v="W2243AD"/>
    <s v="K"/>
    <s v="R"/>
    <s v="Clear"/>
    <x v="0"/>
    <s v="BF012735"/>
    <s v="Y"/>
    <s v="L9"/>
    <x v="57"/>
    <n v="113"/>
    <n v="30"/>
    <s v="N/A"/>
    <s v="N/A"/>
    <n v="0.8"/>
    <n v="190"/>
    <n v="670"/>
    <n v="480"/>
    <n v="160"/>
    <n v="190"/>
    <n v="670"/>
    <n v="480"/>
    <n v="160"/>
    <s v="N/A"/>
    <n v="83"/>
    <n v="1.1569"/>
    <m/>
    <n v="1.0258261061946903"/>
    <n v="1.0873756725663717"/>
    <n v="875.99523599999998"/>
    <n v="144.4945181431913"/>
    <n v="157.99360932733009"/>
    <n v="314.06849718719116"/>
    <n v="150"/>
    <n v="169.5"/>
    <n v="184.31017650000001"/>
    <n v="614.36725500000011"/>
    <d v="2025-02-01T00:00:00"/>
    <s v="2024_2937_03995"/>
    <s v="W2243AD KR CLEAR r113x0150 CB1P"/>
    <m/>
    <m/>
    <m/>
    <m/>
    <m/>
    <m/>
    <m/>
    <x v="0"/>
    <s v="Clear"/>
  </r>
  <r>
    <s v="SGS"/>
    <s v="Kunsan"/>
    <s v="Hyundai"/>
    <s v="Nexo (NH2)"/>
    <s v="OEM"/>
    <x v="1"/>
    <s v="W2244AN"/>
    <s v="K"/>
    <s v="R"/>
    <s v="Clear"/>
    <x v="0"/>
    <m/>
    <s v="Y"/>
    <s v="L9"/>
    <x v="16"/>
    <n v="112"/>
    <n v="30"/>
    <s v="N/A"/>
    <s v="N/A"/>
    <n v="0.8"/>
    <n v="235"/>
    <n v="635"/>
    <n v="400"/>
    <n v="185"/>
    <n v="235"/>
    <n v="635"/>
    <n v="400"/>
    <n v="185"/>
    <s v="N/A"/>
    <n v="82"/>
    <n v="1.1608000000000001"/>
    <m/>
    <n v="1.0287214285714286"/>
    <n v="1.0904447142857143"/>
    <n v="876.64628800000003"/>
    <n v="144.00905241200726"/>
    <n v="157.46278999895603"/>
    <n v="313.01330495852983"/>
    <n v="150"/>
    <n v="168"/>
    <n v="183.19471200000001"/>
    <n v="610.64904000000001"/>
    <d v="2025-01-01T00:00:00"/>
    <s v="2024_2900_03958, 2024_2987_04045"/>
    <m/>
    <m/>
    <m/>
    <m/>
    <m/>
    <m/>
    <m/>
    <m/>
    <x v="0"/>
    <s v="Clear"/>
  </r>
  <r>
    <s v="SGS"/>
    <s v="Kunsan"/>
    <s v="Hyundai"/>
    <s v="Palisade (LX2 PE)"/>
    <s v="OEM"/>
    <x v="2"/>
    <s v="W2265AD"/>
    <s v="K"/>
    <s v="R"/>
    <s v="Clear"/>
    <x v="0"/>
    <s v="BF012734"/>
    <s v="Y"/>
    <s v="L9"/>
    <x v="49"/>
    <n v="99"/>
    <n v="30"/>
    <s v="N/A"/>
    <s v="N/A"/>
    <n v="0.8"/>
    <n v="216"/>
    <n v="492"/>
    <n v="276"/>
    <n v="198"/>
    <n v="154"/>
    <n v="554"/>
    <n v="400"/>
    <n v="136"/>
    <s v="N/A"/>
    <n v="69"/>
    <n v="1.2485000000000002"/>
    <m/>
    <n v="1.0922045454545455"/>
    <n v="1.1577368181818182"/>
    <n v="890.31838000000005"/>
    <n v="133.89323831786785"/>
    <n v="146.40192761777186"/>
    <n v="291.0259066046147"/>
    <n v="145"/>
    <n v="143.55000000000001"/>
    <n v="166.19312025000002"/>
    <n v="553.97706750000009"/>
    <d v="2025-02-01T00:00:00"/>
    <s v="2024_2936_03994"/>
    <s v="W2265AD KR CLEAR r099x0145 CB1P"/>
    <m/>
    <m/>
    <m/>
    <m/>
    <m/>
    <m/>
    <m/>
    <x v="1"/>
    <m/>
  </r>
  <r>
    <s v="SGS"/>
    <s v="Kunsan"/>
    <s v="Hyundai"/>
    <s v="Palisade (LX2 PE)"/>
    <s v="OEM"/>
    <x v="1"/>
    <s v="W2261AA"/>
    <s v="K"/>
    <s v="R"/>
    <s v="Clear"/>
    <x v="0"/>
    <s v="BF012317, ___ (MB2P)"/>
    <s v="Y"/>
    <s v="L9"/>
    <x v="60"/>
    <n v="99"/>
    <n v="30"/>
    <s v="N/A"/>
    <s v="N/A"/>
    <n v="0.8"/>
    <n v="216"/>
    <n v="492"/>
    <n v="276"/>
    <n v="198"/>
    <n v="154"/>
    <n v="554"/>
    <n v="400"/>
    <n v="136"/>
    <s v="N/A"/>
    <n v="69"/>
    <n v="1.2208999999999999"/>
    <m/>
    <n v="1.0742227272727274"/>
    <n v="1.1386760909090909"/>
    <n v="887.71417200000008"/>
    <n v="136.92006555807851"/>
    <n v="149.71152971642903"/>
    <n v="297.60491800791345"/>
    <n v="290"/>
    <n v="287.10000000000002"/>
    <n v="326.91390570000004"/>
    <n v="1089.7130190000003"/>
    <d v="2023-04-01T00:00:00"/>
    <s v="2024_2538_03595, 2024_2678_03736, 2024_2759_03817, 2024_2987_04045, 2024_2996_04054"/>
    <s v="W2261AA KR CLEAR r099x0150 CB1P, W2261AA KR CLEAR r099x0290 CB2P"/>
    <m/>
    <m/>
    <m/>
    <m/>
    <m/>
    <n v="0.49696969696969701"/>
    <m/>
    <x v="0"/>
    <m/>
  </r>
  <r>
    <s v="SGS"/>
    <s v="Kunsan"/>
    <s v="Hyundai"/>
    <s v="Palisade (LX2-W PE)"/>
    <s v="OEM"/>
    <x v="1"/>
    <s v="W2351AA"/>
    <s v="K"/>
    <s v="R"/>
    <s v="Blue"/>
    <x v="0"/>
    <s v="BF010040"/>
    <s v="Y"/>
    <s v="L8"/>
    <x v="1"/>
    <n v="98"/>
    <n v="30"/>
    <n v="12"/>
    <n v="86"/>
    <n v="0.8"/>
    <n v="194"/>
    <n v="481"/>
    <n v="287"/>
    <n v="199"/>
    <n v="130"/>
    <n v="530"/>
    <n v="400"/>
    <n v="150"/>
    <n v="180"/>
    <n v="68"/>
    <n v="1.1468"/>
    <m/>
    <n v="1.0264816326530612"/>
    <n v="1.0880705306122449"/>
    <n v="881.20365200000003"/>
    <n v="145.76709804661496"/>
    <n v="159.38507728530533"/>
    <n v="316.83453470165807"/>
    <n v="159"/>
    <n v="155.82"/>
    <n v="169.54315008"/>
    <n v="565.14383359999999"/>
    <d v="2021-08-01T00:00:00"/>
    <s v="2021_0963_02018"/>
    <s v="W2351AA KR BLU2 r098/12x0159 CT1P"/>
    <s v="Sekisui's angle"/>
    <m/>
    <m/>
    <s v="N/A"/>
    <m/>
    <n v="0.49081632653061225"/>
    <m/>
    <x v="8"/>
    <s v="S/B"/>
  </r>
  <r>
    <s v="SGS"/>
    <s v="Kunsan"/>
    <s v="Hyundai"/>
    <s v="Palisade (LX2-W PE)"/>
    <s v="OEM"/>
    <x v="1"/>
    <s v="W2354AA"/>
    <s v="K"/>
    <s v="R"/>
    <s v="Blue"/>
    <x v="0"/>
    <s v="BF010775"/>
    <s v="Y"/>
    <s v="L9"/>
    <x v="38"/>
    <n v="98"/>
    <n v="30"/>
    <n v="12"/>
    <n v="86"/>
    <n v="0.8"/>
    <n v="140"/>
    <n v="540"/>
    <n v="400"/>
    <n v="140"/>
    <n v="140"/>
    <n v="540"/>
    <n v="400"/>
    <n v="140"/>
    <n v="180"/>
    <n v="68"/>
    <n v="1.1672"/>
    <m/>
    <n v="1.039804081632653"/>
    <n v="1.1021923265306122"/>
    <n v="883.15680800000007"/>
    <n v="143.21942087033759"/>
    <n v="156.59938882007211"/>
    <n v="311.29698800193751"/>
    <n v="150"/>
    <n v="147"/>
    <n v="162.02227199999999"/>
    <n v="540.07424000000003"/>
    <d v="2022-04-01T00:00:00"/>
    <s v="2022_1345_02401"/>
    <s v="W2354AA KR BLU2 r098/12x0150 CB1P"/>
    <s v="Our higher angle"/>
    <m/>
    <m/>
    <s v="N/A"/>
    <m/>
    <n v="0.55102040816326525"/>
    <m/>
    <x v="8"/>
    <s v="S/B"/>
  </r>
  <r>
    <s v="SGS"/>
    <s v="Kunsan"/>
    <s v="Hyundai"/>
    <s v="Palisade (LX2-W PE)"/>
    <s v="OEM"/>
    <x v="1"/>
    <s v="W2354AB"/>
    <s v="K"/>
    <s v="R"/>
    <s v="Blue"/>
    <x v="0"/>
    <s v="BF010925 (310m),"/>
    <s v="Y"/>
    <s v="L9"/>
    <x v="38"/>
    <n v="99"/>
    <n v="30"/>
    <n v="12"/>
    <n v="87"/>
    <n v="0.8"/>
    <n v="140"/>
    <n v="540"/>
    <n v="400"/>
    <n v="150"/>
    <n v="140"/>
    <n v="540"/>
    <n v="400"/>
    <n v="150"/>
    <n v="180"/>
    <n v="69"/>
    <n v="1.1726000000000001"/>
    <m/>
    <n v="1.0427545454545457"/>
    <n v="1.1053198181818185"/>
    <n v="883.15680800000007"/>
    <n v="142.55987381874297"/>
    <n v="155.87822499640811"/>
    <n v="309.86341838296221"/>
    <s v="310, 156"/>
    <e v="#VALUE!"/>
    <e v="#VALUE!"/>
    <e v="#VALUE!"/>
    <d v="2022-07-01T00:00:00"/>
    <s v="2022_1512_02568, 2022_1799_02855"/>
    <s v="W2354AB KR BLU2 r099x0310 CB2P, W2354AB KR BLU2 r099/12x0156 CB4P"/>
    <s v="Wanted 1 cm wider"/>
    <m/>
    <m/>
    <s v="N/A"/>
    <m/>
    <n v="0.54545454545454541"/>
    <m/>
    <x v="8"/>
    <s v="S/B"/>
  </r>
  <r>
    <s v="SGS"/>
    <s v="Kunsan"/>
    <s v="Hyundai"/>
    <s v="Palisade (LX2-W PE)"/>
    <s v="OEM"/>
    <x v="1"/>
    <s v="W2254AB"/>
    <s v="K"/>
    <s v="R"/>
    <s v="Clear"/>
    <x v="0"/>
    <s v="BF011425"/>
    <s v="Y"/>
    <s v="L9"/>
    <x v="38"/>
    <n v="99"/>
    <n v="30"/>
    <s v="N/A"/>
    <s v="N/A"/>
    <n v="0.8"/>
    <n v="140"/>
    <n v="540"/>
    <n v="400"/>
    <n v="150"/>
    <n v="140"/>
    <n v="540"/>
    <n v="400"/>
    <n v="150"/>
    <s v="N/A"/>
    <n v="69"/>
    <n v="1.1726000000000001"/>
    <m/>
    <n v="1.0427545454545457"/>
    <n v="1.1053198181818185"/>
    <n v="883.15680800000007"/>
    <n v="142.55987381874297"/>
    <n v="155.87822499640811"/>
    <n v="309.86341838296221"/>
    <n v="150"/>
    <n v="148.5"/>
    <n v="164.13999300000003"/>
    <n v="547.13331000000017"/>
    <d v="2022-11-01T00:00:00"/>
    <s v="2022_1689_02745"/>
    <s v="Clear version of previous SKUs for this w/s"/>
    <m/>
    <m/>
    <m/>
    <s v="N/A"/>
    <m/>
    <n v="0.54545454545454541"/>
    <m/>
    <x v="0"/>
    <s v="Clear"/>
  </r>
  <r>
    <s v="SGS"/>
    <s v="Kunsan"/>
    <s v="Hyundai"/>
    <s v="Palisade (LX2-W PE)"/>
    <s v="OEM"/>
    <x v="1"/>
    <s v="W2357AA"/>
    <s v="K"/>
    <s v="R"/>
    <s v="Blue"/>
    <x v="0"/>
    <s v="BF011607 (153m), BF011608 (304m)"/>
    <s v="Y"/>
    <s v="L9"/>
    <x v="52"/>
    <n v="99"/>
    <n v="30"/>
    <n v="12"/>
    <n v="87"/>
    <n v="0.8"/>
    <n v="140"/>
    <n v="540"/>
    <n v="400"/>
    <n v="150"/>
    <n v="140"/>
    <n v="540"/>
    <n v="400"/>
    <n v="150"/>
    <n v="180"/>
    <n v="69"/>
    <n v="1.1933"/>
    <m/>
    <n v="1.0562409090909091"/>
    <n v="1.1196153636363637"/>
    <n v="885.10996399999999"/>
    <n v="140.08690860626669"/>
    <n v="153.17422830033368"/>
    <n v="304.48826313237362"/>
    <s v="153, 304, 300"/>
    <e v="#VALUE!"/>
    <e v="#VALUE!"/>
    <e v="#VALUE!"/>
    <d v="2023-03-01T00:00:00"/>
    <s v="2023_1892_02949, 2023_1961_03018"/>
    <s v="W2357AA KR BLU2 r099/12x0153 CB4P, W2357AA KR BLU2 r099/12x0304 CB2P"/>
    <m/>
    <m/>
    <m/>
    <s v="N/A"/>
    <m/>
    <n v="0.54545454545454541"/>
    <m/>
    <x v="8"/>
    <s v="S/B"/>
  </r>
  <r>
    <s v="SGS"/>
    <s v="Kunsan"/>
    <s v="Hyundai"/>
    <s v="Palisade (LX2-W PE)"/>
    <s v="OEM"/>
    <x v="1"/>
    <s v="W2257AC"/>
    <s v="K"/>
    <s v="R"/>
    <s v="Clear"/>
    <x v="0"/>
    <s v="BF011609 (153m), BF011610 (304m), BF011729 (300m)"/>
    <s v="Y"/>
    <s v="L9"/>
    <x v="52"/>
    <n v="99"/>
    <n v="30"/>
    <s v="N/A"/>
    <s v="N/A"/>
    <n v="0.8"/>
    <n v="140"/>
    <n v="540"/>
    <n v="400"/>
    <n v="150"/>
    <n v="140"/>
    <n v="540"/>
    <n v="400"/>
    <n v="150"/>
    <s v="N/A"/>
    <n v="69"/>
    <n v="1.1933"/>
    <m/>
    <n v="1.0562409090909091"/>
    <n v="1.1196153636363637"/>
    <n v="885.10996399999999"/>
    <n v="140.08690860626669"/>
    <n v="153.17422830033368"/>
    <n v="304.48826313237362"/>
    <s v="153, 304,300"/>
    <e v="#VALUE!"/>
    <e v="#VALUE!"/>
    <e v="#VALUE!"/>
    <d v="2023-03-01T00:00:00"/>
    <s v="2023_1892_02949, 2023_1961_03018"/>
    <s v="W2257AC KR CLEAR r099x0153 CB4P, W2257AC KR CLEAR r099x0304 CB2P"/>
    <s v="Switched to W2258AI"/>
    <m/>
    <m/>
    <s v="N/A"/>
    <m/>
    <n v="0.54545454545454541"/>
    <m/>
    <x v="0"/>
    <s v="Clear"/>
  </r>
  <r>
    <s v="SGS"/>
    <s v="Kunsan"/>
    <s v="Hyundai"/>
    <s v="Palisade (LX2-W PE)"/>
    <s v="OEM"/>
    <x v="1"/>
    <s v="W2358AA"/>
    <s v="K"/>
    <s v="R"/>
    <s v="Blue"/>
    <x v="0"/>
    <s v="BF011827"/>
    <s v="Y"/>
    <s v="L9"/>
    <x v="40"/>
    <n v="99"/>
    <n v="30"/>
    <n v="12"/>
    <n v="87"/>
    <n v="0.8"/>
    <n v="140"/>
    <n v="540"/>
    <n v="400"/>
    <n v="150"/>
    <n v="140"/>
    <n v="540"/>
    <n v="400"/>
    <n v="150"/>
    <n v="180"/>
    <n v="69"/>
    <n v="1.2002000000000002"/>
    <m/>
    <n v="1.060736363636364"/>
    <n v="1.1243805454545459"/>
    <n v="885.76101600000004"/>
    <n v="139.28154310936344"/>
    <n v="152.29362325511428"/>
    <n v="302.73774737198914"/>
    <n v="300"/>
    <n v="297"/>
    <n v="333.94102200000015"/>
    <n v="1113.1367400000006"/>
    <d v="2023-06-23T00:00:00"/>
    <s v="2023_2040_03097"/>
    <s v="W2358AA KR BLU2 r099/12x0300 CB2P"/>
    <m/>
    <m/>
    <m/>
    <m/>
    <m/>
    <n v="0.54545454545454541"/>
    <m/>
    <x v="8"/>
    <m/>
  </r>
  <r>
    <s v="SGS"/>
    <s v="Kunsan"/>
    <s v="Hyundai"/>
    <s v="Palisade (LX2-W PE)"/>
    <s v="OEM"/>
    <x v="1"/>
    <s v="W2258AI"/>
    <s v="K"/>
    <s v="R"/>
    <s v="Clear"/>
    <x v="0"/>
    <s v="BF011828"/>
    <s v="Y"/>
    <s v="L9"/>
    <x v="40"/>
    <n v="99"/>
    <n v="30"/>
    <s v="N/A"/>
    <s v="N/A"/>
    <n v="0.8"/>
    <n v="140"/>
    <n v="540"/>
    <n v="400"/>
    <n v="150"/>
    <n v="140"/>
    <n v="540"/>
    <n v="400"/>
    <n v="150"/>
    <s v="N/A"/>
    <n v="69"/>
    <n v="1.2002000000000002"/>
    <m/>
    <n v="1.060736363636364"/>
    <n v="1.1243805454545459"/>
    <n v="885.76101600000004"/>
    <n v="139.28154310936344"/>
    <n v="152.29362325511428"/>
    <n v="302.73774737198914"/>
    <n v="300"/>
    <n v="297"/>
    <n v="333.94102200000015"/>
    <n v="1113.1367400000006"/>
    <d v="2023-07-23T00:00:00"/>
    <s v="2023_2040_03097"/>
    <s v="W2258AI KR CLEAR r099x0300 CB2P"/>
    <m/>
    <m/>
    <m/>
    <m/>
    <m/>
    <n v="0.54545454545454541"/>
    <m/>
    <x v="0"/>
    <m/>
  </r>
  <r>
    <s v="SGS"/>
    <s v="Kunsan"/>
    <s v="Hyundai"/>
    <s v="Palisade (LX2-W)"/>
    <s v="OEM"/>
    <x v="1"/>
    <s v="W2346AA"/>
    <s v="K"/>
    <s v="R"/>
    <s v="Blue"/>
    <x v="0"/>
    <s v="BF009672, BF009901"/>
    <s v="Y"/>
    <s v="L8"/>
    <x v="37"/>
    <n v="98"/>
    <n v="30"/>
    <n v="12"/>
    <n v="86"/>
    <n v="0.8"/>
    <n v="194"/>
    <n v="481"/>
    <n v="287"/>
    <n v="199"/>
    <n v="130"/>
    <n v="530"/>
    <n v="400"/>
    <n v="150"/>
    <n v="180"/>
    <n v="68"/>
    <n v="1.1128"/>
    <m/>
    <n v="1.0042775510204083"/>
    <n v="1.0645342040816328"/>
    <n v="877.94839200000001"/>
    <n v="150.22080161741377"/>
    <n v="164.2548585826637"/>
    <n v="326.51495722129891"/>
    <n v="164"/>
    <n v="160.72"/>
    <n v="171.09193728000002"/>
    <n v="570.30645760000016"/>
    <d v="2021-02-01T00:00:00"/>
    <s v="2021_0635_01687, 2021_0815_01869, 2021_0861_01915"/>
    <s v="W2346AA KR BLU2 r098/12x0164 CT4P, W2346AA KR BLU2 R98/12X0164 CT1P"/>
    <s v="L8 inventory used up in late 2023"/>
    <n v="4"/>
    <m/>
    <s v="N/A"/>
    <m/>
    <n v="0.49081632653061225"/>
    <m/>
    <x v="8"/>
    <s v="S/B"/>
  </r>
  <r>
    <s v="SGS"/>
    <s v="Kunsan"/>
    <s v="Hyundai"/>
    <s v="Palisade (LX3)"/>
    <s v="OEM"/>
    <x v="1"/>
    <s v="W2255AE"/>
    <s v="K"/>
    <s v="R"/>
    <s v="Clear"/>
    <x v="0"/>
    <s v="BF012422"/>
    <s v="Y"/>
    <s v="L9"/>
    <x v="23"/>
    <n v="104"/>
    <n v="30"/>
    <s v="N/A"/>
    <s v="N/A"/>
    <n v="0.8"/>
    <n v="194"/>
    <n v="564"/>
    <n v="370"/>
    <n v="176"/>
    <n v="175"/>
    <n v="585"/>
    <n v="410"/>
    <n v="155"/>
    <s v="N/A"/>
    <n v="74"/>
    <n v="1.2070000000000001"/>
    <m/>
    <n v="1.0622019230769231"/>
    <n v="1.1259340384615384"/>
    <n v="883.80786000000012"/>
    <n v="138.49685835945155"/>
    <n v="151.43563101142351"/>
    <n v="301.03218259806255"/>
    <n v="150"/>
    <n v="156"/>
    <n v="175.64570999999998"/>
    <n v="585.48569999999995"/>
    <d v="2024-06-01T00:00:00"/>
    <s v="2024_2652_03710"/>
    <s v="W2255AE KR CLEAR r104x0150 CB1P"/>
    <m/>
    <m/>
    <m/>
    <m/>
    <m/>
    <m/>
    <m/>
    <x v="1"/>
    <m/>
  </r>
  <r>
    <s v="SGS"/>
    <s v="Kunsan"/>
    <s v="Kia"/>
    <s v="EV6 (CV)"/>
    <s v="OEM"/>
    <x v="1"/>
    <s v="W2212AA"/>
    <s v="K"/>
    <s v="R"/>
    <s v="Clear"/>
    <x v="0"/>
    <s v="BF010240 (L8, 100m), BF010774 (L9, 150m), BF010822? (L8 201m), BF010924 (CB2P)"/>
    <s v="Y"/>
    <s v="L8 &amp; L9"/>
    <x v="58"/>
    <n v="122"/>
    <n v="30"/>
    <s v="N/A"/>
    <s v="N/A"/>
    <n v="0.8"/>
    <n v="200"/>
    <n v="600"/>
    <n v="400"/>
    <n v="320"/>
    <n v="200"/>
    <n v="600"/>
    <n v="400"/>
    <n v="320"/>
    <s v="N/A"/>
    <n v="92"/>
    <n v="0.91039999999999999"/>
    <m/>
    <n v="0.86877377049180327"/>
    <n v="0.92090019672131151"/>
    <n v="855.81262400000003"/>
    <n v="183.61786911232213"/>
    <n v="200.77197564893254"/>
    <n v="399.10571660353855"/>
    <n v="399"/>
    <n v="486.78"/>
    <n v="448.27579775999999"/>
    <n v="1494.2526591999999"/>
    <s v="Nov-2021 on L8. Jun-2022 on L9."/>
    <s v="2021_1076_02131 (L8), 2022_1345_02401 (L9), 2022_1407_02463 (L8 commercial), 2022_1511_02567 (L9 longer)"/>
    <s v="W2212AA KR CLEAR r122x0100 CT1P (L8), W2212AA KR CLEAR r122x0150 CB1P (L9)"/>
    <s v="Originally only set up for one 100m roll"/>
    <n v="1"/>
    <m/>
    <s v="N/A"/>
    <m/>
    <n v="0.49180327868852458"/>
    <m/>
    <x v="0"/>
    <s v="Clear"/>
  </r>
  <r>
    <s v="SGS"/>
    <s v="Kunsan"/>
    <s v="Kia"/>
    <s v="EV7 (MV)"/>
    <s v="OEM"/>
    <x v="1"/>
    <s v="W2249AD"/>
    <s v="K"/>
    <s v="R"/>
    <s v="Clear"/>
    <x v="0"/>
    <s v="BF011001"/>
    <s v="Y"/>
    <s v="L9"/>
    <x v="17"/>
    <n v="112"/>
    <n v="30"/>
    <s v="N/A"/>
    <s v="N/A"/>
    <n v="0.8"/>
    <n v="190"/>
    <n v="680"/>
    <n v="490"/>
    <n v="140"/>
    <n v="190"/>
    <n v="680"/>
    <n v="490"/>
    <n v="140"/>
    <s v="N/A"/>
    <n v="82"/>
    <n v="1.2018"/>
    <m/>
    <n v="1.0547125000000002"/>
    <n v="1.1179952500000001"/>
    <n v="879.90154800000005"/>
    <n v="139.09611253108508"/>
    <n v="152.09086922182408"/>
    <n v="302.33470161080169"/>
    <n v="150"/>
    <n v="168"/>
    <n v="187.82320200000001"/>
    <n v="626.07734000000005"/>
    <d v="2022-09-01T00:00:00"/>
    <s v="2022_1557_02613"/>
    <m/>
    <m/>
    <m/>
    <m/>
    <s v="N/A"/>
    <m/>
    <n v="0.6071428571428571"/>
    <m/>
    <x v="0"/>
    <s v="Clear"/>
  </r>
  <r>
    <s v="SGS"/>
    <s v="Kunsan"/>
    <s v="Kia"/>
    <s v="EV7 (MV)"/>
    <s v="OEM"/>
    <x v="1"/>
    <s v="W2253AA"/>
    <s v="K"/>
    <s v="R"/>
    <s v="Clear"/>
    <x v="0"/>
    <s v="BF011551"/>
    <s v="Y"/>
    <s v="L9"/>
    <x v="35"/>
    <n v="102"/>
    <n v="30"/>
    <s v="N/A"/>
    <s v="N/A"/>
    <n v="0.8"/>
    <n v="190"/>
    <n v="590"/>
    <n v="400"/>
    <n v="130"/>
    <n v="190"/>
    <n v="590"/>
    <n v="400"/>
    <n v="130"/>
    <s v="N/A"/>
    <n v="72"/>
    <n v="1.1816"/>
    <m/>
    <n v="1.0469176470588235"/>
    <n v="1.109732705882353"/>
    <n v="882.50575600000013"/>
    <n v="141.47402508451086"/>
    <n v="154.69093316755936"/>
    <n v="307.50325355099989"/>
    <n v="155"/>
    <n v="158.1"/>
    <n v="175.4487408"/>
    <n v="584.82913600000006"/>
    <d v="2023-01-23T00:00:00"/>
    <s v="2022_1815_02871"/>
    <s v="W2253AA KR CLEAR r102x0155 CB1P"/>
    <m/>
    <m/>
    <m/>
    <s v="N/A"/>
    <m/>
    <n v="0.57843137254901966"/>
    <m/>
    <x v="0"/>
    <s v="Clear"/>
  </r>
  <r>
    <s v="SGS"/>
    <s v="Kunsan"/>
    <s v="Kia"/>
    <s v="K9 sedan (RJ PE)"/>
    <s v="OEM"/>
    <x v="1"/>
    <s v="W2343AA"/>
    <s v="K"/>
    <s v="R"/>
    <s v="Blue"/>
    <x v="0"/>
    <s v="BF011424"/>
    <s v="Y"/>
    <s v="L9"/>
    <x v="57"/>
    <n v="100"/>
    <n v="30"/>
    <n v="16"/>
    <n v="84"/>
    <n v="0.8"/>
    <n v="160"/>
    <n v="580"/>
    <n v="420"/>
    <n v="120"/>
    <n v="160"/>
    <n v="580"/>
    <n v="420"/>
    <n v="120"/>
    <n v="140"/>
    <n v="70"/>
    <n v="1.101"/>
    <m/>
    <n v="0.99564999999999992"/>
    <n v="1.0553889999999999"/>
    <n v="875.99523599999998"/>
    <n v="151.83079749305907"/>
    <n v="166.01526487810006"/>
    <n v="330.01439091358895"/>
    <n v="150"/>
    <n v="150"/>
    <n v="158.30834999999999"/>
    <n v="527.69449999999995"/>
    <d v="2022-11-01T00:00:00"/>
    <s v="2022_1689_02745"/>
    <m/>
    <m/>
    <m/>
    <m/>
    <s v="N/A"/>
    <m/>
    <n v="0.57999999999999996"/>
    <m/>
    <x v="8"/>
    <s v="S/B"/>
  </r>
  <r>
    <s v="SGS"/>
    <s v="Kunsan"/>
    <s v="Kia"/>
    <s v="K9 sedan (RJ PE)"/>
    <s v="OEM"/>
    <x v="1"/>
    <s v="W2349AA"/>
    <s v="K"/>
    <s v="R"/>
    <s v="Blue"/>
    <x v="0"/>
    <s v="BF011494"/>
    <s v="Y"/>
    <s v="L9"/>
    <x v="17"/>
    <n v="101"/>
    <n v="30"/>
    <n v="16"/>
    <n v="85"/>
    <n v="0.8"/>
    <n v="160"/>
    <n v="580"/>
    <n v="420"/>
    <n v="130"/>
    <n v="160"/>
    <n v="580"/>
    <n v="420"/>
    <n v="130"/>
    <n v="140"/>
    <n v="71"/>
    <n v="1.1478999999999999"/>
    <m/>
    <n v="1.025618316831683"/>
    <n v="1.0871554158415841"/>
    <n v="879.90154800000005"/>
    <n v="145.62741357248717"/>
    <n v="159.2323430880636"/>
    <n v="316.53092115677453"/>
    <n v="150"/>
    <n v="151.5"/>
    <n v="164.70404550000001"/>
    <n v="549.01348500000006"/>
    <d v="2023-01-01T00:00:00"/>
    <s v="2022_1780_02836"/>
    <s v="W2349AA KR BLU2 r101/16x0150 CB1P"/>
    <m/>
    <m/>
    <m/>
    <s v="N/A"/>
    <m/>
    <n v="0.57425742574257421"/>
    <m/>
    <x v="8"/>
    <s v="S/B"/>
  </r>
  <r>
    <s v="SGS"/>
    <s v="Kunsan"/>
    <s v="Kia"/>
    <s v="Niro HEV SUV (SG2)"/>
    <s v="OEM"/>
    <x v="1"/>
    <s v="W2241AE"/>
    <s v="K"/>
    <s v="R"/>
    <s v="Clear"/>
    <x v="0"/>
    <s v="BF011426"/>
    <s v="Y"/>
    <s v="L9"/>
    <x v="24"/>
    <n v="104"/>
    <n v="30"/>
    <s v="N/A"/>
    <s v="N/A"/>
    <n v="0.8"/>
    <n v="180"/>
    <n v="590"/>
    <n v="410"/>
    <n v="150"/>
    <n v="180"/>
    <n v="590"/>
    <n v="410"/>
    <n v="150"/>
    <s v="N/A"/>
    <n v="74"/>
    <n v="1.1033999999999999"/>
    <m/>
    <n v="0.99545961538461525"/>
    <n v="1.0551871923076921"/>
    <n v="874.69313200000011"/>
    <n v="151.50055106023024"/>
    <n v="165.654165878909"/>
    <n v="329.29657820904612"/>
    <n v="150"/>
    <n v="156"/>
    <n v="164.60920199999995"/>
    <n v="548.69733999999983"/>
    <d v="2022-11-01T00:00:00"/>
    <s v="2022_1689_02745"/>
    <m/>
    <m/>
    <m/>
    <m/>
    <s v="N/A"/>
    <m/>
    <n v="0.56730769230769229"/>
    <m/>
    <x v="0"/>
    <s v="Clear"/>
  </r>
  <r>
    <s v="SGS"/>
    <s v="Kunsan"/>
    <s v="Kia"/>
    <s v="Stinger (CK)"/>
    <s v="OEM"/>
    <x v="1"/>
    <s v="W2338"/>
    <s v="K"/>
    <s v="R"/>
    <s v="Blue"/>
    <x v="0"/>
    <s v="BF008534"/>
    <s v="Y"/>
    <s v="L8"/>
    <x v="56"/>
    <n v="104"/>
    <n v="30"/>
    <n v="16"/>
    <n v="88"/>
    <n v="0.8"/>
    <n v="275"/>
    <n v="538"/>
    <n v="263"/>
    <n v="202"/>
    <n v="138"/>
    <n v="538"/>
    <n v="400"/>
    <n v="202"/>
    <n v="140"/>
    <n v="74"/>
    <n v="1.0811999999999999"/>
    <m/>
    <n v="0.98115769230769234"/>
    <n v="1.0400271538461539"/>
    <n v="872.73997600000007"/>
    <n v="154.61127269687205"/>
    <n v="169.05550002847593"/>
    <n v="336.05793969280569"/>
    <n v="168"/>
    <n v="174.72"/>
    <n v="181.71354432000001"/>
    <n v="605.71181440000009"/>
    <d v="2020-01-01T00:00:00"/>
    <s v="Old"/>
    <s v="W2338 KR BLU2 R104/16X0.95X0168 CT1P"/>
    <m/>
    <n v="4"/>
    <s v="ghosting mostly high"/>
    <s v="N/A"/>
    <m/>
    <n v="0.51730769230769225"/>
    <m/>
    <x v="8"/>
    <s v="S/B"/>
  </r>
  <r>
    <s v="SGS"/>
    <s v="Kunsan"/>
    <s v="Kia"/>
    <s v="Stinger (CK)"/>
    <s v="OEM"/>
    <x v="1"/>
    <s v="W2341AA"/>
    <s v="K"/>
    <s v="R"/>
    <s v="Blue"/>
    <x v="0"/>
    <s v="BF009415"/>
    <s v="Y"/>
    <s v="L8"/>
    <x v="24"/>
    <n v="104"/>
    <n v="30"/>
    <n v="16"/>
    <n v="88"/>
    <n v="0.8"/>
    <n v="275"/>
    <n v="528"/>
    <n v="253"/>
    <n v="212"/>
    <n v="128"/>
    <n v="528"/>
    <n v="400"/>
    <n v="212"/>
    <n v="140"/>
    <n v="74"/>
    <n v="1.1033999999999999"/>
    <m/>
    <n v="0.99545961538461525"/>
    <n v="1.0551871923076921"/>
    <n v="874.69313200000011"/>
    <n v="151.50055106023024"/>
    <n v="165.654165878909"/>
    <n v="329.29657820904612"/>
    <n v="166"/>
    <n v="172.64"/>
    <n v="182.16751687999994"/>
    <n v="607.22505626666646"/>
    <d v="2020-09-01T00:00:00"/>
    <s v="2020_0340_01392"/>
    <m/>
    <s v="Increased wedge angle due to ghosting being high"/>
    <s v="2-4 rolls"/>
    <m/>
    <s v="N/A"/>
    <m/>
    <n v="0.50769230769230766"/>
    <m/>
    <x v="8"/>
    <s v="S/B"/>
  </r>
  <r>
    <s v="SGS"/>
    <s v="Meizhou"/>
    <s v="Mahindra"/>
    <s v="M110"/>
    <s v="OEM"/>
    <x v="0"/>
    <s v="W2216AA"/>
    <s v="K"/>
    <s v="E2"/>
    <s v="Clear"/>
    <x v="0"/>
    <s v="BF012459"/>
    <s v="Y"/>
    <s v="L9"/>
    <x v="61"/>
    <n v="138"/>
    <n v="30"/>
    <s v="N/A"/>
    <s v="N/A"/>
    <n v="0.8"/>
    <n v="160"/>
    <n v="760"/>
    <n v="600"/>
    <n v="320"/>
    <n v="160"/>
    <n v="760"/>
    <n v="600"/>
    <n v="320"/>
    <s v="N/A"/>
    <n v="108"/>
    <n v="0.97280000000000011"/>
    <m/>
    <n v="0.90518260869565215"/>
    <n v="0.95949356521739126"/>
    <n v="858.41683200000011"/>
    <n v="171.83974921860406"/>
    <n v="187.89351010566216"/>
    <n v="373.50518543982469"/>
    <n v="186"/>
    <n v="256.68"/>
    <n v="246.28280831999999"/>
    <n v="820.94269439999994"/>
    <d v="2024-06-01T00:00:00"/>
    <s v="2024_2704_03762"/>
    <s v="W2216AA KE2 CLEAR r138x0188 CB1P"/>
    <s v="Shaped"/>
    <m/>
    <m/>
    <m/>
    <m/>
    <m/>
    <m/>
    <x v="1"/>
    <m/>
  </r>
  <r>
    <s v="SGS"/>
    <s v="Meizhou"/>
    <s v="Mahindra"/>
    <s v="M310"/>
    <s v="OEM"/>
    <x v="0"/>
    <s v="W2227AJ"/>
    <s v="K"/>
    <s v="E2"/>
    <s v="Clear"/>
    <x v="0"/>
    <m/>
    <s v="Y"/>
    <s v="L9"/>
    <x v="0"/>
    <n v="105"/>
    <n v="15"/>
    <s v="N/A"/>
    <s v="N/A"/>
    <n v="0.8"/>
    <n v="200"/>
    <n v="700"/>
    <n v="500"/>
    <n v="200"/>
    <n v="200"/>
    <n v="800"/>
    <n v="600"/>
    <n v="100"/>
    <s v="N/A"/>
    <n v="90"/>
    <n v="1.0430000000000001"/>
    <m/>
    <n v="0.93885714285714295"/>
    <n v="0.99518857142857153"/>
    <n v="865.57840400000009"/>
    <n v="160.27392908902974"/>
    <n v="175.24717797774508"/>
    <n v="348.36610200945483"/>
    <n v="175"/>
    <n v="183.75"/>
    <n v="182.86590000000001"/>
    <n v="1219.1060000000002"/>
    <d v="2024-12-01T00:00:00"/>
    <s v="2024_2890_03948"/>
    <m/>
    <m/>
    <m/>
    <m/>
    <m/>
    <m/>
    <m/>
    <m/>
    <x v="1"/>
    <m/>
  </r>
  <r>
    <s v="SGS"/>
    <s v="Meizhou"/>
    <s v="Mahindra"/>
    <s v="M310"/>
    <s v="OEM"/>
    <x v="1"/>
    <s v="W2227AG"/>
    <s v="K"/>
    <s v="E2"/>
    <s v="Clear"/>
    <x v="0"/>
    <s v="BF012460"/>
    <s v="Y"/>
    <s v="L9"/>
    <x v="0"/>
    <n v="111"/>
    <n v="20"/>
    <s v="N/A"/>
    <s v="N/A"/>
    <n v="0.8"/>
    <n v="200"/>
    <n v="700"/>
    <n v="500"/>
    <n v="210"/>
    <n v="200"/>
    <n v="820"/>
    <n v="620"/>
    <n v="90"/>
    <s v="N/A"/>
    <n v="91"/>
    <n v="1.0457000000000001"/>
    <m/>
    <n v="0.94498513513513527"/>
    <n v="1.0016842432432433"/>
    <n v="865.57840400000009"/>
    <n v="159.86010140562112"/>
    <n v="174.79468932847678"/>
    <n v="347.46661986789849"/>
    <n v="177"/>
    <n v="196.47"/>
    <n v="196.80090327000002"/>
    <n v="984.00451635000002"/>
    <d v="2024-06-01T00:00:00"/>
    <s v="2024_2704_03762"/>
    <s v="W2227AG KE2 CLEAR r111x0175 CB1P"/>
    <m/>
    <m/>
    <m/>
    <m/>
    <m/>
    <m/>
    <m/>
    <x v="1"/>
    <m/>
  </r>
  <r>
    <s v="SGS"/>
    <s v="Meizhou"/>
    <s v="Mahindra"/>
    <s v="M310"/>
    <s v="OEM"/>
    <x v="1"/>
    <s v="W2227AI"/>
    <s v="K"/>
    <s v="E2"/>
    <s v="Clear"/>
    <x v="0"/>
    <s v="BF012551"/>
    <s v="Y"/>
    <s v="L9"/>
    <x v="0"/>
    <n v="109"/>
    <n v="15"/>
    <s v="N/A"/>
    <s v="N/A"/>
    <n v="0.8"/>
    <n v="200"/>
    <n v="700"/>
    <n v="500"/>
    <n v="240"/>
    <n v="200"/>
    <n v="820"/>
    <n v="620"/>
    <n v="120"/>
    <s v="N/A"/>
    <n v="94"/>
    <n v="1.0538000000000001"/>
    <m/>
    <n v="0.94436330275229363"/>
    <n v="1.0010251009174314"/>
    <n v="865.57840400000009"/>
    <n v="158.6313418484134"/>
    <n v="173.45113553880071"/>
    <n v="344.79582880609365"/>
    <n v="173"/>
    <n v="188.57"/>
    <n v="188.76330328000003"/>
    <n v="1258.4220218666669"/>
    <d v="2024-09-01T00:00:00"/>
    <s v="2024_2789_03847"/>
    <s v="W2227AI KE2 CLEAR r109x0173 CB1P"/>
    <m/>
    <m/>
    <m/>
    <m/>
    <m/>
    <m/>
    <m/>
    <x v="1"/>
    <m/>
  </r>
  <r>
    <s v="SGS"/>
    <s v="Meizhou"/>
    <s v="Mahindra"/>
    <m/>
    <s v="OEM"/>
    <x v="0"/>
    <s v="W2216AE"/>
    <s v="K"/>
    <s v="E2"/>
    <s v="Clear"/>
    <x v="0"/>
    <m/>
    <s v="Y"/>
    <s v="L9"/>
    <x v="61"/>
    <n v="105"/>
    <n v="20"/>
    <s v="N/A"/>
    <s v="N/A"/>
    <n v="0.8"/>
    <n v="250"/>
    <n v="650"/>
    <n v="400"/>
    <n v="200"/>
    <n v="250"/>
    <n v="650"/>
    <n v="400"/>
    <n v="200"/>
    <s v="N/A"/>
    <n v="85"/>
    <n v="0.93600000000000005"/>
    <m/>
    <n v="0.88095238095238104"/>
    <n v="0.93380952380952387"/>
    <n v="858.41683200000011"/>
    <n v="178.59584192292525"/>
    <n v="195.28077631494463"/>
    <n v="388.19000469643316"/>
    <n v="195"/>
    <n v="204.75"/>
    <n v="191.19750000000002"/>
    <n v="955.98750000000007"/>
    <d v="2024-12-01T00:00:00"/>
    <s v="2024_2890_03948"/>
    <m/>
    <m/>
    <m/>
    <m/>
    <m/>
    <m/>
    <m/>
    <m/>
    <x v="1"/>
    <m/>
  </r>
  <r>
    <s v="SGS"/>
    <s v="Meizhou"/>
    <s v="Mahindra"/>
    <s v="M610"/>
    <s v="OEM"/>
    <x v="1"/>
    <s v="W2216AB"/>
    <s v="K"/>
    <s v="E2"/>
    <s v="Clear"/>
    <x v="0"/>
    <s v="BF012461"/>
    <s v="Y"/>
    <s v="L9"/>
    <x v="61"/>
    <n v="111"/>
    <n v="20"/>
    <s v="N/A"/>
    <s v="N/A"/>
    <n v="0.8"/>
    <n v="250"/>
    <n v="650"/>
    <n v="400"/>
    <n v="260"/>
    <n v="250"/>
    <n v="650"/>
    <n v="400"/>
    <n v="260"/>
    <s v="N/A"/>
    <n v="91"/>
    <n v="0.9456"/>
    <m/>
    <n v="0.88591711711711718"/>
    <n v="0.93907214414414419"/>
    <n v="858.41683200000011"/>
    <n v="176.78268616736256"/>
    <n v="193.29823036250863"/>
    <n v="384.24898942032729"/>
    <n v="195"/>
    <n v="216.45"/>
    <n v="203.2621656"/>
    <n v="1016.310828"/>
    <d v="2024-06-01T00:00:00"/>
    <s v="2024_2704_03762"/>
    <s v="W2216AB KE2 CLEAR r111x0193 CB1P"/>
    <m/>
    <m/>
    <m/>
    <m/>
    <m/>
    <m/>
    <m/>
    <x v="1"/>
    <m/>
  </r>
  <r>
    <s v="SGS"/>
    <s v="Meizhou"/>
    <s v="Mahindra"/>
    <s v="M610"/>
    <s v="OEM"/>
    <x v="1"/>
    <s v="W2216AD"/>
    <s v="K"/>
    <s v="E2"/>
    <s v="Clear"/>
    <x v="0"/>
    <s v="BF012553 (CB1P), BF012554 (CB4P)"/>
    <s v="Y"/>
    <s v="L9"/>
    <x v="61"/>
    <n v="109"/>
    <n v="20"/>
    <s v="N/A"/>
    <s v="N/A"/>
    <n v="0.8"/>
    <n v="250"/>
    <n v="650"/>
    <n v="400"/>
    <n v="240"/>
    <n v="250"/>
    <n v="650"/>
    <n v="400"/>
    <n v="240"/>
    <s v="N/A"/>
    <n v="89"/>
    <n v="0.94240000000000002"/>
    <m/>
    <n v="0.88426422018348627"/>
    <n v="0.93732007339449552"/>
    <n v="858.41683200000011"/>
    <n v="177.3829669353332"/>
    <n v="193.95459107681256"/>
    <n v="385.55373980885133"/>
    <n v="194"/>
    <n v="211.46"/>
    <n v="198.20570272000003"/>
    <n v="991.02851360000011"/>
    <d v="2024-09-01T00:00:00"/>
    <s v="2024_2789_03847"/>
    <s v="W2216AD KE2 CLEAR r109x0194 CB1P, W2216AD KE2 CLEAR r109x0194 CB4P"/>
    <m/>
    <m/>
    <m/>
    <m/>
    <m/>
    <m/>
    <m/>
    <x v="1"/>
    <m/>
  </r>
  <r>
    <s v="SGS"/>
    <s v="Meizhou"/>
    <s v="Mazda"/>
    <s v="J59K"/>
    <s v="OEM"/>
    <x v="2"/>
    <s v="W2241AH"/>
    <s v="K"/>
    <s v="E2"/>
    <s v="Clear"/>
    <x v="0"/>
    <s v="BF012303 (CB1P), BF012366 (CB4P)"/>
    <s v="Y"/>
    <s v="L9"/>
    <x v="24"/>
    <n v="108"/>
    <n v="25"/>
    <s v="N/A"/>
    <s v="N/A"/>
    <n v="0.8"/>
    <n v="200"/>
    <n v="600"/>
    <n v="400"/>
    <n v="230"/>
    <n v="200"/>
    <n v="600"/>
    <n v="400"/>
    <n v="230"/>
    <s v="N/A"/>
    <n v="83"/>
    <n v="1.1402999999999999"/>
    <m/>
    <n v="1.009536574074074"/>
    <n v="1.0701087685185184"/>
    <n v="874.69313200000011"/>
    <n v="146.59800757682896"/>
    <n v="160.29361276049127"/>
    <n v="318.64057212651187"/>
    <n v="160"/>
    <n v="172.8"/>
    <n v="184.91479519999999"/>
    <n v="739.65918079999994"/>
    <d v="2024-04-01T00:00:00"/>
    <s v="2024_2515_03572, 2024_2598_03656"/>
    <s v="W2241AH KE2 CLEAR r108x0160 CB1P, W2241AH KE2 CLEAR r108x0160 CB4P"/>
    <m/>
    <m/>
    <m/>
    <m/>
    <m/>
    <n v="0.55555555555555558"/>
    <m/>
    <x v="0"/>
    <m/>
  </r>
  <r>
    <s v="SGS"/>
    <s v="Meizhou"/>
    <s v="X-peng"/>
    <s v="E29"/>
    <s v="OEM"/>
    <x v="0"/>
    <s v="W2222AE"/>
    <s v="K"/>
    <s v="E2"/>
    <s v="Clear"/>
    <x v="0"/>
    <s v="tbd"/>
    <s v="Y"/>
    <s v="L8"/>
    <x v="42"/>
    <n v="108"/>
    <n v="25"/>
    <s v="N/A"/>
    <s v="N/A"/>
    <n v="0.8"/>
    <n v="180"/>
    <n v="680"/>
    <n v="500"/>
    <n v="150"/>
    <n v="180"/>
    <n v="680"/>
    <n v="500"/>
    <n v="150"/>
    <s v="N/A"/>
    <n v="83"/>
    <n v="0.98260000000000003"/>
    <m/>
    <n v="0.91243425925925925"/>
    <n v="0.96718031481481481"/>
    <n v="862.32314400000007"/>
    <n v="170.12589867683494"/>
    <n v="186.01954674413614"/>
    <n v="369.78001668620135"/>
    <n v="186"/>
    <n v="200.88"/>
    <n v="194.28718164"/>
    <n v="777.14872656"/>
    <s v="?"/>
    <m/>
    <m/>
    <s v="Calice asked for tighter LWA specs"/>
    <m/>
    <m/>
    <m/>
    <m/>
    <m/>
    <m/>
    <x v="1"/>
    <m/>
  </r>
  <r>
    <s v="SGS"/>
    <s v="Meizhou"/>
    <s v="X-peng"/>
    <s v="E29"/>
    <s v="OEM"/>
    <x v="0"/>
    <s v="W2228AG"/>
    <s v="K"/>
    <s v="E2"/>
    <s v="Clear"/>
    <x v="0"/>
    <s v="BF012899 (CB1P), BF012900 (CB4P), ____ (L8)"/>
    <s v="Y"/>
    <s v="L8 &amp; L9"/>
    <x v="26"/>
    <n v="105"/>
    <n v="20"/>
    <s v="N/A"/>
    <s v="N/A"/>
    <n v="0.8"/>
    <n v="200"/>
    <n v="720"/>
    <n v="520"/>
    <n v="130"/>
    <n v="200"/>
    <n v="720"/>
    <n v="520"/>
    <n v="130"/>
    <s v="N/A"/>
    <n v="85"/>
    <n v="1.038"/>
    <m/>
    <n v="0.94166666666666676"/>
    <n v="0.99816666666666676"/>
    <n v="866.22945600000003"/>
    <n v="161.04596150275339"/>
    <n v="176.09133586781132"/>
    <n v="350.04416608464498"/>
    <n v="176"/>
    <n v="184.8"/>
    <n v="184.46120000000002"/>
    <n v="922.30600000000004"/>
    <d v="2025-07-01T00:00:00"/>
    <s v="2025-0190-0331, ___ (L8)"/>
    <s v="W2228AG KE2 CLEAR r105x0176 CB1P, W2228AG KE2 CLEAR r105x0176 CB4P, ____ (L8)"/>
    <m/>
    <m/>
    <m/>
    <m/>
    <m/>
    <m/>
    <m/>
    <x v="1"/>
    <m/>
  </r>
  <r>
    <s v="SGS"/>
    <s v="Meizhou"/>
    <m/>
    <s v="F05"/>
    <s v="OEM"/>
    <x v="0"/>
    <s v="W2225AM"/>
    <s v="L"/>
    <s v="E2"/>
    <s v="Clear"/>
    <x v="0"/>
    <m/>
    <m/>
    <s v="L9"/>
    <x v="30"/>
    <n v="113"/>
    <n v="10"/>
    <s v="N/A"/>
    <s v="N/A"/>
    <n v="0.8"/>
    <s v="N/A"/>
    <s v="N/A"/>
    <e v="#VALUE!"/>
    <e v="#VALUE!"/>
    <n v="500"/>
    <n v="900"/>
    <n v="400"/>
    <n v="130"/>
    <s v="N/A"/>
    <n v="103"/>
    <n v="1.0575000000000001"/>
    <m/>
    <n v="0.94014380530973463"/>
    <n v="0.99655243362831869"/>
    <n v="864.27630000000011"/>
    <n v="158.0763196594402"/>
    <n v="172.8442615893978"/>
    <n v="343.58945096535359"/>
    <n v="173"/>
    <n v="195.49"/>
    <n v="194.81603525000003"/>
    <n v="1948.1603525000003"/>
    <m/>
    <m/>
    <m/>
    <s v="ADAS application, no LWA needed"/>
    <m/>
    <m/>
    <m/>
    <m/>
    <m/>
    <m/>
    <x v="1"/>
    <m/>
  </r>
  <r>
    <s v="SGS"/>
    <s v="Meizhou"/>
    <m/>
    <s v="F05"/>
    <s v="OEM"/>
    <x v="0"/>
    <s v="W2239AI"/>
    <s v="L"/>
    <s v="E2"/>
    <s v="Clear"/>
    <x v="0"/>
    <m/>
    <m/>
    <s v="L9"/>
    <x v="10"/>
    <n v="113"/>
    <n v="10"/>
    <s v="N/A"/>
    <s v="N/A"/>
    <n v="0.8"/>
    <s v="N/A"/>
    <s v="N/A"/>
    <e v="#VALUE!"/>
    <e v="#VALUE!"/>
    <n v="500"/>
    <n v="900"/>
    <n v="400"/>
    <n v="130"/>
    <s v="N/A"/>
    <n v="103"/>
    <n v="1.2017"/>
    <m/>
    <n v="1.0186243362831859"/>
    <n v="1.079741796460177"/>
    <n v="873.39102800000012"/>
    <n v="139.10768747595742"/>
    <n v="152.10352553115433"/>
    <n v="302.35986052747063"/>
    <n v="152"/>
    <n v="171.76"/>
    <n v="185.45645095999998"/>
    <n v="1854.5645095999998"/>
    <m/>
    <m/>
    <m/>
    <s v="ADAS application, no LWA needed"/>
    <m/>
    <m/>
    <m/>
    <m/>
    <m/>
    <m/>
    <x v="1"/>
    <m/>
  </r>
  <r>
    <s v="SGS"/>
    <s v="Meizhou"/>
    <m/>
    <s v="F05"/>
    <s v="OEM"/>
    <x v="0"/>
    <s v="W2242AC"/>
    <s v="L"/>
    <s v="E2"/>
    <s v="Clear"/>
    <x v="0"/>
    <m/>
    <m/>
    <s v="L9"/>
    <x v="18"/>
    <n v="113"/>
    <n v="10"/>
    <s v="N/A"/>
    <s v="N/A"/>
    <n v="0.8"/>
    <s v="N/A"/>
    <s v="N/A"/>
    <e v="#VALUE!"/>
    <e v="#VALUE!"/>
    <n v="500"/>
    <n v="900"/>
    <n v="400"/>
    <n v="130"/>
    <s v="N/A"/>
    <n v="103"/>
    <n v="1.2326000000000001"/>
    <m/>
    <n v="1.0354415929203542"/>
    <n v="1.0975680884955754"/>
    <n v="875.34418400000015"/>
    <n v="135.62040243376441"/>
    <n v="148.29044834560128"/>
    <n v="294.78001330185094"/>
    <n v="148"/>
    <n v="167.24"/>
    <n v="183.55728712000004"/>
    <n v="1835.5728712000002"/>
    <m/>
    <m/>
    <m/>
    <s v="ADAS application, no LWA needed"/>
    <m/>
    <m/>
    <m/>
    <m/>
    <m/>
    <m/>
    <x v="1"/>
    <m/>
  </r>
  <r>
    <s v="SGS"/>
    <s v="Meizhou"/>
    <s v="X-peng"/>
    <s v="F57"/>
    <s v="OEM"/>
    <x v="0"/>
    <s v="W2224AB"/>
    <s v="K"/>
    <s v="E2"/>
    <s v="Clear"/>
    <x v="0"/>
    <s v="tbd"/>
    <s v="Y"/>
    <s v="L9"/>
    <x v="19"/>
    <n v="130"/>
    <n v="30"/>
    <s v="N/A"/>
    <s v="N/A"/>
    <n v="0.8"/>
    <n v="150"/>
    <n v="700"/>
    <n v="550"/>
    <n v="300"/>
    <n v="150"/>
    <n v="700"/>
    <n v="550"/>
    <n v="300"/>
    <s v="N/A"/>
    <n v="100"/>
    <n v="1.04"/>
    <m/>
    <n v="0.94769230769230772"/>
    <n v="1.0045538461538461"/>
    <n v="863.62524800000006"/>
    <n v="160.7362577306327"/>
    <n v="175.75269868345015"/>
    <n v="349.37100422678981"/>
    <n v="176"/>
    <n v="228.8"/>
    <n v="229.84192000000002"/>
    <n v="766.13973333333342"/>
    <s v="?"/>
    <s v="2025-0282-0428"/>
    <s v="W2224 KE2 CLEAR r130x0176 CB1P"/>
    <m/>
    <m/>
    <m/>
    <m/>
    <m/>
    <m/>
    <m/>
    <x v="1"/>
    <m/>
  </r>
  <r>
    <s v="SGS"/>
    <s v="Meizhou"/>
    <s v="X-peng"/>
    <s v="H93"/>
    <s v="OEM"/>
    <x v="0"/>
    <s v="W2223AC"/>
    <s v="K"/>
    <s v="E2"/>
    <s v="Clear"/>
    <x v="0"/>
    <s v="BF012789"/>
    <s v="Y"/>
    <s v="L9"/>
    <x v="9"/>
    <n v="140"/>
    <n v="30"/>
    <s v="N/A"/>
    <s v="N/A"/>
    <n v="0.8"/>
    <n v="200"/>
    <n v="700"/>
    <n v="500"/>
    <n v="400"/>
    <n v="200"/>
    <n v="700"/>
    <n v="500"/>
    <n v="400"/>
    <s v="N/A"/>
    <n v="110"/>
    <n v="1.0529999999999999"/>
    <m/>
    <n v="0.95360714285714288"/>
    <n v="1.0108235714285714"/>
    <n v="862.97419600000001"/>
    <n v="158.75185948704467"/>
    <n v="173.58291227995079"/>
    <n v="345.05778195238514"/>
    <n v="174"/>
    <n v="243.6"/>
    <n v="246.23662199999998"/>
    <n v="820.78873999999996"/>
    <d v="2025-03-25T00:00:00"/>
    <s v="2024_2994_04052"/>
    <m/>
    <m/>
    <m/>
    <m/>
    <m/>
    <m/>
    <m/>
    <m/>
    <x v="1"/>
    <m/>
  </r>
  <r>
    <s v="SGS"/>
    <s v="Meizhou"/>
    <s v="X-peng"/>
    <s v="H93"/>
    <s v="OEM"/>
    <x v="0"/>
    <s v="W2229AH"/>
    <s v="K"/>
    <s v="E2"/>
    <s v="Clear"/>
    <x v="0"/>
    <s v="BF012791"/>
    <s v="Y"/>
    <s v="L9"/>
    <x v="34"/>
    <n v="138"/>
    <n v="30"/>
    <s v="N/A"/>
    <s v="N/A"/>
    <n v="0.8"/>
    <n v="200"/>
    <n v="700"/>
    <n v="500"/>
    <n v="380"/>
    <n v="200"/>
    <n v="700"/>
    <n v="500"/>
    <n v="380"/>
    <s v="N/A"/>
    <n v="108"/>
    <n v="1.1132"/>
    <m/>
    <n v="0.99064347826086951"/>
    <n v="1.0500820869565217"/>
    <n v="866.88050800000008"/>
    <n v="150.16682360749016"/>
    <n v="164.19583779265915"/>
    <n v="326.39763240734948"/>
    <n v="164"/>
    <n v="226.32"/>
    <n v="237.65457791999998"/>
    <n v="792.18192639999995"/>
    <d v="2025-03-25T00:00:00"/>
    <s v="2024_2994_04052"/>
    <m/>
    <m/>
    <m/>
    <m/>
    <m/>
    <m/>
    <m/>
    <m/>
    <x v="1"/>
    <m/>
  </r>
  <r>
    <s v="SGS"/>
    <s v="Meizhou"/>
    <s v="X-peng"/>
    <s v="H93"/>
    <s v="OEM"/>
    <x v="0"/>
    <s v="W2229AK"/>
    <s v="K"/>
    <s v="E2"/>
    <s v="Clear"/>
    <x v="0"/>
    <s v="tbd"/>
    <s v="Y"/>
    <s v="L9"/>
    <x v="34"/>
    <n v="139"/>
    <n v="30"/>
    <s v="N/A"/>
    <s v="N/A"/>
    <n v="0.8"/>
    <n v="200"/>
    <n v="700"/>
    <n v="500"/>
    <n v="390"/>
    <n v="200"/>
    <n v="700"/>
    <n v="500"/>
    <n v="390"/>
    <s v="N/A"/>
    <n v="109"/>
    <n v="1.1161000000000001"/>
    <m/>
    <n v="0.99216151079136705"/>
    <n v="1.0516912014388491"/>
    <n v="866.88050800000008"/>
    <n v="149.77664012172568"/>
    <n v="163.76920224960858"/>
    <n v="325.54954251040357"/>
    <n v="164"/>
    <n v="227.96"/>
    <n v="239.74352628000005"/>
    <n v="799.14508760000024"/>
    <m/>
    <s v="2025-0297-0443"/>
    <m/>
    <m/>
    <m/>
    <m/>
    <m/>
    <m/>
    <m/>
    <m/>
    <x v="1"/>
    <m/>
  </r>
  <r>
    <s v="SGS"/>
    <s v="Meizhou"/>
    <s v="X-peng"/>
    <m/>
    <s v="OEM"/>
    <x v="0"/>
    <s v="W2232AN"/>
    <s v="K"/>
    <s v="E2"/>
    <s v="Clear"/>
    <x v="0"/>
    <m/>
    <m/>
    <s v="L9"/>
    <x v="50"/>
    <n v="139"/>
    <n v="30"/>
    <s v="N/A"/>
    <s v="N/A"/>
    <n v="0.8"/>
    <n v="100"/>
    <n v="720"/>
    <n v="620"/>
    <n v="370"/>
    <n v="100"/>
    <n v="720"/>
    <n v="620"/>
    <n v="370"/>
    <s v="N/A"/>
    <n v="109"/>
    <n v="1.1488"/>
    <m/>
    <n v="1.0120402877697843"/>
    <n v="1.0727627050359712"/>
    <n v="868.833664"/>
    <n v="145.51332524360899"/>
    <n v="159.10759630117354"/>
    <n v="316.28294254514401"/>
    <n v="159"/>
    <n v="221.01"/>
    <n v="237.09128543999998"/>
    <n v="790.3042848"/>
    <m/>
    <m/>
    <m/>
    <m/>
    <m/>
    <m/>
    <m/>
    <m/>
    <m/>
    <m/>
    <x v="1"/>
    <m/>
  </r>
  <r>
    <s v="SGS"/>
    <s v="Meizhou"/>
    <s v="Zeekr"/>
    <s v="CX1E"/>
    <s v="OEM"/>
    <x v="2"/>
    <s v="W2225AD"/>
    <s v="K"/>
    <s v="E2"/>
    <s v="Clear"/>
    <x v="0"/>
    <s v="BF012128 (CB1P), BF012371 (CB4P)"/>
    <s v="Y"/>
    <s v="L9"/>
    <x v="30"/>
    <n v="110"/>
    <n v="30"/>
    <s v="N/A"/>
    <s v="N/A"/>
    <n v="0.8"/>
    <n v="200"/>
    <n v="600"/>
    <n v="400"/>
    <n v="200"/>
    <n v="200"/>
    <n v="600"/>
    <n v="400"/>
    <n v="200"/>
    <s v="N/A"/>
    <n v="80"/>
    <n v="1"/>
    <m/>
    <n v="0.92727272727272725"/>
    <n v="0.98290909090909084"/>
    <n v="864.27630000000011"/>
    <n v="167.16570803985803"/>
    <n v="182.78280663078814"/>
    <n v="363.34584439586143"/>
    <n v="183"/>
    <n v="201.3"/>
    <n v="197.8596"/>
    <n v="659.53200000000004"/>
    <d v="2023-12-01T00:00:00"/>
    <s v="2023_2320_03377, 2024_2592_03650"/>
    <s v="W2225AD KE2 CLEAR r110x0183 CB1P, W2225AD KE2 CLEAR r110x0183 CB4P"/>
    <m/>
    <m/>
    <m/>
    <m/>
    <m/>
    <n v="0.54545454545454541"/>
    <m/>
    <x v="0"/>
    <m/>
  </r>
  <r>
    <s v="SGS"/>
    <s v="Meizhou"/>
    <s v="Zeekr"/>
    <s v="CX1E"/>
    <s v="OEM"/>
    <x v="0"/>
    <s v="W2227AH"/>
    <s v="K"/>
    <s v="E2"/>
    <s v="Clear"/>
    <x v="0"/>
    <s v="BF012540"/>
    <s v="Y"/>
    <s v="L9"/>
    <x v="0"/>
    <n v="110"/>
    <n v="30"/>
    <s v="N/A"/>
    <s v="N/A"/>
    <n v="0.8"/>
    <n v="150"/>
    <n v="600"/>
    <n v="450"/>
    <n v="200"/>
    <n v="150"/>
    <n v="600"/>
    <n v="450"/>
    <n v="200"/>
    <s v="N/A"/>
    <n v="80"/>
    <n v="1.016"/>
    <m/>
    <n v="0.93745454545454554"/>
    <n v="0.99370181818181835"/>
    <n v="865.57840400000009"/>
    <n v="164.53317720458469"/>
    <n v="179.90433723502775"/>
    <n v="357.62386259435186"/>
    <n v="180"/>
    <n v="198"/>
    <n v="196.75296000000003"/>
    <n v="655.84320000000014"/>
    <d v="2024-09-01T00:00:00"/>
    <s v="2024_2768_03826"/>
    <s v="W2227AH KE2 CLEAR r110x0180 CB4P"/>
    <m/>
    <m/>
    <m/>
    <m/>
    <m/>
    <m/>
    <m/>
    <x v="0"/>
    <m/>
  </r>
  <r>
    <s v="SGS"/>
    <s v="Meizhou"/>
    <s v="Zeekr"/>
    <s v="CX1E"/>
    <s v="OEM"/>
    <x v="0"/>
    <s v="W2233AI"/>
    <s v="K"/>
    <s v="E2"/>
    <s v="Clear"/>
    <x v="0"/>
    <s v="BF012541"/>
    <s v="Y"/>
    <s v="L9"/>
    <x v="27"/>
    <n v="106"/>
    <n v="30"/>
    <s v="N/A"/>
    <s v="N/A"/>
    <n v="0.8"/>
    <n v="200"/>
    <n v="600"/>
    <n v="400"/>
    <n v="160"/>
    <n v="200"/>
    <n v="600"/>
    <n v="400"/>
    <n v="160"/>
    <s v="N/A"/>
    <n v="76"/>
    <n v="1.0508000000000002"/>
    <m/>
    <n v="0.96089056603773593"/>
    <n v="1.0185440000000001"/>
    <n v="869.48471600000005"/>
    <n v="159.08422919666728"/>
    <n v="173.94633291852696"/>
    <n v="345.7802097410177"/>
    <n v="174"/>
    <n v="184.44"/>
    <n v="187.86025536000002"/>
    <n v="626.2008512000001"/>
    <d v="2024-09-01T00:00:00"/>
    <s v="2024_2768_03826"/>
    <s v="W2233AI KE2 CLEAR r106x0174 CB4P"/>
    <m/>
    <m/>
    <m/>
    <m/>
    <m/>
    <m/>
    <m/>
    <x v="0"/>
    <m/>
  </r>
  <r>
    <s v="SGS"/>
    <s v="Poland"/>
    <s v="BMW"/>
    <s v="1 series (F70)"/>
    <s v="OEM"/>
    <x v="0"/>
    <s v="W2247AG"/>
    <s v="K"/>
    <s v="E2"/>
    <s v="Clear"/>
    <x v="0"/>
    <s v="BF012589"/>
    <s v="Y"/>
    <s v="L8"/>
    <x v="25"/>
    <n v="98"/>
    <n v="29"/>
    <s v="N/A"/>
    <s v="N/A"/>
    <n v="0.8"/>
    <n v="215"/>
    <n v="495"/>
    <n v="280"/>
    <n v="195"/>
    <n v="200"/>
    <n v="600"/>
    <n v="400"/>
    <n v="90"/>
    <s v="N/A"/>
    <n v="69"/>
    <n v="1.1243000000000001"/>
    <m/>
    <n v="1.0101331632653063"/>
    <n v="1.0707411530612247"/>
    <n v="878.59944400000006"/>
    <n v="148.68425512750869"/>
    <n v="162.57476352467151"/>
    <n v="323.17517068030014"/>
    <n v="163"/>
    <n v="159.74"/>
    <n v="171.04019179000005"/>
    <n v="589.79376479310372"/>
    <s v="?"/>
    <s v="2024_2819_03877"/>
    <s v="W2247AG KE2 CLEAR r098x0163 CT1P"/>
    <m/>
    <m/>
    <m/>
    <m/>
    <m/>
    <m/>
    <m/>
    <x v="1"/>
    <m/>
  </r>
  <r>
    <s v="SGS"/>
    <s v="Poland"/>
    <s v="BMW"/>
    <s v="1 series (F70)"/>
    <s v="OEM"/>
    <x v="0"/>
    <s v="W2251AK"/>
    <s v="K"/>
    <s v="E2"/>
    <s v="Clear"/>
    <x v="0"/>
    <s v="BF012590"/>
    <s v="Y"/>
    <s v="L8"/>
    <x v="1"/>
    <n v="98"/>
    <n v="29"/>
    <s v="N/A"/>
    <s v="N/A"/>
    <n v="0.8"/>
    <n v="215"/>
    <n v="495"/>
    <n v="280"/>
    <n v="195"/>
    <n v="200"/>
    <n v="600"/>
    <n v="400"/>
    <n v="90"/>
    <s v="N/A"/>
    <n v="69"/>
    <n v="1.1519000000000001"/>
    <m/>
    <n v="1.028016836734694"/>
    <n v="1.0896978469387757"/>
    <n v="881.20365200000003"/>
    <n v="145.12171893381196"/>
    <n v="158.67940500979958"/>
    <n v="315.43176004502249"/>
    <n v="159"/>
    <n v="155.82"/>
    <n v="169.79671851000003"/>
    <n v="585.50592589655184"/>
    <d v="2024-11-01T00:00:00"/>
    <s v="2024_2819_03877"/>
    <s v="W2251AK KE2 CLEAR r098x0159 CT1P"/>
    <m/>
    <m/>
    <m/>
    <m/>
    <m/>
    <m/>
    <m/>
    <x v="1"/>
    <m/>
  </r>
  <r>
    <s v="SGS"/>
    <s v="Poland"/>
    <s v="BMW"/>
    <s v="1 series (F70)"/>
    <s v="OEM"/>
    <x v="0"/>
    <s v="W2254AH"/>
    <s v="K"/>
    <s v="E2"/>
    <s v="Clear"/>
    <x v="0"/>
    <s v="BF012357"/>
    <s v="Y"/>
    <s v="L8"/>
    <x v="38"/>
    <n v="98"/>
    <n v="29"/>
    <s v="N/A"/>
    <s v="N/A"/>
    <n v="0.8"/>
    <n v="215"/>
    <n v="495"/>
    <n v="280"/>
    <n v="195"/>
    <n v="200"/>
    <n v="600"/>
    <n v="400"/>
    <n v="90"/>
    <s v="N/A"/>
    <n v="69"/>
    <n v="1.1726000000000001"/>
    <m/>
    <n v="1.0414295918367347"/>
    <n v="1.1039153673469388"/>
    <n v="883.15680800000007"/>
    <n v="142.55987381874297"/>
    <n v="155.87822499640811"/>
    <n v="309.86341838296221"/>
    <n v="156"/>
    <n v="152.88"/>
    <n v="168.76658136"/>
    <n v="581.95372882758625"/>
    <d v="2024-05-01T00:00:00"/>
    <s v="2024_2579_03637"/>
    <s v="W2254AH KE2 CLEAR r098x0152 CT1P"/>
    <m/>
    <m/>
    <m/>
    <m/>
    <m/>
    <n v="0.50510204081632648"/>
    <m/>
    <x v="0"/>
    <m/>
  </r>
  <r>
    <s v="SGS"/>
    <s v="Poland"/>
    <s v="BMW"/>
    <s v="1 series (F70)"/>
    <s v="OEM"/>
    <x v="0"/>
    <s v="W2257AG"/>
    <s v="K"/>
    <s v="E2"/>
    <s v="Clear"/>
    <x v="0"/>
    <s v="BF012591"/>
    <s v="Y"/>
    <s v="L8"/>
    <x v="52"/>
    <n v="98"/>
    <n v="29"/>
    <s v="N/A"/>
    <s v="N/A"/>
    <n v="0.8"/>
    <n v="215"/>
    <n v="495"/>
    <n v="280"/>
    <n v="195"/>
    <n v="200"/>
    <n v="600"/>
    <n v="400"/>
    <n v="90"/>
    <s v="N/A"/>
    <n v="69"/>
    <n v="1.1933"/>
    <m/>
    <n v="1.0548423469387755"/>
    <n v="1.118132887755102"/>
    <n v="885.10996399999999"/>
    <n v="140.08690860626669"/>
    <n v="153.17422830033368"/>
    <n v="304.48826313237362"/>
    <n v="153"/>
    <n v="149.94"/>
    <n v="167.65284518999999"/>
    <n v="578.11325927586211"/>
    <s v="?"/>
    <s v="2024_2819_03877"/>
    <s v="W2257AG KE2 CLEAR r098x0153 CT1P"/>
    <m/>
    <m/>
    <m/>
    <m/>
    <m/>
    <n v="0.50510204081632648"/>
    <m/>
    <x v="0"/>
    <m/>
  </r>
  <r>
    <s v="SGS"/>
    <s v="Poland"/>
    <s v="BMW"/>
    <s v="3 series (G20)"/>
    <s v="OEM"/>
    <x v="0"/>
    <s v="W2250AW"/>
    <s v="K"/>
    <s v="E2"/>
    <s v="Clear"/>
    <x v="0"/>
    <s v="BF012865"/>
    <s v="Y"/>
    <s v="L8 &amp; L9"/>
    <x v="29"/>
    <n v="94"/>
    <n v="28"/>
    <s v="N/A"/>
    <s v="N/A"/>
    <n v="0.8"/>
    <n v="235"/>
    <n v="530"/>
    <n v="295"/>
    <n v="130"/>
    <n v="170"/>
    <n v="570"/>
    <n v="400"/>
    <n v="90"/>
    <s v="N/A"/>
    <n v="66"/>
    <n v="1.1300000000000001"/>
    <m/>
    <n v="1.014148936170213"/>
    <n v="1.0749978723404259"/>
    <n v="880.5526000000001"/>
    <n v="147.9342549025292"/>
    <n v="161.75469613344083"/>
    <n v="321.54499504058532"/>
    <n v="322"/>
    <n v="302.68"/>
    <n v="325.38035600000012"/>
    <n v="1162.0727000000004"/>
    <s v="?"/>
    <s v="2025-0163-0303"/>
    <m/>
    <m/>
    <m/>
    <m/>
    <m/>
    <m/>
    <m/>
    <m/>
    <x v="1"/>
    <m/>
  </r>
  <r>
    <s v="SGS"/>
    <s v="Poland"/>
    <s v="BMW"/>
    <s v="5 series (G60)"/>
    <s v="OEM"/>
    <x v="0"/>
    <s v="W2243AE"/>
    <s v="K"/>
    <s v="E2"/>
    <s v="Clear"/>
    <x v="0"/>
    <s v="BF012866"/>
    <s v="Y"/>
    <s v="L8 &amp; L9"/>
    <x v="57"/>
    <n v="100"/>
    <n v="30"/>
    <s v="N/A"/>
    <s v="N/A"/>
    <n v="0.8"/>
    <n v="210"/>
    <n v="570"/>
    <n v="360"/>
    <n v="130"/>
    <n v="200"/>
    <n v="600"/>
    <n v="400"/>
    <n v="100"/>
    <s v="N/A"/>
    <n v="70"/>
    <n v="1.101"/>
    <m/>
    <n v="0.99564999999999992"/>
    <n v="1.0553889999999999"/>
    <n v="875.99523599999998"/>
    <n v="151.83079749305907"/>
    <n v="166.01526487810006"/>
    <n v="330.01439091358895"/>
    <n v="330"/>
    <n v="330"/>
    <n v="348.27837"/>
    <n v="1160.9279000000001"/>
    <s v="?"/>
    <s v="2025-0163-0303"/>
    <m/>
    <m/>
    <m/>
    <m/>
    <m/>
    <m/>
    <m/>
    <m/>
    <x v="1"/>
    <m/>
  </r>
  <r>
    <s v="SGS"/>
    <s v="Poland"/>
    <s v="Hyundai"/>
    <s v="NX5e"/>
    <s v="OEM"/>
    <x v="0"/>
    <s v="W2246AH"/>
    <s v="K"/>
    <s v="E2"/>
    <s v="Clear"/>
    <x v="0"/>
    <m/>
    <m/>
    <s v="L8 &amp; L9"/>
    <x v="37"/>
    <n v="105"/>
    <n v="30"/>
    <s v="N/A"/>
    <s v="N/A"/>
    <n v="0.8"/>
    <n v="220"/>
    <n v="600"/>
    <n v="380"/>
    <n v="150"/>
    <n v="210"/>
    <n v="610"/>
    <n v="400"/>
    <n v="140"/>
    <s v="N/A"/>
    <n v="75"/>
    <n v="1.145"/>
    <m/>
    <n v="1.0217857142857143"/>
    <n v="1.0830928571428571"/>
    <n v="877.94839200000001"/>
    <n v="145.99625156319479"/>
    <n v="159.6356389788543"/>
    <n v="317.33261519289209"/>
    <n v="317"/>
    <n v="332.85"/>
    <n v="360.50745749999999"/>
    <n v="1201.691525"/>
    <m/>
    <m/>
    <s v="W2246AH KE2 CLEAR r105x0317 MT2P"/>
    <m/>
    <m/>
    <m/>
    <m/>
    <m/>
    <m/>
    <m/>
    <x v="1"/>
    <m/>
  </r>
  <r>
    <s v="SGS"/>
    <s v="QingDao"/>
    <s v="Lotus"/>
    <s v="?"/>
    <s v="OEM"/>
    <x v="1"/>
    <s v="W2221AC"/>
    <s v="K"/>
    <s v="E2"/>
    <s v="Clear"/>
    <x v="0"/>
    <s v="BF011816"/>
    <s v="Y"/>
    <s v="L9"/>
    <x v="20"/>
    <n v="107"/>
    <n v="30"/>
    <s v="N/A"/>
    <s v="N/A"/>
    <n v="0.8"/>
    <n v="200"/>
    <n v="600"/>
    <n v="400"/>
    <n v="170"/>
    <n v="200"/>
    <n v="600"/>
    <n v="400"/>
    <n v="170"/>
    <s v="N/A"/>
    <n v="77"/>
    <n v="0.9617"/>
    <m/>
    <n v="0.90351822429906548"/>
    <n v="0.95772931775700942"/>
    <n v="861.67209200000002"/>
    <n v="173.82313407492776"/>
    <n v="190.06218844836036"/>
    <n v="377.81620504924763"/>
    <n v="190"/>
    <n v="203.3"/>
    <n v="194.70637030000003"/>
    <n v="649.0212343333335"/>
    <d v="2023-06-23T00:00:00"/>
    <s v="2023_2030_03087"/>
    <s v="W2221AC KE2 CLEAR r107x0190 CB1P"/>
    <m/>
    <m/>
    <m/>
    <s v="N/A"/>
    <m/>
    <n v="0.56074766355140182"/>
    <m/>
    <x v="0"/>
    <m/>
  </r>
  <r>
    <s v="SGS"/>
    <s v="QingDao"/>
    <s v="Zeekr"/>
    <s v="DC1E A2"/>
    <s v="OEM"/>
    <x v="0"/>
    <s v="W2220AC"/>
    <s v="K"/>
    <s v="E2"/>
    <s v="Clear"/>
    <x v="0"/>
    <s v="BF012126 (CB1P), BF012403 (CB4P), ___ (L8)"/>
    <s v="Y"/>
    <s v="L9"/>
    <x v="13"/>
    <n v="105"/>
    <n v="30"/>
    <s v="N/A"/>
    <s v="N/A"/>
    <n v="0.8"/>
    <n v="200"/>
    <n v="600"/>
    <n v="400"/>
    <n v="150"/>
    <n v="200"/>
    <n v="600"/>
    <n v="400"/>
    <n v="150"/>
    <s v="N/A"/>
    <n v="75"/>
    <n v="0.95000000000000007"/>
    <m/>
    <n v="0.89642857142857146"/>
    <n v="0.95021428571428579"/>
    <n v="861.02103999999997"/>
    <n v="175.96390319985056"/>
    <n v="192.40295434819808"/>
    <n v="382.46930989038049"/>
    <n v="192"/>
    <n v="201.6"/>
    <n v="191.56320000000002"/>
    <n v="638.5440000000001"/>
    <d v="2023-12-01T00:00:00"/>
    <s v="2023_2320_03377, 2024_2638_03696, 2024_2957_04015 (L8 test)"/>
    <s v="W2220AC KE2 CLEAR r105x0192 CB1P, W2220AC KE2 CLEAR r105x0192 CB4P"/>
    <m/>
    <m/>
    <m/>
    <m/>
    <m/>
    <n v="0.5714285714285714"/>
    <m/>
    <x v="0"/>
    <m/>
  </r>
  <r>
    <s v="SGS"/>
    <s v="QingDao"/>
    <s v="Zeekr"/>
    <s v="DC1E A3"/>
    <s v="OEM"/>
    <x v="0"/>
    <s v="W2225AK"/>
    <s v="K"/>
    <s v="E2"/>
    <s v="Clear"/>
    <x v="0"/>
    <s v="BF012999"/>
    <s v="Y"/>
    <s v="L9"/>
    <x v="30"/>
    <n v="105"/>
    <n v="20"/>
    <s v="N/A"/>
    <s v="N/A"/>
    <n v="0.8"/>
    <n v="100"/>
    <n v="720"/>
    <n v="620"/>
    <n v="130"/>
    <n v="100"/>
    <n v="720"/>
    <n v="620"/>
    <n v="130"/>
    <s v="N/A"/>
    <n v="85"/>
    <n v="1.0125"/>
    <m/>
    <n v="0.92648809523809528"/>
    <n v="0.98207738095238095"/>
    <n v="864.27630000000011"/>
    <n v="165.10193386652645"/>
    <n v="180.52622877114882"/>
    <n v="358.86009323048052"/>
    <n v="181"/>
    <n v="190.05"/>
    <n v="186.64380625000001"/>
    <n v="933.21903125000006"/>
    <s v="?"/>
    <s v="2025-0281-0427"/>
    <m/>
    <m/>
    <m/>
    <m/>
    <m/>
    <m/>
    <m/>
    <m/>
    <x v="1"/>
    <m/>
  </r>
  <r>
    <s v="SGS"/>
    <s v="QingDao"/>
    <s v="Zeekr"/>
    <s v="DC1E A3"/>
    <s v="OEM"/>
    <x v="0"/>
    <s v="W2225AL"/>
    <s v="K"/>
    <s v="E2"/>
    <s v="Clear"/>
    <x v="0"/>
    <m/>
    <m/>
    <s v="L9"/>
    <x v="30"/>
    <n v="110"/>
    <n v="25"/>
    <s v="N/A"/>
    <s v="N/A"/>
    <n v="0.8"/>
    <n v="100"/>
    <n v="720"/>
    <n v="620"/>
    <n v="130"/>
    <n v="100"/>
    <n v="720"/>
    <n v="620"/>
    <n v="130"/>
    <s v="N/A"/>
    <n v="85"/>
    <n v="1.0125"/>
    <m/>
    <n v="0.93039772727272729"/>
    <n v="0.98622159090909089"/>
    <n v="864.27630000000011"/>
    <n v="165.10193386652645"/>
    <n v="180.52622877114882"/>
    <n v="358.86009323048052"/>
    <n v="181"/>
    <n v="199.1"/>
    <n v="196.35671875"/>
    <n v="785.426875"/>
    <m/>
    <m/>
    <m/>
    <m/>
    <m/>
    <m/>
    <m/>
    <m/>
    <m/>
    <m/>
    <x v="1"/>
    <m/>
  </r>
  <r>
    <s v="SGS"/>
    <s v="QingDao"/>
    <s v="Zeekr"/>
    <s v="DC1E A3"/>
    <s v="OEM"/>
    <x v="0"/>
    <s v="W2228AI"/>
    <s v="K"/>
    <s v="E2"/>
    <s v="Clear"/>
    <x v="0"/>
    <m/>
    <m/>
    <s v="L9"/>
    <x v="26"/>
    <n v="110"/>
    <n v="25"/>
    <s v="N/A"/>
    <s v="N/A"/>
    <n v="0.8"/>
    <n v="100"/>
    <n v="720"/>
    <n v="620"/>
    <n v="130"/>
    <n v="100"/>
    <n v="720"/>
    <n v="620"/>
    <n v="130"/>
    <s v="N/A"/>
    <n v="85"/>
    <n v="1.038"/>
    <m/>
    <n v="0.94604545454545463"/>
    <n v="1.002808181818182"/>
    <n v="866.22945600000003"/>
    <n v="161.04596150275339"/>
    <n v="176.09133586781132"/>
    <n v="350.04416608464498"/>
    <n v="176"/>
    <n v="193.6"/>
    <n v="194.14366400000003"/>
    <n v="776.57465600000012"/>
    <m/>
    <m/>
    <m/>
    <m/>
    <m/>
    <m/>
    <m/>
    <m/>
    <m/>
    <m/>
    <x v="1"/>
    <m/>
  </r>
  <r>
    <s v="SGS"/>
    <s v="QingDao"/>
    <s v="Zeekr"/>
    <s v="DX1H"/>
    <s v="OEM"/>
    <x v="0"/>
    <s v="W2221AF"/>
    <s v="K"/>
    <s v="E2"/>
    <s v="Clear"/>
    <x v="0"/>
    <s v="CB1P), BF012786 (CB4P)"/>
    <s v="Y"/>
    <s v="L9"/>
    <x v="20"/>
    <n v="113"/>
    <n v="30"/>
    <s v="N/A"/>
    <s v="N/A"/>
    <n v="0.8"/>
    <n v="150"/>
    <n v="700"/>
    <n v="550"/>
    <n v="130"/>
    <n v="150"/>
    <n v="700"/>
    <n v="550"/>
    <n v="130"/>
    <s v="N/A"/>
    <n v="83"/>
    <n v="0.97430000000000005"/>
    <m/>
    <n v="0.91028716814159305"/>
    <n v="0.96490439823008867"/>
    <n v="861.67209200000002"/>
    <n v="171.57519043401214"/>
    <n v="187.60423548269341"/>
    <n v="372.93014923110076"/>
    <n v="188"/>
    <n v="212.44"/>
    <n v="204.98429036000005"/>
    <n v="683.28096786666686"/>
    <d v="2025-03-25T00:00:00"/>
    <s v="2024_2993_04051"/>
    <m/>
    <s v="Suggested using W2221AD for initial testing, but nope"/>
    <m/>
    <m/>
    <m/>
    <m/>
    <n v="0.61946902654867253"/>
    <m/>
    <x v="0"/>
    <m/>
  </r>
  <r>
    <s v="SGS"/>
    <s v="QingDao"/>
    <s v="Zeekr"/>
    <s v="DX1H"/>
    <s v="OEM"/>
    <x v="0"/>
    <s v="W2221AG"/>
    <s v="K"/>
    <s v="E2"/>
    <s v="Clear"/>
    <x v="0"/>
    <m/>
    <s v="Y"/>
    <s v="L9"/>
    <x v="20"/>
    <n v="108"/>
    <n v="25"/>
    <s v="N/A"/>
    <s v="N/A"/>
    <n v="0.8"/>
    <n v="150"/>
    <n v="700"/>
    <n v="550"/>
    <n v="130"/>
    <n v="150"/>
    <n v="700"/>
    <n v="550"/>
    <n v="130"/>
    <s v="N/A"/>
    <n v="83"/>
    <n v="0.97430000000000005"/>
    <m/>
    <n v="0.90732361111111126"/>
    <n v="0.961763027777778"/>
    <n v="861.67209200000002"/>
    <n v="171.57519043401214"/>
    <n v="187.60423548269341"/>
    <n v="372.93014923110076"/>
    <n v="188"/>
    <n v="203.04"/>
    <n v="195.27636516000004"/>
    <n v="781.10546064000016"/>
    <s v="?"/>
    <s v="2025-0191-0332"/>
    <m/>
    <s v="sold a couple rolls in 2025, no continued business"/>
    <m/>
    <m/>
    <m/>
    <m/>
    <m/>
    <m/>
    <x v="1"/>
    <m/>
  </r>
  <r>
    <s v="SGS"/>
    <s v="QingDao"/>
    <s v="Zeekr"/>
    <s v="EX1H"/>
    <s v="OEM"/>
    <x v="0"/>
    <s v="W2229AD"/>
    <s v="K"/>
    <s v="E2"/>
    <s v="Clear"/>
    <x v="0"/>
    <s v="BF012519 (CB1P), BF012520 (CB4P)"/>
    <s v="Y"/>
    <s v="L9"/>
    <x v="34"/>
    <n v="118"/>
    <n v="30"/>
    <s v="N/A"/>
    <s v="N/A"/>
    <n v="0.8"/>
    <n v="200"/>
    <n v="650"/>
    <n v="450"/>
    <n v="230"/>
    <n v="200"/>
    <n v="650"/>
    <n v="450"/>
    <n v="230"/>
    <s v="N/A"/>
    <n v="88"/>
    <n v="1.0552000000000001"/>
    <m/>
    <n v="0.96004067796610182"/>
    <n v="1.017643118644068"/>
    <n v="866.88050800000008"/>
    <n v="158.4208757011543"/>
    <n v="173.22100704206608"/>
    <n v="344.33836656165789"/>
    <n v="173"/>
    <n v="204.14"/>
    <n v="207.74166624000003"/>
    <n v="692.47222080000017"/>
    <d v="2024-09-01T00:00:00"/>
    <s v="2024_2751_03809"/>
    <m/>
    <m/>
    <m/>
    <m/>
    <m/>
    <m/>
    <n v="0.55084745762711862"/>
    <m/>
    <x v="1"/>
    <m/>
  </r>
  <r>
    <s v="SGS"/>
    <s v="QingDao"/>
    <s v="Zeekr"/>
    <s v="EX1H"/>
    <s v="OEM"/>
    <x v="0"/>
    <s v="W2229AE"/>
    <s v="K"/>
    <s v="E2"/>
    <s v="Clear"/>
    <x v="0"/>
    <s v="BF012622"/>
    <s v="Y"/>
    <s v="L9"/>
    <x v="34"/>
    <n v="114"/>
    <n v="30"/>
    <s v="N/A"/>
    <s v="N/A"/>
    <n v="0.8"/>
    <n v="200"/>
    <n v="650"/>
    <n v="450"/>
    <n v="190"/>
    <n v="200"/>
    <n v="650"/>
    <n v="450"/>
    <n v="190"/>
    <s v="N/A"/>
    <n v="84"/>
    <n v="1.0436000000000001"/>
    <m/>
    <n v="0.95385263157894751"/>
    <n v="1.0110837894736844"/>
    <n v="866.88050800000008"/>
    <n v="160.18178233025873"/>
    <n v="175.14642260520137"/>
    <n v="348.16581486763266"/>
    <n v="175"/>
    <n v="199.5"/>
    <n v="201.71121600000004"/>
    <n v="672.37072000000012"/>
    <d v="2024-12-01T00:00:00"/>
    <s v="2024_2838_03896"/>
    <m/>
    <s v="Very similar to W2229AAT. Consolidate?"/>
    <m/>
    <m/>
    <m/>
    <m/>
    <n v="0.57017543859649122"/>
    <m/>
    <x v="1"/>
    <m/>
  </r>
  <r>
    <s v="SGS"/>
    <s v="QingDao"/>
    <s v="Zeekr"/>
    <s v="EX1H"/>
    <s v="OEM"/>
    <x v="0"/>
    <s v="W2229AI"/>
    <s v="K"/>
    <s v="E2"/>
    <s v="Clear"/>
    <x v="0"/>
    <s v="BF012896"/>
    <s v="Y"/>
    <s v="L9"/>
    <x v="34"/>
    <n v="111"/>
    <n v="30"/>
    <s v="N/A"/>
    <s v="N/A"/>
    <n v="0.8"/>
    <n v="200"/>
    <n v="650"/>
    <n v="450"/>
    <n v="160"/>
    <n v="200"/>
    <n v="650"/>
    <n v="450"/>
    <n v="160"/>
    <s v="N/A"/>
    <n v="81"/>
    <n v="1.0348999999999999"/>
    <m/>
    <n v="0.94919324324324328"/>
    <n v="1.0061448378378379"/>
    <n v="866.88050800000008"/>
    <n v="161.52836799677073"/>
    <n v="176.61881015633219"/>
    <n v="351.09270885676051"/>
    <n v="177"/>
    <n v="196.47"/>
    <n v="197.67727629000001"/>
    <n v="658.92425430000003"/>
    <d v="2025-07-01T00:00:00"/>
    <s v="2025-0190-0335"/>
    <s v="W2229AI KE2 CLEAR r111x0177 CB4P"/>
    <m/>
    <m/>
    <m/>
    <m/>
    <m/>
    <m/>
    <m/>
    <x v="1"/>
    <m/>
  </r>
  <r>
    <s v="SGS"/>
    <s v="Saltillo"/>
    <s v="Mazda"/>
    <s v="3 (J59)"/>
    <s v="OEM"/>
    <x v="0"/>
    <s v="W2250AT"/>
    <s v="K"/>
    <s v="E2"/>
    <s v="Clear"/>
    <x v="0"/>
    <s v="BF012103"/>
    <s v="Y"/>
    <s v="L8"/>
    <x v="29"/>
    <n v="105"/>
    <n v="30"/>
    <s v="N/A"/>
    <s v="N/A"/>
    <n v="0.8"/>
    <n v="260"/>
    <n v="610"/>
    <n v="350"/>
    <n v="140"/>
    <n v="210"/>
    <n v="610"/>
    <n v="400"/>
    <n v="140"/>
    <s v="N/A"/>
    <n v="75"/>
    <n v="1.175"/>
    <m/>
    <n v="1.0410714285714286"/>
    <n v="1.1035357142857145"/>
    <n v="880.5526000000001"/>
    <n v="142.26868769349619"/>
    <n v="155.55983543045801"/>
    <n v="309.23050586881823"/>
    <n v="156"/>
    <n v="163.80000000000001"/>
    <n v="180.75915000000006"/>
    <n v="602.53050000000019"/>
    <d v="2023-11-01T00:00:00"/>
    <s v="2023_2283_03340"/>
    <s v="W2250AT KE2 CLEAR r105x0156 CT1P"/>
    <m/>
    <m/>
    <m/>
    <m/>
    <m/>
    <n v="0.580952380952381"/>
    <m/>
    <x v="0"/>
    <m/>
  </r>
  <r>
    <s v="SGS"/>
    <s v="Saltillo"/>
    <s v="Mazda"/>
    <s v="J59J"/>
    <s v="ARG"/>
    <x v="0"/>
    <s v="W2245AE"/>
    <s v="K"/>
    <s v="E2"/>
    <s v="Clear"/>
    <x v="0"/>
    <m/>
    <s v="Y"/>
    <s v="L8"/>
    <x v="3"/>
    <n v="110"/>
    <n v="30"/>
    <s v="N/A"/>
    <s v="N/A"/>
    <n v="0.8"/>
    <n v="235"/>
    <n v="635"/>
    <n v="400"/>
    <n v="165"/>
    <n v="235"/>
    <n v="635"/>
    <n v="400"/>
    <n v="165"/>
    <s v="N/A"/>
    <n v="80"/>
    <n v="1.1600000000000001"/>
    <m/>
    <n v="1.0290909090909093"/>
    <n v="1.0908363636363638"/>
    <n v="877.29733999999996"/>
    <n v="144.1083689998776"/>
    <n v="157.57138502654149"/>
    <n v="313.22917620332879"/>
    <n v="158"/>
    <n v="173.8"/>
    <n v="189.58736000000005"/>
    <n v="631.95786666666686"/>
    <d v="2025-07-01T00:00:00"/>
    <s v="2025-0169-0309"/>
    <m/>
    <m/>
    <m/>
    <m/>
    <m/>
    <m/>
    <m/>
    <m/>
    <x v="1"/>
    <m/>
  </r>
  <r>
    <s v="SGS"/>
    <s v="Savigliano"/>
    <s v="Stellantis (DS? Renault?)"/>
    <s v="D-cross"/>
    <s v="OEM"/>
    <x v="0"/>
    <s v="W2221AB"/>
    <s v="K"/>
    <s v="E2"/>
    <s v="Clear"/>
    <x v="0"/>
    <s v="BF011651"/>
    <s v="Y"/>
    <s v="L8"/>
    <x v="20"/>
    <n v="116"/>
    <n v="30"/>
    <s v="N/A"/>
    <s v="N/A"/>
    <n v="0.8"/>
    <n v="390"/>
    <n v="690"/>
    <n v="300"/>
    <n v="170"/>
    <n v="350"/>
    <n v="750"/>
    <n v="400"/>
    <n v="110"/>
    <s v="N/A"/>
    <n v="86"/>
    <n v="0.98060000000000003"/>
    <m/>
    <n v="0.91365344827586203"/>
    <n v="0.96847265517241377"/>
    <n v="861.67209200000002"/>
    <n v="170.47288194968183"/>
    <n v="186.39894618681231"/>
    <n v="370.53420803167597"/>
    <n v="186"/>
    <n v="215.76"/>
    <n v="208.95766007999998"/>
    <n v="696.52553360000002"/>
    <d v="2023-03-01T00:00:00"/>
    <s v="2023_1915_02972"/>
    <m/>
    <m/>
    <m/>
    <m/>
    <s v="N/A"/>
    <m/>
    <n v="0.59482758620689657"/>
    <m/>
    <x v="0"/>
    <s v="Clear"/>
  </r>
  <r>
    <s v="SGS"/>
    <s v="Savigliano"/>
    <s v="DS"/>
    <s v="DS8"/>
    <s v="OEM"/>
    <x v="0"/>
    <s v="W2225AI"/>
    <s v="K"/>
    <s v="E2"/>
    <s v="Clear"/>
    <x v="0"/>
    <s v="tbd"/>
    <s v="Y"/>
    <s v="L8"/>
    <x v="30"/>
    <n v="118"/>
    <n v="30"/>
    <s v="N/A"/>
    <s v="N/A"/>
    <n v="0.8"/>
    <n v="350"/>
    <n v="750"/>
    <n v="400"/>
    <n v="130"/>
    <n v="350"/>
    <n v="750"/>
    <n v="400"/>
    <n v="130"/>
    <s v="N/A"/>
    <n v="88"/>
    <n v="1.02"/>
    <m/>
    <n v="0.93796610169491534"/>
    <n v="0.99424406779661023"/>
    <n v="864.27630000000011"/>
    <n v="163.88794905868431"/>
    <n v="179.19883003018447"/>
    <n v="356.22141607437402"/>
    <n v="356"/>
    <n v="420.08"/>
    <n v="417.66204800000003"/>
    <n v="1392.2068266666668"/>
    <s v="?"/>
    <s v="2025-0256-0401"/>
    <m/>
    <m/>
    <m/>
    <m/>
    <m/>
    <m/>
    <m/>
    <m/>
    <x v="1"/>
    <m/>
  </r>
  <r>
    <s v="SGS"/>
    <s v="Shanghai"/>
    <s v="LiXiang"/>
    <s v="X01"/>
    <s v="OEM"/>
    <x v="0"/>
    <s v="W2266AB"/>
    <s v="K"/>
    <s v="E2"/>
    <s v="Clear"/>
    <x v="0"/>
    <s v="BF012127"/>
    <s v="Y"/>
    <s v="L9"/>
    <x v="53"/>
    <n v="108"/>
    <n v="30"/>
    <s v="N/A"/>
    <s v="N/A"/>
    <n v="0.8"/>
    <n v="200"/>
    <n v="600"/>
    <n v="400"/>
    <n v="180"/>
    <n v="200"/>
    <n v="600"/>
    <n v="400"/>
    <n v="180"/>
    <s v="N/A"/>
    <n v="78"/>
    <n v="1.3148"/>
    <m/>
    <n v="1.1289"/>
    <n v="1.196634"/>
    <n v="890.9694320000001"/>
    <n v="127.14154855480534"/>
    <n v="139.01947568511423"/>
    <n v="276.35065743524609"/>
    <n v="139"/>
    <n v="150.12"/>
    <n v="179.63869607999999"/>
    <n v="598.79565360000004"/>
    <d v="2023-12-01T00:00:00"/>
    <s v="2023_2320_03377"/>
    <s v="W2266AB KE2 CLEAR r108x0139 CB1P"/>
    <m/>
    <m/>
    <m/>
    <m/>
    <m/>
    <n v="0.55555555555555558"/>
    <m/>
    <x v="0"/>
    <m/>
  </r>
  <r>
    <s v="SGS"/>
    <s v="Shanghai"/>
    <s v="X-peng"/>
    <s v="H93"/>
    <s v="OEM"/>
    <x v="0"/>
    <s v="W2231AB"/>
    <s v="K"/>
    <s v="E2"/>
    <s v="Clear"/>
    <x v="0"/>
    <m/>
    <s v="Y"/>
    <s v="L9"/>
    <x v="46"/>
    <n v="145"/>
    <n v="30"/>
    <s v="N/A"/>
    <s v="N/A"/>
    <n v="0.8"/>
    <n v="200"/>
    <n v="700"/>
    <n v="500"/>
    <n v="450"/>
    <n v="200"/>
    <n v="700"/>
    <n v="500"/>
    <n v="450"/>
    <s v="N/A"/>
    <n v="115"/>
    <n v="1.1565000000000001"/>
    <m/>
    <n v="1.0151293103448276"/>
    <n v="1.0760370689655172"/>
    <n v="868.18261199999995"/>
    <n v="144.54449463022743"/>
    <n v="158.04825476073339"/>
    <n v="314.17712442357237"/>
    <n v="158"/>
    <n v="229.1"/>
    <n v="246.52009249999998"/>
    <n v="821.73364166666659"/>
    <d v="2025-01-01T00:00:00"/>
    <s v="2024_2904_03962"/>
    <s v="Horizontal refrigerated!"/>
    <m/>
    <m/>
    <m/>
    <m/>
    <m/>
    <m/>
    <m/>
    <x v="1"/>
    <m/>
  </r>
  <r>
    <s v="SGS"/>
    <s v="Shanghai"/>
    <s v="X-peng"/>
    <s v="H93"/>
    <s v="OEM"/>
    <x v="1"/>
    <s v="W2235AG"/>
    <s v="K"/>
    <s v="E2"/>
    <s v="Clear"/>
    <x v="0"/>
    <s v="N/A"/>
    <s v="Y"/>
    <s v="L9"/>
    <x v="7"/>
    <n v="145"/>
    <n v="30"/>
    <s v="N/A"/>
    <s v="N/A"/>
    <n v="0.8"/>
    <n v="200"/>
    <n v="700"/>
    <n v="500"/>
    <n v="450"/>
    <n v="20"/>
    <n v="700"/>
    <n v="680"/>
    <n v="450"/>
    <s v="N/A"/>
    <n v="115"/>
    <n v="1.2025000000000001"/>
    <m/>
    <n v="1.042887931034483"/>
    <n v="1.1054612068965519"/>
    <n v="870.78682000000003"/>
    <n v="139.01514182108775"/>
    <n v="152.00233399649744"/>
    <n v="302.15870635830476"/>
    <m/>
    <n v="0"/>
    <n v="0"/>
    <n v="0"/>
    <s v="Never"/>
    <s v="None"/>
    <m/>
    <s v="Draft template received, but never requested via BPCM"/>
    <m/>
    <m/>
    <m/>
    <m/>
    <n v="0.48275862068965519"/>
    <m/>
    <x v="1"/>
    <m/>
  </r>
  <r>
    <s v="SGS"/>
    <s v="Thailand"/>
    <s v="Vinfast"/>
    <s v="VF6"/>
    <s v="OEM"/>
    <x v="0"/>
    <s v="W2230AE"/>
    <s v="K"/>
    <s v="E2"/>
    <s v="Clear"/>
    <x v="0"/>
    <s v="BF012549"/>
    <s v="Y"/>
    <s v="L9"/>
    <x v="14"/>
    <n v="110"/>
    <n v="30"/>
    <s v="N/A"/>
    <s v="N/A"/>
    <n v="0.8"/>
    <n v="366"/>
    <n v="613"/>
    <n v="247"/>
    <n v="187"/>
    <n v="280"/>
    <n v="700"/>
    <n v="420"/>
    <n v="100"/>
    <s v="N/A"/>
    <n v="80"/>
    <n v="1.04"/>
    <m/>
    <n v="0.95272727272727287"/>
    <n v="1.0098909090909092"/>
    <n v="867.53156000000013"/>
    <n v="160.7362577306327"/>
    <n v="175.75269868345015"/>
    <n v="349.37100422678981"/>
    <n v="120"/>
    <n v="132"/>
    <n v="133.3056"/>
    <n v="444.35200000000003"/>
    <d v="2024-09-01T00:00:00"/>
    <s v="2024_2787_03845"/>
    <s v="W2230AE KE2 CLEAR i110x0120 C02P"/>
    <s v="Interleaved!"/>
    <m/>
    <m/>
    <m/>
    <m/>
    <m/>
    <m/>
    <x v="0"/>
    <m/>
  </r>
  <r>
    <s v="SGS"/>
    <s v="Thailand"/>
    <s v="Vinfast"/>
    <s v="VF6"/>
    <s v="OEM"/>
    <x v="0"/>
    <s v="W2233AJ"/>
    <s v="K"/>
    <s v="E2"/>
    <s v="Clear"/>
    <x v="0"/>
    <s v="BF012550"/>
    <s v="Y"/>
    <s v="L9"/>
    <x v="27"/>
    <n v="110"/>
    <n v="30"/>
    <s v="N/A"/>
    <s v="N/A"/>
    <n v="0.8"/>
    <n v="366"/>
    <n v="613"/>
    <n v="247"/>
    <n v="187"/>
    <n v="280"/>
    <n v="700"/>
    <n v="420"/>
    <n v="100"/>
    <s v="N/A"/>
    <n v="80"/>
    <n v="1.0640000000000001"/>
    <m/>
    <n v="0.96800000000000008"/>
    <n v="1.0260800000000001"/>
    <n v="869.48471600000005"/>
    <n v="157.11062785700943"/>
    <n v="171.78835209660542"/>
    <n v="341.49045525926829"/>
    <n v="120"/>
    <n v="132"/>
    <n v="135.44256000000001"/>
    <n v="451.47520000000009"/>
    <d v="2024-09-01T00:00:00"/>
    <s v="2024_2787_03845"/>
    <s v="W2233AJ KE2 CLEAR i110x0120 C02P"/>
    <s v="Interleaved!"/>
    <m/>
    <m/>
    <m/>
    <m/>
    <m/>
    <m/>
    <x v="0"/>
    <m/>
  </r>
  <r>
    <s v="SGS"/>
    <s v="Thourotte"/>
    <s v="PSA group"/>
    <s v="Citroen Picasso"/>
    <s v="OEM"/>
    <x v="1"/>
    <s v="W2226AA"/>
    <s v="K"/>
    <s v="E2"/>
    <s v="Clear"/>
    <x v="0"/>
    <s v="BF009505"/>
    <s v="Y"/>
    <s v="L8"/>
    <x v="43"/>
    <n v="100"/>
    <n v="22"/>
    <s v="N/A"/>
    <s v="N/A"/>
    <n v="0.8"/>
    <n v="220"/>
    <n v="660"/>
    <n v="440"/>
    <n v="120"/>
    <n v="220"/>
    <n v="660"/>
    <n v="440"/>
    <n v="120"/>
    <s v="N/A"/>
    <n v="78"/>
    <n v="1.0028000000000001"/>
    <m/>
    <n v="0.92370799999999997"/>
    <n v="0.97913048000000003"/>
    <n v="864.92735200000004"/>
    <n v="166.69895097712208"/>
    <n v="182.27244378818125"/>
    <n v="362.33131670907608"/>
    <n v="182"/>
    <n v="182"/>
    <n v="178.20174736000001"/>
    <n v="810.00794254545463"/>
    <d v="2020-11-01T00:00:00"/>
    <s v="2020_0497_01549"/>
    <m/>
    <m/>
    <n v="1"/>
    <m/>
    <s v="N/A"/>
    <m/>
    <n v="0.66"/>
    <m/>
    <x v="0"/>
    <s v="Clear"/>
  </r>
  <r>
    <s v="SGS"/>
    <s v="Thourotte"/>
    <s v="Volvo"/>
    <s v="XC90 II (V522/V526)"/>
    <s v="OEM"/>
    <x v="0"/>
    <s v="W2248AK"/>
    <s v="K"/>
    <s v="E2"/>
    <s v="Clear"/>
    <x v="0"/>
    <m/>
    <s v="Y"/>
    <s v="L8"/>
    <x v="47"/>
    <n v="112"/>
    <n v="32"/>
    <s v="N/A"/>
    <s v="N/A"/>
    <n v="0.8"/>
    <n v="200"/>
    <n v="670"/>
    <n v="470"/>
    <n v="130"/>
    <n v="200"/>
    <n v="670"/>
    <n v="470"/>
    <n v="130"/>
    <s v="N/A"/>
    <n v="80"/>
    <n v="1.1839999999999999"/>
    <m/>
    <n v="1.0468571428571427"/>
    <n v="1.1096685714285714"/>
    <n v="879.250496"/>
    <n v="141.18725341204225"/>
    <n v="154.37737046519271"/>
    <n v="306.87993614515329"/>
    <n v="307"/>
    <n v="343.84"/>
    <n v="381.54844159999999"/>
    <n v="1192.33888"/>
    <d v="2025-01-01T00:00:00"/>
    <s v="2024_2885_03943"/>
    <m/>
    <m/>
    <m/>
    <m/>
    <m/>
    <m/>
    <m/>
    <m/>
    <x v="0"/>
    <m/>
  </r>
  <r>
    <s v="SGS"/>
    <s v="Thourotte"/>
    <s v="Volvo"/>
    <s v="XC90 II (V522/V526)"/>
    <s v="OEM"/>
    <x v="0"/>
    <s v="W2255AD"/>
    <s v="K"/>
    <s v="E2"/>
    <s v="Clear"/>
    <x v="0"/>
    <s v="BF012335"/>
    <s v="Y"/>
    <s v="L8"/>
    <x v="23"/>
    <n v="107"/>
    <n v="35"/>
    <s v="N/A"/>
    <s v="N/A"/>
    <n v="0.8"/>
    <n v="250"/>
    <n v="580"/>
    <n v="330"/>
    <n v="140"/>
    <n v="190"/>
    <n v="590"/>
    <n v="400"/>
    <n v="130"/>
    <s v="N/A"/>
    <n v="72"/>
    <n v="1.1960000000000002"/>
    <m/>
    <n v="1.0627663551401869"/>
    <n v="1.1265323364485982"/>
    <n v="883.80786000000012"/>
    <n v="139.77065889620235"/>
    <n v="152.82843363778275"/>
    <n v="303.80087324068683"/>
    <n v="304"/>
    <n v="325.27999999999997"/>
    <n v="366.4384384"/>
    <n v="1046.966966857143"/>
    <d v="2024-05-01T00:00:00"/>
    <s v="2024_2546_03603"/>
    <s v="W2255AD KE2 CLEAR r107x0304 MT2P"/>
    <m/>
    <m/>
    <m/>
    <m/>
    <m/>
    <n v="0.54205607476635509"/>
    <m/>
    <x v="0"/>
    <s v="Clear"/>
  </r>
  <r>
    <s v="SVOS"/>
    <s v="Prelouc"/>
    <s v="Army"/>
    <s v="BRG"/>
    <s v="ARG"/>
    <x v="0"/>
    <s v="W2241AD"/>
    <s v="K"/>
    <s v="E2"/>
    <s v="Clear"/>
    <x v="0"/>
    <s v="BF010734"/>
    <s v="Y"/>
    <s v="L8"/>
    <x v="24"/>
    <n v="111"/>
    <n v="30"/>
    <s v="N/A"/>
    <s v="N/A"/>
    <n v="0.8"/>
    <n v="250"/>
    <n v="650"/>
    <n v="400"/>
    <n v="160"/>
    <n v="250"/>
    <n v="650"/>
    <n v="400"/>
    <n v="160"/>
    <s v="N/A"/>
    <n v="81"/>
    <n v="1.1320999999999999"/>
    <m/>
    <n v="1.0109283783783782"/>
    <n v="1.0715840810810808"/>
    <n v="874.69313200000011"/>
    <n v="147.6598428052805"/>
    <n v="161.45464767316332"/>
    <n v="320.9485419979344"/>
    <n v="50"/>
    <n v="55.5"/>
    <n v="59.47291649999999"/>
    <n v="198.24305499999997"/>
    <d v="2022-03-01T00:00:00"/>
    <s v="2022_1324_02380"/>
    <s v="W2241AD KE2 CLEAR r111x0050 CT1P"/>
    <m/>
    <m/>
    <m/>
    <s v="N/A"/>
    <m/>
    <n v="0.5855855855855856"/>
    <m/>
    <x v="0"/>
    <s v="Clear"/>
  </r>
  <r>
    <s v="SYP"/>
    <s v="China"/>
    <s v="Leapmotor"/>
    <m/>
    <s v="OEM"/>
    <x v="0"/>
    <s v="W2223AE"/>
    <s v="L"/>
    <s v="E2"/>
    <s v="Clear"/>
    <x v="0"/>
    <s v="tbd"/>
    <s v="Y"/>
    <s v="L9"/>
    <x v="9"/>
    <n v="138"/>
    <n v="30"/>
    <s v="N/A"/>
    <s v="N/A"/>
    <n v="0.8"/>
    <n v="250"/>
    <n v="850"/>
    <n v="600"/>
    <n v="230"/>
    <n v="250"/>
    <n v="850"/>
    <n v="600"/>
    <n v="230"/>
    <s v="N/A"/>
    <n v="108"/>
    <n v="1.0484"/>
    <m/>
    <n v="0.95120000000000005"/>
    <n v="1.0082720000000001"/>
    <n v="862.97419600000001"/>
    <n v="159.44840522687716"/>
    <n v="174.34453131513561"/>
    <n v="346.57177069425933"/>
    <n v="174"/>
    <n v="240.12"/>
    <n v="242.10627264000001"/>
    <n v="807.02090880000003"/>
    <s v="?"/>
    <s v="2025-0231-0376"/>
    <s v="W2223AE LE2 CLEAR r138x0174 CB1P"/>
    <s v="SOP 2026"/>
    <m/>
    <m/>
    <m/>
    <m/>
    <m/>
    <m/>
    <x v="1"/>
    <m/>
  </r>
  <r>
    <s v="SYP"/>
    <s v="Wuhan"/>
    <s v="Leapmotor"/>
    <m/>
    <s v="OEM"/>
    <x v="2"/>
    <s v="W2222AH"/>
    <s v="L"/>
    <s v="E2"/>
    <s v="Clear"/>
    <x v="0"/>
    <m/>
    <s v="Y"/>
    <s v="L9"/>
    <x v="42"/>
    <n v="138"/>
    <n v="30"/>
    <s v="N/A"/>
    <s v="N/A"/>
    <n v="0.8"/>
    <n v="250"/>
    <n v="850"/>
    <n v="600"/>
    <n v="230"/>
    <n v="250"/>
    <n v="850"/>
    <n v="600"/>
    <n v="230"/>
    <s v="N/A"/>
    <n v="108"/>
    <n v="1.0376000000000001"/>
    <m/>
    <n v="0.94462608695652184"/>
    <n v="1.0013036521739132"/>
    <n v="862.32314400000007"/>
    <n v="161.10804552800505"/>
    <n v="176.15921996028158"/>
    <n v="350.17910986493973"/>
    <n v="176"/>
    <n v="242.88"/>
    <n v="243.19663104000003"/>
    <n v="810.65543680000007"/>
    <m/>
    <m/>
    <s v="W2222AH LE2 CLEAR r138x0176 CB1P"/>
    <s v="produced commercially in Feb 2026"/>
    <m/>
    <m/>
    <m/>
    <m/>
    <m/>
    <m/>
    <x v="1"/>
    <m/>
  </r>
  <r>
    <s v="SYP"/>
    <s v="Shanghai"/>
    <s v="Geely"/>
    <s v="VF12"/>
    <s v="OEM"/>
    <x v="0"/>
    <s v="W2262AB"/>
    <s v="L"/>
    <s v="E2"/>
    <s v="Clear"/>
    <x v="0"/>
    <s v="BF011309"/>
    <s v="Y"/>
    <s v="L9"/>
    <x v="2"/>
    <n v="100"/>
    <n v="22"/>
    <s v="N/A"/>
    <s v="N/A"/>
    <n v="0.8"/>
    <n v="160"/>
    <n v="660"/>
    <n v="500"/>
    <n v="120"/>
    <n v="160"/>
    <n v="660"/>
    <n v="500"/>
    <n v="120"/>
    <s v="N/A"/>
    <n v="78"/>
    <n v="1.2836000000000001"/>
    <m/>
    <n v="1.0949960000000001"/>
    <n v="1.1606957600000001"/>
    <n v="888.36522400000001"/>
    <n v="130.23193209711596"/>
    <n v="142.39857169740432"/>
    <n v="283.06781271101704"/>
    <n v="50"/>
    <n v="50"/>
    <n v="58.034788000000006"/>
    <n v="263.79449090909094"/>
    <d v="2022-11-01T00:00:00"/>
    <s v="2022_1625_02681"/>
    <s v="W2262AB LE2 CLEAR r100x0050 CB1P"/>
    <m/>
    <m/>
    <m/>
    <s v="N/A"/>
    <m/>
    <n v="0.66"/>
    <m/>
    <x v="0"/>
    <s v="Clear"/>
  </r>
  <r>
    <s v="SYP"/>
    <m/>
    <m/>
    <m/>
    <m/>
    <x v="0"/>
    <s v="W5054AB"/>
    <s v="F"/>
    <s v="R3"/>
    <s v="Clear"/>
    <x v="1"/>
    <s v="BF012337"/>
    <s v="Y"/>
    <s v="L6"/>
    <x v="38"/>
    <n v="98"/>
    <n v="25"/>
    <s v="N/A"/>
    <s v="N/A"/>
    <n v="0.76"/>
    <n v="200"/>
    <n v="600"/>
    <n v="400"/>
    <n v="130"/>
    <n v="200"/>
    <n v="600"/>
    <n v="400"/>
    <n v="130"/>
    <s v="N/A"/>
    <n v="73"/>
    <n v="1.1541999999999999"/>
    <m/>
    <n v="1.0073806122448978"/>
    <n v="1.0728603520408162"/>
    <n v="844.72264200000006"/>
    <n v="144.83253165816848"/>
    <n v="158.36320103170002"/>
    <n v="314.80319216414961"/>
    <n v="151"/>
    <n v="147.97999999999999"/>
    <n v="158.76187489499998"/>
    <n v="635.04749957999991"/>
    <s v="?"/>
    <s v="2024_2554_03611"/>
    <s v="W5054AB FR3 CLEAR r098x0158 CB1P"/>
    <m/>
    <m/>
    <m/>
    <m/>
    <m/>
    <n v="0.61224489795918369"/>
    <m/>
    <x v="2"/>
    <s v="Clear"/>
  </r>
  <r>
    <s v="Vitro"/>
    <s v="Berea"/>
    <s v="Chevy, Pontiac, Buick"/>
    <s v="Lumina ARG (FI-2702 / 04), Bonneville OEM (FI-3273), LeSabre ARG (FI-3274)"/>
    <s v="ARG"/>
    <x v="1"/>
    <s v="W5145"/>
    <s v="F"/>
    <s v="R2"/>
    <s v="Blue"/>
    <x v="1"/>
    <s v="BF005673"/>
    <s v="N"/>
    <s v="L6"/>
    <x v="3"/>
    <n v="118"/>
    <n v="46"/>
    <n v="23"/>
    <n v="95"/>
    <n v="0.76"/>
    <s v="N/A"/>
    <s v="N/A"/>
    <e v="#VALUE!"/>
    <e v="#VALUE!"/>
    <s v="N/A"/>
    <s v="N/A"/>
    <e v="#VALUE!"/>
    <e v="#VALUE!"/>
    <n v="230"/>
    <n v="72"/>
    <n v="1.0840000000000001"/>
    <m/>
    <n v="0.98515254237288141"/>
    <n v="1.0491874576271187"/>
    <n v="838.83553499999994"/>
    <n v="154.21190778584688"/>
    <n v="168.61882530515513"/>
    <n v="335.18989335411572"/>
    <n v="335"/>
    <n v="395.3"/>
    <n v="414.74380200000007"/>
    <n v="901.61696086956533"/>
    <s v="1996?"/>
    <s v="Old"/>
    <s v="W5145 FR2 BLUE R118/23X0.95X0335 CB2A"/>
    <m/>
    <m/>
    <m/>
    <s v="BE8240F"/>
    <m/>
    <m/>
    <m/>
    <x v="4"/>
    <s v="S/B"/>
  </r>
  <r>
    <s v="Vitro"/>
    <s v="Berea"/>
    <s v="Pontiac"/>
    <s v="Grand Prix (FI-3424)"/>
    <s v="ARG"/>
    <x v="1"/>
    <s v="W5130"/>
    <s v="F"/>
    <s v="R3"/>
    <s v="Blue"/>
    <x v="1"/>
    <s v="BF005773"/>
    <s v="N"/>
    <s v="L6"/>
    <x v="14"/>
    <n v="117"/>
    <n v="35"/>
    <n v="26"/>
    <n v="91"/>
    <n v="0.76"/>
    <s v="N/A"/>
    <s v="N/A"/>
    <e v="#VALUE!"/>
    <e v="#VALUE!"/>
    <s v="N/A"/>
    <s v="N/A"/>
    <e v="#VALUE!"/>
    <e v="#VALUE!"/>
    <n v="90"/>
    <n v="82"/>
    <n v="1.006"/>
    <m/>
    <n v="0.91979487179487196"/>
    <n v="0.97958153846153873"/>
    <n v="829.0236900000001"/>
    <n v="166.16869586467001"/>
    <n v="181.6926507264296"/>
    <n v="361.17877176526986"/>
    <n v="335"/>
    <n v="391.95"/>
    <n v="383.9469840000001"/>
    <n v="1096.9913828571432"/>
    <n v="1996"/>
    <s v="Old"/>
    <s v="W5130 FR3 BLUE R117/26X0.95X0335 CB2A"/>
    <m/>
    <m/>
    <m/>
    <s v="BE8290F"/>
    <m/>
    <m/>
    <m/>
    <x v="4"/>
    <s v="S/B"/>
  </r>
  <r>
    <s v="Vitro"/>
    <s v="Elkin"/>
    <s v="Ram"/>
    <s v="2019 Truck (DT = CH4815))"/>
    <s v="OEM"/>
    <x v="1"/>
    <s v="W2248"/>
    <s v="L"/>
    <s v="E2"/>
    <s v="Clear"/>
    <x v="0"/>
    <s v="BF008994, BF008995"/>
    <s v="Y"/>
    <s v="L8"/>
    <x v="47"/>
    <n v="107"/>
    <n v="34"/>
    <s v="N/A"/>
    <s v="N/A"/>
    <n v="0.8"/>
    <n v="120"/>
    <n v="420"/>
    <n v="300"/>
    <n v="310"/>
    <m/>
    <m/>
    <n v="0"/>
    <n v="730"/>
    <s v="N/A"/>
    <n v="73"/>
    <n v="1.1504000000000001"/>
    <m/>
    <n v="1.0308710280373832"/>
    <n v="1.0927232897196262"/>
    <n v="879.250496"/>
    <n v="145.31094231559285"/>
    <n v="158.88630618114411"/>
    <n v="315.84304971823838"/>
    <n v="150"/>
    <n v="160.5"/>
    <n v="175.38208800000001"/>
    <n v="515.82967058823533"/>
    <d v="2020-01-01T00:00:00"/>
    <s v="2020_0027_01078"/>
    <s v="W2248 LE2 CLEAR R107X0.95X0150 CT1A, W2248 LE2 CLEAR R107X0.95X0150 CT4A"/>
    <s v="Lower angle because it will be shaped. DT platform, CH4815. Will want big rolls commercially."/>
    <n v="2"/>
    <s v="qualified"/>
    <s v="N/A"/>
    <m/>
    <n v="0.3925233644859813"/>
    <n v="44.2"/>
    <x v="0"/>
    <s v="Clear"/>
  </r>
  <r>
    <s v="Vitro"/>
    <s v="Elkin"/>
    <s v="Ram"/>
    <s v="2019 Truck (DT = CH4815))"/>
    <s v="OEM"/>
    <x v="1"/>
    <s v="W1260"/>
    <s v="L"/>
    <s v="E2"/>
    <s v="Clear"/>
    <x v="0"/>
    <s v="BF007858"/>
    <s v="Y"/>
    <s v="L8"/>
    <x v="21"/>
    <n v="104"/>
    <n v="34"/>
    <s v="N/A"/>
    <s v="N/A"/>
    <n v="0.8"/>
    <n v="120"/>
    <n v="420"/>
    <n v="300"/>
    <n v="280"/>
    <m/>
    <m/>
    <n v="0"/>
    <n v="700"/>
    <s v="N/A"/>
    <n v="70"/>
    <n v="1.22"/>
    <m/>
    <n v="1.0786538461538462"/>
    <n v="0"/>
    <n v="0"/>
    <n v="137.02107216381808"/>
    <n v="149.82197264818703"/>
    <n v="297.82446261955857"/>
    <n v="150"/>
    <n v="156"/>
    <n v="0"/>
    <n v="0"/>
    <d v="2019-07-01T00:00:00"/>
    <s v="None"/>
    <s v="W1260 LE2 CLEAR r104x0.95x0150 CT4P"/>
    <s v="DT platform, CH4815 - not shaped"/>
    <n v="2"/>
    <s v="qualified"/>
    <s v="N/A"/>
    <m/>
    <n v="0.40384615384615385"/>
    <m/>
    <x v="6"/>
    <s v="Clear"/>
  </r>
  <r>
    <s v="Vitro"/>
    <s v="Elkin"/>
    <s v="Toyota"/>
    <s v="2021 Sienna (500B = TOY4954)"/>
    <s v="OEM"/>
    <x v="1"/>
    <s v="W2228"/>
    <s v="L"/>
    <s v="E2"/>
    <s v="Clear"/>
    <x v="0"/>
    <s v="BF008992, BF008993"/>
    <s v="Y"/>
    <s v="L8"/>
    <x v="26"/>
    <n v="121"/>
    <n v="41"/>
    <s v="N/A"/>
    <s v="N/A"/>
    <n v="0.8"/>
    <n v="220"/>
    <n v="520"/>
    <n v="300"/>
    <n v="280"/>
    <m/>
    <m/>
    <n v="0"/>
    <n v="800"/>
    <s v="N/A"/>
    <n v="80"/>
    <n v="1.024"/>
    <m/>
    <n v="0.94995041322314067"/>
    <n v="1.0069474380165291"/>
    <n v="866.22945600000003"/>
    <n v="163.24776175767386"/>
    <n v="178.49883460037904"/>
    <n v="354.82992616783349"/>
    <n v="150"/>
    <n v="181.5"/>
    <n v="182.76096000000004"/>
    <n v="445.75843902439038"/>
    <d v="2020-01-01T00:00:00"/>
    <s v="2020_0027_01078"/>
    <s v="W2228 LE2 CLEAR R121X0.95X0150 CT1A, W2228 LE2 CLEAR R121X0.95X0150 CT4A"/>
    <s v="Tweaked angle. 500B platform, TOY4954. Will want big rolls commercially."/>
    <n v="2"/>
    <s v="qualified"/>
    <s v="N/A"/>
    <m/>
    <n v="0.42975206611570249"/>
    <n v="1.46"/>
    <x v="0"/>
    <s v="Clear"/>
  </r>
  <r>
    <s v="Vitro"/>
    <s v="Elkin"/>
    <s v="Toyota"/>
    <s v="2021 Sienna (500B = TOY4954)"/>
    <s v="OEM"/>
    <x v="1"/>
    <s v="W1230"/>
    <s v="L"/>
    <s v="E2"/>
    <s v="Clear"/>
    <x v="0"/>
    <s v="BF007856"/>
    <s v="Y"/>
    <s v="L8"/>
    <x v="14"/>
    <n v="121"/>
    <n v="41"/>
    <s v="N/A"/>
    <s v="N/A"/>
    <n v="0.8"/>
    <n v="220"/>
    <n v="520"/>
    <n v="300"/>
    <n v="280"/>
    <m/>
    <m/>
    <n v="0"/>
    <n v="800"/>
    <s v="N/A"/>
    <n v="80"/>
    <n v="1.04"/>
    <m/>
    <n v="0.96066115702479349"/>
    <n v="0"/>
    <n v="0"/>
    <n v="160.7362577306327"/>
    <n v="175.75269868345015"/>
    <n v="349.37100422678981"/>
    <n v="150"/>
    <n v="181.5"/>
    <n v="0"/>
    <n v="0"/>
    <d v="2019-07-01T00:00:00"/>
    <s v="None"/>
    <s v="W1230 LE2 CLEAR r121x0.95x0150 CT4P"/>
    <s v="500B platform, TOY4954"/>
    <n v="4"/>
    <s v="qualified"/>
    <s v="N/A"/>
    <m/>
    <n v="0.42975206611570249"/>
    <m/>
    <x v="6"/>
    <s v="Clear"/>
  </r>
  <r>
    <s v="Vitro"/>
    <s v="Monterrey"/>
    <s v="Toyota"/>
    <s v="Tacoma"/>
    <s v="OEM"/>
    <x v="0"/>
    <s v="W2064AA"/>
    <s v="K"/>
    <s v="E2"/>
    <s v="Clear"/>
    <x v="1"/>
    <s v="BF012676 (refrig), ____ (intlvd)"/>
    <s v="Y"/>
    <s v="L8"/>
    <x v="11"/>
    <n v="115"/>
    <n v="30"/>
    <s v="N/A"/>
    <s v="N/A"/>
    <n v="0.76"/>
    <n v="200"/>
    <n v="600"/>
    <n v="400"/>
    <n v="250"/>
    <n v="200"/>
    <n v="600"/>
    <n v="400"/>
    <n v="250"/>
    <s v="N/A"/>
    <n v="85"/>
    <n v="1.304"/>
    <m/>
    <n v="1.1029565217391304"/>
    <n v="1.1746486956521738"/>
    <n v="851.26387199999999"/>
    <n v="128.19456138025922"/>
    <n v="140.17086398066576"/>
    <n v="278.63945122382012"/>
    <n v="140"/>
    <n v="161"/>
    <n v="189.11843999999999"/>
    <n v="630.39480000000003"/>
    <s v="?"/>
    <s v="2024_2873_03931, 2025-0237-0382"/>
    <s v="W2064AA KE2 CLEAR r115x0140 CT1P"/>
    <s v="Originally wanted interleaved, but switched to refrigerated. Then asked for interleaved."/>
    <m/>
    <m/>
    <m/>
    <m/>
    <n v="0.52173913043478259"/>
    <m/>
    <x v="3"/>
    <s v="Clear"/>
  </r>
  <r>
    <s v="Vitro"/>
    <s v="Monterrey"/>
    <m/>
    <m/>
    <m/>
    <x v="0"/>
    <s v="W2052AA"/>
    <s v="K"/>
    <s v="E2"/>
    <s v="Clear"/>
    <x v="1"/>
    <m/>
    <s v="Y"/>
    <s v="L8"/>
    <x v="28"/>
    <n v="115"/>
    <n v="30"/>
    <s v="N/A"/>
    <s v="N/A"/>
    <n v="0.76"/>
    <n v="200"/>
    <n v="600"/>
    <n v="400"/>
    <n v="250"/>
    <n v="200"/>
    <n v="600"/>
    <n v="400"/>
    <n v="250"/>
    <s v="N/A"/>
    <n v="85"/>
    <n v="1.202"/>
    <m/>
    <n v="1.0386521739130437"/>
    <n v="1.1061645652173915"/>
    <n v="843.41439600000001"/>
    <n v="139.07296841918304"/>
    <n v="152.06556292078884"/>
    <n v="302.28439633599123"/>
    <n v="152"/>
    <n v="174.8"/>
    <n v="193.35756600000005"/>
    <n v="644.52522000000022"/>
    <s v="?"/>
    <s v="2025-0293-0439"/>
    <s v="W2052AA KE2 CLEAR i115x0152 CT1A"/>
    <m/>
    <m/>
    <m/>
    <m/>
    <m/>
    <m/>
    <m/>
    <x v="1"/>
    <m/>
  </r>
  <r>
    <s v="Vitro"/>
    <s v="Monterrey"/>
    <m/>
    <m/>
    <m/>
    <x v="0"/>
    <s v="W2056AA"/>
    <s v="K"/>
    <s v="E2"/>
    <s v="Clear"/>
    <x v="1"/>
    <m/>
    <s v="Y"/>
    <s v="L8"/>
    <x v="51"/>
    <n v="115"/>
    <n v="30"/>
    <s v="N/A"/>
    <s v="N/A"/>
    <n v="0.76"/>
    <n v="200"/>
    <n v="600"/>
    <n v="400"/>
    <n v="250"/>
    <n v="200"/>
    <n v="600"/>
    <n v="400"/>
    <n v="250"/>
    <s v="N/A"/>
    <n v="85"/>
    <n v="1.2360000000000002"/>
    <m/>
    <n v="1.0600869565217395"/>
    <n v="1.1289926086956525"/>
    <n v="846.030888"/>
    <n v="135.24733660182687"/>
    <n v="147.88252963655998"/>
    <n v="293.96912977011442"/>
    <n v="148"/>
    <n v="170.2"/>
    <n v="192.15454200000005"/>
    <n v="640.5151400000002"/>
    <s v="?"/>
    <s v="2025-0293-0439"/>
    <s v="W2056AA KE2 CLEAR i115x0148 CT1A"/>
    <m/>
    <m/>
    <m/>
    <m/>
    <m/>
    <m/>
    <m/>
    <x v="1"/>
    <m/>
  </r>
  <r>
    <s v="Vitro"/>
    <s v="Monterrey"/>
    <m/>
    <m/>
    <m/>
    <x v="0"/>
    <s v="W2057AA"/>
    <s v="K"/>
    <s v="E2"/>
    <s v="Clear"/>
    <x v="1"/>
    <m/>
    <s v="Y"/>
    <s v="L8"/>
    <x v="52"/>
    <n v="115"/>
    <n v="30"/>
    <s v="N/A"/>
    <s v="N/A"/>
    <n v="0.76"/>
    <n v="200"/>
    <n v="600"/>
    <n v="400"/>
    <n v="250"/>
    <n v="200"/>
    <n v="600"/>
    <n v="400"/>
    <n v="250"/>
    <s v="N/A"/>
    <n v="85"/>
    <n v="1.2444999999999999"/>
    <m/>
    <n v="1.0654456521739131"/>
    <n v="1.1346996195652175"/>
    <n v="846.68501100000003"/>
    <n v="134.32359022889358"/>
    <n v="146.87248423526572"/>
    <n v="291.96130525983244"/>
    <n v="148"/>
    <n v="170.2"/>
    <n v="193.12587525000001"/>
    <n v="643.75291750000008"/>
    <m/>
    <m/>
    <m/>
    <m/>
    <m/>
    <m/>
    <m/>
    <m/>
    <m/>
    <m/>
    <x v="1"/>
    <m/>
  </r>
  <r>
    <s v="Vitro"/>
    <s v="Monterrey"/>
    <m/>
    <m/>
    <m/>
    <x v="0"/>
    <s v="W2072AA"/>
    <s v="K"/>
    <s v="E2"/>
    <s v="Clear"/>
    <x v="1"/>
    <m/>
    <s v="Y"/>
    <s v="L8"/>
    <x v="32"/>
    <n v="115"/>
    <n v="30"/>
    <s v="N/A"/>
    <s v="N/A"/>
    <n v="0.76"/>
    <n v="200"/>
    <n v="600"/>
    <n v="400"/>
    <n v="250"/>
    <n v="200"/>
    <n v="600"/>
    <n v="400"/>
    <n v="250"/>
    <s v="N/A"/>
    <n v="85"/>
    <n v="1.3719999999999999"/>
    <m/>
    <n v="1.1458260869565216"/>
    <n v="1.2203047826086955"/>
    <n v="856.49685599999998"/>
    <n v="121.84089507278283"/>
    <n v="133.22361999328584"/>
    <n v="264.82933265004482"/>
    <n v="133"/>
    <n v="152.94999999999999"/>
    <n v="186.64561649999996"/>
    <n v="622.1520549999999"/>
    <s v="?"/>
    <s v="2025-0293-0439"/>
    <s v="W2072AA KE2 CLEAR i115x0133 CT1A"/>
    <m/>
    <m/>
    <m/>
    <m/>
    <m/>
    <m/>
    <m/>
    <x v="1"/>
    <m/>
  </r>
  <r>
    <s v="Vitro"/>
    <s v="Monterrey"/>
    <m/>
    <m/>
    <m/>
    <x v="0"/>
    <s v="W2252AT"/>
    <s v="K"/>
    <s v="E2"/>
    <s v="Clear"/>
    <x v="0"/>
    <m/>
    <s v="Y"/>
    <s v="L9"/>
    <x v="28"/>
    <n v="115"/>
    <n v="30"/>
    <s v="N/A"/>
    <s v="N/A"/>
    <n v="0.8"/>
    <n v="200"/>
    <n v="600"/>
    <n v="400"/>
    <n v="250"/>
    <n v="200"/>
    <n v="600"/>
    <n v="400"/>
    <n v="250"/>
    <s v="N/A"/>
    <n v="85"/>
    <n v="1.242"/>
    <m/>
    <n v="1.0786521739130435"/>
    <n v="1.1433713043478262"/>
    <n v="881.85470400000008"/>
    <n v="134.59396782597264"/>
    <n v="147.16812128082785"/>
    <n v="292.54898904658734"/>
    <n v="147"/>
    <n v="169.05"/>
    <n v="193.28691900000004"/>
    <n v="644.28973000000019"/>
    <m/>
    <m/>
    <m/>
    <m/>
    <m/>
    <m/>
    <m/>
    <m/>
    <m/>
    <m/>
    <x v="1"/>
    <m/>
  </r>
  <r>
    <s v="Vitro"/>
    <s v="Monterrey"/>
    <m/>
    <m/>
    <m/>
    <x v="0"/>
    <s v="W2257AH"/>
    <s v="K"/>
    <s v="E2"/>
    <s v="Clear"/>
    <x v="0"/>
    <m/>
    <s v="Y"/>
    <s v="L9"/>
    <x v="52"/>
    <n v="115"/>
    <n v="30"/>
    <s v="N/A"/>
    <s v="N/A"/>
    <n v="0.8"/>
    <n v="200"/>
    <n v="600"/>
    <n v="400"/>
    <n v="250"/>
    <n v="200"/>
    <n v="600"/>
    <n v="400"/>
    <n v="250"/>
    <s v="N/A"/>
    <n v="85"/>
    <n v="1.2845"/>
    <m/>
    <n v="1.1054456521739131"/>
    <n v="1.1717723913043478"/>
    <n v="885.10996399999999"/>
    <n v="130.14068356547921"/>
    <n v="142.29879846694291"/>
    <n v="282.86947792593338"/>
    <n v="142"/>
    <n v="163.30000000000001"/>
    <n v="191.35043150000001"/>
    <n v="637.83477166666671"/>
    <m/>
    <m/>
    <m/>
    <m/>
    <m/>
    <m/>
    <m/>
    <m/>
    <m/>
    <m/>
    <x v="1"/>
    <m/>
  </r>
  <r>
    <s v="Vitro"/>
    <s v="Monterrey"/>
    <m/>
    <m/>
    <m/>
    <x v="0"/>
    <s v="W2272AF"/>
    <s v="K"/>
    <s v="E2"/>
    <s v="Clear"/>
    <x v="0"/>
    <m/>
    <s v="Y"/>
    <s v="L9"/>
    <x v="32"/>
    <n v="115"/>
    <n v="30"/>
    <s v="N/A"/>
    <s v="N/A"/>
    <n v="0.8"/>
    <n v="200"/>
    <n v="600"/>
    <n v="400"/>
    <n v="250"/>
    <n v="200"/>
    <n v="600"/>
    <n v="400"/>
    <n v="250"/>
    <s v="N/A"/>
    <n v="85"/>
    <n v="1.4119999999999999"/>
    <m/>
    <n v="1.1858260869565218"/>
    <n v="1.2569756521739133"/>
    <n v="894.87574400000005"/>
    <n v="118.38931164295894"/>
    <n v="129.44957976684714"/>
    <n v="257.32708526619086"/>
    <n v="129"/>
    <n v="148.35"/>
    <n v="186.47233800000004"/>
    <n v="621.57446000000016"/>
    <m/>
    <m/>
    <m/>
    <m/>
    <m/>
    <m/>
    <m/>
    <m/>
    <m/>
    <m/>
    <x v="1"/>
    <m/>
  </r>
  <r>
    <s v="Vitro"/>
    <s v="Monterrey"/>
    <s v="Various"/>
    <s v="Various"/>
    <s v="ARG"/>
    <x v="1"/>
    <s v="W2252AG"/>
    <s v="K"/>
    <s v="E2"/>
    <s v="Clear"/>
    <x v="0"/>
    <s v="BF011467"/>
    <s v="Y"/>
    <s v="L8"/>
    <x v="28"/>
    <n v="121"/>
    <n v="30"/>
    <s v="N/A"/>
    <s v="N/A"/>
    <n v="0.8"/>
    <n v="170"/>
    <n v="560"/>
    <n v="390"/>
    <n v="350"/>
    <n v="170"/>
    <n v="570"/>
    <n v="400"/>
    <n v="340"/>
    <s v="N/A"/>
    <n v="91"/>
    <n v="1.2732000000000001"/>
    <m/>
    <n v="1.0952611570247934"/>
    <n v="1.1609768264462812"/>
    <n v="881.85470400000008"/>
    <n v="131.2957179075228"/>
    <n v="143.56173942097718"/>
    <n v="285.38002230275009"/>
    <n v="144"/>
    <n v="174.24"/>
    <n v="202.28860224000005"/>
    <n v="674.29534080000019"/>
    <d v="2023-01-23T00:00:00"/>
    <s v="2022_1726_02782"/>
    <s v="W2252AG KE2 CLEAR r120x0144 CT1P"/>
    <m/>
    <m/>
    <m/>
    <s v="N/A"/>
    <m/>
    <n v="0.46280991735537191"/>
    <m/>
    <x v="0"/>
    <s v="Clear"/>
  </r>
  <r>
    <s v="Vitro"/>
    <s v="Monterrey"/>
    <s v="Various"/>
    <s v="Various"/>
    <s v="ARG"/>
    <x v="1"/>
    <s v="W2353AA"/>
    <s v="K"/>
    <s v="E2"/>
    <s v="Blue"/>
    <x v="0"/>
    <s v="BF011436"/>
    <s v="Y"/>
    <s v="L9"/>
    <x v="35"/>
    <n v="94"/>
    <n v="26"/>
    <n v="18"/>
    <n v="76"/>
    <n v="0.8"/>
    <n v="170"/>
    <n v="560"/>
    <n v="390"/>
    <n v="120"/>
    <n v="160"/>
    <n v="560"/>
    <n v="400"/>
    <n v="120"/>
    <n v="80"/>
    <n v="68"/>
    <n v="1.1604000000000001"/>
    <m/>
    <n v="1.0300425531914894"/>
    <n v="1.0918451063829788"/>
    <n v="882.50575600000013"/>
    <n v="144.05869358829545"/>
    <n v="157.51706879592223"/>
    <n v="313.12120337457895"/>
    <n v="158"/>
    <n v="148.52000000000001"/>
    <n v="162.16083520000004"/>
    <n v="623.6955200000001"/>
    <d v="2022-12-01T00:00:00"/>
    <s v="2022_1719_02775"/>
    <s v="W2353AA KE2 BLU2 r094/18x0158 CB1P"/>
    <m/>
    <m/>
    <m/>
    <s v="N/A"/>
    <m/>
    <n v="0.5957446808510638"/>
    <m/>
    <x v="8"/>
    <s v="S/B"/>
  </r>
  <r>
    <s v="Vitro"/>
    <s v="Monterrey"/>
    <s v="Various"/>
    <s v="Various"/>
    <s v="ARG"/>
    <x v="1"/>
    <s v="W2257AA"/>
    <s v="K"/>
    <s v="E2"/>
    <s v="Clear"/>
    <x v="0"/>
    <s v="BF011435"/>
    <s v="Y"/>
    <s v="L9"/>
    <x v="52"/>
    <n v="110"/>
    <n v="30"/>
    <s v="N/A"/>
    <s v="N/A"/>
    <n v="0.8"/>
    <n v="170"/>
    <n v="560"/>
    <n v="390"/>
    <n v="240"/>
    <n v="170"/>
    <n v="570"/>
    <n v="400"/>
    <n v="230"/>
    <s v="N/A"/>
    <n v="80"/>
    <n v="1.256"/>
    <m/>
    <n v="1.0901818181818184"/>
    <n v="1.1555927272727273"/>
    <n v="885.10996399999999"/>
    <n v="133.09371659224368"/>
    <n v="145.52771228565939"/>
    <n v="289.28809267186426"/>
    <n v="146"/>
    <n v="160.6"/>
    <n v="185.58819199999999"/>
    <n v="618.62730666666664"/>
    <d v="2023-01-23T00:00:00"/>
    <s v="2022_1719_02775"/>
    <s v="W2257AA KE2 CLEAR r110x0146 CB1P"/>
    <m/>
    <m/>
    <m/>
    <s v="N/A"/>
    <m/>
    <n v="0.50909090909090904"/>
    <m/>
    <x v="0"/>
    <s v="Clear"/>
  </r>
  <r>
    <s v="Vitro"/>
    <s v="Poland"/>
    <s v="Mercedes"/>
    <s v="C-class (W206)"/>
    <s v="OEM"/>
    <x v="1"/>
    <s v="W2221AA"/>
    <s v="L"/>
    <s v="E2"/>
    <s v="Clear"/>
    <x v="0"/>
    <s v="BF009219, BF009220"/>
    <s v="Y"/>
    <s v="L8"/>
    <x v="20"/>
    <n v="101"/>
    <n v="25"/>
    <s v="N/A"/>
    <s v="N/A"/>
    <n v="0.8"/>
    <n v="181"/>
    <n v="633"/>
    <n v="452"/>
    <n v="127"/>
    <n v="181"/>
    <n v="633"/>
    <n v="452"/>
    <n v="127"/>
    <s v="N/A"/>
    <n v="76"/>
    <n v="0.95960000000000001"/>
    <m/>
    <n v="0.89955247524752491"/>
    <n v="0.95352562376237637"/>
    <n v="861.67209200000002"/>
    <n v="174.20353067930179"/>
    <n v="190.47812279156747"/>
    <n v="378.64302250506609"/>
    <n v="195"/>
    <n v="196.95"/>
    <n v="187.7968716"/>
    <n v="751.18748640000001"/>
    <d v="2020-05-01T00:00:00"/>
    <s v="2020_0220_01272"/>
    <s v="W2221AA LE2 CLEAR R101X0195 CT1P, W2221AA LE2 CLEAR R101X0195 MT4P"/>
    <s v="MRC4802. Version for shaping"/>
    <n v="2"/>
    <s v="qualified"/>
    <s v="N/A"/>
    <m/>
    <n v="0.62673267326732673"/>
    <n v="103.6"/>
    <x v="0"/>
    <s v="Clear"/>
  </r>
  <r>
    <s v="Vitro"/>
    <s v="Poland"/>
    <s v="Mercedes"/>
    <s v="C-class (W206)"/>
    <s v="OEM"/>
    <x v="1"/>
    <s v="W2232AA"/>
    <s v="L"/>
    <s v="E2"/>
    <s v="Clear"/>
    <x v="0"/>
    <s v="BF009170, BF009171"/>
    <s v="Y"/>
    <s v="L8"/>
    <x v="50"/>
    <n v="93"/>
    <n v="17"/>
    <s v="N/A"/>
    <s v="N/A"/>
    <n v="0.8"/>
    <n v="151"/>
    <n v="603"/>
    <n v="452"/>
    <n v="157"/>
    <n v="151"/>
    <n v="603"/>
    <n v="452"/>
    <n v="157"/>
    <s v="N/A"/>
    <n v="76"/>
    <n v="1.0432000000000001"/>
    <m/>
    <n v="0.94382795698924737"/>
    <n v="1.0004576344086022"/>
    <n v="868.833664"/>
    <n v="160.24320172532401"/>
    <n v="175.2135799758322"/>
    <n v="348.29931402977513"/>
    <n v="175"/>
    <n v="162.75"/>
    <n v="162.82448000000002"/>
    <n v="957.79105882352951"/>
    <d v="2020-05-01T00:00:00"/>
    <s v="2020_0219_01271, 2020_0142_01193"/>
    <s v="W2232AA LE2 CLEAR R093X0175 CT1P, W2232AA LE2 CLEAR R093X0175 MT4P"/>
    <s v="MRC4802. CT1P and MT4P packages were originally requested, both for 177m. But then the width changed to 93cm before we extruded."/>
    <n v="2"/>
    <s v="Not used"/>
    <s v="N/A"/>
    <m/>
    <n v="0.64838709677419348"/>
    <m/>
    <x v="0"/>
    <s v="Clear"/>
  </r>
  <r>
    <s v="Vitro"/>
    <s v="Poland"/>
    <s v="Mercedes"/>
    <s v="S-class"/>
    <s v="ARG"/>
    <x v="0"/>
    <s v="W2254AA"/>
    <s v="K"/>
    <s v="E2"/>
    <s v="Clear"/>
    <x v="0"/>
    <s v="BF010978"/>
    <s v="Y"/>
    <s v="L8"/>
    <x v="38"/>
    <n v="108"/>
    <n v="25"/>
    <s v="N/A"/>
    <s v="N/A"/>
    <n v="0.8"/>
    <n v="250"/>
    <n v="650"/>
    <n v="400"/>
    <n v="180"/>
    <n v="250"/>
    <n v="650"/>
    <n v="400"/>
    <n v="180"/>
    <s v="N/A"/>
    <n v="83"/>
    <n v="1.2482000000000002"/>
    <m/>
    <n v="1.0759750000000001"/>
    <n v="1.1405335000000001"/>
    <n v="883.15680800000007"/>
    <n v="133.92541903529724"/>
    <n v="146.43711474987035"/>
    <n v="291.09585354579508"/>
    <n v="146"/>
    <n v="157.68"/>
    <n v="179.83932228000003"/>
    <n v="719.35728912000013"/>
    <d v="2022-07-01T00:00:00"/>
    <s v="2022_1566_02622"/>
    <s v="W2254AA KE2 r108x146 KE2 CT1P"/>
    <m/>
    <m/>
    <m/>
    <s v="N/A"/>
    <m/>
    <n v="0.60185185185185186"/>
    <m/>
    <x v="0"/>
    <s v="Clear"/>
  </r>
  <r>
    <s v="Vitro"/>
    <s v="Poland"/>
    <m/>
    <m/>
    <s v="OEM"/>
    <x v="1"/>
    <s v="W2236AE"/>
    <s v="K"/>
    <s v="E2"/>
    <s v="Clear"/>
    <x v="0"/>
    <m/>
    <s v="Y"/>
    <s v="L8 &amp; L9"/>
    <x v="15"/>
    <n v="106"/>
    <n v="29"/>
    <s v="N/A"/>
    <s v="N/A"/>
    <n v="0.8"/>
    <n v="220"/>
    <n v="640"/>
    <n v="420"/>
    <n v="130"/>
    <n v="220"/>
    <n v="640"/>
    <n v="420"/>
    <n v="130"/>
    <s v="N/A"/>
    <n v="77"/>
    <n v="1.0771999999999999"/>
    <m/>
    <n v="0.97651886792452824"/>
    <n v="1.03511"/>
    <n v="871.43787200000008"/>
    <n v="155.18539550673788"/>
    <n v="169.683259033409"/>
    <n v="337.30583401026871"/>
    <n v="337"/>
    <n v="357.22"/>
    <n v="369.7619942"/>
    <n v="1275.0413593103449"/>
    <s v="?"/>
    <s v="2025-0240-0385"/>
    <m/>
    <m/>
    <m/>
    <m/>
    <m/>
    <m/>
    <n v="0.60377358490566035"/>
    <m/>
    <x v="0"/>
    <m/>
  </r>
  <r>
    <s v="Vitro"/>
    <s v="Poland"/>
    <s v="Volvo"/>
    <s v="S60 (VO4170)"/>
    <s v="OEM"/>
    <x v="1"/>
    <s v="W1236"/>
    <s v="L"/>
    <s v="E2"/>
    <s v="Clear"/>
    <x v="0"/>
    <s v="BF007859"/>
    <s v="Y"/>
    <s v="L8"/>
    <x v="15"/>
    <n v="109"/>
    <n v="34"/>
    <s v="N/A"/>
    <s v="N/A"/>
    <n v="0.8"/>
    <n v="150"/>
    <n v="450"/>
    <n v="300"/>
    <n v="300"/>
    <m/>
    <m/>
    <n v="0"/>
    <n v="750"/>
    <s v="N/A"/>
    <n v="75"/>
    <n v="1.07"/>
    <m/>
    <n v="0.97711009174311925"/>
    <n v="0"/>
    <n v="0"/>
    <n v="156.22963368211029"/>
    <n v="170.82505292597023"/>
    <n v="339.57555551015088"/>
    <n v="150"/>
    <n v="163.5"/>
    <n v="0"/>
    <n v="0"/>
    <d v="2019-07-01T00:00:00"/>
    <s v="None"/>
    <s v="W1236 LE2 CLEAR r109x0.95x0150 CT4P"/>
    <s v="VO4170, 2018 V43x"/>
    <n v="2"/>
    <s v="qualified"/>
    <s v="N/A"/>
    <m/>
    <n v="0.41284403669724773"/>
    <m/>
    <x v="6"/>
    <s v="Clear"/>
  </r>
  <r>
    <s v="Vitro"/>
    <s v="Poland"/>
    <s v="Volvo"/>
    <s v="S60 (VO4170)"/>
    <s v="OEM"/>
    <x v="1"/>
    <s v="W2236"/>
    <s v="L"/>
    <s v="E2"/>
    <s v="Clear"/>
    <x v="0"/>
    <s v="BF008996, BF008997"/>
    <s v="Y"/>
    <s v="L8"/>
    <x v="15"/>
    <n v="109"/>
    <n v="34"/>
    <s v="N/A"/>
    <s v="N/A"/>
    <n v="0.8"/>
    <n v="150"/>
    <n v="450"/>
    <n v="300"/>
    <n v="300"/>
    <m/>
    <m/>
    <n v="0"/>
    <n v="750"/>
    <s v="N/A"/>
    <n v="75"/>
    <n v="1.07"/>
    <m/>
    <n v="0.97711009174311925"/>
    <n v="1.0357366972477062"/>
    <n v="871.43787200000008"/>
    <n v="156.22963368211029"/>
    <n v="170.82505292597023"/>
    <n v="339.57555551015088"/>
    <n v="150"/>
    <n v="163.5"/>
    <n v="169.34294999999997"/>
    <n v="498.06749999999988"/>
    <d v="2020-01-01T00:00:00"/>
    <s v="2020_0027_01078"/>
    <s v="W2236 LE2 CLEAR R109X0.95X0150 CT1A, W2236 LE2 CLEAR R109X0.95X0150 CT4A"/>
    <s v="VO4170, 2018 V43x. Will want big rolls commercially."/>
    <n v="2"/>
    <s v="qualified"/>
    <s v="N/A"/>
    <m/>
    <n v="0.41284403669724773"/>
    <n v="62.4"/>
    <x v="0"/>
    <s v="Clear"/>
  </r>
  <r>
    <s v="Vitro"/>
    <s v="Vitroflex"/>
    <s v="Cadillac"/>
    <s v="CT4 (A2SL, FI4137)"/>
    <s v="OEM"/>
    <x v="1"/>
    <s v="W2246AA"/>
    <s v="L"/>
    <s v="E2"/>
    <s v="Clear"/>
    <x v="0"/>
    <s v="BF009289, BF009298?"/>
    <s v="Y"/>
    <s v="L8"/>
    <x v="37"/>
    <n v="99"/>
    <n v="30"/>
    <s v="N/A"/>
    <s v="N/A"/>
    <n v="0.8"/>
    <n v="252"/>
    <n v="463"/>
    <n v="211"/>
    <n v="227"/>
    <m/>
    <m/>
    <n v="0"/>
    <n v="690"/>
    <s v="N/A"/>
    <n v="69"/>
    <n v="1.1173999999999999"/>
    <m/>
    <n v="1.0067909090909091"/>
    <n v="1.0671983636363638"/>
    <n v="877.94839200000001"/>
    <n v="149.6023877213693"/>
    <n v="163.57867069159494"/>
    <n v="325.17079326638759"/>
    <n v="325"/>
    <n v="321.75"/>
    <n v="343.37107350000002"/>
    <n v="1144.5702450000001"/>
    <s v="TBD"/>
    <s v="2020_0303_01355"/>
    <s v="W2246AA LE2 CLEAR r099x0150 CT1A, W2246AA LE2 CLEAR r099x0325 WT2A"/>
    <s v="Vitro part FI4137"/>
    <s v="Never produced"/>
    <m/>
    <s v="N/A"/>
    <m/>
    <n v="0.46767676767676764"/>
    <m/>
    <x v="0"/>
    <s v="Clear"/>
  </r>
  <r>
    <s v="Vitro"/>
    <s v="Vitroflex"/>
    <s v="Nissan"/>
    <s v="Rogue"/>
    <s v="OEM"/>
    <x v="1"/>
    <s v="W1239"/>
    <s v="L"/>
    <s v="E2"/>
    <s v="Clear"/>
    <x v="0"/>
    <s v="BF007857"/>
    <s v="Y"/>
    <s v="L8"/>
    <x v="10"/>
    <n v="115"/>
    <n v="40"/>
    <s v="N/A"/>
    <s v="N/A"/>
    <n v="0.8"/>
    <n v="200"/>
    <n v="620"/>
    <n v="420"/>
    <n v="130"/>
    <m/>
    <m/>
    <n v="0"/>
    <n v="750"/>
    <s v="N/A"/>
    <n v="75"/>
    <n v="1.0925"/>
    <m/>
    <n v="0.99711956521739131"/>
    <n v="0"/>
    <n v="0"/>
    <n v="153.01208973900049"/>
    <n v="167.30691682452004"/>
    <n v="332.58200860033088"/>
    <n v="150"/>
    <n v="172.5"/>
    <n v="0"/>
    <n v="0"/>
    <d v="2020-04-01T00:00:00"/>
    <s v="Old"/>
    <s v="W1239 LE2 CLEAR R115X0.95X0150 CT4P"/>
    <s v="Never made for Vitroflex. Was made for an initial scouting for W2229AA for AGC Chuderice."/>
    <s v="Never made for Vitroflex.  Was made for AGC Chuderice."/>
    <m/>
    <s v="N/A"/>
    <m/>
    <n v="0.53913043478260869"/>
    <m/>
    <x v="6"/>
    <s v="Clear"/>
  </r>
  <r>
    <s v="Webasto"/>
    <s v="Grevenmacher"/>
    <s v="Audi"/>
    <s v="A6"/>
    <s v="OEM"/>
    <x v="0"/>
    <s v="W2220AD"/>
    <s v="K"/>
    <s v="R"/>
    <s v="Clear"/>
    <x v="0"/>
    <s v="BF012394"/>
    <s v="Y"/>
    <s v="L8"/>
    <x v="13"/>
    <n v="110"/>
    <n v="18"/>
    <s v="N/A"/>
    <s v="N/A"/>
    <n v="0.8"/>
    <n v="245"/>
    <n v="790"/>
    <n v="545"/>
    <n v="130"/>
    <n v="245"/>
    <n v="790"/>
    <n v="545"/>
    <n v="130"/>
    <s v="N/A"/>
    <n v="92"/>
    <n v="0.98399999999999999"/>
    <m/>
    <n v="0.90705454545454556"/>
    <n v="0.96147781818181832"/>
    <n v="861.02103999999997"/>
    <n v="169.88384963400208"/>
    <n v="185.75488478738637"/>
    <n v="369.25390690636328"/>
    <n v="186"/>
    <n v="204.6"/>
    <n v="196.71836160000004"/>
    <n v="1092.8797866666669"/>
    <d v="2024-06-01T00:00:00"/>
    <s v="2024_2610_03668"/>
    <s v="W2220AD KR CLEAR r110x0186 CT1P"/>
    <s v="Originally requested ±0.10 mrad for LWA, but then changed to the standard ±0.15 mrad"/>
    <m/>
    <m/>
    <m/>
    <m/>
    <n v="0.71818181818181814"/>
    <m/>
    <x v="0"/>
    <s v="Clear"/>
  </r>
  <r>
    <s v="Xinyi"/>
    <s v="?"/>
    <s v="Various"/>
    <s v="Various"/>
    <s v="ARG"/>
    <x v="1"/>
    <s v="W2250AC"/>
    <s v="K"/>
    <s v="E2"/>
    <s v="Clear"/>
    <x v="0"/>
    <s v="BF010863"/>
    <s v="Y"/>
    <s v="L9"/>
    <x v="29"/>
    <n v="100"/>
    <n v="28"/>
    <s v="N/A"/>
    <s v="N/A"/>
    <n v="0.8"/>
    <n v="80"/>
    <n v="600"/>
    <n v="520"/>
    <n v="120"/>
    <n v="80"/>
    <n v="600"/>
    <n v="520"/>
    <n v="120"/>
    <s v="N/A"/>
    <n v="72"/>
    <n v="1.1600000000000001"/>
    <m/>
    <n v="1.0304"/>
    <n v="1.0922239999999999"/>
    <n v="880.5526000000001"/>
    <n v="144.1083689998776"/>
    <n v="157.57138502654149"/>
    <n v="313.22917620332879"/>
    <n v="158"/>
    <n v="158"/>
    <n v="172.57139199999997"/>
    <n v="616.32639999999981"/>
    <d v="2022-06-01T00:00:00"/>
    <s v="2022_1429_02485"/>
    <s v="W2250AC KE2 CLEAR r100x0158 CB4A"/>
    <s v="Straight to commercial. Replaced by W2250AM"/>
    <m/>
    <m/>
    <s v="N/A"/>
    <m/>
    <n v="0.6"/>
    <m/>
    <x v="0"/>
    <s v="Clear"/>
  </r>
  <r>
    <s v="Xinyi"/>
    <s v="?"/>
    <s v="Various"/>
    <s v="Various"/>
    <s v="ARG"/>
    <x v="2"/>
    <s v="W5050AB"/>
    <s v="D"/>
    <s v="R3"/>
    <s v="Clear"/>
    <x v="1"/>
    <s v="BF010859"/>
    <m/>
    <s v="L6"/>
    <x v="29"/>
    <n v="96"/>
    <n v="26"/>
    <s v="N/A"/>
    <s v="N/A"/>
    <n v="0.76"/>
    <n v="80"/>
    <n v="576"/>
    <n v="496"/>
    <n v="124"/>
    <n v="80"/>
    <n v="576"/>
    <n v="496"/>
    <n v="124"/>
    <s v="N/A"/>
    <n v="70"/>
    <n v="1.1100000000000001"/>
    <m/>
    <n v="0.98239583333333336"/>
    <n v="1.0462515625"/>
    <n v="842.10615000000007"/>
    <n v="150.59973697284505"/>
    <n v="164.6691951628722"/>
    <n v="327.33859855483007"/>
    <n v="165"/>
    <n v="158.4"/>
    <n v="165.7262475"/>
    <n v="637.40864423076926"/>
    <s v="?"/>
    <s v="2022_1429_02485"/>
    <s v="W5050AB DR3 CLEAR r096x0165 CB4A"/>
    <s v="Straight to commercial. Replaced by W5050AI"/>
    <m/>
    <m/>
    <s v="N/A"/>
    <m/>
    <n v="0.6"/>
    <m/>
    <x v="2"/>
    <s v="Clear"/>
  </r>
  <r>
    <s v="Xinyi"/>
    <s v="?"/>
    <s v="Various"/>
    <s v="Various"/>
    <s v="ARG"/>
    <x v="2"/>
    <s v="W5050AC"/>
    <s v="D"/>
    <s v="R3"/>
    <s v="Clear"/>
    <x v="1"/>
    <s v="BF010860"/>
    <m/>
    <s v="L6"/>
    <x v="29"/>
    <n v="105"/>
    <n v="30"/>
    <s v="N/A"/>
    <s v="N/A"/>
    <n v="0.76"/>
    <n v="80"/>
    <n v="630"/>
    <n v="550"/>
    <n v="120"/>
    <n v="80"/>
    <n v="630"/>
    <n v="550"/>
    <n v="120"/>
    <s v="N/A"/>
    <n v="75"/>
    <n v="1.135"/>
    <m/>
    <n v="1.0010714285714286"/>
    <n v="1.0661410714285715"/>
    <n v="842.10615000000007"/>
    <n v="147.28256214965464"/>
    <n v="161.04212037954906"/>
    <n v="320.12849726507619"/>
    <n v="161"/>
    <n v="169.05"/>
    <n v="180.23114812500003"/>
    <n v="600.77049375000013"/>
    <s v="?"/>
    <s v="2022_1429_02485"/>
    <s v="W5050AC DR3 CLEAR r105x0161 CB4A"/>
    <s v="Straight to commercial. Replaced by W5050AJ"/>
    <m/>
    <m/>
    <s v="N/A"/>
    <m/>
    <n v="0.6"/>
    <m/>
    <x v="2"/>
    <s v="Clear"/>
  </r>
  <r>
    <s v="Xinyi"/>
    <s v="?"/>
    <s v="Various"/>
    <s v="Various"/>
    <s v="ARG"/>
    <x v="1"/>
    <s v="W5150AB"/>
    <s v="D"/>
    <s v="R3"/>
    <s v="Blue"/>
    <x v="1"/>
    <s v="BF010861"/>
    <m/>
    <s v="L6"/>
    <x v="29"/>
    <n v="86"/>
    <n v="22"/>
    <n v="14"/>
    <n v="72"/>
    <n v="0.76"/>
    <n v="80"/>
    <n v="516"/>
    <n v="436"/>
    <n v="124"/>
    <n v="80"/>
    <n v="516"/>
    <n v="436"/>
    <n v="124"/>
    <n v="80"/>
    <n v="64"/>
    <n v="1.08"/>
    <m/>
    <n v="0.96093023255813959"/>
    <n v="1.0233906976744187"/>
    <n v="842.10615000000007"/>
    <n v="154.78306299986852"/>
    <n v="169.24333947295199"/>
    <n v="336.43133740357536"/>
    <n v="169"/>
    <n v="145.34"/>
    <n v="148.73960400000001"/>
    <n v="676.08910909090912"/>
    <s v="?"/>
    <s v="2022_1429_02485"/>
    <s v="W5150AB DR3 BLUE r086/14x0169 CB4A"/>
    <s v="Straight to commercial. Replaced by W5150AE."/>
    <m/>
    <m/>
    <s v="N/A"/>
    <m/>
    <n v="0.6"/>
    <m/>
    <x v="4"/>
    <s v="S/B"/>
  </r>
  <r>
    <s v="Xinyi"/>
    <s v="Dongguan"/>
    <s v="Various"/>
    <s v="Various"/>
    <s v="ARG"/>
    <x v="2"/>
    <s v="W5140AA"/>
    <s v="D"/>
    <s v="R3"/>
    <s v="Blue"/>
    <x v="1"/>
    <s v="BF011627"/>
    <m/>
    <s v="L6"/>
    <x v="44"/>
    <n v="91"/>
    <n v="29"/>
    <n v="15"/>
    <n v="76"/>
    <n v="0.76"/>
    <n v="100"/>
    <n v="490"/>
    <n v="390"/>
    <n v="130"/>
    <n v="100"/>
    <n v="530"/>
    <n v="430"/>
    <n v="90"/>
    <n v="140"/>
    <n v="62"/>
    <n v="1.008"/>
    <m/>
    <n v="0.92351648351648341"/>
    <n v="0.98354505494505484"/>
    <n v="835.56492000000003"/>
    <n v="165.83899607128774"/>
    <n v="181.33214943530572"/>
    <n v="360.46214721811651"/>
    <n v="182"/>
    <n v="165.62"/>
    <n v="162.89473199999998"/>
    <n v="561.70597241379301"/>
    <d v="2023-07-23T00:00:00"/>
    <s v="2023_1902_02959"/>
    <s v="W5140AA DR3 BLUE i091/15x0182 C02P"/>
    <s v="Interleaved!"/>
    <m/>
    <m/>
    <s v="N/A"/>
    <m/>
    <n v="0.53846153846153844"/>
    <m/>
    <x v="4"/>
    <s v="S/B"/>
  </r>
  <r>
    <s v="Xinyi"/>
    <s v="Dongguan"/>
    <s v="Various"/>
    <s v="Various"/>
    <s v="ARG"/>
    <x v="1"/>
    <s v="W5065AA"/>
    <s v="D"/>
    <s v="R3"/>
    <s v="Clear"/>
    <x v="1"/>
    <s v="BF012254"/>
    <m/>
    <s v="L6"/>
    <x v="49"/>
    <n v="81"/>
    <n v="15"/>
    <s v="N/A"/>
    <s v="N/A"/>
    <n v="0.76"/>
    <n v="130"/>
    <n v="530"/>
    <n v="400"/>
    <n v="130"/>
    <n v="100"/>
    <n v="550"/>
    <n v="450"/>
    <n v="110"/>
    <s v="N/A"/>
    <n v="66"/>
    <n v="1.1890000000000001"/>
    <m/>
    <n v="1.0142222222222224"/>
    <n v="1.0801466666666668"/>
    <n v="851.91799500000002"/>
    <n v="140.59353073158792"/>
    <n v="153.72818051369904"/>
    <n v="305.58944019836957"/>
    <n v="154"/>
    <n v="124.74"/>
    <n v="134.73749520000001"/>
    <n v="898.24996800000008"/>
    <s v="?"/>
    <s v="2024_2477_03534"/>
    <s v="W5065AA DR3 CLEAR r081x0154 CB1P"/>
    <m/>
    <m/>
    <m/>
    <m/>
    <m/>
    <n v="0.65432098765432101"/>
    <m/>
    <x v="2"/>
    <m/>
  </r>
  <r>
    <s v="Xinyi"/>
    <s v="Dongguan"/>
    <s v="Various"/>
    <s v="Various"/>
    <s v="ARG"/>
    <x v="0"/>
    <s v="W5165AA"/>
    <s v="D"/>
    <s v="R3"/>
    <s v="Blue"/>
    <x v="1"/>
    <s v="BF012253"/>
    <m/>
    <s v="L6"/>
    <x v="49"/>
    <n v="81"/>
    <n v="15"/>
    <n v="10"/>
    <n v="71"/>
    <n v="0.76"/>
    <n v="100"/>
    <n v="500"/>
    <n v="400"/>
    <n v="160"/>
    <n v="100"/>
    <n v="500"/>
    <n v="400"/>
    <n v="160"/>
    <n v="50"/>
    <n v="66"/>
    <n v="1.1890000000000001"/>
    <m/>
    <n v="1.0142222222222224"/>
    <n v="1.0801466666666668"/>
    <n v="851.91799500000002"/>
    <n v="140.59353073158792"/>
    <n v="153.72818051369904"/>
    <n v="305.58944019836957"/>
    <n v="154"/>
    <n v="124.74"/>
    <n v="134.73749520000001"/>
    <n v="898.24996800000008"/>
    <s v="?"/>
    <s v="2024_2477_03534"/>
    <s v="W5165AA DR3 BLUE r081/10x0154 CB1P"/>
    <m/>
    <m/>
    <m/>
    <m/>
    <m/>
    <n v="0.61728395061728392"/>
    <m/>
    <x v="4"/>
    <m/>
  </r>
  <r>
    <s v="Xinyi"/>
    <s v="Shenzhen"/>
    <s v="Various"/>
    <s v="Various"/>
    <s v="ARG"/>
    <x v="1"/>
    <s v="W2250AA"/>
    <s v="K"/>
    <s v="E2"/>
    <s v="Clear"/>
    <x v="0"/>
    <s v="BF009447"/>
    <s v="Y"/>
    <s v="L8"/>
    <x v="29"/>
    <n v="120"/>
    <n v="30"/>
    <s v="N/A"/>
    <s v="N/A"/>
    <n v="0.8"/>
    <n v="270"/>
    <n v="550"/>
    <n v="280"/>
    <n v="350"/>
    <n v="150"/>
    <n v="550"/>
    <n v="400"/>
    <n v="350"/>
    <s v="N/A"/>
    <n v="90"/>
    <n v="1.25"/>
    <m/>
    <n v="1.08125"/>
    <n v="1.1461250000000001"/>
    <n v="880.5526000000001"/>
    <n v="133.73256643188643"/>
    <n v="146.22624530463054"/>
    <n v="290.67667551668916"/>
    <n v="50"/>
    <n v="60"/>
    <n v="68.767499999999998"/>
    <n v="229.22499999999999"/>
    <d v="2020-09-01T00:00:00"/>
    <s v="2020_0394_01446"/>
    <s v="W2250AA KE2 CLEAR r120x0050xW19P"/>
    <s v="Initial sample"/>
    <m/>
    <m/>
    <s v="N/A"/>
    <m/>
    <n v="0.45833333333333331"/>
    <m/>
    <x v="0"/>
    <s v="Clear"/>
  </r>
  <r>
    <s v="Xinyi"/>
    <s v="Shenzhen"/>
    <s v="Various"/>
    <s v="Various"/>
    <s v="ARG"/>
    <x v="0"/>
    <s v="W2350AD"/>
    <s v="K"/>
    <s v="E2"/>
    <s v="Blue"/>
    <x v="0"/>
    <s v="BF011720"/>
    <s v="Y"/>
    <s v="L9"/>
    <x v="29"/>
    <n v="115"/>
    <n v="30"/>
    <n v="18"/>
    <n v="97"/>
    <n v="0.8"/>
    <n v="200"/>
    <n v="600"/>
    <n v="400"/>
    <n v="250"/>
    <n v="200"/>
    <n v="600"/>
    <n v="400"/>
    <n v="250"/>
    <n v="120"/>
    <n v="85"/>
    <n v="1.2250000000000001"/>
    <m/>
    <n v="1.0679347826086958"/>
    <n v="1.1320108695652173"/>
    <n v="880.5526000000001"/>
    <n v="136.46180248151674"/>
    <n v="149.21045439248013"/>
    <n v="296.60885256805011"/>
    <n v="149"/>
    <n v="171.35"/>
    <n v="193.97006249999998"/>
    <n v="646.56687499999998"/>
    <d v="2023-04-01T00:00:00"/>
    <s v="2023_1950_03007"/>
    <s v="W2350AD KE2 BLU2 r115/18x0149 CB4P"/>
    <m/>
    <m/>
    <m/>
    <s v="N/A"/>
    <m/>
    <n v="0.52173913043478259"/>
    <m/>
    <x v="8"/>
    <s v="S/B"/>
  </r>
  <r>
    <s v="Xinyi"/>
    <s v="Shenzhen"/>
    <s v="Various"/>
    <s v="Various"/>
    <s v="ARG"/>
    <x v="1"/>
    <s v="W2250AM"/>
    <s v="K"/>
    <s v="E2"/>
    <s v="Clear"/>
    <x v="0"/>
    <s v="BF011714"/>
    <s v="Y"/>
    <s v="L9"/>
    <x v="29"/>
    <n v="100"/>
    <n v="30"/>
    <s v="N/A"/>
    <s v="N/A"/>
    <n v="0.8"/>
    <n v="150"/>
    <n v="500"/>
    <n v="350"/>
    <n v="200"/>
    <n v="200"/>
    <n v="600"/>
    <n v="400"/>
    <n v="100"/>
    <s v="N/A"/>
    <n v="70"/>
    <n v="1.1500000000000001"/>
    <m/>
    <n v="1.0275000000000001"/>
    <n v="1.0891500000000001"/>
    <n v="880.5526000000001"/>
    <n v="145.36148525205044"/>
    <n v="158.94157098329404"/>
    <n v="315.95290817031423"/>
    <n v="159"/>
    <n v="159"/>
    <n v="173.17485000000002"/>
    <n v="577.24950000000013"/>
    <s v="Never"/>
    <s v="2023_1950_03007"/>
    <s v="W2250AM KE2 CLEAR r100x0159 CB4P"/>
    <s v="Replacing W2250AC"/>
    <m/>
    <m/>
    <s v="N/A"/>
    <m/>
    <n v="0.5"/>
    <m/>
    <x v="0"/>
    <s v="Clear"/>
  </r>
  <r>
    <s v="Xinyi"/>
    <s v="Shenzhen"/>
    <s v="Various"/>
    <s v="Various"/>
    <s v="ARG"/>
    <x v="1"/>
    <s v="W2250AN"/>
    <s v="K"/>
    <s v="E2"/>
    <s v="Clear"/>
    <x v="0"/>
    <s v="BF011712"/>
    <s v="Y"/>
    <s v="L9"/>
    <x v="29"/>
    <n v="91"/>
    <n v="25"/>
    <s v="N/A"/>
    <s v="N/A"/>
    <n v="0.8"/>
    <n v="150"/>
    <n v="500"/>
    <n v="350"/>
    <n v="160"/>
    <n v="150"/>
    <n v="550"/>
    <n v="400"/>
    <n v="110"/>
    <s v="N/A"/>
    <n v="66"/>
    <n v="1.1300000000000001"/>
    <m/>
    <n v="1.0103296703296705"/>
    <n v="1.0709494505494506"/>
    <n v="880.5526000000001"/>
    <n v="147.9342549025292"/>
    <n v="161.75469613344083"/>
    <n v="321.54499504058532"/>
    <n v="162"/>
    <n v="147.41999999999999"/>
    <n v="157.879368"/>
    <n v="631.517472"/>
    <s v="Never"/>
    <s v="2023_1950_03007"/>
    <s v="W2250AN KE2 CLEAR r091x0162 CB4P"/>
    <s v="Replacing W2250AB"/>
    <m/>
    <m/>
    <s v="N/A"/>
    <m/>
    <n v="0.5494505494505495"/>
    <m/>
    <x v="0"/>
    <s v="Clear"/>
  </r>
  <r>
    <s v="Xinyi"/>
    <s v="Shenzhen"/>
    <s v="Various"/>
    <s v="Various"/>
    <s v="ARG"/>
    <x v="0"/>
    <s v="W5050AI"/>
    <s v="D"/>
    <s v="R3"/>
    <s v="Clear"/>
    <x v="1"/>
    <s v="BF011715"/>
    <m/>
    <s v="L6"/>
    <x v="29"/>
    <n v="96"/>
    <n v="30"/>
    <s v="N/A"/>
    <s v="N/A"/>
    <n v="0.76"/>
    <n v="150"/>
    <n v="500"/>
    <n v="350"/>
    <n v="160"/>
    <n v="150"/>
    <n v="550"/>
    <n v="400"/>
    <n v="110"/>
    <s v="N/A"/>
    <n v="66"/>
    <n v="1.0900000000000001"/>
    <m/>
    <n v="0.9765625"/>
    <n v="1.0400390625"/>
    <n v="842.10615000000007"/>
    <n v="153.36303489895229"/>
    <n v="167.69064828512674"/>
    <n v="333.34481137234997"/>
    <n v="168"/>
    <n v="161.28"/>
    <n v="167.73750000000001"/>
    <n v="559.12500000000011"/>
    <s v="?"/>
    <s v="2023_1950_03007"/>
    <s v="W5050AI DR3 CLEAR r096x0168 CB4P"/>
    <s v="Replacing W5050AB"/>
    <m/>
    <m/>
    <s v="N/A"/>
    <m/>
    <n v="0.52083333333333337"/>
    <m/>
    <x v="2"/>
    <s v="Clear"/>
  </r>
  <r>
    <s v="Xinyi"/>
    <s v="Shenzhen"/>
    <s v="Various"/>
    <s v="Various"/>
    <s v="ARG"/>
    <x v="0"/>
    <s v="W5050AJ"/>
    <s v="D"/>
    <s v="R3"/>
    <s v="Clear"/>
    <x v="1"/>
    <s v="BF011716"/>
    <m/>
    <s v="L6"/>
    <x v="29"/>
    <n v="105"/>
    <n v="30"/>
    <s v="N/A"/>
    <s v="N/A"/>
    <n v="0.76"/>
    <n v="200"/>
    <n v="600"/>
    <n v="400"/>
    <n v="150"/>
    <n v="200"/>
    <n v="600"/>
    <n v="400"/>
    <n v="150"/>
    <s v="N/A"/>
    <n v="75"/>
    <n v="1.135"/>
    <m/>
    <n v="1.0010714285714286"/>
    <n v="1.0661410714285715"/>
    <n v="842.10615000000007"/>
    <n v="147.28256214965464"/>
    <n v="161.04212037954906"/>
    <n v="320.12849726507619"/>
    <n v="161"/>
    <n v="169.05"/>
    <n v="180.23114812500003"/>
    <n v="600.77049375000013"/>
    <s v="?"/>
    <s v="2023_1950_03007"/>
    <s v="W5050AJ DR3 CLEAR r105x0161 CB4P"/>
    <s v="Replacing W5050AC"/>
    <m/>
    <m/>
    <s v="N/A"/>
    <m/>
    <n v="0.5714285714285714"/>
    <m/>
    <x v="2"/>
    <s v="Clear"/>
  </r>
  <r>
    <s v="Xinyi"/>
    <s v="Shenzhen"/>
    <s v="Various"/>
    <s v="Various"/>
    <s v="ARG"/>
    <x v="0"/>
    <s v="W5150AE"/>
    <s v="D"/>
    <s v="R3"/>
    <s v="Blue"/>
    <x v="1"/>
    <s v="BF011717"/>
    <m/>
    <s v="L6"/>
    <x v="29"/>
    <n v="86"/>
    <n v="25"/>
    <n v="14"/>
    <n v="72"/>
    <n v="0.76"/>
    <n v="150"/>
    <n v="490"/>
    <n v="340"/>
    <n v="120"/>
    <n v="100"/>
    <n v="500"/>
    <n v="400"/>
    <n v="110"/>
    <n v="110"/>
    <n v="61"/>
    <n v="1.0649999999999999"/>
    <m/>
    <n v="0.9568313953488371"/>
    <n v="1.0190254360465114"/>
    <n v="842.10615000000007"/>
    <n v="156.96310614071177"/>
    <n v="171.62704847961331"/>
    <n v="341.16980694447085"/>
    <n v="172"/>
    <n v="147.91999999999999"/>
    <n v="150.73424249999997"/>
    <n v="602.93696999999986"/>
    <s v="?"/>
    <s v="2023_1950_03007"/>
    <s v="W5150AE DR3 BLUE r086/14x0172 CB4P"/>
    <s v="Replacing W5150AB"/>
    <m/>
    <m/>
    <s v="N/A"/>
    <m/>
    <n v="0.56976744186046513"/>
    <m/>
    <x v="4"/>
    <s v="S/B"/>
  </r>
  <r>
    <s v="Xinyi"/>
    <s v="Shenzhen"/>
    <s v="Various"/>
    <s v="Various"/>
    <s v="ARG"/>
    <x v="0"/>
    <s v="W5150AF"/>
    <s v="D"/>
    <s v="R3"/>
    <s v="Blue"/>
    <x v="1"/>
    <s v="BF011719"/>
    <m/>
    <s v="L6"/>
    <x v="29"/>
    <n v="115"/>
    <n v="30"/>
    <n v="23"/>
    <n v="92"/>
    <n v="0.76"/>
    <n v="200"/>
    <n v="600"/>
    <n v="400"/>
    <n v="250"/>
    <n v="200"/>
    <n v="600"/>
    <n v="400"/>
    <n v="250"/>
    <n v="70"/>
    <n v="85"/>
    <n v="1.1850000000000001"/>
    <m/>
    <n v="1.0279347826086958"/>
    <n v="1.094750543478261"/>
    <n v="842.10615000000007"/>
    <n v="141.0681080505131"/>
    <n v="154.24709420319675"/>
    <n v="306.62096573490419"/>
    <n v="154"/>
    <n v="177.1"/>
    <n v="193.88032125000001"/>
    <n v="646.26773750000007"/>
    <d v="2023-07-23T00:00:00"/>
    <s v="2023_1950_03007"/>
    <s v="W5150AF DR3 BLUE r115/23x0154 CB4P"/>
    <m/>
    <m/>
    <m/>
    <s v="N/A"/>
    <m/>
    <n v="0.52173913043478259"/>
    <m/>
    <x v="4"/>
    <s v="S/B"/>
  </r>
  <r>
    <s v="Xinyi"/>
    <s v="Shenzhen &amp; Tianjin"/>
    <s v="Various"/>
    <s v="Various"/>
    <s v="ARG"/>
    <x v="0"/>
    <s v="W2350AB"/>
    <s v="K"/>
    <s v="E2"/>
    <s v="Blue"/>
    <x v="0"/>
    <s v="BF011535"/>
    <s v="Y"/>
    <s v="L9"/>
    <x v="29"/>
    <n v="98"/>
    <n v="30"/>
    <n v="16"/>
    <n v="82"/>
    <n v="0.8"/>
    <n v="150"/>
    <n v="550"/>
    <n v="400"/>
    <n v="130"/>
    <n v="150"/>
    <n v="600"/>
    <n v="450"/>
    <n v="80"/>
    <n v="140"/>
    <n v="68"/>
    <n v="1.1400000000000001"/>
    <m/>
    <n v="1.0220408163265307"/>
    <n v="1.0833632653061225"/>
    <n v="880.5526000000001"/>
    <n v="146.63658599987545"/>
    <n v="160.33579529016504"/>
    <n v="318.72442490865035"/>
    <n v="160"/>
    <n v="156.80000000000001"/>
    <n v="169.87136000000001"/>
    <n v="566.23786666666672"/>
    <d v="2023-02-23T00:00:00"/>
    <s v="2022_1808_02864"/>
    <s v="W2350AB KE2 BLU2 r098/16x0160 CB4P"/>
    <m/>
    <m/>
    <m/>
    <s v="N/A"/>
    <m/>
    <n v="0.56122448979591832"/>
    <m/>
    <x v="8"/>
    <s v="S/B"/>
  </r>
  <r>
    <s v="Xinyi"/>
    <s v="Shenzhen &amp; Tianjin"/>
    <s v="Various"/>
    <s v="Various"/>
    <s v="ARG"/>
    <x v="2"/>
    <s v="W2250AF"/>
    <s v="K"/>
    <s v="E2"/>
    <s v="Clear"/>
    <x v="0"/>
    <s v="BF011532"/>
    <s v="Y"/>
    <s v="L9"/>
    <x v="29"/>
    <n v="101"/>
    <n v="30"/>
    <s v="N/A"/>
    <s v="N/A"/>
    <n v="0.8"/>
    <n v="150"/>
    <n v="550"/>
    <n v="400"/>
    <n v="160"/>
    <n v="150"/>
    <n v="600"/>
    <n v="450"/>
    <n v="110"/>
    <s v="N/A"/>
    <n v="71"/>
    <n v="1.155"/>
    <m/>
    <n v="1.0302227722772279"/>
    <n v="1.0920361386138617"/>
    <n v="880.5526000000001"/>
    <n v="144.73221475312383"/>
    <n v="158.25351223444864"/>
    <n v="314.58514666308349"/>
    <n v="158"/>
    <n v="159.58000000000001"/>
    <n v="174.26712700000007"/>
    <n v="580.89042333333362"/>
    <d v="2023-02-23T00:00:00"/>
    <s v="2022_1808_02864"/>
    <s v="W2250AF KE2 CLEAR r101x0158 CB4P"/>
    <m/>
    <m/>
    <m/>
    <s v="N/A"/>
    <m/>
    <n v="0.54455445544554459"/>
    <m/>
    <x v="0"/>
    <s v="Clear"/>
  </r>
  <r>
    <s v="Xinyi"/>
    <s v="Shenzhen &amp; Tianjin"/>
    <s v="Various"/>
    <s v="Various"/>
    <s v="ARG"/>
    <x v="2"/>
    <s v="W2250AG"/>
    <s v="K"/>
    <s v="E2"/>
    <s v="Clear"/>
    <x v="0"/>
    <s v="BF011533"/>
    <s v="Y"/>
    <s v="L9"/>
    <x v="29"/>
    <n v="105"/>
    <n v="30"/>
    <s v="N/A"/>
    <s v="N/A"/>
    <n v="0.8"/>
    <n v="200"/>
    <n v="600"/>
    <n v="400"/>
    <n v="150"/>
    <n v="150"/>
    <n v="600"/>
    <n v="450"/>
    <n v="150"/>
    <s v="N/A"/>
    <n v="75"/>
    <n v="1.175"/>
    <m/>
    <n v="1.0410714285714286"/>
    <n v="1.1035357142857145"/>
    <n v="880.5526000000001"/>
    <n v="142.26868769349619"/>
    <n v="155.55983543045801"/>
    <n v="309.23050586881823"/>
    <n v="156"/>
    <n v="163.80000000000001"/>
    <n v="180.75915000000006"/>
    <n v="602.53050000000019"/>
    <d v="2023-02-23T00:00:00"/>
    <s v="2022_1808_02864"/>
    <s v="W2250AG KE2 CLEAR r105x0156 CB4P"/>
    <m/>
    <m/>
    <m/>
    <s v="N/A"/>
    <m/>
    <n v="0.5714285714285714"/>
    <m/>
    <x v="0"/>
    <s v="Clear"/>
  </r>
  <r>
    <s v="Xinyi"/>
    <s v="Shenzhen &amp; Tianjin"/>
    <s v="Various"/>
    <s v="Various"/>
    <s v="ARG"/>
    <x v="2"/>
    <s v="W2250AH"/>
    <s v="K"/>
    <s v="E2"/>
    <s v="Clear"/>
    <x v="0"/>
    <s v="BF011534"/>
    <s v="Y"/>
    <s v="L9"/>
    <x v="29"/>
    <n v="110"/>
    <n v="30"/>
    <s v="N/A"/>
    <s v="N/A"/>
    <n v="0.8"/>
    <n v="200"/>
    <n v="600"/>
    <n v="400"/>
    <n v="200"/>
    <n v="150"/>
    <n v="600"/>
    <n v="450"/>
    <n v="200"/>
    <s v="N/A"/>
    <n v="80"/>
    <n v="1.2000000000000002"/>
    <m/>
    <n v="1.0545454545454545"/>
    <n v="1.1178181818181818"/>
    <n v="880.5526000000001"/>
    <n v="139.30475669988166"/>
    <n v="152.31900552565676"/>
    <n v="302.78820366321781"/>
    <n v="152"/>
    <n v="167.2"/>
    <n v="186.89919999999998"/>
    <n v="622.99733333333324"/>
    <d v="2023-02-23T00:00:00"/>
    <s v="2022_1808_02864"/>
    <s v="W2250AH KE2 CLEAR r110x0152 CB4P"/>
    <m/>
    <m/>
    <m/>
    <s v="N/A"/>
    <m/>
    <n v="0.54545454545454541"/>
    <m/>
    <x v="0"/>
    <s v="Clear"/>
  </r>
  <r>
    <s v="Xinyi"/>
    <s v="Shenzhen &amp; Tianjin"/>
    <s v="Various"/>
    <s v="Various"/>
    <s v="ARG"/>
    <x v="2"/>
    <s v="W2250AL"/>
    <s v="K"/>
    <s v="E2"/>
    <s v="Clear"/>
    <x v="0"/>
    <s v="BF011713"/>
    <s v="Y"/>
    <s v="L9"/>
    <x v="29"/>
    <n v="96"/>
    <n v="30"/>
    <s v="N/A"/>
    <s v="N/A"/>
    <n v="0.8"/>
    <n v="150"/>
    <n v="500"/>
    <n v="350"/>
    <n v="160"/>
    <n v="150"/>
    <n v="550"/>
    <n v="400"/>
    <n v="110"/>
    <s v="N/A"/>
    <n v="66"/>
    <n v="1.1300000000000001"/>
    <m/>
    <n v="1.0165625"/>
    <n v="1.0775562500000002"/>
    <n v="880.5526000000001"/>
    <n v="147.9342549025292"/>
    <n v="161.75469613344083"/>
    <n v="321.54499504058532"/>
    <n v="162"/>
    <n v="155.52000000000001"/>
    <n v="167.58154800000005"/>
    <n v="558.60516000000018"/>
    <d v="2023-10-23T00:00:00"/>
    <s v="2023_1950_03007"/>
    <s v="W2250AL KE2 CLEAR r096x0162 CB4P"/>
    <s v="Replacing W2250AD"/>
    <m/>
    <m/>
    <s v="N/A"/>
    <m/>
    <n v="0.52083333333333337"/>
    <m/>
    <x v="0"/>
    <s v="Clear"/>
  </r>
  <r>
    <s v="Xinyi"/>
    <s v="Tianjin"/>
    <s v="Various"/>
    <s v="Various"/>
    <s v="ARG"/>
    <x v="0"/>
    <s v="W2350AE"/>
    <s v="K"/>
    <s v="E2"/>
    <s v="Blue"/>
    <x v="0"/>
    <s v="BF011721"/>
    <s v="Y"/>
    <s v="L9"/>
    <x v="29"/>
    <n v="88"/>
    <n v="25"/>
    <n v="15"/>
    <n v="73"/>
    <n v="0.8"/>
    <n v="150"/>
    <n v="500"/>
    <n v="350"/>
    <n v="130"/>
    <n v="100"/>
    <n v="500"/>
    <n v="400"/>
    <n v="130"/>
    <n v="100"/>
    <n v="63"/>
    <n v="1.115"/>
    <m/>
    <n v="1.0022443181818181"/>
    <n v="1.0623789772727272"/>
    <n v="880.5526000000001"/>
    <n v="149.92440182946908"/>
    <n v="163.93076827873378"/>
    <n v="325.870712462656"/>
    <n v="164"/>
    <n v="144.32"/>
    <n v="153.32253399999999"/>
    <n v="613.29013599999996"/>
    <d v="2023-04-01T00:00:00"/>
    <s v="2023_1950_03007"/>
    <s v="W2350AE KE2 BLU2 r088/15x0164 CB4P"/>
    <m/>
    <m/>
    <m/>
    <s v="N/A"/>
    <m/>
    <n v="0.56818181818181823"/>
    <m/>
    <x v="8"/>
    <s v="S/B"/>
  </r>
  <r>
    <s v="Xinyi"/>
    <s v="Tianjin"/>
    <s v="Various"/>
    <s v="Various"/>
    <s v="ARG"/>
    <x v="1"/>
    <s v="W2250AB"/>
    <s v="K"/>
    <s v="E2"/>
    <s v="Clear"/>
    <x v="0"/>
    <s v="BF010862 (CB4A, then CB4P)"/>
    <s v="Y"/>
    <s v="L9"/>
    <x v="29"/>
    <n v="91"/>
    <n v="24"/>
    <s v="N/A"/>
    <s v="N/A"/>
    <n v="0.8"/>
    <n v="80"/>
    <n v="546"/>
    <n v="466"/>
    <n v="124"/>
    <n v="80"/>
    <n v="546"/>
    <n v="466"/>
    <n v="124"/>
    <s v="N/A"/>
    <n v="67"/>
    <n v="1.135"/>
    <m/>
    <n v="1.0116758241758241"/>
    <n v="1.0723763736263736"/>
    <n v="880.5526000000001"/>
    <n v="147.28256214965464"/>
    <n v="161.04212037954906"/>
    <n v="320.12849726507619"/>
    <n v="161"/>
    <n v="146.51"/>
    <n v="157.11386249999998"/>
    <n v="654.64109374999998"/>
    <d v="2022-06-01T00:00:00"/>
    <s v="2022_1429_02485, 2023_1921_02978"/>
    <s v="W2250AB KE2 CLEAR r091x0161 CB4P. Originally set up as CB4A."/>
    <s v="Straight to commercial. Replaced by W2250AK"/>
    <m/>
    <m/>
    <s v="N/A"/>
    <m/>
    <n v="0.6"/>
    <m/>
    <x v="0"/>
    <s v="Clear"/>
  </r>
  <r>
    <s v="Xinyi"/>
    <s v="Tianjin"/>
    <s v="Various"/>
    <s v="Various"/>
    <s v="ARG"/>
    <x v="1"/>
    <s v="W2250AD"/>
    <s v="K"/>
    <s v="E2"/>
    <s v="Clear"/>
    <x v="0"/>
    <s v="BF010864"/>
    <s v="Y"/>
    <s v="L9"/>
    <x v="29"/>
    <n v="96"/>
    <n v="26"/>
    <s v="N/A"/>
    <s v="N/A"/>
    <n v="0.8"/>
    <n v="80"/>
    <n v="576"/>
    <n v="496"/>
    <n v="124"/>
    <n v="80"/>
    <n v="576"/>
    <n v="496"/>
    <n v="124"/>
    <s v="N/A"/>
    <n v="70"/>
    <n v="1.1500000000000001"/>
    <m/>
    <n v="1.0223958333333334"/>
    <n v="1.0837395833333334"/>
    <n v="880.5526000000001"/>
    <n v="145.36148525205044"/>
    <n v="158.94157098329404"/>
    <n v="315.95290817031423"/>
    <n v="159"/>
    <n v="152.63999999999999"/>
    <n v="165.42201"/>
    <n v="636.23849999999993"/>
    <d v="2022-06-01T00:00:00"/>
    <s v="2022_1429_02485"/>
    <s v="W2250AD KE2 CLEAR r096x0159 CB4A"/>
    <s v="Straight to commercial. Replaced by W2250AL"/>
    <m/>
    <m/>
    <s v="N/A"/>
    <m/>
    <n v="0.6"/>
    <m/>
    <x v="0"/>
    <s v="Clear"/>
  </r>
  <r>
    <s v="Xinyi"/>
    <s v="Tianjin"/>
    <s v="Various"/>
    <s v="Various"/>
    <s v="ARG"/>
    <x v="1"/>
    <s v="W2250AE"/>
    <s v="K"/>
    <s v="E2"/>
    <s v="Clear"/>
    <x v="0"/>
    <s v="BF011531"/>
    <s v="Y"/>
    <s v="L9"/>
    <x v="29"/>
    <n v="96"/>
    <n v="30"/>
    <s v="N/A"/>
    <s v="N/A"/>
    <n v="0.8"/>
    <n v="140"/>
    <n v="540"/>
    <n v="400"/>
    <n v="120"/>
    <n v="140"/>
    <n v="580"/>
    <n v="440"/>
    <n v="80"/>
    <s v="N/A"/>
    <n v="66"/>
    <n v="1.1300000000000001"/>
    <m/>
    <n v="1.0165625"/>
    <n v="1.0775562500000002"/>
    <n v="880.5526000000001"/>
    <n v="147.9342549025292"/>
    <n v="161.75469613344083"/>
    <n v="321.54499504058532"/>
    <n v="162"/>
    <n v="155.52000000000001"/>
    <n v="167.58154800000005"/>
    <n v="558.60516000000018"/>
    <d v="2023-02-23T00:00:00"/>
    <s v="2022_1808_02864"/>
    <s v="W2250AE KE2 CLEAR r096x0162 CB4P"/>
    <s v="Replaced by W2250AL"/>
    <m/>
    <m/>
    <s v="N/A"/>
    <m/>
    <n v="0.5625"/>
    <m/>
    <x v="0"/>
    <s v="Clear"/>
  </r>
  <r>
    <s v="Xinyi"/>
    <s v="Wuhu"/>
    <s v="Chery"/>
    <s v="?"/>
    <s v="ARG"/>
    <x v="0"/>
    <s v="W2228AB"/>
    <s v="K"/>
    <s v="E2"/>
    <s v="Clear"/>
    <x v="0"/>
    <s v="BF012211"/>
    <s v="Y"/>
    <s v="L9"/>
    <x v="26"/>
    <n v="105"/>
    <n v="30"/>
    <s v="N/A"/>
    <s v="N/A"/>
    <n v="0.8"/>
    <n v="200"/>
    <n v="600"/>
    <n v="400"/>
    <n v="150"/>
    <n v="200"/>
    <n v="600"/>
    <n v="400"/>
    <n v="150"/>
    <s v="N/A"/>
    <n v="75"/>
    <n v="1.01"/>
    <m/>
    <n v="0.93499999999999994"/>
    <n v="0.99109999999999998"/>
    <n v="866.22945600000003"/>
    <n v="165.51060201966141"/>
    <n v="180.97307587206748"/>
    <n v="359.74836078798165"/>
    <n v="181"/>
    <n v="190.05"/>
    <n v="188.358555"/>
    <n v="627.86185"/>
    <d v="2024-03-01T00:00:00"/>
    <s v="2024_2432_03489"/>
    <s v="W2228AB KE2 CLEAR r105x0181 CB1P"/>
    <m/>
    <m/>
    <m/>
    <m/>
    <m/>
    <n v="0.5714285714285714"/>
    <m/>
    <x v="0"/>
    <m/>
  </r>
  <r>
    <s v="Xinyi"/>
    <s v="Wuhu"/>
    <s v="Chery"/>
    <s v="M36T"/>
    <s v="ARG"/>
    <x v="0"/>
    <s v="W2268AC"/>
    <s v="K"/>
    <s v="E2"/>
    <s v="Clear"/>
    <x v="0"/>
    <s v="BF011992"/>
    <s v="Y"/>
    <s v="L9"/>
    <x v="33"/>
    <n v="100"/>
    <n v="25"/>
    <s v="N/A"/>
    <s v="N/A"/>
    <n v="0.8"/>
    <n v="200"/>
    <n v="600"/>
    <n v="400"/>
    <n v="150"/>
    <n v="200"/>
    <n v="600"/>
    <n v="400"/>
    <n v="150"/>
    <s v="N/A"/>
    <n v="75"/>
    <n v="1.31"/>
    <m/>
    <n v="1.1187500000000001"/>
    <n v="1.1858750000000002"/>
    <n v="892.27153599999997"/>
    <n v="127.60741071744887"/>
    <n v="139.52886002350243"/>
    <n v="277.36323999684083"/>
    <n v="120"/>
    <n v="120"/>
    <n v="142.30500000000004"/>
    <n v="569.22000000000014"/>
    <d v="2023-09-01T00:00:00"/>
    <s v="2023_2180_03237"/>
    <s v="W2268AC KE2 CLEAR r100x0120 CB1P"/>
    <s v="Nearly identical to W2268AB, but AB is L adhesion"/>
    <m/>
    <m/>
    <m/>
    <m/>
    <n v="0.6"/>
    <m/>
    <x v="0"/>
    <m/>
  </r>
  <r>
    <s v="Xinyi"/>
    <s v="Wuhu"/>
    <s v="Chery"/>
    <s v="T22"/>
    <s v="ARG"/>
    <x v="0"/>
    <s v="W2224AA"/>
    <s v="K"/>
    <s v="E2"/>
    <s v="Clear"/>
    <x v="0"/>
    <s v="BF011993"/>
    <s v="Y"/>
    <s v="L9"/>
    <x v="19"/>
    <n v="105"/>
    <n v="30"/>
    <s v="N/A"/>
    <s v="N/A"/>
    <n v="0.8"/>
    <n v="200"/>
    <n v="600"/>
    <n v="400"/>
    <n v="150"/>
    <n v="200"/>
    <n v="600"/>
    <n v="400"/>
    <n v="150"/>
    <s v="N/A"/>
    <n v="75"/>
    <n v="0.98"/>
    <m/>
    <n v="0.91571428571428581"/>
    <n v="0.97065714285714289"/>
    <n v="863.62524800000006"/>
    <n v="170.57725310189596"/>
    <n v="186.51306799060018"/>
    <n v="370.76106571006267"/>
    <n v="120"/>
    <n v="126"/>
    <n v="122.3028"/>
    <n v="407.67600000000004"/>
    <d v="2023-09-01T00:00:00"/>
    <s v="2023_2180_03237"/>
    <s v="W2224AA KE2 CLEAR r105x0120 CB1P"/>
    <m/>
    <m/>
    <m/>
    <m/>
    <m/>
    <n v="0.5714285714285714"/>
    <m/>
    <x v="0"/>
    <m/>
  </r>
  <r>
    <s v="Xinyi"/>
    <s v="Wuhu"/>
    <s v="Chery"/>
    <s v="T22"/>
    <s v="ARG"/>
    <x v="0"/>
    <s v="W2264AI"/>
    <s v="K &amp; L"/>
    <s v="E2"/>
    <s v="Clear"/>
    <x v="0"/>
    <s v="BF011991 (K), BF012213 (L)"/>
    <s v="Y"/>
    <s v="L9"/>
    <x v="11"/>
    <n v="100"/>
    <n v="25"/>
    <s v="N/A"/>
    <s v="N/A"/>
    <n v="0.8"/>
    <n v="200"/>
    <n v="600"/>
    <n v="400"/>
    <n v="150"/>
    <n v="200"/>
    <n v="600"/>
    <n v="400"/>
    <n v="150"/>
    <s v="N/A"/>
    <n v="75"/>
    <n v="1.28"/>
    <m/>
    <n v="1.1000000000000001"/>
    <n v="1.1660000000000001"/>
    <n v="889.66732800000011"/>
    <n v="130.59820940613909"/>
    <n v="142.79906768030324"/>
    <n v="283.86394093426674"/>
    <n v="120"/>
    <n v="120"/>
    <n v="139.92000000000002"/>
    <n v="559.68000000000006"/>
    <d v="2023-09-01T00:00:00"/>
    <s v="2023_2180_03237, 2024_2434_03491"/>
    <s v="W2264AI KE2 CLEAR r100x0120 CB1P, W2264AI LE2 CLEAR r100x0120 CB1P"/>
    <m/>
    <m/>
    <m/>
    <m/>
    <m/>
    <n v="0.6"/>
    <m/>
    <x v="0"/>
    <m/>
  </r>
  <r>
    <s v="Xinyi"/>
    <s v="Wuhu"/>
    <s v="Chery"/>
    <s v="T26"/>
    <s v="ARG"/>
    <x v="0"/>
    <s v="W2226AC"/>
    <s v="L"/>
    <s v="E2"/>
    <s v="Clear"/>
    <x v="0"/>
    <s v="BF012398"/>
    <s v="Y"/>
    <s v="L9"/>
    <x v="43"/>
    <n v="105"/>
    <n v="25"/>
    <s v="N/A"/>
    <s v="N/A"/>
    <n v="0.8"/>
    <n v="200"/>
    <n v="600"/>
    <n v="400"/>
    <n v="200"/>
    <n v="200"/>
    <n v="600"/>
    <n v="400"/>
    <n v="200"/>
    <s v="N/A"/>
    <n v="80"/>
    <n v="1.008"/>
    <m/>
    <n v="0.9287619047619049"/>
    <n v="0.98448761904761917"/>
    <n v="864.92735200000004"/>
    <n v="165.83899607128774"/>
    <n v="181.33214943530572"/>
    <n v="360.46214721811651"/>
    <n v="181"/>
    <n v="190.05"/>
    <n v="187.10187200000004"/>
    <n v="748.40748800000017"/>
    <d v="2024-06-01T00:00:00"/>
    <s v="2024_2626_03684"/>
    <s v="W2226AC LE2 CLEAR r105x0181 CB1P"/>
    <m/>
    <m/>
    <m/>
    <m/>
    <m/>
    <n v="0.5714285714285714"/>
    <m/>
    <x v="0"/>
    <m/>
  </r>
  <r>
    <s v="Xinyi"/>
    <s v="Wuhu"/>
    <s v="Chery"/>
    <s v="T28"/>
    <s v="ARG"/>
    <x v="0"/>
    <s v="W2270AB"/>
    <s v="K &amp; L"/>
    <s v="E2"/>
    <s v="Clear"/>
    <x v="0"/>
    <s v="BF012048"/>
    <s v="Y"/>
    <s v="L9"/>
    <x v="36"/>
    <n v="103"/>
    <n v="30"/>
    <s v="N/A"/>
    <s v="N/A"/>
    <n v="0.8"/>
    <n v="200"/>
    <n v="600"/>
    <n v="400"/>
    <n v="130"/>
    <n v="200"/>
    <n v="600"/>
    <n v="400"/>
    <n v="130"/>
    <s v="N/A"/>
    <n v="73"/>
    <n v="1.3109999999999999"/>
    <m/>
    <n v="1.1299174757281552"/>
    <n v="1.1977125242718445"/>
    <n v="893.57364000000007"/>
    <n v="127.51007478250041"/>
    <n v="139.42243068710005"/>
    <n v="277.15167383360904"/>
    <n v="139"/>
    <n v="143.16999999999999"/>
    <n v="171.47650209999995"/>
    <n v="571.58834033333324"/>
    <d v="2024-08-01T00:00:00"/>
    <s v="2023_2232_03289 (KE2), 2024_2834_03892 (LE2)"/>
    <s v="W2270AB KE2 CLEAR r103x0139 CB1P"/>
    <m/>
    <m/>
    <m/>
    <m/>
    <m/>
    <n v="0.58252427184466016"/>
    <m/>
    <x v="0"/>
    <m/>
  </r>
  <r>
    <s v="Xinyi"/>
    <s v="Wuhu"/>
    <m/>
    <m/>
    <s v="ARG"/>
    <x v="0"/>
    <s v="W2227AB"/>
    <s v="K &amp; L"/>
    <s v="E2"/>
    <s v="Clear"/>
    <x v="0"/>
    <s v="BF012050 (K), _____ (L)"/>
    <s v="Y"/>
    <s v="L9"/>
    <x v="0"/>
    <n v="100"/>
    <n v="25"/>
    <s v="N/A"/>
    <s v="N/A"/>
    <n v="0.8"/>
    <n v="200"/>
    <n v="600"/>
    <n v="400"/>
    <n v="150"/>
    <n v="200"/>
    <n v="600"/>
    <n v="400"/>
    <n v="150"/>
    <s v="N/A"/>
    <n v="75"/>
    <n v="1.0024999999999999"/>
    <m/>
    <n v="0.92656249999999996"/>
    <n v="0.98215624999999995"/>
    <n v="865.57840400000009"/>
    <n v="166.74883594998309"/>
    <n v="182.32698915789345"/>
    <n v="362.43974503327831"/>
    <n v="182"/>
    <n v="182"/>
    <n v="178.75243749999998"/>
    <n v="715.00974999999994"/>
    <s v="?"/>
    <s v="2023_2232_03289 (K), 2024_2863_03921 (L)"/>
    <s v="W2227AB KE2 CLEAR r100x0182 CB1P"/>
    <m/>
    <m/>
    <m/>
    <m/>
    <m/>
    <n v="0.6"/>
    <m/>
    <x v="0"/>
    <m/>
  </r>
  <r>
    <s v="Xinyi"/>
    <s v="Wuhu"/>
    <m/>
    <m/>
    <s v="ARG"/>
    <x v="1"/>
    <s v="W2227AC"/>
    <s v="K"/>
    <s v="E2"/>
    <s v="Clear"/>
    <x v="0"/>
    <s v="BF012051"/>
    <s v="Y"/>
    <s v="L9"/>
    <x v="0"/>
    <n v="105"/>
    <n v="30"/>
    <s v="N/A"/>
    <s v="N/A"/>
    <n v="0.8"/>
    <n v="200"/>
    <n v="600"/>
    <n v="400"/>
    <n v="150"/>
    <n v="200"/>
    <n v="600"/>
    <n v="400"/>
    <n v="150"/>
    <s v="N/A"/>
    <n v="75"/>
    <n v="1.0024999999999999"/>
    <m/>
    <n v="0.93017857142857141"/>
    <n v="0.98598928571428568"/>
    <n v="865.57840400000009"/>
    <n v="166.74883594998309"/>
    <n v="182.32698915789345"/>
    <n v="362.43974503327831"/>
    <n v="182"/>
    <n v="191.1"/>
    <n v="188.42255249999999"/>
    <n v="628.07517500000006"/>
    <s v="Never"/>
    <s v="2023_2232_03289"/>
    <s v="W2227AC KE2 CLEAR r105x0182 CB1P"/>
    <m/>
    <m/>
    <m/>
    <m/>
    <m/>
    <n v="0.5714285714285714"/>
    <m/>
    <x v="0"/>
    <m/>
  </r>
  <r>
    <s v="Xinyi"/>
    <s v="Wuhu"/>
    <m/>
    <m/>
    <s v="ARG"/>
    <x v="1"/>
    <s v="W2246AD"/>
    <s v="K"/>
    <s v="E2"/>
    <s v="Clear"/>
    <x v="0"/>
    <s v="BF012053"/>
    <s v="Y"/>
    <s v="L9"/>
    <x v="37"/>
    <n v="108"/>
    <n v="30"/>
    <s v="N/A"/>
    <s v="N/A"/>
    <n v="0.8"/>
    <n v="200"/>
    <n v="600"/>
    <n v="400"/>
    <n v="180"/>
    <n v="200"/>
    <n v="600"/>
    <n v="400"/>
    <n v="180"/>
    <s v="N/A"/>
    <n v="78"/>
    <n v="1.1588000000000001"/>
    <m/>
    <n v="1.0292333333333334"/>
    <n v="1.0909873333333335"/>
    <n v="877.94839200000001"/>
    <n v="144.25760100091301"/>
    <n v="157.73455870796354"/>
    <n v="313.55354193636646"/>
    <n v="158"/>
    <n v="170.64"/>
    <n v="186.16607856000002"/>
    <n v="620.55359520000013"/>
    <s v="Never"/>
    <s v="2023_2232_03289"/>
    <s v="W2246AD KE2 CLEAR r108x0158 CB1P"/>
    <m/>
    <m/>
    <m/>
    <m/>
    <m/>
    <n v="0.55555555555555558"/>
    <m/>
    <x v="0"/>
    <m/>
  </r>
  <r>
    <s v="Xinyi"/>
    <s v="Wuhu"/>
    <m/>
    <m/>
    <s v="ARG"/>
    <x v="1"/>
    <s v="W2247AF"/>
    <s v="K"/>
    <s v="E2"/>
    <s v="Clear"/>
    <x v="0"/>
    <s v="BF012052"/>
    <s v="Y"/>
    <s v="L9"/>
    <x v="25"/>
    <n v="105"/>
    <n v="30"/>
    <s v="N/A"/>
    <s v="N/A"/>
    <n v="0.8"/>
    <n v="200"/>
    <n v="600"/>
    <n v="400"/>
    <n v="150"/>
    <n v="200"/>
    <n v="600"/>
    <n v="400"/>
    <n v="150"/>
    <s v="N/A"/>
    <n v="75"/>
    <n v="1.1524999999999999"/>
    <m/>
    <n v="1.0266071428571428"/>
    <n v="1.0882035714285714"/>
    <n v="878.59944400000006"/>
    <n v="145.04616749662304"/>
    <n v="158.59679534124788"/>
    <n v="315.26754394434835"/>
    <n v="159"/>
    <n v="166.95"/>
    <n v="181.67558624999998"/>
    <n v="605.58528749999994"/>
    <s v="Never"/>
    <s v="2023_2232_03289"/>
    <s v="W2247AF KE2 CLEAR r105x0159 CB1P"/>
    <m/>
    <m/>
    <m/>
    <m/>
    <m/>
    <n v="0.5714285714285714"/>
    <m/>
    <x v="0"/>
    <m/>
  </r>
  <r>
    <s v="Xinyi"/>
    <s v="Wuhu"/>
    <m/>
    <m/>
    <s v="ARG"/>
    <x v="1"/>
    <s v="W2262AJ"/>
    <s v="K"/>
    <s v="E2"/>
    <s v="Clear"/>
    <x v="0"/>
    <s v="BF012049"/>
    <s v="Y"/>
    <s v="L9"/>
    <x v="2"/>
    <n v="100"/>
    <n v="25"/>
    <s v="N/A"/>
    <s v="N/A"/>
    <n v="0.8"/>
    <n v="200"/>
    <n v="600"/>
    <n v="400"/>
    <n v="150"/>
    <n v="200"/>
    <n v="600"/>
    <n v="400"/>
    <n v="150"/>
    <s v="N/A"/>
    <n v="75"/>
    <n v="1.2650000000000001"/>
    <m/>
    <n v="1.0906250000000002"/>
    <n v="1.1560625000000002"/>
    <n v="888.36522400000001"/>
    <n v="132.14680477459132"/>
    <n v="144.49233725754004"/>
    <n v="287.22991651846752"/>
    <n v="144"/>
    <n v="144"/>
    <n v="166.47300000000004"/>
    <n v="665.89200000000017"/>
    <s v="Never"/>
    <s v="2023_2232_03289"/>
    <s v="W2262AJ KE2 CLEAR r100x0144 CB1P"/>
    <m/>
    <m/>
    <m/>
    <m/>
    <m/>
    <n v="0.6"/>
    <m/>
    <x v="0"/>
    <m/>
  </r>
  <r>
    <s v="Xinyi"/>
    <m/>
    <s v="Various"/>
    <s v="Various"/>
    <s v="ARG"/>
    <x v="0"/>
    <s v="W2340AC"/>
    <s v="K"/>
    <s v="E2"/>
    <s v="Blue"/>
    <x v="0"/>
    <s v="BF011470"/>
    <s v="Y"/>
    <s v="L9"/>
    <x v="44"/>
    <n v="101"/>
    <n v="30"/>
    <n v="18"/>
    <n v="83"/>
    <n v="0.8"/>
    <n v="150"/>
    <n v="590"/>
    <n v="440"/>
    <n v="120"/>
    <n v="80"/>
    <n v="630"/>
    <n v="550"/>
    <n v="80"/>
    <n v="120"/>
    <n v="71"/>
    <n v="1.0840000000000001"/>
    <m/>
    <n v="0.98417821782178228"/>
    <n v="1.0432289108910893"/>
    <n v="874.04208000000006"/>
    <n v="154.21190778584688"/>
    <n v="168.61882530515513"/>
    <n v="335.18989335411572"/>
    <n v="50"/>
    <n v="50.5"/>
    <n v="52.683060000000005"/>
    <n v="175.61020000000002"/>
    <d v="2022-12-01T00:00:00"/>
    <s v="2022_1760_02816"/>
    <s v="W2340AC KE2 BLU2 r101/18x0050 CB1P"/>
    <m/>
    <m/>
    <m/>
    <s v="N/A"/>
    <m/>
    <n v="0.58415841584158412"/>
    <m/>
    <x v="8"/>
    <s v="S/B"/>
  </r>
  <r>
    <s v="Xinyi"/>
    <m/>
    <s v="Various"/>
    <s v="Various"/>
    <s v="ARG"/>
    <x v="0"/>
    <s v="W2342AA"/>
    <s v="K"/>
    <s v="E2"/>
    <s v="Blue"/>
    <x v="0"/>
    <s v="BF011471"/>
    <s v="Y"/>
    <s v="L9"/>
    <x v="18"/>
    <n v="101"/>
    <n v="30"/>
    <n v="18"/>
    <n v="83"/>
    <n v="0.8"/>
    <n v="150"/>
    <n v="590"/>
    <n v="440"/>
    <n v="120"/>
    <n v="80"/>
    <n v="630"/>
    <n v="550"/>
    <n v="80"/>
    <n v="120"/>
    <n v="71"/>
    <n v="1.0982000000000001"/>
    <m/>
    <n v="0.99338712871287127"/>
    <n v="1.0529903564356435"/>
    <n v="875.34418400000015"/>
    <n v="152.21790934243128"/>
    <n v="166.43854182370077"/>
    <n v="330.8558044034433"/>
    <n v="50"/>
    <n v="50.5"/>
    <n v="53.176012999999998"/>
    <n v="177.25337666666667"/>
    <d v="2022-12-01T00:00:00"/>
    <s v="2022_1760_02816"/>
    <s v="W2342AA KE2 BLU2 r101/18x0050 CB1P"/>
    <m/>
    <m/>
    <m/>
    <s v="N/A"/>
    <m/>
    <n v="0.58415841584158412"/>
    <m/>
    <x v="8"/>
    <s v="S/B"/>
  </r>
  <r>
    <s v="Xinyi"/>
    <m/>
    <s v="Various"/>
    <s v="Various"/>
    <s v="ARG"/>
    <x v="0"/>
    <s v="W2350AA"/>
    <s v="K"/>
    <s v="E2"/>
    <s v="Blue"/>
    <x v="0"/>
    <s v="BF010611"/>
    <s v="Y"/>
    <s v="L9"/>
    <x v="29"/>
    <n v="101"/>
    <n v="28"/>
    <n v="20"/>
    <n v="81"/>
    <n v="0.8"/>
    <n v="80"/>
    <n v="606"/>
    <n v="526"/>
    <n v="124"/>
    <n v="80"/>
    <n v="606"/>
    <n v="526"/>
    <n v="124"/>
    <n v="80"/>
    <n v="73"/>
    <n v="1.165"/>
    <m/>
    <n v="1.0330940594059406"/>
    <n v="1.095079702970297"/>
    <n v="880.5526000000001"/>
    <n v="143.48987814580087"/>
    <n v="156.89511298780101"/>
    <n v="311.88484497498837"/>
    <n v="50"/>
    <n v="50.5"/>
    <n v="55.301524999999998"/>
    <n v="197.50544642857139"/>
    <d v="2022-02-01T00:00:00"/>
    <s v="2022_1187_02242"/>
    <m/>
    <m/>
    <m/>
    <m/>
    <s v="N/A"/>
    <m/>
    <n v="0.6"/>
    <m/>
    <x v="8"/>
    <s v="S/B"/>
  </r>
  <r>
    <s v="Xinyi"/>
    <m/>
    <s v="Various"/>
    <s v="Various"/>
    <s v="ARG"/>
    <x v="0"/>
    <s v="W2350AC"/>
    <s v="K"/>
    <s v="E2"/>
    <s v="Blue"/>
    <x v="0"/>
    <s v="BF011624"/>
    <s v="Y"/>
    <s v="L9"/>
    <x v="29"/>
    <n v="101"/>
    <n v="30"/>
    <n v="20"/>
    <n v="81"/>
    <n v="0.8"/>
    <n v="150"/>
    <n v="550"/>
    <n v="400"/>
    <n v="160"/>
    <n v="150"/>
    <n v="600"/>
    <n v="450"/>
    <n v="110"/>
    <n v="100"/>
    <n v="71"/>
    <n v="1.155"/>
    <m/>
    <n v="1.0302227722772279"/>
    <n v="1.0920361386138617"/>
    <n v="880.5526000000001"/>
    <n v="144.73221475312383"/>
    <n v="158.25351223444864"/>
    <n v="314.58514666308349"/>
    <n v="158"/>
    <n v="159.58000000000001"/>
    <n v="174.26712700000007"/>
    <n v="580.89042333333362"/>
    <d v="2023-03-23T00:00:00"/>
    <s v="2023_1902_02959"/>
    <s v="W2350AC KE2 BLU2 r101/20x0158 CB4P"/>
    <m/>
    <m/>
    <m/>
    <s v="N/A"/>
    <m/>
    <n v="0.54455445544554459"/>
    <m/>
    <x v="8"/>
    <s v="S/B"/>
  </r>
  <r>
    <s v="Xinyi"/>
    <m/>
    <s v="Various"/>
    <s v="Various"/>
    <s v="ARG"/>
    <x v="0"/>
    <s v="W5050AA"/>
    <s v="D"/>
    <s v="R3"/>
    <s v="Clear"/>
    <x v="1"/>
    <s v="BF011535"/>
    <m/>
    <s v="L6"/>
    <x v="29"/>
    <n v="100"/>
    <n v="28"/>
    <s v="N/A"/>
    <s v="N/A"/>
    <n v="0.76"/>
    <n v="80"/>
    <n v="600"/>
    <n v="520"/>
    <n v="120"/>
    <n v="80"/>
    <n v="600"/>
    <n v="520"/>
    <n v="120"/>
    <s v="N/A"/>
    <n v="72"/>
    <n v="1.1200000000000001"/>
    <m/>
    <n v="0.99040000000000006"/>
    <n v="1.0547759999999999"/>
    <n v="842.10615000000007"/>
    <n v="149.25509646415895"/>
    <n v="163.19893449177513"/>
    <n v="324.41593249630483"/>
    <n v="50"/>
    <n v="50"/>
    <n v="52.738799999999998"/>
    <n v="188.35285714285712"/>
    <d v="2022-01-01T00:00:00"/>
    <s v="2022_1187_02242"/>
    <s v="W5050AA DR3 CLEAR i100x0050 C02P"/>
    <m/>
    <m/>
    <m/>
    <s v="N/A"/>
    <m/>
    <n v="0.6"/>
    <m/>
    <x v="2"/>
    <s v="Clear"/>
  </r>
  <r>
    <s v="Xinyi"/>
    <m/>
    <s v="Various"/>
    <s v="Various"/>
    <s v="ARG"/>
    <x v="0"/>
    <s v="W5050AD"/>
    <s v="D"/>
    <s v="R3"/>
    <s v="Clear"/>
    <x v="1"/>
    <s v="BF011628"/>
    <m/>
    <s v="L6"/>
    <x v="29"/>
    <n v="83"/>
    <n v="21"/>
    <s v="N/A"/>
    <s v="N/A"/>
    <n v="0.76"/>
    <n v="100"/>
    <n v="500"/>
    <n v="400"/>
    <n v="120"/>
    <n v="100"/>
    <n v="500"/>
    <n v="400"/>
    <n v="120"/>
    <s v="N/A"/>
    <n v="62"/>
    <n v="1.07"/>
    <m/>
    <n v="0.95421686746987955"/>
    <n v="1.0162409638554217"/>
    <n v="842.10615000000007"/>
    <n v="156.22963368211029"/>
    <n v="170.82505292597023"/>
    <n v="339.57555551015088"/>
    <n v="174"/>
    <n v="144.41999999999999"/>
    <n v="146.76551999999998"/>
    <n v="698.88342857142845"/>
    <s v="?"/>
    <s v="2023_1902_02959"/>
    <s v="W5050AD DR3 CLEAR r083x0174 CB4P"/>
    <m/>
    <m/>
    <m/>
    <s v="N/A"/>
    <m/>
    <n v="0.60240963855421692"/>
    <m/>
    <x v="2"/>
    <s v="Clear"/>
  </r>
  <r>
    <s v="Xinyi"/>
    <m/>
    <s v="Various"/>
    <s v="Various"/>
    <s v="ARG"/>
    <x v="0"/>
    <s v="W5050AE"/>
    <s v="D"/>
    <s v="R3"/>
    <s v="Clear"/>
    <x v="1"/>
    <s v="BF011629"/>
    <m/>
    <s v="L6"/>
    <x v="29"/>
    <n v="88"/>
    <n v="26"/>
    <s v="N/A"/>
    <s v="N/A"/>
    <n v="0.76"/>
    <n v="100"/>
    <n v="500"/>
    <n v="400"/>
    <n v="120"/>
    <n v="100"/>
    <n v="500"/>
    <n v="400"/>
    <n v="120"/>
    <s v="N/A"/>
    <n v="62"/>
    <n v="1.07"/>
    <m/>
    <n v="0.96079545454545467"/>
    <n v="1.0232471590909091"/>
    <n v="842.10615000000007"/>
    <n v="156.22963368211029"/>
    <n v="170.82505292597023"/>
    <n v="339.57555551015088"/>
    <n v="174"/>
    <n v="153.12"/>
    <n v="156.67960500000001"/>
    <n v="602.61386538461545"/>
    <s v="?"/>
    <s v="2023_1902_02959"/>
    <s v="W5050AE DR3 CLEAR r088x0174 CB4P"/>
    <m/>
    <m/>
    <m/>
    <s v="N/A"/>
    <m/>
    <n v="0.56818181818181823"/>
    <m/>
    <x v="2"/>
    <s v="Clear"/>
  </r>
  <r>
    <s v="Xinyi"/>
    <m/>
    <s v="Various"/>
    <s v="Various"/>
    <s v="ARG"/>
    <x v="0"/>
    <s v="W5050AF"/>
    <s v="D"/>
    <s v="R3"/>
    <s v="Clear"/>
    <x v="1"/>
    <s v="BF011630"/>
    <m/>
    <s v="L6"/>
    <x v="29"/>
    <n v="91"/>
    <n v="29"/>
    <s v="N/A"/>
    <s v="N/A"/>
    <n v="0.76"/>
    <n v="100"/>
    <n v="500"/>
    <n v="400"/>
    <n v="120"/>
    <n v="100"/>
    <n v="500"/>
    <n v="400"/>
    <n v="120"/>
    <s v="N/A"/>
    <n v="62"/>
    <n v="1.07"/>
    <m/>
    <n v="0.96439560439560446"/>
    <n v="1.0270813186813188"/>
    <n v="842.10615000000007"/>
    <n v="156.22963368211029"/>
    <n v="170.82505292597023"/>
    <n v="339.57555551015088"/>
    <n v="172"/>
    <n v="156.52000000000001"/>
    <n v="160.75876800000003"/>
    <n v="554.34057931034499"/>
    <s v="?"/>
    <s v="2023_1902_02959"/>
    <s v="W5050AF DR3 CLEAR r091x0172 CB4P"/>
    <m/>
    <m/>
    <m/>
    <s v="N/A"/>
    <m/>
    <n v="0.5494505494505495"/>
    <m/>
    <x v="2"/>
    <s v="Clear"/>
  </r>
  <r>
    <s v="Xinyi"/>
    <m/>
    <s v="Various"/>
    <s v="Various"/>
    <s v="ARG"/>
    <x v="0"/>
    <s v="W5050AG"/>
    <s v="D"/>
    <s v="R3"/>
    <s v="Clear"/>
    <x v="1"/>
    <s v="BF011631"/>
    <m/>
    <s v="L6"/>
    <x v="29"/>
    <n v="100"/>
    <n v="30"/>
    <s v="N/A"/>
    <s v="N/A"/>
    <n v="0.76"/>
    <n v="150"/>
    <n v="550"/>
    <n v="400"/>
    <n v="150"/>
    <n v="150"/>
    <n v="600"/>
    <n v="450"/>
    <n v="100"/>
    <s v="N/A"/>
    <n v="70"/>
    <n v="1.1100000000000001"/>
    <m/>
    <n v="0.98750000000000004"/>
    <n v="1.0516875000000001"/>
    <n v="842.10615000000007"/>
    <n v="150.59973697284505"/>
    <n v="164.6691951628722"/>
    <n v="327.33859855483007"/>
    <n v="165"/>
    <n v="165"/>
    <n v="173.52843750000002"/>
    <n v="578.42812500000014"/>
    <s v="?"/>
    <s v="2023_1902_02959"/>
    <s v="W5050AG DR3 CLEAR r100x0165 CB4P"/>
    <m/>
    <m/>
    <m/>
    <s v="N/A"/>
    <m/>
    <n v="0.55000000000000004"/>
    <m/>
    <x v="2"/>
    <s v="Clear"/>
  </r>
  <r>
    <s v="Xinyi"/>
    <m/>
    <s v="Various"/>
    <s v="Various"/>
    <s v="ARG"/>
    <x v="0"/>
    <s v="W5050AH"/>
    <s v="D"/>
    <s v="R3"/>
    <s v="Clear"/>
    <x v="1"/>
    <s v="BF011632"/>
    <m/>
    <s v="L6"/>
    <x v="29"/>
    <n v="103"/>
    <n v="30"/>
    <s v="N/A"/>
    <s v="N/A"/>
    <n v="0.76"/>
    <n v="150"/>
    <n v="550"/>
    <n v="400"/>
    <n v="180"/>
    <n v="150"/>
    <n v="600"/>
    <n v="450"/>
    <n v="130"/>
    <s v="N/A"/>
    <n v="73"/>
    <n v="1.125"/>
    <m/>
    <n v="0.99565533980582521"/>
    <n v="1.0603729368932038"/>
    <n v="842.10615000000007"/>
    <n v="148.59174047987381"/>
    <n v="162.47360589403394"/>
    <n v="322.97408390743237"/>
    <n v="162"/>
    <n v="166.86"/>
    <n v="176.93382825"/>
    <n v="589.7794275"/>
    <s v="?"/>
    <s v="2023_1902_02959"/>
    <s v="W5050AH DR3 CLEAR r103x0162 CB4P"/>
    <m/>
    <m/>
    <m/>
    <s v="N/A"/>
    <m/>
    <n v="0.53398058252427183"/>
    <m/>
    <x v="2"/>
    <s v="Clear"/>
  </r>
  <r>
    <s v="Xinyi"/>
    <m/>
    <s v="Various"/>
    <s v="Various"/>
    <s v="ARG"/>
    <x v="0"/>
    <s v="W5150AA"/>
    <s v="D"/>
    <s v="R3"/>
    <s v="Blue"/>
    <x v="1"/>
    <s v="BF010551"/>
    <m/>
    <s v="L6"/>
    <x v="29"/>
    <n v="98"/>
    <n v="27"/>
    <n v="16"/>
    <n v="82"/>
    <n v="0.76"/>
    <n v="80"/>
    <n v="588"/>
    <n v="508"/>
    <n v="122"/>
    <n v="80"/>
    <n v="588"/>
    <n v="508"/>
    <n v="122"/>
    <n v="110"/>
    <n v="71"/>
    <n v="1.115"/>
    <m/>
    <n v="0.98640306122448984"/>
    <n v="1.0505192602040816"/>
    <n v="842.10615000000007"/>
    <n v="149.92440182946908"/>
    <n v="163.93076827873378"/>
    <n v="325.870712462656"/>
    <n v="50"/>
    <n v="49"/>
    <n v="51.475443749999997"/>
    <n v="190.64979166666663"/>
    <d v="2022-01-01T00:00:00"/>
    <s v="2022_1187_02242"/>
    <s v="W5150AA DR3 BLUE i098/0050 C02P"/>
    <m/>
    <m/>
    <m/>
    <s v="N/A"/>
    <m/>
    <n v="0.6"/>
    <m/>
    <x v="4"/>
    <s v="S/B"/>
  </r>
  <r>
    <s v="Xinyi"/>
    <m/>
    <s v="Various"/>
    <s v="Various"/>
    <s v="ARG"/>
    <x v="0"/>
    <s v="W5150AC"/>
    <s v="D"/>
    <s v="R3"/>
    <s v="Blue"/>
    <x v="1"/>
    <s v="BF011625"/>
    <m/>
    <s v="L6"/>
    <x v="29"/>
    <n v="98"/>
    <n v="30"/>
    <n v="16"/>
    <n v="82"/>
    <n v="0.76"/>
    <n v="150"/>
    <n v="550"/>
    <n v="400"/>
    <n v="130"/>
    <n v="150"/>
    <n v="600"/>
    <n v="450"/>
    <n v="80"/>
    <n v="140"/>
    <n v="68"/>
    <n v="1.1000000000000001"/>
    <m/>
    <n v="0.98204081632653073"/>
    <n v="1.0458734693877552"/>
    <n v="842.10615000000007"/>
    <n v="151.96882549078001"/>
    <n v="166.16618784617106"/>
    <n v="330.31440399623767"/>
    <n v="166"/>
    <n v="162.68"/>
    <n v="170.14269600000003"/>
    <n v="567.14232000000015"/>
    <s v="?"/>
    <s v="2023_1902_02959"/>
    <s v="W5150AC DR3 BLUE r098/16x0166 CB4P"/>
    <m/>
    <m/>
    <m/>
    <s v="N/A"/>
    <m/>
    <n v="0.56122448979591832"/>
    <m/>
    <x v="4"/>
    <s v="S/B"/>
  </r>
  <r>
    <s v="Xinyi"/>
    <m/>
    <s v="Various"/>
    <s v="Various"/>
    <s v="ARG"/>
    <x v="0"/>
    <s v="W5150AD"/>
    <s v="D"/>
    <s v="R3"/>
    <s v="Blue"/>
    <x v="1"/>
    <s v="BF011626"/>
    <m/>
    <s v="L6"/>
    <x v="29"/>
    <n v="101"/>
    <n v="30"/>
    <n v="20"/>
    <n v="81"/>
    <n v="0.76"/>
    <n v="150"/>
    <n v="550"/>
    <n v="400"/>
    <n v="160"/>
    <n v="150"/>
    <n v="600"/>
    <n v="450"/>
    <n v="110"/>
    <n v="100"/>
    <n v="71"/>
    <n v="1.115"/>
    <m/>
    <n v="0.99022277227722777"/>
    <n v="1.0545872524752478"/>
    <n v="842.10615000000007"/>
    <n v="149.92440182946908"/>
    <n v="163.93076827873378"/>
    <n v="325.870712462656"/>
    <n v="164"/>
    <n v="165.64"/>
    <n v="174.68183250000001"/>
    <n v="582.27277500000002"/>
    <s v="?"/>
    <s v="2023_1902_02959"/>
    <s v="W5150AD DR3 BLUE r101/20x0164 CB4P"/>
    <m/>
    <m/>
    <m/>
    <s v="N/A"/>
    <m/>
    <n v="0.54455445544554459"/>
    <m/>
    <x v="4"/>
    <s v="S/B"/>
  </r>
  <r>
    <s v="Internal"/>
    <m/>
    <s v="N/A"/>
    <s v="N/A"/>
    <s v="N/A"/>
    <x v="1"/>
    <s v="W5020"/>
    <s v="F"/>
    <s v="R3"/>
    <s v="Clear"/>
    <x v="1"/>
    <s v="BF007715, BF007083"/>
    <m/>
    <s v="L4"/>
    <x v="13"/>
    <n v="122"/>
    <m/>
    <s v="N/A"/>
    <s v="N/A"/>
    <n v="0.76"/>
    <s v="N/A"/>
    <s v="N/A"/>
    <e v="#VALUE!"/>
    <e v="#VALUE!"/>
    <m/>
    <m/>
    <n v="0"/>
    <n v="1220"/>
    <s v="N/A"/>
    <n v="122"/>
    <n v="1.004"/>
    <m/>
    <n v="0.88200000000000001"/>
    <n v="0.93933"/>
    <n v="822.48245999999995"/>
    <n v="166.49970920304585"/>
    <n v="182.05458827767745"/>
    <n v="361.89825139030029"/>
    <s v="14, 30"/>
    <e v="#VALUE!"/>
    <e v="#VALUE!"/>
    <e v="#VALUE!"/>
    <s v="N/A"/>
    <s v="Old"/>
    <s v="W5020 FR3 CLEAR I122X0.95X0014 C01P, W5020 FR3 CLEAR I122X0.95X0030 C01P"/>
    <s v="Short sample rolls requested by Jim Olson in 2019. 15 rolls in FW inventory as of 6/17/2021."/>
    <m/>
    <m/>
    <s v="N/A"/>
    <m/>
    <m/>
    <m/>
    <x v="2"/>
    <s v="Clear"/>
  </r>
  <r>
    <s v="Internal"/>
    <m/>
    <s v="N/A"/>
    <s v="N/A"/>
    <s v="N/A"/>
    <x v="1"/>
    <s v="W5028"/>
    <s v="F"/>
    <s v="R3"/>
    <s v="Clear"/>
    <x v="1"/>
    <s v="BF007716, BF007084"/>
    <m/>
    <s v="L4"/>
    <x v="26"/>
    <n v="122"/>
    <m/>
    <s v="N/A"/>
    <s v="N/A"/>
    <n v="0.76"/>
    <s v="N/A"/>
    <s v="N/A"/>
    <e v="#VALUE!"/>
    <e v="#VALUE!"/>
    <m/>
    <m/>
    <n v="0"/>
    <n v="1220"/>
    <s v="N/A"/>
    <n v="122"/>
    <n v="1.1016000000000001"/>
    <m/>
    <n v="0.93080000000000007"/>
    <n v="0.99130200000000013"/>
    <n v="827.71544400000005"/>
    <n v="151.74810098026327"/>
    <n v="165.92484262054117"/>
    <n v="329.83464451330923"/>
    <s v="14, 30"/>
    <e v="#VALUE!"/>
    <e v="#VALUE!"/>
    <e v="#VALUE!"/>
    <s v="N/A"/>
    <s v="Old"/>
    <s v="W5028 FR3 CLEAR i122x0.95x0014 C01P, W5028 FR3 CLEAR i122x0.95x0030 C01P"/>
    <s v="Short sample rolls requested by Jim Olson. 16 rolls in FW inventory as of 6/17/2021."/>
    <m/>
    <m/>
    <s v="N/A"/>
    <m/>
    <m/>
    <m/>
    <x v="2"/>
    <s v="Clear"/>
  </r>
  <r>
    <s v="Internal"/>
    <m/>
    <s v="N/A"/>
    <s v="N/A"/>
    <s v="N/A"/>
    <x v="1"/>
    <s v="W2035"/>
    <s v="K"/>
    <s v="E2"/>
    <s v="Clear"/>
    <x v="1"/>
    <s v="BF009006"/>
    <s v="Y"/>
    <s v="L8"/>
    <x v="7"/>
    <n v="110"/>
    <n v="30"/>
    <s v="N/A"/>
    <s v="N/A"/>
    <n v="0.76"/>
    <n v="250"/>
    <n v="650"/>
    <n v="400"/>
    <n v="150"/>
    <m/>
    <m/>
    <n v="0"/>
    <n v="800"/>
    <s v="N/A"/>
    <n v="80"/>
    <n v="1.04"/>
    <m/>
    <n v="0.93818181818181823"/>
    <n v="0.99916363636363648"/>
    <n v="832.29430500000001"/>
    <n v="160.7362577306327"/>
    <n v="175.75269868345015"/>
    <n v="349.37100422678981"/>
    <n v="170"/>
    <n v="187"/>
    <n v="186.84360000000001"/>
    <n v="622.81200000000001"/>
    <d v="2020-01-01T00:00:00"/>
    <s v="2020_0023_01074"/>
    <s v="W2035 KE2 r110x0.95x0170 CT4P"/>
    <m/>
    <m/>
    <m/>
    <s v="N/A"/>
    <m/>
    <m/>
    <m/>
    <x v="3"/>
    <s v="Clear"/>
  </r>
  <r>
    <s v="Internal"/>
    <m/>
    <s v="N/A"/>
    <s v="N/A"/>
    <s v="N/A"/>
    <x v="1"/>
    <s v="W5036AA"/>
    <s v="F"/>
    <s v="R3"/>
    <s v="Clear"/>
    <x v="1"/>
    <s v="BF007717, BF007085"/>
    <m/>
    <s v="L4"/>
    <x v="15"/>
    <n v="122"/>
    <m/>
    <s v="N/A"/>
    <s v="N/A"/>
    <n v="0.76"/>
    <s v="N/A"/>
    <s v="N/A"/>
    <e v="#VALUE!"/>
    <e v="#VALUE!"/>
    <m/>
    <m/>
    <n v="0"/>
    <n v="1220"/>
    <s v="N/A"/>
    <n v="122"/>
    <n v="1.1992"/>
    <m/>
    <n v="0.97960000000000003"/>
    <n v="1.043274"/>
    <n v="832.94842800000004"/>
    <n v="139.39768849220982"/>
    <n v="152.42061927183804"/>
    <n v="302.99019712796985"/>
    <s v="14, 30"/>
    <e v="#VALUE!"/>
    <e v="#VALUE!"/>
    <e v="#VALUE!"/>
    <s v="N/A"/>
    <s v="Old"/>
    <s v="W5036AA FR3 CLEAR I122X0014 C01P, W5036AA FR3 CLEAR I122X0030 C01P"/>
    <s v="Short sample rolls requested by Jim Olson. 16 rolls in FW inventory as of 6/17/2021."/>
    <m/>
    <m/>
    <s v="N/A"/>
    <m/>
    <m/>
    <m/>
    <x v="2"/>
    <s v="Clear"/>
  </r>
  <r>
    <s v="Internal"/>
    <m/>
    <s v="N/A"/>
    <s v="N/A"/>
    <s v="N/A"/>
    <x v="1"/>
    <s v="W5044"/>
    <s v="F"/>
    <s v="R3"/>
    <s v="Clear"/>
    <x v="1"/>
    <s v="BF007718, BF007086"/>
    <m/>
    <s v="L4"/>
    <x v="16"/>
    <n v="122"/>
    <m/>
    <s v="N/A"/>
    <s v="N/A"/>
    <n v="0.76"/>
    <s v="N/A"/>
    <s v="N/A"/>
    <e v="#VALUE!"/>
    <e v="#VALUE!"/>
    <m/>
    <m/>
    <n v="0"/>
    <n v="1220"/>
    <s v="N/A"/>
    <n v="122"/>
    <n v="1.2968000000000002"/>
    <m/>
    <n v="1.0284"/>
    <n v="1.0952460000000002"/>
    <n v="838.18141200000002"/>
    <n v="128.90631403443709"/>
    <n v="140.9491106036306"/>
    <n v="280.186493210874"/>
    <s v="14, 30"/>
    <e v="#VALUE!"/>
    <e v="#VALUE!"/>
    <e v="#VALUE!"/>
    <s v="N/A"/>
    <s v="Old"/>
    <s v="W5044 FR3 CLEAR i122x0.95x0014 C01P, W5044 FR3 CLEAR i122x0.95x0030 C01P"/>
    <s v="Short sample rolls requested by Jim Olson. 16 rolls in FW inventory as of 6/17/2021."/>
    <m/>
    <m/>
    <s v="N/A"/>
    <m/>
    <m/>
    <m/>
    <x v="2"/>
    <s v="Clear"/>
  </r>
  <r>
    <s v="Internal"/>
    <m/>
    <s v="N/A"/>
    <s v="N/A"/>
    <s v="N/A"/>
    <x v="1"/>
    <s v="W5052"/>
    <s v="F"/>
    <s v="R3"/>
    <s v="Clear"/>
    <x v="1"/>
    <s v="BF007719, BF007087"/>
    <m/>
    <s v="L4"/>
    <x v="28"/>
    <n v="122"/>
    <m/>
    <s v="N/A"/>
    <s v="N/A"/>
    <n v="0.76"/>
    <s v="N/A"/>
    <s v="N/A"/>
    <e v="#VALUE!"/>
    <e v="#VALUE!"/>
    <m/>
    <m/>
    <n v="0"/>
    <n v="1220"/>
    <s v="N/A"/>
    <n v="122"/>
    <n v="1.3944000000000001"/>
    <m/>
    <n v="1.0771999999999999"/>
    <n v="1.1472179999999998"/>
    <n v="843.41439600000001"/>
    <n v="119.88361161779837"/>
    <n v="131.08348151949812"/>
    <n v="260.57504618177097"/>
    <s v="14, 30"/>
    <e v="#VALUE!"/>
    <e v="#VALUE!"/>
    <e v="#VALUE!"/>
    <s v="N/A"/>
    <s v="Old"/>
    <s v="W5052 FR3 CLEAR i122x0.95x0014 C01P, W5052 FR3 CLEAR i122x0.95x0030 C01P"/>
    <s v="Short sample rolls requested by Jim Olson. 15 rolls in FW inventory as of 6/17/2021."/>
    <m/>
    <m/>
    <s v="N/A"/>
    <m/>
    <m/>
    <m/>
    <x v="2"/>
    <s v="Clear"/>
  </r>
  <r>
    <s v="Internal"/>
    <m/>
    <s v="N/A"/>
    <s v="N/A"/>
    <s v="N/A"/>
    <x v="1"/>
    <s v="W5060AA"/>
    <s v="F"/>
    <s v="R3"/>
    <s v="Clear"/>
    <x v="1"/>
    <s v="BF007088, BF007720"/>
    <m/>
    <s v="L4"/>
    <x v="21"/>
    <n v="122"/>
    <m/>
    <s v="N/A"/>
    <s v="N/A"/>
    <n v="0.76"/>
    <s v="N/A"/>
    <s v="N/A"/>
    <e v="#VALUE!"/>
    <e v="#VALUE!"/>
    <m/>
    <m/>
    <n v="0"/>
    <n v="1220"/>
    <s v="N/A"/>
    <n v="122"/>
    <n v="1.492"/>
    <m/>
    <n v="1.1259999999999999"/>
    <n v="1.1991899999999998"/>
    <n v="848.64738"/>
    <n v="112.04135927604426"/>
    <n v="122.50858353269984"/>
    <n v="243.52938632430391"/>
    <s v="14, 30"/>
    <e v="#VALUE!"/>
    <e v="#VALUE!"/>
    <e v="#VALUE!"/>
    <s v="N/A"/>
    <s v="Old"/>
    <s v="W5060 FR3 CLEAR i122x0.95x0014 C01P, W5060 FR3 CLEAR i122x0.95x0030 C01P"/>
    <s v="Short sample rolls requested by Jim Olson. 16 rolls in FW inventory as of 6/17/2021."/>
    <m/>
    <m/>
    <s v="N/A"/>
    <m/>
    <m/>
    <m/>
    <x v="2"/>
    <s v="Clear"/>
  </r>
  <r>
    <s v="Internal"/>
    <m/>
    <s v="N/A"/>
    <s v="N/A"/>
    <s v="N/A"/>
    <x v="1"/>
    <s v="W2065"/>
    <s v="K"/>
    <s v="E2"/>
    <s v="Clear"/>
    <x v="1"/>
    <s v="BF009005"/>
    <s v="Y"/>
    <s v="L8"/>
    <x v="49"/>
    <n v="110"/>
    <n v="30"/>
    <s v="N/A"/>
    <s v="N/A"/>
    <n v="0.76"/>
    <n v="250"/>
    <n v="650"/>
    <n v="400"/>
    <n v="150"/>
    <m/>
    <m/>
    <n v="0"/>
    <n v="800"/>
    <s v="N/A"/>
    <n v="80"/>
    <n v="1.28"/>
    <m/>
    <n v="1.0909090909090908"/>
    <n v="1.1618181818181816"/>
    <n v="851.91799500000002"/>
    <n v="130.59820940613909"/>
    <n v="142.79906768030324"/>
    <n v="283.86394093426674"/>
    <n v="130"/>
    <n v="143"/>
    <n v="166.14"/>
    <n v="553.79999999999995"/>
    <d v="2020-01-01T00:00:00"/>
    <s v="2020_0023_01074"/>
    <s v="W2065 KE2 r110x0.95x0130 CT4P"/>
    <m/>
    <m/>
    <m/>
    <s v="N/A"/>
    <m/>
    <m/>
    <m/>
    <x v="3"/>
    <s v="Clear"/>
  </r>
  <r>
    <s v="Internal"/>
    <m/>
    <s v="N/A"/>
    <s v="N/A"/>
    <s v="N/A"/>
    <x v="1"/>
    <s v="W5068"/>
    <s v="F"/>
    <s v="R3"/>
    <s v="Clear"/>
    <x v="1"/>
    <s v="BF007721, BF007089"/>
    <m/>
    <s v="L4"/>
    <x v="33"/>
    <n v="122"/>
    <m/>
    <s v="N/A"/>
    <s v="N/A"/>
    <n v="0.76"/>
    <s v="N/A"/>
    <s v="N/A"/>
    <e v="#VALUE!"/>
    <e v="#VALUE!"/>
    <m/>
    <m/>
    <n v="0"/>
    <n v="1220"/>
    <s v="N/A"/>
    <n v="122"/>
    <n v="1.5896000000000001"/>
    <m/>
    <n v="1.1748000000000001"/>
    <n v="1.2511620000000001"/>
    <n v="853.88036399999999"/>
    <n v="105.16212131344868"/>
    <n v="114.98666748288133"/>
    <n v="228.57690261440703"/>
    <s v="14, 30"/>
    <e v="#VALUE!"/>
    <e v="#VALUE!"/>
    <e v="#VALUE!"/>
    <s v="N/A"/>
    <s v="Old"/>
    <s v="W5068 FR3 CLEAR i122x0.95x0014 C01P, W5068 FR3 CLEAR i122x0.95x0030 C01P"/>
    <s v="Short sample rolls requested by Jim Olson. 11 rolls in FW inventory as of 6/17/2021."/>
    <m/>
    <m/>
    <s v="N/A"/>
    <m/>
    <m/>
    <m/>
    <x v="2"/>
    <s v="Clear"/>
  </r>
  <r>
    <s v="?"/>
    <s v="HRDC?"/>
    <m/>
    <m/>
    <m/>
    <x v="1"/>
    <s v="W2340AA"/>
    <s v="K"/>
    <s v="R"/>
    <s v="Blue"/>
    <x v="0"/>
    <s v="BF008374"/>
    <m/>
    <s v="L8"/>
    <x v="44"/>
    <n v="107"/>
    <m/>
    <n v="15"/>
    <n v="92"/>
    <m/>
    <m/>
    <m/>
    <n v="0"/>
    <n v="1070"/>
    <m/>
    <m/>
    <n v="0"/>
    <n v="1070"/>
    <n v="-150"/>
    <n v="107"/>
    <n v="0.42799999999999999"/>
    <m/>
    <n v="0.214"/>
    <n v="0.22683999999999999"/>
    <n v="26.042080000000002"/>
    <n v="390.57408420527577"/>
    <n v="427.06263231492562"/>
    <n v="848.93888877537722"/>
    <n v="15"/>
    <n v="16.05"/>
    <n v="3.6407819999999997"/>
    <e v="#DIV/0!"/>
    <s v="N/A"/>
    <s v="Old"/>
    <s v="W2340AA KR BLU2 R107/15X0015 CT1P"/>
    <m/>
    <m/>
    <m/>
    <s v="N/A"/>
    <m/>
    <m/>
    <m/>
    <x v="8"/>
    <s v="S/B"/>
  </r>
  <r>
    <s v="?"/>
    <m/>
    <m/>
    <m/>
    <m/>
    <x v="1"/>
    <s v="W5020AA"/>
    <s v="F"/>
    <s v="R3"/>
    <s v="Clear"/>
    <x v="1"/>
    <s v="BF008259"/>
    <m/>
    <m/>
    <x v="13"/>
    <n v="132"/>
    <m/>
    <s v="N/A"/>
    <s v="N/A"/>
    <m/>
    <m/>
    <m/>
    <n v="0"/>
    <n v="1320"/>
    <m/>
    <m/>
    <n v="0"/>
    <n v="1320"/>
    <s v="N/A"/>
    <n v="132"/>
    <n v="0.26400000000000001"/>
    <m/>
    <n v="0.13200000000000001"/>
    <n v="0.14058000000000001"/>
    <n v="13.082460000000001"/>
    <n v="633.20343954491682"/>
    <n v="692.35911602571275"/>
    <n v="1376.3100166509903"/>
    <n v="250"/>
    <n v="330"/>
    <n v="46.391400000000004"/>
    <e v="#DIV/0!"/>
    <s v="N/A"/>
    <s v="Old"/>
    <s v="W5020AA FR3 CLEAR i132x0250 C02A"/>
    <m/>
    <m/>
    <m/>
    <s v="N/A"/>
    <m/>
    <m/>
    <m/>
    <x v="2"/>
    <s v="Clear"/>
  </r>
  <r>
    <s v="?"/>
    <m/>
    <m/>
    <m/>
    <m/>
    <x v="1"/>
    <s v="W5045AB"/>
    <s v="F"/>
    <s v="R3"/>
    <s v="Clear"/>
    <x v="1"/>
    <s v="BF002605"/>
    <m/>
    <m/>
    <x v="3"/>
    <n v="110"/>
    <m/>
    <s v="N/A"/>
    <s v="N/A"/>
    <m/>
    <m/>
    <m/>
    <n v="0"/>
    <n v="1100"/>
    <m/>
    <m/>
    <n v="0"/>
    <n v="1100"/>
    <s v="N/A"/>
    <n v="110"/>
    <n v="0.49500000000000005"/>
    <m/>
    <n v="0.24750000000000003"/>
    <n v="0.26358749999999997"/>
    <n v="29.435535000000002"/>
    <n v="337.70850109062229"/>
    <n v="369.25819521371346"/>
    <n v="734.03200888052811"/>
    <n v="100"/>
    <n v="110"/>
    <n v="28.994624999999996"/>
    <e v="#DIV/0!"/>
    <s v="N/A"/>
    <s v="Old"/>
    <s v="W5045AB FR3 CLEAR r110x0100 CB2A"/>
    <m/>
    <m/>
    <m/>
    <s v="N/A"/>
    <m/>
    <m/>
    <m/>
    <x v="2"/>
    <s v="Clear"/>
  </r>
  <r>
    <s v="?"/>
    <m/>
    <m/>
    <m/>
    <m/>
    <x v="1"/>
    <s v="W1247AA"/>
    <s v="L"/>
    <s v="R"/>
    <s v="Clear"/>
    <x v="0"/>
    <s v="BF007400, BF007657"/>
    <m/>
    <s v="L8"/>
    <x v="25"/>
    <n v="102"/>
    <m/>
    <s v="N/A"/>
    <s v="N/A"/>
    <m/>
    <m/>
    <m/>
    <n v="0"/>
    <n v="1020"/>
    <m/>
    <m/>
    <n v="0"/>
    <n v="1020"/>
    <s v="N/A"/>
    <n v="102"/>
    <n v="0.47939999999999994"/>
    <m/>
    <n v="0.23969999999999997"/>
    <n v="0"/>
    <n v="0"/>
    <n v="348.6977639546476"/>
    <n v="381.27410644720106"/>
    <n v="757.91790654122133"/>
    <s v="50, 150"/>
    <e v="#VALUE!"/>
    <e v="#VALUE!"/>
    <e v="#VALUE!"/>
    <s v="N/A"/>
    <s v="Old"/>
    <s v="W1247AA LR CLEAR r102x0050 CT1P, W1247AA LR CLEAR r102x0150 CT4P"/>
    <m/>
    <m/>
    <m/>
    <s v="N/A"/>
    <m/>
    <m/>
    <m/>
    <x v="6"/>
    <s v="Clear"/>
  </r>
  <r>
    <s v="?"/>
    <m/>
    <m/>
    <m/>
    <m/>
    <x v="1"/>
    <s v="W1050AA"/>
    <s v="L"/>
    <s v="R"/>
    <s v="Clear"/>
    <x v="1"/>
    <s v="BF007743"/>
    <m/>
    <s v="L8"/>
    <x v="29"/>
    <n v="110"/>
    <m/>
    <s v="N/A"/>
    <s v="N/A"/>
    <m/>
    <m/>
    <m/>
    <n v="0"/>
    <n v="1100"/>
    <m/>
    <m/>
    <n v="0"/>
    <n v="1100"/>
    <s v="N/A"/>
    <n v="110"/>
    <n v="0.55000000000000004"/>
    <m/>
    <n v="0.27500000000000002"/>
    <n v="0"/>
    <n v="0"/>
    <n v="303.93765098156001"/>
    <n v="332.33237569234211"/>
    <n v="660.62880799247534"/>
    <n v="150"/>
    <n v="165"/>
    <n v="0"/>
    <e v="#DIV/0!"/>
    <s v="N/A"/>
    <s v="Old"/>
    <s v="W1050 LR CLEAR R110X0.95X0150 MT4P"/>
    <m/>
    <m/>
    <m/>
    <s v="N/A"/>
    <m/>
    <m/>
    <m/>
    <x v="5"/>
    <s v="Clea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6">
  <r>
    <s v="AGC"/>
    <s v="Aichi"/>
    <m/>
    <m/>
    <s v="OEM"/>
    <x v="0"/>
    <s v="W2227AEH"/>
    <s v="L"/>
    <s v="R"/>
    <s v="Clear"/>
    <s v="Acoustic"/>
    <s v="BF012338"/>
    <s v="Y"/>
    <x v="0"/>
    <n v="0.27"/>
    <n v="109"/>
    <n v="30"/>
    <s v="N/A"/>
    <s v="N/A"/>
    <n v="0.8"/>
    <n v="150"/>
    <n v="450"/>
    <n v="300"/>
    <n v="340"/>
    <n v="100"/>
    <n v="500"/>
    <n v="400"/>
    <n v="290"/>
    <s v="N/A"/>
    <n v="79"/>
    <n v="1.0133000000000001"/>
    <m/>
    <n v="0.93600321100917439"/>
    <n v="0.99216340366972477"/>
    <n v="865.57840400000009"/>
    <n v="164.97158594676603"/>
    <n v="180.38370337588884"/>
    <n v="358.57677331082749"/>
    <n v="120"/>
    <n v="130.80000000000001"/>
    <n v="129.77497320000001"/>
    <n v="432.58324400000004"/>
    <d v="2024-06-01T00:00:00"/>
    <s v="2024_2555_03612"/>
    <s v="W2227AE H LR CLEAR r109x0120 CB1P"/>
    <m/>
    <m/>
    <m/>
    <m/>
    <m/>
    <n v="0.41284403669724773"/>
    <m/>
  </r>
  <r>
    <s v="AGC"/>
    <s v="Aichi"/>
    <s v="Mitsubishi"/>
    <m/>
    <s v="OEM"/>
    <x v="0"/>
    <s v="W2251ALH"/>
    <s v="L"/>
    <s v="R"/>
    <s v="Clear"/>
    <s v="Acoustic"/>
    <m/>
    <s v="Y"/>
    <x v="0"/>
    <n v="0.51"/>
    <n v="109"/>
    <n v="20"/>
    <s v="N/A"/>
    <s v="N/A"/>
    <n v="0.8"/>
    <n v="170"/>
    <n v="500"/>
    <n v="330"/>
    <n v="390"/>
    <n v="170"/>
    <n v="570"/>
    <n v="400"/>
    <n v="320"/>
    <s v="N/A"/>
    <n v="89"/>
    <n v="1.2539"/>
    <m/>
    <n v="1.0685922018348624"/>
    <n v="1.1327077339449541"/>
    <n v="881.20365200000003"/>
    <n v="133.31661858191086"/>
    <n v="145.77143841677022"/>
    <n v="289.77258505132903"/>
    <n v="290"/>
    <n v="316.10000000000002"/>
    <n v="358.04891470000001"/>
    <n v="1790.2445734999999"/>
    <s v="?"/>
    <m/>
    <m/>
    <m/>
    <m/>
    <m/>
    <m/>
    <m/>
    <m/>
    <m/>
  </r>
  <r>
    <s v="AGC"/>
    <s v="Aichi"/>
    <s v="Mitsubishi"/>
    <m/>
    <s v="OEM"/>
    <x v="0"/>
    <s v="W2251AMH"/>
    <s v="L"/>
    <s v="R"/>
    <s v="Clear"/>
    <s v="Acoustic"/>
    <m/>
    <s v="Y"/>
    <x v="0"/>
    <n v="0.51"/>
    <n v="108"/>
    <n v="20"/>
    <s v="N/A"/>
    <s v="N/A"/>
    <n v="0.8"/>
    <n v="170"/>
    <n v="500"/>
    <n v="330"/>
    <n v="380"/>
    <n v="170"/>
    <n v="570"/>
    <n v="400"/>
    <n v="310"/>
    <s v="N/A"/>
    <n v="88"/>
    <n v="1.2488000000000001"/>
    <m/>
    <n v="1.0659555555555555"/>
    <n v="1.1299128888888887"/>
    <n v="881.20365200000003"/>
    <n v="133.86107306202595"/>
    <n v="146.36675739172657"/>
    <n v="290.95599327022853"/>
    <n v="291"/>
    <n v="314.27999999999997"/>
    <n v="355.10902271999993"/>
    <n v="1775.5451135999995"/>
    <m/>
    <m/>
    <m/>
    <m/>
    <m/>
    <m/>
    <m/>
    <m/>
    <m/>
    <m/>
  </r>
  <r>
    <s v="AGC"/>
    <s v="Brazil"/>
    <s v="Great Wall"/>
    <s v="Haval"/>
    <s v="ARG"/>
    <x v="0"/>
    <s v="W5062AA"/>
    <s v="D"/>
    <s v="R3"/>
    <s v="Clear"/>
    <s v="Standard"/>
    <s v="BF011484"/>
    <m/>
    <x v="1"/>
    <n v="0.62"/>
    <n v="100"/>
    <n v="30"/>
    <s v="N/A"/>
    <s v="N/A"/>
    <n v="0.76"/>
    <n v="253"/>
    <n v="440"/>
    <n v="187"/>
    <n v="260"/>
    <n v="180"/>
    <n v="580"/>
    <n v="400"/>
    <n v="120"/>
    <s v="N/A"/>
    <n v="70"/>
    <n v="1.194"/>
    <m/>
    <n v="1.0421"/>
    <n v="1.1098365000000001"/>
    <n v="849.95562600000005"/>
    <n v="140.00478060289618"/>
    <n v="153.08442766397673"/>
    <n v="304.30975242534464"/>
    <n v="153"/>
    <n v="153"/>
    <n v="169.80498450000002"/>
    <n v="566.01661500000012"/>
    <s v="Dec 22?"/>
    <s v="2022_1770_02826"/>
    <m/>
    <m/>
    <m/>
    <m/>
    <s v="N/A"/>
    <m/>
    <n v="0.44"/>
    <m/>
  </r>
  <r>
    <s v="AGC"/>
    <s v="Brazil"/>
    <s v="Great Wall"/>
    <s v="Haval"/>
    <s v="ARG"/>
    <x v="0"/>
    <s v="W2262AE"/>
    <s v="K"/>
    <s v="E2"/>
    <s v="Clear"/>
    <s v="Acoustic"/>
    <s v="BF011445"/>
    <s v="Y"/>
    <x v="0"/>
    <n v="0.62"/>
    <n v="100"/>
    <n v="30"/>
    <s v="N/A"/>
    <s v="N/A"/>
    <n v="0.8"/>
    <n v="253"/>
    <n v="440"/>
    <n v="187"/>
    <n v="260"/>
    <n v="180"/>
    <n v="580"/>
    <n v="400"/>
    <n v="120"/>
    <s v="N/A"/>
    <n v="70"/>
    <n v="1.234"/>
    <m/>
    <n v="1.0820999999999998"/>
    <n v="1.1470259999999999"/>
    <n v="888.36522400000001"/>
    <n v="135.46653811982011"/>
    <n v="148.12220958734861"/>
    <n v="294.44557892695417"/>
    <n v="148"/>
    <n v="148"/>
    <n v="169.75984799999998"/>
    <n v="565.86615999999992"/>
    <d v="2023-01-23T00:00:00"/>
    <s v="2022_1770_02826"/>
    <m/>
    <s v="If it goes commercial, we should switch them to W2262AJ"/>
    <m/>
    <m/>
    <s v="N/A"/>
    <m/>
    <n v="0.44"/>
    <m/>
  </r>
  <r>
    <s v="AGC"/>
    <s v="Chuderice"/>
    <s v="BMW"/>
    <s v="3-series (F30)"/>
    <s v="ARG"/>
    <x v="0"/>
    <s v="W2045AB"/>
    <s v="K"/>
    <s v="E2"/>
    <s v="Clear"/>
    <s v="Standard"/>
    <s v="BF010777"/>
    <s v="Y"/>
    <x v="2"/>
    <n v="0.45"/>
    <n v="92"/>
    <n v="25"/>
    <s v="N/A"/>
    <s v="N/A"/>
    <n v="0.76"/>
    <n v="200"/>
    <n v="550"/>
    <n v="350"/>
    <n v="120"/>
    <n v="150"/>
    <n v="550"/>
    <n v="400"/>
    <n v="120"/>
    <s v="N/A"/>
    <n v="67"/>
    <n v="1.0615000000000001"/>
    <m/>
    <n v="0.95171467391304343"/>
    <n v="1.0135761277173911"/>
    <n v="838.83553499999994"/>
    <n v="157.48064817697411"/>
    <n v="172.19294077323426"/>
    <n v="342.29471916708565"/>
    <n v="170"/>
    <n v="156.4"/>
    <n v="158.52330637499998"/>
    <n v="634.0932254999999"/>
    <d v="2022-03-01T00:00:00"/>
    <s v="2022_1333_02389"/>
    <s v="W2045AB KE2 CLEAR r092x0170 MT4P"/>
    <m/>
    <m/>
    <m/>
    <s v="N/A"/>
    <s v="?"/>
    <n v="0.59782608695652173"/>
    <m/>
  </r>
  <r>
    <s v="AGC"/>
    <s v="Chuderice"/>
    <s v="BMW"/>
    <s v="3-series (G50), 5-series (G60, 2023-)"/>
    <s v="OEM"/>
    <x v="0"/>
    <s v="W2218AB"/>
    <s v="K"/>
    <s v="E2"/>
    <s v="Clear"/>
    <s v="Acoustic"/>
    <s v="BF012221"/>
    <s v="Y"/>
    <x v="2"/>
    <n v="0.18"/>
    <n v="100"/>
    <n v="20"/>
    <s v="N/A"/>
    <s v="N/A"/>
    <n v="0.8"/>
    <n v="305"/>
    <n v="617"/>
    <n v="312"/>
    <n v="183"/>
    <n v="250"/>
    <n v="650"/>
    <n v="400"/>
    <n v="150"/>
    <s v="N/A"/>
    <n v="80"/>
    <n v="0.94400000000000006"/>
    <m/>
    <n v="0.88640000000000019"/>
    <n v="0.9395840000000002"/>
    <n v="859.7189360000001"/>
    <n v="177.08231783883264"/>
    <n v="193.62585448176708"/>
    <n v="384.90025889392098"/>
    <n v="385"/>
    <n v="385"/>
    <n v="361.73984000000007"/>
    <n v="1808.6992000000002"/>
    <d v="2024-03-01T00:00:00"/>
    <s v="2024_2443_03500"/>
    <s v="W2218AB KE2 CLEAR r100x0385 MT2P"/>
    <m/>
    <m/>
    <m/>
    <m/>
    <m/>
    <n v="0.61699999999999999"/>
    <m/>
  </r>
  <r>
    <s v="AGC"/>
    <s v="Chuderice"/>
    <s v="BMW"/>
    <s v="5-series (G60, 2023-)"/>
    <s v="OEM"/>
    <x v="0"/>
    <s v="W2227AL"/>
    <s v="K"/>
    <s v="E2"/>
    <s v="Clear"/>
    <s v="Acoustic"/>
    <s v="BF012858"/>
    <s v="Y"/>
    <x v="2"/>
    <n v="0.27"/>
    <n v="98"/>
    <n v="27"/>
    <s v="N/A"/>
    <s v="N/A"/>
    <n v="0.8"/>
    <n v="320"/>
    <n v="580"/>
    <n v="260"/>
    <n v="130"/>
    <n v="220"/>
    <n v="620"/>
    <n v="400"/>
    <n v="90"/>
    <s v="N/A"/>
    <n v="71"/>
    <n v="0.99170000000000003"/>
    <m/>
    <n v="0.92225765306122442"/>
    <n v="0.97759311224489798"/>
    <n v="865.57840400000009"/>
    <n v="168.56479584537462"/>
    <n v="184.31260122092183"/>
    <n v="366.38685529480836"/>
    <n v="184"/>
    <n v="180.32"/>
    <n v="176.27958999999998"/>
    <n v="652.88737037037026"/>
    <s v="?"/>
    <s v="2025-0144-0284"/>
    <s v="W2227AL KE2 CLEAR r098x0184 CT1P"/>
    <m/>
    <m/>
    <m/>
    <m/>
    <m/>
    <m/>
    <m/>
  </r>
  <r>
    <s v="AGC"/>
    <s v="Chuderice"/>
    <s v="BMW"/>
    <s v="5-series (G60, 2023-)"/>
    <s v="OEM"/>
    <x v="1"/>
    <s v="W2218AC"/>
    <s v="K"/>
    <s v="E2"/>
    <s v="Clear"/>
    <s v="Acoustic"/>
    <s v="BF012222"/>
    <s v="Y"/>
    <x v="2"/>
    <n v="0.18"/>
    <n v="100"/>
    <n v="20"/>
    <s v="N/A"/>
    <s v="N/A"/>
    <n v="0.8"/>
    <n v="372"/>
    <n v="598"/>
    <n v="226"/>
    <n v="202"/>
    <n v="300"/>
    <n v="700"/>
    <n v="400"/>
    <n v="100"/>
    <s v="N/A"/>
    <n v="80"/>
    <n v="0.94400000000000006"/>
    <m/>
    <n v="0.88640000000000019"/>
    <n v="0.9395840000000002"/>
    <n v="859.7189360000001"/>
    <n v="177.08231783883264"/>
    <n v="193.62585448176708"/>
    <n v="384.90025889392098"/>
    <n v="385"/>
    <n v="385"/>
    <n v="361.73984000000007"/>
    <n v="1808.6992000000002"/>
    <s v="Never"/>
    <s v="2024_2443_03500"/>
    <s v="W2218AC KE2 CLEAR r100x0385 MT2P"/>
    <s v="They may use W2218AB for this windshield"/>
    <m/>
    <m/>
    <m/>
    <m/>
    <n v="0.59799999999999998"/>
    <m/>
  </r>
  <r>
    <s v="AGC"/>
    <s v="Chuderice"/>
    <s v="BMW"/>
    <s v="i3 (NA0)"/>
    <s v="OEM"/>
    <x v="0"/>
    <s v="W2214AB"/>
    <s v="K"/>
    <s v="E2"/>
    <s v="Clear"/>
    <s v="Acoustic"/>
    <s v="BF012223"/>
    <s v="Y"/>
    <x v="2"/>
    <n v="0.14000000000000001"/>
    <n v="111"/>
    <n v="20"/>
    <s v="N/A"/>
    <s v="N/A"/>
    <n v="0.8"/>
    <n v="408"/>
    <n v="685"/>
    <n v="277"/>
    <n v="225"/>
    <n v="350"/>
    <n v="750"/>
    <n v="400"/>
    <n v="160"/>
    <s v="N/A"/>
    <n v="91"/>
    <n v="0.9274"/>
    <m/>
    <n v="0.87517747747747743"/>
    <n v="0.92768812612612617"/>
    <n v="857.11472800000001"/>
    <n v="180.25200349348503"/>
    <n v="197.0916612365626"/>
    <n v="391.78978261360947"/>
    <n v="392"/>
    <n v="435.12"/>
    <n v="403.65565744000003"/>
    <n v="2018.2782872"/>
    <d v="2024-03-01T00:00:00"/>
    <s v="2024_2443_03500"/>
    <s v="W2214AB KE2 CLEAR r111x0392 MT2P"/>
    <m/>
    <m/>
    <m/>
    <m/>
    <m/>
    <n v="0.61711711711711714"/>
    <m/>
  </r>
  <r>
    <s v="AGC"/>
    <s v="Chuderice"/>
    <s v="BMW"/>
    <s v="iX3 (NA5)"/>
    <s v="OEM"/>
    <x v="0"/>
    <s v="W2211AA"/>
    <s v="K"/>
    <s v="E2"/>
    <s v="Clear"/>
    <s v="Acoustic"/>
    <m/>
    <m/>
    <x v="2"/>
    <n v="0.11"/>
    <n v="113"/>
    <n v="29"/>
    <s v="N/A"/>
    <s v="N/A"/>
    <n v="0.8"/>
    <n v="280"/>
    <n v="710"/>
    <n v="430"/>
    <n v="130"/>
    <n v="280"/>
    <n v="710"/>
    <n v="430"/>
    <n v="130"/>
    <s v="N/A"/>
    <n v="84"/>
    <n v="0.89240000000000008"/>
    <m/>
    <n v="0.85805663716814173"/>
    <n v="0.90954003539823025"/>
    <n v="855.16157200000009"/>
    <n v="187.32150161346703"/>
    <n v="204.82161209187376"/>
    <n v="407.15580949782765"/>
    <s v="205, 407"/>
    <e v="#VALUE!"/>
    <e v="#VALUE!"/>
    <e v="#VALUE!"/>
    <m/>
    <m/>
    <m/>
    <m/>
    <m/>
    <m/>
    <m/>
    <m/>
    <m/>
    <m/>
  </r>
  <r>
    <s v="AGC"/>
    <s v="Chuderice"/>
    <s v="BMW"/>
    <s v="iX4 (NA7)"/>
    <s v="OEM"/>
    <x v="0"/>
    <s v="W2235AH"/>
    <s v="K"/>
    <s v="E2"/>
    <s v="Clear"/>
    <s v="Acoustic"/>
    <s v="BF012773"/>
    <s v="Y"/>
    <x v="2"/>
    <n v="0.35"/>
    <n v="116"/>
    <n v="28"/>
    <s v="N/A"/>
    <s v="N/A"/>
    <n v="0.8"/>
    <n v="200"/>
    <n v="750"/>
    <n v="550"/>
    <n v="130"/>
    <n v="200"/>
    <n v="750"/>
    <n v="550"/>
    <n v="130"/>
    <s v="N/A"/>
    <n v="88"/>
    <n v="1.1080000000000001"/>
    <m/>
    <n v="0.99117241379310361"/>
    <n v="1.0506427586206897"/>
    <n v="870.78682000000003"/>
    <n v="150.87157765330147"/>
    <n v="164.96643197724563"/>
    <n v="327.92946245113848"/>
    <n v="328"/>
    <n v="380.48"/>
    <n v="399.74855680000002"/>
    <n v="1427.673417142857"/>
    <d v="2025-03-01T00:00:00"/>
    <s v="2024_2980_04038"/>
    <s v="W2235AH KE2 CLEAR r116x0328 MT2P"/>
    <m/>
    <m/>
    <m/>
    <m/>
    <m/>
    <n v="0.64655172413793105"/>
    <m/>
  </r>
  <r>
    <s v="AGC"/>
    <s v="Chuderice"/>
    <s v="BMW"/>
    <s v="NA5 (2025 3-series electric sedan)"/>
    <s v="OEM"/>
    <x v="2"/>
    <s v="W2214AA"/>
    <s v="K"/>
    <s v="E2"/>
    <s v="Clear"/>
    <s v="Acoustic"/>
    <s v="BF011588 (CT1P), BF012379 (CT4P)"/>
    <s v="Y"/>
    <x v="2"/>
    <n v="0.14000000000000001"/>
    <n v="116"/>
    <n v="30"/>
    <s v="N/A"/>
    <s v="N/A"/>
    <n v="0.8"/>
    <n v="280"/>
    <n v="740"/>
    <n v="460"/>
    <n v="120"/>
    <n v="280"/>
    <n v="740"/>
    <n v="460"/>
    <n v="120"/>
    <s v="N/A"/>
    <n v="86"/>
    <n v="0.92040000000000011"/>
    <m/>
    <n v="0.87576896551724137"/>
    <n v="0.92831510344827584"/>
    <n v="857.11472800000001"/>
    <n v="181.62289009111038"/>
    <n v="198.5906199812996"/>
    <n v="394.76949630145742"/>
    <n v="200"/>
    <n v="232"/>
    <n v="215.36910399999999"/>
    <n v="717.89701333333335"/>
    <d v="2023-03-23T00:00:00"/>
    <s v="2023_1866_02923, 2024_2609_03667"/>
    <s v="W2214AA KE2 CLEAR r116x0200 CT1P, W2214AA KE2 CLEAR r116x0200 MT4P"/>
    <s v="discontinued L8 supply due to patent litigation"/>
    <m/>
    <m/>
    <s v="N/A"/>
    <m/>
    <n v="0.63793103448275867"/>
    <m/>
  </r>
  <r>
    <s v="AGC"/>
    <s v="Chuderice"/>
    <s v="BMW"/>
    <s v="NA5 (2025 3-series electric sedan)"/>
    <s v="OEM"/>
    <x v="0"/>
    <s v="W2214AC"/>
    <s v="K"/>
    <s v="E2"/>
    <s v="Clear"/>
    <s v="Acoustic"/>
    <m/>
    <s v="Y"/>
    <x v="0"/>
    <n v="0.14000000000000001"/>
    <n v="116"/>
    <n v="29"/>
    <s v="N/A"/>
    <s v="N/A"/>
    <n v="0.8"/>
    <n v="280"/>
    <n v="740"/>
    <n v="460"/>
    <n v="130"/>
    <n v="280"/>
    <n v="740"/>
    <n v="460"/>
    <n v="130"/>
    <s v="N/A"/>
    <n v="87"/>
    <n v="0.92180000000000006"/>
    <m/>
    <n v="0.87612500000000015"/>
    <n v="0.92869250000000014"/>
    <n v="857.11472800000001"/>
    <n v="181.34704712503583"/>
    <n v="198.28900697633776"/>
    <n v="394.16993316973463"/>
    <n v="200"/>
    <n v="232"/>
    <n v="215.45666000000003"/>
    <n v="742.95400000000018"/>
    <s v="?"/>
    <s v="2025-0201-0346"/>
    <m/>
    <m/>
    <m/>
    <m/>
    <m/>
    <m/>
    <m/>
    <m/>
  </r>
  <r>
    <s v="AGC"/>
    <s v="Chuderice"/>
    <s v="BMW"/>
    <s v="NA5 (2025 3-series electric sedan)"/>
    <s v="OEM"/>
    <x v="1"/>
    <s v="W2219AD"/>
    <s v="K"/>
    <s v="E2"/>
    <s v="Clear"/>
    <s v="Acoustic"/>
    <s v="BF012134"/>
    <s v="Y"/>
    <x v="2"/>
    <n v="0.19"/>
    <n v="116"/>
    <n v="30"/>
    <s v="N/A"/>
    <s v="N/A"/>
    <n v="0.8"/>
    <n v="280"/>
    <n v="740"/>
    <n v="460"/>
    <n v="120"/>
    <n v="280"/>
    <n v="740"/>
    <n v="460"/>
    <n v="120"/>
    <s v="N/A"/>
    <n v="86"/>
    <n v="0.96340000000000003"/>
    <m/>
    <n v="0.90282931034482761"/>
    <n v="0.95699906896551723"/>
    <n v="860.36998800000003"/>
    <n v="173.51640859441355"/>
    <n v="189.72680779612637"/>
    <n v="377.14951670735047"/>
    <n v="190"/>
    <n v="220.4"/>
    <n v="210.92259480000001"/>
    <n v="703.07531600000004"/>
    <d v="2023-12-01T00:00:00"/>
    <s v="2023_2315_03372"/>
    <s v="W2219AD KE2 CLEAR r116x0190 CT1P"/>
    <m/>
    <m/>
    <m/>
    <m/>
    <m/>
    <n v="0.63793103448275867"/>
    <m/>
  </r>
  <r>
    <s v="AGC"/>
    <s v="Chuderice"/>
    <s v="BMW"/>
    <s v="NA5 (2025 3-series electric sedan)"/>
    <s v="OEM"/>
    <x v="1"/>
    <s v="W2223AA"/>
    <s v="K"/>
    <s v="E2"/>
    <s v="Clear"/>
    <s v="Acoustic"/>
    <s v="BF012133"/>
    <s v="Y"/>
    <x v="2"/>
    <n v="0.23"/>
    <n v="116"/>
    <n v="30"/>
    <s v="N/A"/>
    <s v="N/A"/>
    <n v="0.8"/>
    <n v="280"/>
    <n v="740"/>
    <n v="460"/>
    <n v="120"/>
    <n v="280"/>
    <n v="740"/>
    <n v="460"/>
    <n v="120"/>
    <s v="N/A"/>
    <n v="86"/>
    <n v="0.99780000000000002"/>
    <m/>
    <n v="0.92447758620689657"/>
    <n v="0.9799462413793103"/>
    <n v="862.97419600000001"/>
    <n v="167.53428346347766"/>
    <n v="183.18581542472253"/>
    <n v="364.14696772485615"/>
    <n v="183"/>
    <n v="212.28"/>
    <n v="208.02298811999998"/>
    <n v="693.40996039999993"/>
    <d v="2023-12-01T00:00:00"/>
    <s v="2023_2315_03372"/>
    <s v="W2223AA KE2 CLEAR r116x0183 CT1P"/>
    <m/>
    <m/>
    <m/>
    <m/>
    <m/>
    <n v="0.63793103448275867"/>
    <m/>
  </r>
  <r>
    <s v="AGC"/>
    <s v="Chuderice"/>
    <s v="BMW"/>
    <s v="NA5 (2025 3-series electric sedan)"/>
    <s v="OEM"/>
    <x v="1"/>
    <s v="W2227AD"/>
    <s v="K"/>
    <s v="E2"/>
    <s v="Clear"/>
    <s v="Acoustic"/>
    <s v="BF012135"/>
    <s v="Y"/>
    <x v="2"/>
    <n v="0.27"/>
    <n v="116"/>
    <n v="30"/>
    <s v="N/A"/>
    <s v="N/A"/>
    <n v="0.8"/>
    <n v="280"/>
    <n v="740"/>
    <n v="460"/>
    <n v="120"/>
    <n v="280"/>
    <n v="740"/>
    <n v="460"/>
    <n v="120"/>
    <s v="N/A"/>
    <n v="86"/>
    <n v="1.0322"/>
    <m/>
    <n v="0.94612586206896543"/>
    <n v="1.0028934137931034"/>
    <n v="865.57840400000009"/>
    <n v="161.95088940114127"/>
    <n v="177.08080471884148"/>
    <n v="352.01108738215606"/>
    <n v="177"/>
    <n v="205.32"/>
    <n v="205.91407571999997"/>
    <n v="686.3802523999999"/>
    <d v="2023-12-01T00:00:00"/>
    <s v="2023_2315_03372"/>
    <s v="W2227AD KE2 CLEAR r116x0177 CT1P"/>
    <m/>
    <m/>
    <m/>
    <m/>
    <m/>
    <n v="0.63793103448275867"/>
    <m/>
  </r>
  <r>
    <s v="AGC"/>
    <s v="Chuderice"/>
    <s v="Mazda"/>
    <n v="3"/>
    <s v="ARG"/>
    <x v="0"/>
    <s v="W2245AA"/>
    <s v="K"/>
    <s v="E2"/>
    <s v="Clear"/>
    <s v="Acoustic"/>
    <s v="BF010776"/>
    <s v="Y"/>
    <x v="2"/>
    <n v="0.45"/>
    <n v="104"/>
    <n v="27"/>
    <s v="N/A"/>
    <s v="N/A"/>
    <n v="0.8"/>
    <n v="250"/>
    <n v="650"/>
    <n v="400"/>
    <n v="120"/>
    <n v="250"/>
    <n v="650"/>
    <n v="400"/>
    <n v="120"/>
    <s v="N/A"/>
    <n v="77"/>
    <n v="1.1465000000000001"/>
    <m/>
    <n v="1.0182283653846154"/>
    <n v="1.0793220673076922"/>
    <n v="877.29733999999996"/>
    <n v="145.80524033131968"/>
    <n v="159.426782931346"/>
    <n v="316.91743950794722"/>
    <n v="160"/>
    <n v="166.4"/>
    <n v="179.59919199999999"/>
    <n v="665.18219259259251"/>
    <d v="2022-03-01T00:00:00"/>
    <s v="2022_1333_02389"/>
    <s v="W2245AA KE2 CLEAR r104x0160 MT4P"/>
    <m/>
    <m/>
    <m/>
    <s v="N/A"/>
    <d v="2022-05-01T00:00:00"/>
    <n v="0.625"/>
    <m/>
  </r>
  <r>
    <s v="AGC"/>
    <s v="Chuderice"/>
    <s v="Mercedes"/>
    <s v="B-Class (W247)"/>
    <s v="OEM"/>
    <x v="2"/>
    <s v="W2239AC"/>
    <s v="K"/>
    <s v="E2"/>
    <s v="Clear"/>
    <s v="Acoustic"/>
    <s v="BF009649"/>
    <s v="Y"/>
    <x v="2"/>
    <n v="0.39"/>
    <n v="108"/>
    <n v="25"/>
    <s v="N/A"/>
    <s v="N/A"/>
    <n v="0.8"/>
    <n v="255"/>
    <n v="705"/>
    <n v="450"/>
    <n v="125"/>
    <n v="255"/>
    <n v="705"/>
    <n v="450"/>
    <n v="125"/>
    <s v="N/A"/>
    <n v="83"/>
    <n v="1.1237000000000001"/>
    <m/>
    <n v="0.99931527777777784"/>
    <n v="1.0592741944444444"/>
    <n v="873.39102800000012"/>
    <n v="148.76364513647593"/>
    <n v="162.66157037535655"/>
    <n v="323.34773017341058"/>
    <n v="162"/>
    <n v="174.96"/>
    <n v="185.33061305999999"/>
    <n v="741.32245223999996"/>
    <d v="2021-02-01T00:00:00"/>
    <s v="2021_0620_01672"/>
    <s v="W2239AC KE2 CLEAR r108x0162 MT4P"/>
    <s v="Recorded April '21 rolls as first commercial sales, assuming previous rolls were free._x000a_discontinued L8 supply due to patent litigation"/>
    <n v="8"/>
    <m/>
    <s v="N/A"/>
    <d v="2021-05-01T00:00:00"/>
    <n v="0.65277777777777779"/>
    <m/>
  </r>
  <r>
    <s v="AGC"/>
    <s v="Chuderice"/>
    <s v="Mercedes"/>
    <s v="B-Class (W247)"/>
    <s v="OEM"/>
    <x v="0"/>
    <s v="W2239AG"/>
    <s v="K"/>
    <s v="E2"/>
    <s v="Clear"/>
    <s v="Acoustic"/>
    <m/>
    <s v="Y"/>
    <x v="0"/>
    <n v="0.39"/>
    <n v="108"/>
    <n v="24"/>
    <s v="N/A"/>
    <s v="N/A"/>
    <n v="0.8"/>
    <n v="255"/>
    <n v="705"/>
    <n v="450"/>
    <n v="135"/>
    <n v="255"/>
    <n v="705"/>
    <n v="450"/>
    <n v="135"/>
    <s v="N/A"/>
    <n v="84"/>
    <n v="1.1276000000000002"/>
    <m/>
    <n v="1.0002"/>
    <n v="1.0602119999999999"/>
    <n v="873.39102800000012"/>
    <n v="148.24912029075736"/>
    <n v="162.09897714685007"/>
    <n v="322.22937601619492"/>
    <n v="162"/>
    <n v="174.96"/>
    <n v="185.49469152"/>
    <n v="772.8945480000001"/>
    <s v="?"/>
    <s v="2025-0201-0346"/>
    <m/>
    <s v="Had to reduce flat distance for L9"/>
    <m/>
    <m/>
    <m/>
    <m/>
    <m/>
    <m/>
  </r>
  <r>
    <s v="AGC"/>
    <s v="Chuderice"/>
    <s v="Mercedes"/>
    <s v="C-Class (W206)"/>
    <s v="ARG"/>
    <x v="1"/>
    <s v="W2264AB"/>
    <s v="K"/>
    <s v="E2"/>
    <s v="Clear"/>
    <s v="Acoustic"/>
    <s v="BF009565"/>
    <s v="Y"/>
    <x v="2"/>
    <n v="0.64"/>
    <n v="100"/>
    <n v="30"/>
    <s v="N/A"/>
    <s v="N/A"/>
    <n v="0.8"/>
    <n v="250"/>
    <n v="550"/>
    <n v="300"/>
    <n v="150"/>
    <m/>
    <m/>
    <n v="0"/>
    <n v="700"/>
    <s v="N/A"/>
    <n v="70"/>
    <n v="1.248"/>
    <m/>
    <n v="1.0911999999999999"/>
    <n v="1.1566719999999999"/>
    <n v="889.66732800000011"/>
    <n v="133.94688144219393"/>
    <n v="146.4605822362085"/>
    <n v="291.14250352232489"/>
    <n v="146"/>
    <n v="146"/>
    <n v="168.874112"/>
    <n v="562.91370666666671"/>
    <s v="Never"/>
    <s v="2020_0529_01581"/>
    <m/>
    <s v="Never extruded. Probably lost this opportunity."/>
    <m/>
    <m/>
    <s v="N/A"/>
    <m/>
    <n v="0.55000000000000004"/>
    <m/>
  </r>
  <r>
    <s v="AGC"/>
    <s v="Chuderice"/>
    <s v="Mercedes"/>
    <s v="C-Class (W520)"/>
    <s v="OEM"/>
    <x v="0"/>
    <s v="W2219AB"/>
    <s v="K"/>
    <s v="E2"/>
    <s v="Clear"/>
    <s v="Acoustic"/>
    <s v="BF012100"/>
    <s v="Y"/>
    <x v="2"/>
    <n v="0.19"/>
    <n v="105"/>
    <n v="30"/>
    <s v="N/A"/>
    <s v="N/A"/>
    <n v="0.8"/>
    <n v="200"/>
    <n v="600"/>
    <n v="400"/>
    <n v="150"/>
    <n v="200"/>
    <n v="600"/>
    <n v="400"/>
    <n v="150"/>
    <s v="N/A"/>
    <n v="75"/>
    <n v="0.9425"/>
    <m/>
    <n v="0.89160714285714293"/>
    <n v="0.94510357142857149"/>
    <n v="860.36998800000003"/>
    <n v="177.36414646138783"/>
    <n v="193.93401234035878"/>
    <n v="385.51283225025088"/>
    <n v="386"/>
    <n v="405.3"/>
    <n v="383.05047750000006"/>
    <n v="1276.8349250000003"/>
    <d v="2023-12-01T00:00:00"/>
    <s v="2023_2272_03329"/>
    <s v="W2219AB KE2 CLEAR r105x0386 MT2P"/>
    <m/>
    <m/>
    <m/>
    <m/>
    <m/>
    <n v="0.5714285714285714"/>
    <m/>
  </r>
  <r>
    <s v="AGC"/>
    <s v="Chuderice"/>
    <s v="Mercedes"/>
    <s v="C-Class (W520)"/>
    <s v="OEM"/>
    <x v="0"/>
    <s v="W2219AF"/>
    <s v="K"/>
    <s v="E2"/>
    <s v="Clear"/>
    <s v="Acoustic"/>
    <s v="tbd"/>
    <s v="Y"/>
    <x v="2"/>
    <n v="0.19"/>
    <n v="113"/>
    <n v="30"/>
    <s v="N/A"/>
    <s v="N/A"/>
    <n v="0.8"/>
    <n v="220"/>
    <n v="670"/>
    <n v="450"/>
    <n v="160"/>
    <n v="220"/>
    <n v="670"/>
    <n v="450"/>
    <n v="160"/>
    <s v="N/A"/>
    <n v="83"/>
    <n v="0.9577"/>
    <m/>
    <n v="0.89978362831858416"/>
    <n v="0.95377064601769923"/>
    <n v="860.36998800000003"/>
    <n v="174.54913651441791"/>
    <n v="190.85601611234017"/>
    <n v="379.39421989752685"/>
    <n v="379"/>
    <n v="428.27"/>
    <n v="408.47135457000002"/>
    <n v="1361.5711819000001"/>
    <d v="2025-02-01T00:00:00"/>
    <s v="2024_2930_03988"/>
    <m/>
    <m/>
    <m/>
    <m/>
    <m/>
    <m/>
    <m/>
    <m/>
  </r>
  <r>
    <s v="AGC"/>
    <s v="Chuderice"/>
    <s v="Mercedes"/>
    <s v="C-Class (W520)"/>
    <s v="OEM"/>
    <x v="1"/>
    <s v="W2209AA"/>
    <s v="K"/>
    <s v="E2"/>
    <s v="Clear"/>
    <s v="Acoustic"/>
    <s v="BF011829"/>
    <s v="Y"/>
    <x v="2"/>
    <n v="0.09"/>
    <n v="110"/>
    <n v="30"/>
    <s v="N/A"/>
    <s v="N/A"/>
    <n v="0.8"/>
    <n v="200"/>
    <n v="600"/>
    <n v="400"/>
    <n v="200"/>
    <n v="200"/>
    <n v="600"/>
    <n v="400"/>
    <n v="200"/>
    <s v="N/A"/>
    <n v="80"/>
    <n v="0.872"/>
    <m/>
    <n v="0.84581818181818191"/>
    <n v="0.89656727272727288"/>
    <n v="853.85946799999999"/>
    <n v="191.70379362369039"/>
    <n v="209.61331035640845"/>
    <n v="416.68101421543747"/>
    <n v="210"/>
    <n v="231"/>
    <n v="207.10704000000004"/>
    <n v="690.35680000000013"/>
    <d v="2023-06-23T00:00:00"/>
    <s v="2023_2037_03094"/>
    <s v="W2209AA KE2 CLEAR r110x0210 CT1P"/>
    <m/>
    <m/>
    <m/>
    <s v="N/A"/>
    <m/>
    <n v="0.54545454545454541"/>
    <m/>
  </r>
  <r>
    <s v="AGC"/>
    <s v="Chuderice"/>
    <s v="Mercedes"/>
    <s v="GLC (X254)"/>
    <s v="OEM"/>
    <x v="1"/>
    <s v="W2220"/>
    <s v="K"/>
    <s v="E2"/>
    <s v="Clear"/>
    <s v="Acoustic"/>
    <s v="BF008708, BF008535"/>
    <s v="Y"/>
    <x v="2"/>
    <n v="0.2"/>
    <n v="97"/>
    <n v="27"/>
    <s v="N/A"/>
    <s v="N/A"/>
    <n v="0.8"/>
    <n v="200"/>
    <n v="560"/>
    <n v="360"/>
    <n v="140"/>
    <m/>
    <m/>
    <n v="0"/>
    <n v="700"/>
    <s v="N/A"/>
    <n v="70"/>
    <n v="0.94000000000000006"/>
    <m/>
    <n v="0.88948453608247424"/>
    <n v="0.9428536082474227"/>
    <n v="861.02103999999997"/>
    <n v="177.83585961687027"/>
    <n v="194.44979428807252"/>
    <n v="386.53813233602284"/>
    <n v="193"/>
    <n v="187.21"/>
    <n v="176.51162400000001"/>
    <n v="653.74675555555552"/>
    <d v="2019-01-01T00:00:00"/>
    <s v="Old"/>
    <s v="W2220 KE2 CLEAR R097X0.95X0193 CT1P, W2220 KE2 CLEAR R097X0.95X0193 CT4P"/>
    <s v="Unshaped"/>
    <n v="1"/>
    <s v="blocking issue, laminated w/ good results, F5 HST issue"/>
    <s v="N/A"/>
    <m/>
    <n v="0.57731958762886593"/>
    <m/>
  </r>
  <r>
    <s v="AGC"/>
    <s v="Chuderice"/>
    <s v="Mercedes"/>
    <s v="GLC (X254)"/>
    <s v="OEM"/>
    <x v="1"/>
    <s v="W2230"/>
    <s v="K"/>
    <s v="E2"/>
    <s v="Clear"/>
    <s v="Acoustic"/>
    <s v="BF008709, BF008710"/>
    <s v="Y"/>
    <x v="2"/>
    <n v="0.3"/>
    <n v="88"/>
    <n v="18"/>
    <s v="N/A"/>
    <s v="N/A"/>
    <n v="0.8"/>
    <n v="200"/>
    <n v="560"/>
    <n v="360"/>
    <n v="140"/>
    <m/>
    <m/>
    <n v="0"/>
    <n v="700"/>
    <s v="N/A"/>
    <n v="70"/>
    <n v="1.01"/>
    <m/>
    <n v="0.92647727272727276"/>
    <n v="0.98206590909090907"/>
    <n v="867.53156000000013"/>
    <n v="165.51060201966141"/>
    <n v="180.97307587206748"/>
    <n v="359.74836078798165"/>
    <n v="179"/>
    <n v="157.52000000000001"/>
    <n v="154.69502199999999"/>
    <n v="859.41678888888885"/>
    <d v="2019-01-01T00:00:00"/>
    <s v="Old"/>
    <s v="W2230 KE2 CLEAR R088X0.95X0179 CT1P, W2230 KE2 CLEAR R08X0.95X0179 CT4P"/>
    <s v="Shaped"/>
    <n v="1"/>
    <s v="no yet laminated"/>
    <s v="N/A"/>
    <m/>
    <n v="0.63636363636363635"/>
    <m/>
  </r>
  <r>
    <s v="AGC"/>
    <s v="Chuderice"/>
    <s v="Renault"/>
    <s v="Kadjar (HHN)"/>
    <s v="OEM"/>
    <x v="2"/>
    <s v="W2239AB"/>
    <s v="K"/>
    <s v="E2"/>
    <s v="Clear"/>
    <s v="Acoustic"/>
    <s v="BF009475 (L8), ________"/>
    <s v="Y"/>
    <x v="3"/>
    <n v="0.39"/>
    <n v="115"/>
    <n v="35"/>
    <s v="N/A"/>
    <s v="N/A"/>
    <n v="0.8"/>
    <n v="390"/>
    <n v="600"/>
    <n v="210"/>
    <n v="200"/>
    <n v="200"/>
    <n v="600"/>
    <n v="400"/>
    <n v="200"/>
    <s v="N/A"/>
    <n v="80"/>
    <n v="1.1120000000000001"/>
    <m/>
    <n v="1.0034782608695654"/>
    <n v="1.0636869565217393"/>
    <n v="873.39102800000012"/>
    <n v="150.32887413656297"/>
    <n v="164.37302754567281"/>
    <n v="326.74986006822076"/>
    <n v="164"/>
    <n v="188.6"/>
    <n v="200.61136000000002"/>
    <n v="573.17531428571442"/>
    <d v="2021-02-01T00:00:00"/>
    <s v="2020_0459_01511"/>
    <s v="W2239AB KE2 r115x164 MT4P"/>
    <s v="discontinued L8 supply due to patent litigation"/>
    <n v="4"/>
    <m/>
    <s v="N/A"/>
    <d v="2021-02-01T00:00:00"/>
    <n v="0.52173913043478259"/>
    <m/>
  </r>
  <r>
    <s v="AGC"/>
    <s v="Chuderice"/>
    <s v="Renault"/>
    <s v="Kadjar (HHN)"/>
    <s v="OEM"/>
    <x v="1"/>
    <s v="W2239AA"/>
    <s v="K"/>
    <s v="E2"/>
    <s v="Clear"/>
    <s v="Acoustic"/>
    <s v="BF009228, BF009229"/>
    <s v="Y"/>
    <x v="2"/>
    <n v="0.39"/>
    <n v="110"/>
    <n v="30"/>
    <s v="N/A"/>
    <s v="N/A"/>
    <n v="0.8"/>
    <n v="300"/>
    <n v="520"/>
    <n v="220"/>
    <n v="280"/>
    <m/>
    <m/>
    <n v="0"/>
    <n v="800"/>
    <s v="N/A"/>
    <n v="80"/>
    <n v="1.1120000000000001"/>
    <m/>
    <n v="0.99854545454545462"/>
    <n v="1.058458181818182"/>
    <n v="873.39102800000012"/>
    <n v="150.32887413656297"/>
    <n v="164.37302754567281"/>
    <n v="326.74986006822076"/>
    <n v="164"/>
    <n v="180.4"/>
    <n v="190.94585600000002"/>
    <n v="636.48618666666675"/>
    <d v="2020-09-01T00:00:00"/>
    <s v="2020_0241_01293"/>
    <s v="W2239AA KE2 r110x164 CT1P, W2239AA KE2 r110x164 CT4P"/>
    <m/>
    <n v="1"/>
    <s v="good results"/>
    <s v="N/A"/>
    <d v="2020-09-01T00:00:00"/>
    <n v="0.47272727272727272"/>
    <m/>
  </r>
  <r>
    <s v="AGC"/>
    <s v="Foshang"/>
    <s v="BYD"/>
    <s v="BAO 7"/>
    <s v="OEM"/>
    <x v="0"/>
    <s v="W2236AF"/>
    <s v="L"/>
    <s v="E2"/>
    <s v="Clear"/>
    <s v="Acoustic"/>
    <m/>
    <m/>
    <x v="0"/>
    <n v="0.36"/>
    <n v="115"/>
    <n v="30"/>
    <s v="N/A"/>
    <s v="N/A"/>
    <n v="0.8"/>
    <n v="300"/>
    <n v="700"/>
    <n v="400"/>
    <n v="150"/>
    <n v="300"/>
    <n v="700"/>
    <n v="400"/>
    <n v="150"/>
    <s v="N/A"/>
    <n v="85"/>
    <n v="1.1060000000000001"/>
    <m/>
    <n v="0.99291304347826093"/>
    <n v="1.0524878260869566"/>
    <n v="871.43787200000008"/>
    <n v="151.14440148269261"/>
    <n v="165.2647437891394"/>
    <n v="328.52246328739733"/>
    <n v="165"/>
    <n v="189.75"/>
    <n v="199.709565"/>
    <n v="665.69855000000007"/>
    <m/>
    <m/>
    <m/>
    <m/>
    <m/>
    <m/>
    <m/>
    <m/>
    <m/>
    <m/>
  </r>
  <r>
    <s v="AGC"/>
    <s v="Kentucky"/>
    <s v="?"/>
    <s v="? (A2LL)"/>
    <m/>
    <x v="0"/>
    <s v="W2244AK"/>
    <s v="K"/>
    <s v="E2"/>
    <s v="Clear"/>
    <s v="Acoustic"/>
    <s v="BF011809"/>
    <s v="Y"/>
    <x v="0"/>
    <n v="0.44"/>
    <n v="97"/>
    <n v="30"/>
    <s v="N/A"/>
    <s v="N/A"/>
    <n v="0.8"/>
    <n v="150"/>
    <n v="550"/>
    <n v="400"/>
    <n v="120"/>
    <n v="150"/>
    <n v="550"/>
    <n v="400"/>
    <n v="120"/>
    <s v="N/A"/>
    <n v="67"/>
    <n v="1.0948"/>
    <m/>
    <n v="0.99298762886597935"/>
    <n v="1.0525668865979381"/>
    <n v="876.64628800000003"/>
    <n v="152.69063576896059"/>
    <n v="166.95543170514082"/>
    <n v="331.88330690159069"/>
    <n v="120"/>
    <n v="116.4"/>
    <n v="122.5187856"/>
    <n v="408.39595200000002"/>
    <d v="2023-05-23T00:00:00"/>
    <s v="2023_2023_03080"/>
    <s v="W2244AK KE2 CLEAR r097x0.95x0120 CB1P"/>
    <m/>
    <m/>
    <m/>
    <m/>
    <m/>
    <n v="0.5670103092783505"/>
    <m/>
  </r>
  <r>
    <s v="AGC"/>
    <s v="Kentucky"/>
    <s v="Buick"/>
    <s v="Park Ave (GC10)"/>
    <s v="ARG"/>
    <x v="2"/>
    <s v="W5149"/>
    <s v="B"/>
    <s v="R4"/>
    <s v="Blue"/>
    <s v="Standard"/>
    <s v="BF005525"/>
    <s v="N"/>
    <x v="1"/>
    <n v="0.49"/>
    <n v="104"/>
    <n v="38"/>
    <n v="20"/>
    <n v="84"/>
    <n v="0.76"/>
    <s v="N/A"/>
    <s v="N/A"/>
    <e v="#VALUE!"/>
    <e v="#VALUE!"/>
    <s v="N/A"/>
    <s v="N/A"/>
    <e v="#VALUE!"/>
    <e v="#VALUE!"/>
    <n v="180"/>
    <n v="66"/>
    <n v="1.0833999999999999"/>
    <m/>
    <n v="0.98078269230769222"/>
    <n v="1.0445335673076923"/>
    <n v="841.45202700000004"/>
    <n v="154.297312202195"/>
    <n v="168.71220844636161"/>
    <n v="335.37552556383741"/>
    <n v="335"/>
    <n v="348.4"/>
    <n v="363.91549484999996"/>
    <n v="957.67235486842094"/>
    <s v="1996"/>
    <s v="Old"/>
    <s v="W5149 BR4 BLUE R104/20X0.95X0335 CB2A"/>
    <m/>
    <m/>
    <m/>
    <s v="BE8480B"/>
    <m/>
    <m/>
    <m/>
  </r>
  <r>
    <s v="AGC"/>
    <s v="Kentucky"/>
    <s v="Cadillac"/>
    <s v="XLR"/>
    <s v="ARG"/>
    <x v="1"/>
    <s v="W5142"/>
    <s v="B"/>
    <s v="R3"/>
    <s v="Blue"/>
    <s v="Standard"/>
    <s v="BF008672"/>
    <s v="N"/>
    <x v="1"/>
    <n v="0.42"/>
    <n v="104"/>
    <n v="37"/>
    <n v="17"/>
    <n v="87"/>
    <n v="0.76"/>
    <s v="N/A"/>
    <s v="N/A"/>
    <e v="#VALUE!"/>
    <e v="#VALUE!"/>
    <s v="N/A"/>
    <s v="N/A"/>
    <e v="#VALUE!"/>
    <e v="#VALUE!"/>
    <n v="200"/>
    <n v="67"/>
    <n v="1.0413999999999999"/>
    <m/>
    <n v="0.95075673076923073"/>
    <n v="1.0125559182692307"/>
    <n v="836.87316600000008"/>
    <n v="160.52017288252165"/>
    <n v="175.51642657075877"/>
    <n v="348.90132936034331"/>
    <n v="335"/>
    <n v="348.4"/>
    <n v="352.77448192499998"/>
    <n v="953.44454574324322"/>
    <s v="2004"/>
    <s v="Old"/>
    <s v="W5142 BR3 BLUE R104/17X0.95X0335 CB2A"/>
    <m/>
    <m/>
    <m/>
    <s v="BE8340B"/>
    <m/>
    <m/>
    <m/>
  </r>
  <r>
    <s v="AGC"/>
    <s v="Kentucky"/>
    <s v="Chevrolet"/>
    <s v="C5 Corvette (GY15)"/>
    <s v="ARG"/>
    <x v="2"/>
    <s v="W5124"/>
    <s v="B"/>
    <s v="R2"/>
    <s v="Blue"/>
    <s v="Standard"/>
    <s v="BF005571"/>
    <s v="N"/>
    <x v="1"/>
    <n v="0.24"/>
    <n v="111"/>
    <n v="37"/>
    <n v="25"/>
    <n v="86"/>
    <n v="0.76"/>
    <s v="N/A"/>
    <s v="N/A"/>
    <e v="#VALUE!"/>
    <e v="#VALUE!"/>
    <s v="N/A"/>
    <s v="N/A"/>
    <e v="#VALUE!"/>
    <e v="#VALUE!"/>
    <n v="120"/>
    <n v="74"/>
    <n v="0.93759999999999999"/>
    <m/>
    <n v="0.87839999999999996"/>
    <n v="0.93549599999999999"/>
    <n v="825.09895200000005"/>
    <n v="178.29107086162333"/>
    <n v="194.94753266935601"/>
    <n v="387.52756441538128"/>
    <n v="335"/>
    <n v="371.85"/>
    <n v="347.86418760000004"/>
    <n v="940.17348000000015"/>
    <s v="1996"/>
    <s v="Old"/>
    <m/>
    <m/>
    <m/>
    <m/>
    <s v="BE8220B"/>
    <m/>
    <m/>
    <m/>
  </r>
  <r>
    <s v="AGC"/>
    <s v="Kentucky"/>
    <s v="Chevrolet"/>
    <s v="C6 Corvette (2005-2013)"/>
    <s v="ARG"/>
    <x v="2"/>
    <s v="W5121"/>
    <s v="B"/>
    <s v="R3"/>
    <s v="Blue"/>
    <s v="Standard"/>
    <s v="BF005522"/>
    <s v="N"/>
    <x v="1"/>
    <n v="0.21"/>
    <n v="108"/>
    <n v="37"/>
    <n v="17"/>
    <n v="91"/>
    <n v="0.76"/>
    <s v="N/A"/>
    <s v="N/A"/>
    <e v="#VALUE!"/>
    <e v="#VALUE!"/>
    <s v="N/A"/>
    <s v="N/A"/>
    <e v="#VALUE!"/>
    <e v="#VALUE!"/>
    <n v="200"/>
    <n v="71"/>
    <n v="0.90910000000000002"/>
    <m/>
    <n v="0.86009027777777769"/>
    <n v="0.91599614583333322"/>
    <n v="823.13658299999997"/>
    <n v="183.88044003944341"/>
    <n v="201.05907670309998"/>
    <n v="399.6764320711269"/>
    <n v="335"/>
    <n v="361.8"/>
    <n v="331.40740556249995"/>
    <n v="895.69569070945931"/>
    <s v="2004"/>
    <s v="Old"/>
    <s v="W5121 BR3 BLUE R108/17X0.95X0335 CB2A"/>
    <s v="Last made in Mar 2019 (only 4 rolls)"/>
    <m/>
    <m/>
    <s v="BE8350B"/>
    <m/>
    <m/>
    <m/>
  </r>
  <r>
    <s v="AGC"/>
    <s v="Mexico"/>
    <s v="Mercedes"/>
    <s v="GLC"/>
    <s v="OEM"/>
    <x v="1"/>
    <s v="W2260AI"/>
    <s v="L"/>
    <s v="R"/>
    <s v="Clear"/>
    <s v="Acoustic"/>
    <s v="BF011948"/>
    <s v="Y"/>
    <x v="0"/>
    <n v="0.6"/>
    <n v="93"/>
    <n v="29"/>
    <s v="N/A"/>
    <s v="N/A"/>
    <n v="0.8"/>
    <n v="256"/>
    <n v="520"/>
    <n v="264"/>
    <n v="120"/>
    <n v="150"/>
    <n v="550"/>
    <n v="400"/>
    <n v="90"/>
    <s v="N/A"/>
    <n v="64"/>
    <n v="1.1840000000000002"/>
    <m/>
    <n v="1.0518709677419356"/>
    <n v="1.1149832258064516"/>
    <n v="887.06312000000003"/>
    <n v="141.18725341204222"/>
    <n v="154.37737046519268"/>
    <n v="306.87993614515324"/>
    <n v="307"/>
    <n v="285.51"/>
    <n v="318.33886079999996"/>
    <n v="1097.7202096551723"/>
    <d v="2023-08-01T00:00:00"/>
    <s v="2023_2127_03184"/>
    <s v="W2260AI LR CLEAR r093x0307 CB1P"/>
    <s v="Air bags were inserted to make a long roll in a single package"/>
    <m/>
    <m/>
    <m/>
    <m/>
    <n v="0.55913978494623651"/>
    <m/>
  </r>
  <r>
    <s v="AGC"/>
    <s v="Mexico"/>
    <s v="Mercedes"/>
    <s v="GLC"/>
    <s v="OEM"/>
    <x v="0"/>
    <s v="W2263AC"/>
    <s v="L"/>
    <s v="R"/>
    <s v="Clear"/>
    <s v="Acoustic"/>
    <m/>
    <s v="Y"/>
    <x v="2"/>
    <n v="0.63"/>
    <n v="93"/>
    <n v="29"/>
    <s v="N/A"/>
    <s v="N/A"/>
    <n v="0.8"/>
    <n v="200"/>
    <n v="450"/>
    <n v="250"/>
    <n v="190"/>
    <n v="150"/>
    <n v="550"/>
    <n v="400"/>
    <n v="90"/>
    <s v="N/A"/>
    <n v="64"/>
    <n v="1.2032"/>
    <m/>
    <n v="1.0644645161290325"/>
    <n v="1.1283323870967745"/>
    <n v="889.01627600000006"/>
    <n v="138.93426532567986"/>
    <n v="151.91390178755665"/>
    <n v="301.98291588751783"/>
    <n v="152"/>
    <n v="141.36000000000001"/>
    <n v="159.50106624000006"/>
    <n v="550.00367668965544"/>
    <d v="2024-11-01T00:00:00"/>
    <s v="2024_2850_03908"/>
    <m/>
    <m/>
    <m/>
    <m/>
    <m/>
    <m/>
    <m/>
    <m/>
  </r>
  <r>
    <s v="AGC"/>
    <s v="NordGlass"/>
    <s v="Skoda"/>
    <s v="Octavia"/>
    <s v="ARG"/>
    <x v="0"/>
    <s v="W2255AC"/>
    <s v="L"/>
    <s v="R &amp; E2"/>
    <s v="Clear"/>
    <s v="Acoustic"/>
    <s v="BF012206 (LR), BF012207 (LE2)"/>
    <s v="Y"/>
    <x v="2"/>
    <n v="0.55000000000000004"/>
    <n v="100"/>
    <n v="20"/>
    <s v="N/A"/>
    <s v="N/A"/>
    <n v="0.8"/>
    <n v="200"/>
    <n v="600"/>
    <n v="400"/>
    <n v="200"/>
    <n v="200"/>
    <n v="600"/>
    <n v="400"/>
    <n v="200"/>
    <s v="N/A"/>
    <n v="80"/>
    <n v="1.2400000000000002"/>
    <m/>
    <n v="1.0640000000000001"/>
    <n v="1.12784"/>
    <n v="883.80786000000012"/>
    <n v="134.81105487085321"/>
    <n v="147.40548921837754"/>
    <n v="293.02084225472692"/>
    <n v="147"/>
    <n v="147"/>
    <n v="165.79247999999998"/>
    <n v="828.96239999999989"/>
    <d v="2024-03-01T00:00:00"/>
    <s v="2024_2427_03484"/>
    <s v="W2255AC LR CLEAR r100x0147 CT1P, W2255AC LE2 CLEAR r100x0147 CT1P"/>
    <s v="Initially created both R and E2 patterns"/>
    <m/>
    <m/>
    <m/>
    <m/>
    <n v="0.6"/>
    <m/>
  </r>
  <r>
    <s v="AGC"/>
    <s v="NordGlass"/>
    <s v="BMW"/>
    <s v="5-series"/>
    <s v="ARG"/>
    <x v="1"/>
    <s v="W1030AA"/>
    <s v="L"/>
    <s v="R"/>
    <s v="Clear"/>
    <s v="Standard"/>
    <s v="BF009154, BF009155"/>
    <s v="Y"/>
    <x v="2"/>
    <n v="0.3"/>
    <n v="98"/>
    <n v="30"/>
    <s v="N/A"/>
    <s v="N/A"/>
    <n v="0.76"/>
    <n v="265"/>
    <n v="505"/>
    <n v="240"/>
    <n v="175"/>
    <m/>
    <m/>
    <n v="0"/>
    <n v="680"/>
    <s v="N/A"/>
    <n v="68"/>
    <n v="0.96399999999999997"/>
    <m/>
    <n v="0.8932244897959184"/>
    <n v="0"/>
    <n v="0"/>
    <n v="173.40841082972824"/>
    <n v="189.60872057135705"/>
    <n v="376.91477634425462"/>
    <n v="190"/>
    <n v="186.2"/>
    <n v="0"/>
    <n v="0"/>
    <s v="TBD"/>
    <s v="2020_0149_01201"/>
    <s v="W1030AA LR CLEAR R098x0190 CT4P, W1030AA LR CLEAR R098x0190 CT1P"/>
    <s v="Program canceled/postponed in Mar '20"/>
    <m/>
    <m/>
    <s v="N/A"/>
    <s v="Possibly"/>
    <n v="0.51530612244897955"/>
    <m/>
  </r>
  <r>
    <s v="AGC"/>
    <s v="NordGlass"/>
    <s v="Opel"/>
    <s v="Insignia"/>
    <s v="ARG"/>
    <x v="1"/>
    <s v="W1235"/>
    <s v="L"/>
    <s v="E2"/>
    <s v="Clear"/>
    <s v="Acoustic"/>
    <s v="BF007396"/>
    <s v="Y"/>
    <x v="2"/>
    <n v="0.35"/>
    <n v="102"/>
    <n v="32"/>
    <s v="N/A"/>
    <s v="N/A"/>
    <n v="0.8"/>
    <n v="150"/>
    <n v="550"/>
    <n v="400"/>
    <n v="150"/>
    <m/>
    <m/>
    <n v="0"/>
    <n v="700"/>
    <s v="N/A"/>
    <n v="70"/>
    <n v="1.0449999999999999"/>
    <m/>
    <n v="0.96093137254901961"/>
    <n v="0"/>
    <n v="0"/>
    <n v="159.9671847271369"/>
    <n v="174.91177668018008"/>
    <n v="347.69937262761863"/>
    <s v="150, 50"/>
    <e v="#VALUE!"/>
    <e v="#VALUE!"/>
    <e v="#VALUE!"/>
    <d v="2019-02-01T00:00:00"/>
    <s v="Old"/>
    <m/>
    <s v="Initial testing"/>
    <n v="1"/>
    <s v="??"/>
    <s v="N/A"/>
    <s v="Possibly"/>
    <n v="0.53921568627450978"/>
    <m/>
  </r>
  <r>
    <s v="AGC"/>
    <s v="NordGlass"/>
    <s v="Opel"/>
    <s v="Insignia"/>
    <s v="ARG"/>
    <x v="1"/>
    <s v="W1241AA"/>
    <s v="L"/>
    <s v="E2"/>
    <s v="Clear"/>
    <s v="Acoustic"/>
    <s v="BF007395, BF007652"/>
    <s v="Y"/>
    <x v="2"/>
    <n v="0.41"/>
    <n v="102"/>
    <n v="32"/>
    <s v="N/A"/>
    <s v="N/A"/>
    <n v="0.8"/>
    <n v="150"/>
    <n v="550"/>
    <n v="400"/>
    <n v="150"/>
    <m/>
    <m/>
    <n v="0"/>
    <n v="700"/>
    <s v="N/A"/>
    <n v="70"/>
    <n v="1.087"/>
    <m/>
    <n v="0.9885196078431373"/>
    <n v="0"/>
    <n v="0"/>
    <n v="153.78629994467161"/>
    <n v="168.15345596208667"/>
    <n v="334.2648062519425"/>
    <s v="50, 150"/>
    <e v="#VALUE!"/>
    <e v="#VALUE!"/>
    <e v="#VALUE!"/>
    <d v="2019-02-01T00:00:00"/>
    <s v="Old"/>
    <s v="W1241 LE2 CLEAR r102x0.95x0050 W18P"/>
    <s v="Initial testing"/>
    <n v="1"/>
    <s v="??"/>
    <s v="N/A"/>
    <s v="Possibly"/>
    <n v="0.53921568627450978"/>
    <m/>
  </r>
  <r>
    <s v="AGC"/>
    <s v="NordGlass"/>
    <s v="Opel"/>
    <s v="Insignia"/>
    <s v="ARG"/>
    <x v="1"/>
    <s v="W1247"/>
    <s v="L"/>
    <s v="E2"/>
    <s v="Clear"/>
    <s v="Acoustic"/>
    <s v="BF007397, BF007654"/>
    <s v="Y"/>
    <x v="2"/>
    <n v="0.47"/>
    <n v="102"/>
    <n v="32"/>
    <s v="N/A"/>
    <s v="N/A"/>
    <n v="0.8"/>
    <n v="150"/>
    <n v="550"/>
    <n v="400"/>
    <n v="150"/>
    <m/>
    <m/>
    <n v="0"/>
    <n v="700"/>
    <s v="N/A"/>
    <n v="70"/>
    <n v="1.129"/>
    <m/>
    <n v="1.016107843137255"/>
    <n v="0"/>
    <n v="0"/>
    <n v="148.06528612919223"/>
    <n v="161.89796867208872"/>
    <n v="321.82980017348223"/>
    <s v="50, 150"/>
    <e v="#VALUE!"/>
    <e v="#VALUE!"/>
    <e v="#VALUE!"/>
    <d v="2019-02-01T00:00:00"/>
    <s v="Old"/>
    <s v="W1247 LE2 CLEAR R102X0.95X0050 CT1P, W1247 LE2 CLEAR R102X0.95X0150 CT4P"/>
    <s v="Initial testing"/>
    <n v="1"/>
    <s v="??"/>
    <s v="N/A"/>
    <s v="Possibly"/>
    <n v="0.53921568627450978"/>
    <m/>
  </r>
  <r>
    <s v="AGC"/>
    <s v="HQ - Suzhou"/>
    <s v="BMW"/>
    <s v="G68 2027"/>
    <s v="OEM"/>
    <x v="0"/>
    <s v="W2228AH"/>
    <s v="L"/>
    <s v="E2"/>
    <s v="Clear"/>
    <s v="Acoustic"/>
    <s v="BF012981"/>
    <s v="Y"/>
    <x v="0"/>
    <n v="0.28000000000000003"/>
    <n v="98"/>
    <n v="15"/>
    <s v="N/A"/>
    <s v="N/A"/>
    <n v="0.8"/>
    <n v="200"/>
    <n v="700"/>
    <n v="500"/>
    <n v="130"/>
    <n v="200"/>
    <n v="700"/>
    <n v="500"/>
    <n v="130"/>
    <s v="N/A"/>
    <n v="83"/>
    <n v="1.0324"/>
    <m/>
    <n v="0.93398571428571431"/>
    <n v="0.99002485714285715"/>
    <n v="866.22945600000003"/>
    <n v="161.91951573019958"/>
    <n v="177.04650002982194"/>
    <n v="351.94289461048191"/>
    <n v="177"/>
    <n v="173.46"/>
    <n v="171.72971172000001"/>
    <n v="1144.8647448000002"/>
    <s v="?"/>
    <s v="2025-0253-0398"/>
    <m/>
    <m/>
    <m/>
    <m/>
    <m/>
    <m/>
    <m/>
    <m/>
  </r>
  <r>
    <s v="AGC"/>
    <s v="Qinhuangdao"/>
    <s v="BMW"/>
    <s v="NA0 2027"/>
    <s v="OEM"/>
    <x v="0"/>
    <s v="W2214AD"/>
    <s v="L"/>
    <s v="E2"/>
    <s v="Clear"/>
    <s v="Acoustic"/>
    <m/>
    <s v="Y"/>
    <x v="0"/>
    <n v="0.14000000000000001"/>
    <n v="111"/>
    <n v="22"/>
    <s v="N/A"/>
    <s v="N/A"/>
    <n v="0.8"/>
    <n v="200"/>
    <n v="760"/>
    <n v="560"/>
    <n v="130"/>
    <n v="200"/>
    <n v="760"/>
    <n v="560"/>
    <n v="130"/>
    <s v="N/A"/>
    <n v="89"/>
    <n v="0.92460000000000009"/>
    <m/>
    <n v="0.87464774774774778"/>
    <n v="0.92712661261261264"/>
    <n v="857.11472800000001"/>
    <n v="180.79786722891845"/>
    <n v="197.68852112350004"/>
    <n v="392.97625394317691"/>
    <n v="198"/>
    <n v="219.78"/>
    <n v="203.76388692"/>
    <n v="926.19948599999998"/>
    <m/>
    <s v="2025-0298-0444"/>
    <m/>
    <m/>
    <m/>
    <m/>
    <m/>
    <m/>
    <m/>
    <m/>
  </r>
  <r>
    <s v="AGC"/>
    <s v="Qinhuangdao"/>
    <s v="?"/>
    <s v="?"/>
    <s v="N/A"/>
    <x v="0"/>
    <s v="W2218AD"/>
    <s v="L"/>
    <s v="E2"/>
    <s v="Clear"/>
    <s v="Acoustic"/>
    <m/>
    <m/>
    <x v="0"/>
    <n v="0.18"/>
    <n v="115"/>
    <n v="27"/>
    <s v="N/A"/>
    <s v="N/A"/>
    <n v="0.8"/>
    <n v="250"/>
    <n v="750"/>
    <n v="500"/>
    <n v="130"/>
    <n v="200"/>
    <n v="750"/>
    <n v="550"/>
    <n v="130"/>
    <s v="N/A"/>
    <n v="88"/>
    <n v="0.95840000000000003"/>
    <m/>
    <n v="0.89779478260869561"/>
    <n v="0.95166246956521727"/>
    <n v="859.7189360000001"/>
    <n v="174.42164862255635"/>
    <n v="190.71661793696592"/>
    <n v="379.11711643975525"/>
    <n v="191"/>
    <n v="219.65"/>
    <n v="209.03266143999997"/>
    <n v="774.19504237037017"/>
    <m/>
    <m/>
    <m/>
    <m/>
    <m/>
    <m/>
    <m/>
    <m/>
    <m/>
    <m/>
  </r>
  <r>
    <s v="AGC"/>
    <s v="Qinhuangdao"/>
    <s v="?"/>
    <s v="?"/>
    <s v="N/A"/>
    <x v="0"/>
    <s v="W2224AD"/>
    <s v="L"/>
    <s v="E2"/>
    <s v="Clear"/>
    <s v="Acoustic"/>
    <m/>
    <s v="Y"/>
    <x v="0"/>
    <n v="0.24"/>
    <n v="105"/>
    <n v="17"/>
    <s v="N/A"/>
    <s v="N/A"/>
    <n v="0.8"/>
    <n v="300"/>
    <n v="750"/>
    <n v="450"/>
    <n v="130"/>
    <n v="300"/>
    <n v="750"/>
    <n v="450"/>
    <n v="130"/>
    <s v="N/A"/>
    <n v="88"/>
    <n v="1.0112000000000001"/>
    <m/>
    <n v="0.92269714285714288"/>
    <n v="0.97805897142857146"/>
    <n v="863.62524800000006"/>
    <n v="165.31418912169502"/>
    <n v="180.7583135193712"/>
    <n v="359.32144422059076"/>
    <n v="181"/>
    <n v="190.05"/>
    <n v="185.88010752000002"/>
    <n v="1093.4123971764707"/>
    <m/>
    <m/>
    <m/>
    <m/>
    <m/>
    <m/>
    <m/>
    <m/>
    <m/>
    <m/>
  </r>
  <r>
    <s v="AGC"/>
    <s v="Qinhuangdao"/>
    <s v="BYD"/>
    <s v="SVHA"/>
    <s v="OEM"/>
    <x v="0"/>
    <s v="W2233AC"/>
    <s v="L"/>
    <s v="E2"/>
    <s v="Clear"/>
    <s v="Acoustic"/>
    <m/>
    <s v="Y"/>
    <x v="0"/>
    <n v="0.33"/>
    <n v="103"/>
    <n v="30"/>
    <s v="N/A"/>
    <s v="N/A"/>
    <n v="0.8"/>
    <n v="200"/>
    <n v="600"/>
    <n v="400"/>
    <n v="130"/>
    <n v="200"/>
    <n v="600"/>
    <n v="400"/>
    <n v="130"/>
    <s v="N/A"/>
    <n v="73"/>
    <n v="1.0409000000000002"/>
    <m/>
    <n v="0.95553252427184476"/>
    <n v="1.0128644757281553"/>
    <n v="869.48471600000005"/>
    <n v="160.59727931584015"/>
    <n v="175.60073650762624"/>
    <n v="349.06892534908388"/>
    <n v="176"/>
    <n v="181.28"/>
    <n v="183.61207216"/>
    <n v="612.0402405333333"/>
    <s v="W2233AC LE2 CLEAR r103x0176 CB4P"/>
    <s v="2026-0078-0677"/>
    <s v="W2233AC LE2 CLEAR r103x0176 CB1P"/>
    <s v="same design as Fuyao W2233ACT now used for sampling AGC QHD"/>
    <m/>
    <m/>
    <m/>
    <m/>
    <m/>
    <m/>
  </r>
  <r>
    <s v="AGC"/>
    <s v="Qinhuangdao"/>
    <s v="Geely"/>
    <s v="SV"/>
    <s v="OEM"/>
    <x v="0"/>
    <s v="W2233AK"/>
    <s v="L"/>
    <s v="E2"/>
    <s v="Clear"/>
    <s v="Acoustic"/>
    <m/>
    <s v="Y"/>
    <x v="0"/>
    <n v="0.33"/>
    <n v="113"/>
    <n v="25"/>
    <s v="N/A"/>
    <s v="N/A"/>
    <n v="0.8"/>
    <n v="200"/>
    <n v="750"/>
    <n v="550"/>
    <n v="130"/>
    <n v="200"/>
    <n v="750"/>
    <n v="550"/>
    <n v="130"/>
    <s v="N/A"/>
    <n v="88"/>
    <n v="1.0904"/>
    <m/>
    <n v="0.97732389380530982"/>
    <n v="1.0359633274336286"/>
    <n v="869.48471600000005"/>
    <n v="153.30677553178469"/>
    <n v="167.62913300695908"/>
    <n v="333.22252787588178"/>
    <n v="168"/>
    <n v="189.84"/>
    <n v="196.66727808000007"/>
    <n v="786.66911232000029"/>
    <m/>
    <m/>
    <m/>
    <m/>
    <m/>
    <m/>
    <m/>
    <m/>
    <m/>
    <m/>
  </r>
  <r>
    <s v="AGC"/>
    <s v="Qinhuangdao"/>
    <s v="?"/>
    <s v="?"/>
    <s v="?"/>
    <x v="0"/>
    <s v="W2239AEH"/>
    <s v="L"/>
    <s v="E2"/>
    <s v="Clear"/>
    <s v="Acoustic"/>
    <s v="BF012347"/>
    <s v="Y"/>
    <x v="0"/>
    <n v="0.39"/>
    <n v="113"/>
    <n v="30"/>
    <s v="N/A"/>
    <s v="N/A"/>
    <n v="0.8"/>
    <n v="228"/>
    <n v="622"/>
    <n v="394"/>
    <n v="208"/>
    <n v="200"/>
    <n v="650"/>
    <n v="450"/>
    <n v="180"/>
    <s v="N/A"/>
    <n v="83"/>
    <n v="1.1237000000000001"/>
    <m/>
    <n v="1.0048190265486727"/>
    <n v="1.065108168141593"/>
    <n v="873.39102800000012"/>
    <n v="148.76364513647593"/>
    <n v="162.66157037535655"/>
    <n v="323.34773017341058"/>
    <n v="120"/>
    <n v="135.6"/>
    <n v="144.42866760000001"/>
    <n v="481.42889200000008"/>
    <d v="2024-06-01T00:00:00"/>
    <s v="2024_2576_03634"/>
    <s v="W2239AE-H LE2 CLEAR r113x0120 CB1P"/>
    <m/>
    <m/>
    <m/>
    <m/>
    <m/>
    <n v="0.55044247787610623"/>
    <m/>
  </r>
  <r>
    <s v="AGP"/>
    <s v="Germany R&amp;D"/>
    <s v="None"/>
    <s v="None"/>
    <s v="N/A"/>
    <x v="1"/>
    <s v="W2252AA"/>
    <s v="K"/>
    <s v="E2"/>
    <s v="Clear"/>
    <s v="Acoustic"/>
    <s v="BF009418"/>
    <s v="Y"/>
    <x v="2"/>
    <n v="0.52"/>
    <n v="115"/>
    <n v="30"/>
    <s v="N/A"/>
    <s v="N/A"/>
    <n v="0.8"/>
    <n v="270"/>
    <n v="570"/>
    <n v="300"/>
    <n v="280"/>
    <m/>
    <m/>
    <n v="0"/>
    <n v="850"/>
    <s v="N/A"/>
    <n v="85"/>
    <n v="1.242"/>
    <m/>
    <n v="1.0786521739130435"/>
    <n v="1.1433713043478262"/>
    <n v="881.85470400000008"/>
    <n v="134.59396782597264"/>
    <n v="147.16812128082785"/>
    <n v="292.54898904658734"/>
    <n v="147"/>
    <n v="169.05"/>
    <n v="193.28691900000004"/>
    <n v="644.28973000000019"/>
    <d v="2020-09-01T00:00:00"/>
    <s v="2020_0379_01431"/>
    <m/>
    <m/>
    <m/>
    <m/>
    <s v="N/A"/>
    <d v="2020-09-01T00:00:00"/>
    <n v="0.4956521739130435"/>
    <m/>
  </r>
  <r>
    <s v="AGP"/>
    <s v="Ghent R&amp;D"/>
    <s v="None"/>
    <s v="None"/>
    <s v="N/A"/>
    <x v="1"/>
    <s v="W2250"/>
    <s v="K"/>
    <s v="E2"/>
    <s v="Clear"/>
    <s v="Acoustic"/>
    <s v="BF008712"/>
    <s v="Y"/>
    <x v="2"/>
    <n v="0.5"/>
    <n v="120"/>
    <n v="30"/>
    <s v="N/A"/>
    <s v="N/A"/>
    <n v="0.8"/>
    <n v="275"/>
    <n v="550"/>
    <n v="275"/>
    <n v="350"/>
    <m/>
    <m/>
    <n v="0"/>
    <n v="900"/>
    <s v="N/A"/>
    <n v="90"/>
    <n v="1.25"/>
    <m/>
    <n v="1.08125"/>
    <n v="1.1461250000000001"/>
    <n v="880.5526000000001"/>
    <n v="133.73256643188643"/>
    <n v="146.22624530463054"/>
    <n v="290.67667551668916"/>
    <n v="50"/>
    <n v="60"/>
    <n v="68.767499999999998"/>
    <n v="229.22499999999999"/>
    <d v="2020-01-01T00:00:00"/>
    <s v="2019_0901_01027"/>
    <s v="W2250 KE2 CLEAR R120X0.95X0050 CT1P"/>
    <s v="For lab testing only. Two other angles were requested, but weren't needed. Also sent to Xinyi for an initial trial."/>
    <n v="1"/>
    <s v="???"/>
    <s v="N/A"/>
    <d v="2020-02-01T00:00:00"/>
    <n v="0.45833333333333331"/>
    <m/>
  </r>
  <r>
    <s v="AGP"/>
    <s v="Peru"/>
    <s v="Canoo"/>
    <s v="Lifestyle"/>
    <s v="OEM"/>
    <x v="1"/>
    <s v="W2264AC"/>
    <s v="L"/>
    <s v="E2"/>
    <s v="Clear"/>
    <s v="Acoustic"/>
    <s v="BF009974"/>
    <s v="Y"/>
    <x v="0"/>
    <n v="0.64"/>
    <n v="130"/>
    <n v="30"/>
    <s v="N/A"/>
    <s v="N/A"/>
    <n v="0.8"/>
    <s v="N/A"/>
    <s v="N/A"/>
    <e v="#VALUE!"/>
    <e v="#VALUE!"/>
    <s v="N/A"/>
    <s v="N/A"/>
    <e v="#VALUE!"/>
    <e v="#VALUE!"/>
    <s v="N/A"/>
    <n v="100"/>
    <n v="1.44"/>
    <m/>
    <n v="1.193846153846154"/>
    <n v="1.2654769230769234"/>
    <n v="889.66732800000011"/>
    <n v="116.08729724990143"/>
    <n v="126.93250460471401"/>
    <n v="252.32350305268159"/>
    <n v="125"/>
    <n v="162.5"/>
    <n v="205.64000000000004"/>
    <n v="685.46666666666681"/>
    <d v="2021-08-01T00:00:00"/>
    <s v="2021_0914_01969"/>
    <s v="W2264AC LE2 CLEAR i130x0125 C02A"/>
    <s v="Interleaved"/>
    <m/>
    <m/>
    <s v="N/A"/>
    <d v="2021-08-01T00:00:00"/>
    <m/>
    <s v="~60"/>
  </r>
  <r>
    <s v="AGP"/>
    <s v="Peru"/>
    <s v="Lucid"/>
    <s v="Air"/>
    <s v="OEM"/>
    <x v="0"/>
    <s v="W5025AC"/>
    <s v="F"/>
    <s v="R3"/>
    <s v="Clear"/>
    <s v="Standard"/>
    <s v="BF011862"/>
    <s v="N"/>
    <x v="4"/>
    <n v="0.25"/>
    <n v="181"/>
    <n v="68"/>
    <s v="N/A"/>
    <s v="N/A"/>
    <n v="0.38"/>
    <s v="N/A"/>
    <s v="N/A"/>
    <e v="#VALUE!"/>
    <e v="#VALUE!"/>
    <s v="N/A"/>
    <s v="N/A"/>
    <e v="#VALUE!"/>
    <e v="#VALUE!"/>
    <s v="N/A"/>
    <n v="113"/>
    <n v="0.66250000000000009"/>
    <m/>
    <n v="0.5743162983425415"/>
    <n v="0.61164685773480665"/>
    <n v="421.05307500000004"/>
    <n v="252.32559704129511"/>
    <n v="275.89857604647273"/>
    <n v="548.44655757865871"/>
    <n v="276"/>
    <n v="499.56"/>
    <n v="305.55430425000003"/>
    <n v="449.3445650735294"/>
    <s v="?"/>
    <s v="2023_2064_03121"/>
    <m/>
    <s v="Interleaved"/>
    <m/>
    <m/>
    <s v="N/A"/>
    <m/>
    <m/>
    <m/>
  </r>
  <r>
    <s v="AGP"/>
    <s v="Peru"/>
    <s v="Lucid"/>
    <s v="Air"/>
    <s v="OEM"/>
    <x v="1"/>
    <s v="W2225AA"/>
    <s v="L"/>
    <s v="E2"/>
    <s v="Clear"/>
    <s v="Acoustic"/>
    <s v="BF011511"/>
    <s v="Y"/>
    <x v="0"/>
    <n v="0.25"/>
    <n v="194"/>
    <n v="86"/>
    <s v="N/A"/>
    <s v="N/A"/>
    <n v="0.38"/>
    <s v="N/A"/>
    <s v="N/A"/>
    <e v="#VALUE!"/>
    <e v="#VALUE!"/>
    <n v="200"/>
    <n v="700"/>
    <n v="500"/>
    <n v="380"/>
    <s v="N/A"/>
    <n v="108"/>
    <n v="0.65"/>
    <m/>
    <n v="0.57484536082474236"/>
    <n v="0.60933608247422688"/>
    <n v="419.0763"/>
    <n v="257.17801236901238"/>
    <n v="281.20431789352028"/>
    <n v="558.99360676286381"/>
    <n v="281"/>
    <n v="545.14"/>
    <n v="332.17347200000006"/>
    <n v="386.24822325581403"/>
    <s v="Never"/>
    <s v="2022_1788_02844"/>
    <m/>
    <s v="Interleaved"/>
    <m/>
    <m/>
    <s v="N/A"/>
    <m/>
    <m/>
    <m/>
  </r>
  <r>
    <s v="AGP"/>
    <s v="Peru"/>
    <s v="Tesla"/>
    <s v="Model X"/>
    <s v="OEM"/>
    <x v="1"/>
    <s v="W1260AA"/>
    <s v="L"/>
    <s v="R"/>
    <s v="Clear"/>
    <s v="Acoustic"/>
    <s v="BF009010, BF009033"/>
    <s v="Not at the start, but yes for last campaigns"/>
    <x v="0"/>
    <n v="0.6"/>
    <n v="183"/>
    <n v="65"/>
    <s v="N/A"/>
    <s v="N/A"/>
    <n v="0.38"/>
    <s v="N/A"/>
    <s v="N/A"/>
    <e v="#VALUE!"/>
    <e v="#VALUE!"/>
    <s v="N/A"/>
    <s v="N/A"/>
    <e v="#VALUE!"/>
    <e v="#VALUE!"/>
    <s v="N/A"/>
    <n v="118"/>
    <n v="1.0880000000000001"/>
    <m/>
    <n v="0.8597377049180327"/>
    <n v="0"/>
    <n v="0"/>
    <n v="153.64495224251655"/>
    <n v="167.99890315329793"/>
    <n v="333.95757756972563"/>
    <n v="166"/>
    <n v="303.77999999999997"/>
    <n v="0"/>
    <n v="0"/>
    <d v="2020-02-01T00:00:00"/>
    <s v="2020_0069_01120"/>
    <s v="W1260AA LR CLEAR I183X0166 C03P, W1260AA LR CLEAR I183X0050 C03P"/>
    <s v="Half thickness. Interleaved. Not used for HUD. Must run single-cut."/>
    <s v="I believe they purchased all rolls"/>
    <s v="qualified"/>
    <s v="N/A"/>
    <d v="2020-02-01T00:00:00"/>
    <m/>
    <m/>
  </r>
  <r>
    <s v="AGP"/>
    <s v="Peru"/>
    <s v="Lucid"/>
    <s v="Air"/>
    <s v="OEM"/>
    <x v="1"/>
    <s v="W5025AA"/>
    <s v="F"/>
    <s v="R3"/>
    <s v="Clear"/>
    <s v="Standard"/>
    <s v="BF011510"/>
    <s v="N"/>
    <x v="4"/>
    <n v="0.25"/>
    <n v="194"/>
    <n v="86"/>
    <s v="N/A"/>
    <s v="N/A"/>
    <n v="0.38"/>
    <s v="N/A"/>
    <s v="N/A"/>
    <e v="#VALUE!"/>
    <e v="#VALUE!"/>
    <s v="N/A"/>
    <s v="N/A"/>
    <e v="#VALUE!"/>
    <e v="#VALUE!"/>
    <s v="N/A"/>
    <n v="108"/>
    <n v="0.65"/>
    <m/>
    <n v="0.57484536082474236"/>
    <n v="0.61221030927835052"/>
    <n v="421.05307500000004"/>
    <n v="257.17801236901238"/>
    <n v="281.20431789352028"/>
    <n v="558.99360676286381"/>
    <n v="281"/>
    <n v="545.14"/>
    <n v="333.74032799999998"/>
    <n v="388.07014883720927"/>
    <d v="2023-02-01T00:00:00"/>
    <s v="2022_1791_02847"/>
    <s v="W5025AA FR3 CLEAR i194x0281 C03P"/>
    <s v="Interleaved. Replaced by W5025AC"/>
    <m/>
    <m/>
    <s v="N/A"/>
    <m/>
    <m/>
    <m/>
  </r>
  <r>
    <s v="AGP"/>
    <s v="Peru"/>
    <s v="Tesla"/>
    <s v="Model X"/>
    <s v="ARG"/>
    <x v="2"/>
    <s v="W5060"/>
    <s v="F"/>
    <s v="R3"/>
    <s v="Clear"/>
    <s v="Standard"/>
    <s v="BF006923"/>
    <s v="N"/>
    <x v="4"/>
    <n v="0.6"/>
    <n v="183"/>
    <n v="65"/>
    <s v="N/A"/>
    <s v="N/A"/>
    <n v="0.38"/>
    <s v="N/A"/>
    <s v="N/A"/>
    <e v="#VALUE!"/>
    <e v="#VALUE!"/>
    <s v="N/A"/>
    <s v="N/A"/>
    <e v="#VALUE!"/>
    <e v="#VALUE!"/>
    <s v="N/A"/>
    <n v="118"/>
    <n v="1.0880000000000001"/>
    <m/>
    <n v="0.8597377049180327"/>
    <n v="0.91562065573770479"/>
    <n v="443.94738000000001"/>
    <n v="153.64495224251655"/>
    <n v="167.99890315329793"/>
    <n v="333.95757756972563"/>
    <n v="166"/>
    <n v="303.77999999999997"/>
    <n v="278.14724279999996"/>
    <n v="427.91883507692302"/>
    <s v="2015"/>
    <s v="Old"/>
    <s v="W5060 FR3 CLEAR i183x0.95x0166 C03P"/>
    <s v="Half thickness. Interleaved. Not used for HUD. Must run single-cut."/>
    <m/>
    <m/>
    <s v="BE8320"/>
    <m/>
    <m/>
    <m/>
  </r>
  <r>
    <s v="AGP"/>
    <s v="Peru"/>
    <s v="Tesla"/>
    <s v="Model X"/>
    <s v="OEM"/>
    <x v="2"/>
    <s v="W2260AA"/>
    <s v="L"/>
    <s v="E2"/>
    <s v="Clear"/>
    <s v="Acoustic"/>
    <s v="BF009011, BF009034 (50m), __ (refrig)"/>
    <s v="Y"/>
    <x v="0"/>
    <n v="0.6"/>
    <n v="183"/>
    <n v="65"/>
    <s v="N/A"/>
    <s v="N/A"/>
    <n v="0.38"/>
    <n v="300"/>
    <n v="650"/>
    <n v="350"/>
    <n v="530"/>
    <n v="300"/>
    <n v="700"/>
    <n v="400"/>
    <n v="480"/>
    <s v="N/A"/>
    <n v="118"/>
    <n v="1.0880000000000001"/>
    <m/>
    <n v="0.8597377049180327"/>
    <n v="0.91132196721311465"/>
    <n v="441.86311999999998"/>
    <n v="153.64495224251655"/>
    <n v="167.99890315329793"/>
    <n v="333.95757756972563"/>
    <n v="166"/>
    <n v="303.77999999999997"/>
    <n v="276.84138719999993"/>
    <n v="425.90982646153833"/>
    <d v="2021-08-01T00:00:00"/>
    <s v="2020_0069_01120, 2021_0943_01998, 2025-0206-0351"/>
    <s v="W2260AA LR CLEAR I183X0.95X0050 C03P, W2260AA LR CLEAR I183X0.95X0166 C03P"/>
    <s v="Changed from R to E2 pattern with second BPCM request. Interleaved."/>
    <m/>
    <m/>
    <s v="N/A"/>
    <d v="2021-08-01T00:00:00"/>
    <m/>
    <m/>
  </r>
  <r>
    <s v="Asahi India"/>
    <s v="Chennai"/>
    <m/>
    <m/>
    <s v="OEM"/>
    <x v="0"/>
    <s v="W2237AH"/>
    <s v="K"/>
    <s v="E2"/>
    <s v="Clear"/>
    <s v="Acoustic"/>
    <s v="BF012882"/>
    <s v="Y"/>
    <x v="0"/>
    <n v="0.37"/>
    <n v="110"/>
    <n v="30"/>
    <s v="N/A"/>
    <s v="N/A"/>
    <n v="0.8"/>
    <n v="110"/>
    <n v="550"/>
    <n v="440"/>
    <n v="250"/>
    <n v="110"/>
    <n v="550"/>
    <n v="440"/>
    <n v="250"/>
    <s v="N/A"/>
    <n v="80"/>
    <n v="1.0960000000000001"/>
    <m/>
    <n v="0.98836363636363633"/>
    <n v="1.0476654545454547"/>
    <n v="872.08892400000002"/>
    <n v="152.52345624074638"/>
    <n v="166.77263378721548"/>
    <n v="331.51993101812178"/>
    <n v="120"/>
    <n v="132"/>
    <n v="138.29184000000001"/>
    <n v="460.97280000000006"/>
    <s v="?"/>
    <s v="2025-0166-0306"/>
    <m/>
    <m/>
    <m/>
    <m/>
    <m/>
    <m/>
    <m/>
    <m/>
  </r>
  <r>
    <s v="Asahi India"/>
    <s v="Chennai"/>
    <m/>
    <m/>
    <s v="OEM"/>
    <x v="0"/>
    <s v="W2228AF"/>
    <s v="K"/>
    <s v="E2"/>
    <s v="Clear"/>
    <s v="Acoustic"/>
    <s v="BF012884"/>
    <s v="Y"/>
    <x v="0"/>
    <n v="0.28000000000000003"/>
    <n v="107"/>
    <n v="30"/>
    <s v="N/A"/>
    <s v="N/A"/>
    <n v="0.8"/>
    <n v="100"/>
    <n v="533"/>
    <n v="433"/>
    <n v="237"/>
    <n v="100"/>
    <n v="533"/>
    <n v="433"/>
    <n v="237"/>
    <s v="N/A"/>
    <n v="77"/>
    <n v="1.0156000000000001"/>
    <m/>
    <n v="0.93802429906542062"/>
    <n v="0.99430575700934587"/>
    <n v="866.22945600000003"/>
    <n v="164.59797955874166"/>
    <n v="179.97519361046488"/>
    <n v="357.76471484429049"/>
    <n v="120"/>
    <n v="128.4"/>
    <n v="127.66885920000001"/>
    <n v="425.56286400000005"/>
    <s v="?"/>
    <s v="2025-0166-0306"/>
    <m/>
    <m/>
    <m/>
    <m/>
    <m/>
    <m/>
    <m/>
    <m/>
  </r>
  <r>
    <s v="Carlex"/>
    <s v="Grevenmacher"/>
    <s v="Audi"/>
    <s v="A6C8"/>
    <s v="OEM"/>
    <x v="1"/>
    <s v="W1244"/>
    <s v="L"/>
    <s v="E2"/>
    <s v="Clear"/>
    <s v="Acoustic"/>
    <s v="BF007886"/>
    <s v="Y"/>
    <x v="2"/>
    <n v="0.44"/>
    <n v="99"/>
    <n v="34"/>
    <s v="N/A"/>
    <s v="N/A"/>
    <n v="0.8"/>
    <n v="160"/>
    <n v="605"/>
    <n v="445"/>
    <n v="45"/>
    <m/>
    <m/>
    <n v="0"/>
    <n v="650"/>
    <s v="N/A"/>
    <n v="65"/>
    <n v="1.0860000000000001"/>
    <m/>
    <n v="0.99211111111111105"/>
    <n v="0"/>
    <n v="0"/>
    <n v="153.92790795567038"/>
    <n v="168.30829339851581"/>
    <n v="334.57260073283743"/>
    <n v="150"/>
    <n v="148.5"/>
    <n v="0"/>
    <n v="0"/>
    <d v="2019-07-01T00:00:00"/>
    <s v="Old"/>
    <s v="W1244 LE2 CLEAR r099x0.95x0150 CT4P"/>
    <s v="Being laminated with black printed"/>
    <n v="2"/>
    <s v="???"/>
    <s v="N/A"/>
    <m/>
    <n v="0.61111111111111116"/>
    <m/>
  </r>
  <r>
    <s v="Carlex"/>
    <s v="Grevenmacher"/>
    <s v="Audi"/>
    <s v="A6C8"/>
    <s v="OEM"/>
    <x v="1"/>
    <s v="W2244"/>
    <s v="K"/>
    <s v="E2"/>
    <s v="Clear"/>
    <s v="Acoustic"/>
    <s v="BF008312, BF008706"/>
    <s v="Y"/>
    <x v="2"/>
    <n v="0.44"/>
    <n v="99"/>
    <n v="33"/>
    <s v="N/A"/>
    <s v="N/A"/>
    <n v="0.8"/>
    <n v="160"/>
    <n v="605"/>
    <n v="445"/>
    <n v="55"/>
    <m/>
    <m/>
    <n v="0"/>
    <n v="660"/>
    <s v="N/A"/>
    <n v="66"/>
    <n v="1.0904"/>
    <m/>
    <n v="0.99360000000000004"/>
    <n v="1.0532160000000002"/>
    <n v="876.64628800000003"/>
    <n v="153.30677553178469"/>
    <n v="167.62913300695908"/>
    <n v="333.22252787588178"/>
    <n v="150"/>
    <n v="148.5"/>
    <n v="156.40257600000001"/>
    <n v="473.94720000000001"/>
    <d v="2019-10-01T00:00:00"/>
    <s v="Old"/>
    <s v="W2244 KE2 CLEAR r099x0.95x0150 CT1P, W2244 KE2 CLEAR R099X0.95X0150 CT4P"/>
    <s v="Being laminated with black printed"/>
    <n v="4"/>
    <s v="??"/>
    <s v="N/A"/>
    <m/>
    <n v="0.61111111111111116"/>
    <m/>
  </r>
  <r>
    <s v="Carlex"/>
    <s v="Grevenmacher"/>
    <s v="Audi"/>
    <s v="A6C8"/>
    <s v="OEM"/>
    <x v="1"/>
    <s v="W2244AB"/>
    <s v="K"/>
    <s v="R"/>
    <s v="Clear"/>
    <s v="Acoustic"/>
    <s v="BF009864"/>
    <s v="Y"/>
    <x v="2"/>
    <n v="0.44"/>
    <n v="99"/>
    <n v="28"/>
    <s v="N/A"/>
    <s v="N/A"/>
    <n v="0.8"/>
    <n v="160"/>
    <n v="605"/>
    <n v="445"/>
    <n v="105"/>
    <n v="160"/>
    <n v="605"/>
    <n v="445"/>
    <n v="105"/>
    <s v="N/A"/>
    <n v="71"/>
    <n v="1.1124000000000001"/>
    <m/>
    <n v="1.0003777777777778"/>
    <n v="1.0604004444444444"/>
    <n v="876.64628800000003"/>
    <n v="150.27481844647431"/>
    <n v="164.31392181840002"/>
    <n v="326.63236641123825"/>
    <n v="164"/>
    <n v="162.36000000000001"/>
    <n v="172.16661615999999"/>
    <n v="614.88077199999987"/>
    <d v="2021-04-01T00:00:00"/>
    <s v="2021_0782_01836"/>
    <m/>
    <m/>
    <m/>
    <m/>
    <s v="N/A"/>
    <m/>
    <n v="0.61111111111111116"/>
    <m/>
  </r>
  <r>
    <s v="Carlex"/>
    <s v="Ligonier"/>
    <s v="Jeep"/>
    <s v="Grand Cherokee (WL)"/>
    <s v="OEM"/>
    <x v="0"/>
    <s v="W2262AA"/>
    <s v="L"/>
    <s v="R"/>
    <s v="Clear"/>
    <s v="Acoustic"/>
    <s v="BF010966"/>
    <s v="Y"/>
    <x v="2"/>
    <n v="0.62"/>
    <n v="99"/>
    <n v="28"/>
    <s v="N/A"/>
    <s v="N/A"/>
    <n v="0.8"/>
    <n v="220"/>
    <n v="580"/>
    <n v="360"/>
    <n v="130"/>
    <n v="190"/>
    <n v="590"/>
    <n v="400"/>
    <n v="120"/>
    <s v="N/A"/>
    <n v="71"/>
    <n v="1.2402"/>
    <m/>
    <n v="1.0823505050505051"/>
    <n v="1.1472915353535353"/>
    <n v="888.36522400000001"/>
    <n v="134.78931465881152"/>
    <n v="147.38171797354312"/>
    <n v="292.97358845013827"/>
    <s v="293, 147"/>
    <e v="#VALUE!"/>
    <e v="#VALUE!"/>
    <e v="#VALUE!"/>
    <d v="2022-08-01T00:00:00"/>
    <s v="2022_1543_02599 (CT2P), 2024_2585_03643 (CT1P)"/>
    <s v="W2262AA LR CLEAR r099x0293 CT2P"/>
    <s v="L8 since L9 wasn't ready in July 2022"/>
    <m/>
    <m/>
    <s v="N/A"/>
    <s v="Sep 2022?"/>
    <n v="0.58585858585858586"/>
    <m/>
  </r>
  <r>
    <s v="Carlex"/>
    <s v="Ligonier"/>
    <s v="Jeep"/>
    <s v="Wagoneer (WS)"/>
    <s v="OEM"/>
    <x v="1"/>
    <s v="W2272AA"/>
    <s v="L"/>
    <s v="R"/>
    <s v="Clear"/>
    <s v="Acoustic"/>
    <s v="BF010967"/>
    <s v="Y"/>
    <x v="2"/>
    <n v="0.72"/>
    <n v="99"/>
    <n v="30"/>
    <s v="N/A"/>
    <s v="N/A"/>
    <n v="0.8"/>
    <n v="120"/>
    <n v="470"/>
    <n v="350"/>
    <n v="220"/>
    <n v="120"/>
    <n v="520"/>
    <n v="400"/>
    <n v="170"/>
    <s v="N/A"/>
    <n v="69"/>
    <n v="1.2968"/>
    <m/>
    <n v="1.1236727272727274"/>
    <n v="1.1910930909090909"/>
    <n v="894.87574400000005"/>
    <n v="128.90631403443712"/>
    <n v="140.94911060363063"/>
    <n v="280.18649321087406"/>
    <n v="280"/>
    <n v="277.2"/>
    <n v="330.17100479999999"/>
    <n v="1100.5700160000001"/>
    <d v="2022-08-01T00:00:00"/>
    <s v="2022_1543_02599"/>
    <s v="W2272AA LR CLEAR r099x0280 CT2P"/>
    <s v="L8 since L9 wasn't ready in July 2022"/>
    <m/>
    <m/>
    <s v="N/A"/>
    <s v="Sep 2022?"/>
    <n v="0.47474747474747475"/>
    <m/>
  </r>
  <r>
    <s v="Dr. Greiche Glass"/>
    <s v="Egypt"/>
    <s v="Jeep"/>
    <s v="Grand Cherokee (W4)"/>
    <s v="OEM"/>
    <x v="0"/>
    <s v="W2264AJ"/>
    <s v="L"/>
    <s v="E2"/>
    <s v="Clear"/>
    <s v="Acoustic"/>
    <s v="tbd"/>
    <s v="Y"/>
    <x v="2"/>
    <n v="0.64"/>
    <n v="100"/>
    <n v="27"/>
    <s v="N/A"/>
    <s v="N/A"/>
    <n v="0.8"/>
    <n v="150"/>
    <n v="600"/>
    <n v="450"/>
    <n v="130"/>
    <n v="150"/>
    <n v="600"/>
    <n v="450"/>
    <n v="130"/>
    <s v="N/A"/>
    <n v="73"/>
    <n v="1.2672000000000001"/>
    <m/>
    <n v="1.0966720000000001"/>
    <n v="1.1624723200000002"/>
    <n v="889.66732800000011"/>
    <n v="131.91738323852434"/>
    <n v="144.24148250535683"/>
    <n v="286.73125346895637"/>
    <n v="144"/>
    <n v="144"/>
    <n v="167.39601408000004"/>
    <n v="619.98523733333343"/>
    <d v="2025-02-01T00:00:00"/>
    <s v="2024_2948_04006"/>
    <m/>
    <s v="Interleaved Wedge has to be tested on Line E"/>
    <m/>
    <m/>
    <m/>
    <m/>
    <n v="0.6"/>
    <m/>
  </r>
  <r>
    <s v="Dr. Greiche Glass"/>
    <s v="Egypt"/>
    <s v="n/a"/>
    <s v="n/a"/>
    <s v="N/A"/>
    <x v="0"/>
    <s v="W2268AE"/>
    <s v="L"/>
    <s v="E2"/>
    <s v="Clear"/>
    <s v="Acoustic"/>
    <s v="tbd"/>
    <s v="Y"/>
    <x v="2"/>
    <n v="0.68"/>
    <n v="100"/>
    <n v="27"/>
    <s v="N/A"/>
    <s v="N/A"/>
    <n v="0.8"/>
    <n v="150"/>
    <n v="600"/>
    <n v="450"/>
    <n v="130"/>
    <n v="150"/>
    <n v="600"/>
    <n v="450"/>
    <n v="130"/>
    <s v="N/A"/>
    <n v="73"/>
    <n v="1.2964000000000002"/>
    <m/>
    <n v="1.1152140000000001"/>
    <n v="1.1821268400000002"/>
    <n v="892.27153599999997"/>
    <n v="128.94608765802067"/>
    <n v="140.99259999289427"/>
    <n v="280.27294384130005"/>
    <n v="141"/>
    <n v="141"/>
    <n v="166.67988444000002"/>
    <n v="617.33290533333343"/>
    <d v="2025-02-01T00:00:00"/>
    <s v="2024_2960_04018"/>
    <m/>
    <s v="Interleaved Wedge has to be tested on Line E"/>
    <m/>
    <m/>
    <m/>
    <m/>
    <n v="0.6"/>
    <m/>
  </r>
  <r>
    <s v="Fuyao"/>
    <s v="America"/>
    <s v="BMW"/>
    <s v="X5 / X7"/>
    <s v="OEM"/>
    <x v="0"/>
    <s v="W2229AL"/>
    <s v="K"/>
    <s v="E2"/>
    <s v="Clear"/>
    <s v="Acoustic"/>
    <s v="tbd"/>
    <s v="Y"/>
    <x v="0"/>
    <n v="0.28999999999999998"/>
    <n v="110"/>
    <n v="30"/>
    <s v="N/A"/>
    <s v="N/A"/>
    <n v="0.8"/>
    <n v="300"/>
    <n v="590"/>
    <n v="290"/>
    <n v="210"/>
    <n v="200"/>
    <n v="600"/>
    <n v="400"/>
    <n v="200"/>
    <s v="N/A"/>
    <n v="80"/>
    <n v="1.032"/>
    <m/>
    <n v="0.94763636363636372"/>
    <n v="1.0044945454545455"/>
    <n v="866.88050800000008"/>
    <n v="161.98227523242059"/>
    <n v="177.11512270425209"/>
    <n v="352.07930658513709"/>
    <n v="177"/>
    <n v="194.7"/>
    <n v="195.57508799999999"/>
    <n v="651.91696000000002"/>
    <m/>
    <m/>
    <s v="W2229AL KE2 CLEAR r110x0177 CB1P"/>
    <m/>
    <m/>
    <m/>
    <m/>
    <m/>
    <m/>
    <m/>
  </r>
  <r>
    <s v="Fuyao"/>
    <s v="America"/>
    <s v="Chevrolet"/>
    <s v="Silverado 1500"/>
    <s v="ARG"/>
    <x v="0"/>
    <s v="W2251AA"/>
    <s v="K"/>
    <s v="E2"/>
    <s v="Clear"/>
    <s v="Acoustic"/>
    <s v="BF010856 (4 roll), BF010894 (1 roll), BF012113 (2 roll)"/>
    <s v="Y"/>
    <x v="2"/>
    <n v="0.51"/>
    <n v="109"/>
    <n v="30"/>
    <s v="N/A"/>
    <s v="N/A"/>
    <n v="0.8"/>
    <n v="200"/>
    <n v="600"/>
    <n v="400"/>
    <n v="190"/>
    <n v="200"/>
    <n v="600"/>
    <n v="400"/>
    <n v="190"/>
    <s v="N/A"/>
    <n v="79"/>
    <n v="1.2029000000000001"/>
    <m/>
    <n v="1.0568949541284405"/>
    <n v="1.1203086513761469"/>
    <n v="881.20365200000003"/>
    <n v="138.96891515492393"/>
    <n v="151.95178870295797"/>
    <n v="302.05822960833103"/>
    <n v="302"/>
    <n v="329.18"/>
    <n v="368.78320186000002"/>
    <n v="1229.2773395333334"/>
    <d v="2022-08-01T00:00:00"/>
    <s v="2022_1406_02462, 2022_1494_02550, 2023_2299_03356"/>
    <s v="W2251AA KE2 CLEAR r109x0152 CT4A, W2251AA KE2 CLEAR r109x0152 CT1A"/>
    <m/>
    <m/>
    <m/>
    <s v="N/A"/>
    <m/>
    <n v="0.55045871559633031"/>
    <m/>
  </r>
  <r>
    <s v="Fuyao"/>
    <s v="America"/>
    <s v="Chevrolet"/>
    <s v="Silverado 1500"/>
    <s v="ARG"/>
    <x v="0"/>
    <s v="W2253AC"/>
    <s v="K"/>
    <s v="E2"/>
    <s v="Clear"/>
    <s v="Acoustic"/>
    <s v="BF012431"/>
    <s v="Y"/>
    <x v="2"/>
    <n v="0.53"/>
    <n v="109"/>
    <n v="30"/>
    <s v="N/A"/>
    <s v="N/A"/>
    <n v="0.8"/>
    <n v="200"/>
    <n v="600"/>
    <n v="400"/>
    <n v="190"/>
    <n v="200"/>
    <n v="600"/>
    <n v="400"/>
    <n v="190"/>
    <s v="N/A"/>
    <n v="79"/>
    <n v="1.2187000000000001"/>
    <m/>
    <n v="1.0669692660550458"/>
    <n v="1.1309874220183487"/>
    <n v="882.50575600000013"/>
    <n v="137.16723397050794"/>
    <n v="149.98178930892604"/>
    <n v="298.14215507988962"/>
    <n v="150"/>
    <n v="163.5"/>
    <n v="184.91644350000001"/>
    <n v="616.38814500000012"/>
    <d v="2024-06-01T00:00:00"/>
    <s v="2024_2667_03725"/>
    <s v="W2253AC KE2 CLEAR r109x0150 CT1P"/>
    <m/>
    <m/>
    <m/>
    <m/>
    <m/>
    <m/>
    <m/>
  </r>
  <r>
    <s v="Fuyao"/>
    <s v="Changchun"/>
    <s v="Audi"/>
    <s v="EQ5L"/>
    <s v="OEM"/>
    <x v="0"/>
    <s v="W2227AM"/>
    <s v="L"/>
    <s v="E2"/>
    <s v="Clear"/>
    <s v="Acoustic"/>
    <s v="tbd"/>
    <s v="Y"/>
    <x v="0"/>
    <n v="0.27"/>
    <n v="98"/>
    <n v="5"/>
    <s v="N/A"/>
    <s v="N/A"/>
    <n v="0.8"/>
    <n v="230"/>
    <n v="800"/>
    <n v="570"/>
    <n v="130"/>
    <n v="230"/>
    <n v="800"/>
    <n v="570"/>
    <n v="130"/>
    <s v="N/A"/>
    <n v="93"/>
    <n v="1.0510999999999999"/>
    <m/>
    <n v="0.93195561224489787"/>
    <n v="0.98787294897959166"/>
    <n v="865.57840400000009"/>
    <n v="159.03882412696987"/>
    <n v="173.89668597734581"/>
    <n v="345.68151878590186"/>
    <n v="174"/>
    <n v="170.52"/>
    <n v="168.45209525999999"/>
    <n v="3369.0419051999997"/>
    <s v="?"/>
    <s v="2025-0224-0369"/>
    <s v="W2227AM LE2 CLEAR r098x0174 CB1P"/>
    <m/>
    <m/>
    <m/>
    <m/>
    <m/>
    <m/>
    <m/>
  </r>
  <r>
    <s v="Fuyao"/>
    <s v="Changchun"/>
    <s v="Audi"/>
    <s v="EQ5L"/>
    <s v="OEM"/>
    <x v="0"/>
    <s v="W2227AOT"/>
    <s v="L"/>
    <s v="E2"/>
    <s v="Clear"/>
    <s v="Acoustic"/>
    <m/>
    <s v="Y"/>
    <x v="0"/>
    <n v="0.27"/>
    <n v="108"/>
    <n v="10"/>
    <s v="N/A"/>
    <s v="N/A"/>
    <n v="0.8"/>
    <n v="200"/>
    <n v="850"/>
    <n v="650"/>
    <n v="130"/>
    <n v="200"/>
    <n v="850"/>
    <n v="650"/>
    <n v="130"/>
    <s v="N/A"/>
    <n v="98"/>
    <n v="1.0646"/>
    <m/>
    <n v="0.94455000000000011"/>
    <n v="1.0012230000000002"/>
    <n v="865.57840400000009"/>
    <n v="157.02208157040957"/>
    <n v="171.69153356264152"/>
    <n v="341.29799398446505"/>
    <n v="172"/>
    <n v="185.76"/>
    <n v="185.98718448000002"/>
    <n v="1859.8718448000002"/>
    <s v="?"/>
    <s v="2025-0242-0387"/>
    <m/>
    <m/>
    <m/>
    <m/>
    <m/>
    <m/>
    <m/>
    <m/>
  </r>
  <r>
    <s v="Fuyao"/>
    <s v="Changchun"/>
    <s v="Audi"/>
    <s v="EQ6L"/>
    <s v="OEM"/>
    <x v="0"/>
    <s v="W2227AN"/>
    <s v="L"/>
    <s v="E2"/>
    <s v="Clear"/>
    <s v="Acoustic"/>
    <s v="tbd"/>
    <s v="Y"/>
    <x v="0"/>
    <n v="0.27"/>
    <n v="103"/>
    <n v="5"/>
    <s v="N/A"/>
    <s v="N/A"/>
    <n v="0.8"/>
    <n v="230"/>
    <n v="850"/>
    <n v="620"/>
    <n v="130"/>
    <n v="230"/>
    <n v="850"/>
    <n v="620"/>
    <n v="130"/>
    <s v="N/A"/>
    <n v="98"/>
    <n v="1.0646"/>
    <m/>
    <n v="0.93872233009708739"/>
    <n v="0.99504566990291266"/>
    <n v="865.57840400000009"/>
    <n v="157.02208157040957"/>
    <n v="171.69153356264152"/>
    <n v="341.29799398446505"/>
    <n v="172"/>
    <n v="177.16"/>
    <n v="176.28229088000001"/>
    <n v="3525.6458176000001"/>
    <s v="?"/>
    <s v="2025-0224-0369"/>
    <s v="W2227AN LE2 CLEAR r103x0172 CB1P"/>
    <m/>
    <m/>
    <m/>
    <m/>
    <m/>
    <m/>
    <m/>
  </r>
  <r>
    <s v="Fuyao"/>
    <s v="Changchun"/>
    <s v="Audi"/>
    <s v="EQ6L"/>
    <s v="OEM"/>
    <x v="0"/>
    <s v="W2227APT"/>
    <s v="L"/>
    <s v="E2"/>
    <s v="Clear"/>
    <s v="Acoustic"/>
    <m/>
    <s v="Y"/>
    <x v="0"/>
    <n v="0.27"/>
    <n v="112"/>
    <n v="10"/>
    <s v="N/A"/>
    <s v="N/A"/>
    <n v="0.8"/>
    <n v="200"/>
    <n v="890"/>
    <n v="690"/>
    <n v="130"/>
    <n v="200"/>
    <n v="890"/>
    <n v="690"/>
    <n v="130"/>
    <s v="N/A"/>
    <n v="102"/>
    <n v="1.0754000000000001"/>
    <m/>
    <n v="0.94999464285714297"/>
    <n v="1.0069943214285715"/>
    <n v="865.57840400000009"/>
    <n v="155.44514416947928"/>
    <n v="169.96727415918559"/>
    <n v="337.87041509750924"/>
    <n v="170"/>
    <n v="190.4"/>
    <n v="191.73171880000001"/>
    <n v="1917.317188"/>
    <s v="?"/>
    <s v="2025-0242-0387"/>
    <m/>
    <m/>
    <m/>
    <m/>
    <m/>
    <m/>
    <m/>
    <m/>
  </r>
  <r>
    <s v="Fuyao"/>
    <s v="Changchun"/>
    <s v="Ben Teng"/>
    <s v="D511"/>
    <s v="OEM"/>
    <x v="1"/>
    <s v="W2270AA"/>
    <s v="L"/>
    <s v="E2"/>
    <s v="Clear"/>
    <s v="Acoustic"/>
    <s v="BF011450"/>
    <s v="Y"/>
    <x v="0"/>
    <n v="0.7"/>
    <n v="102"/>
    <n v="30"/>
    <s v="N/A"/>
    <s v="N/A"/>
    <n v="0.8"/>
    <n v="263"/>
    <n v="538"/>
    <n v="275"/>
    <n v="182"/>
    <n v="200"/>
    <n v="600"/>
    <n v="400"/>
    <n v="120"/>
    <s v="N/A"/>
    <n v="72"/>
    <n v="1.304"/>
    <m/>
    <n v="1.1261176470588237"/>
    <n v="1.193684705882353"/>
    <n v="893.57364000000007"/>
    <n v="128.19456138025922"/>
    <n v="140.17086398066576"/>
    <n v="278.63945122382012"/>
    <n v="50"/>
    <n v="51"/>
    <n v="60.877920000000003"/>
    <n v="202.92640000000003"/>
    <s v="Never"/>
    <s v="2022_1741_02797"/>
    <m/>
    <s v="Angle too steep for L9 today. FY didn’t want sheeting from L8."/>
    <m/>
    <m/>
    <s v="N/A"/>
    <m/>
    <n v="0.52745098039215688"/>
    <m/>
  </r>
  <r>
    <s v="Fuyao"/>
    <s v="Changchun"/>
    <s v="Hongqi"/>
    <s v="C095"/>
    <s v="OEM"/>
    <x v="1"/>
    <s v="W2246AC"/>
    <s v="L"/>
    <s v="E2"/>
    <s v="Clear"/>
    <s v="Acoustic"/>
    <s v="BF011636"/>
    <s v="Y"/>
    <x v="0"/>
    <n v="0.46"/>
    <n v="130"/>
    <n v="30"/>
    <s v="N/A"/>
    <s v="N/A"/>
    <n v="0.8"/>
    <n v="200"/>
    <n v="600"/>
    <n v="400"/>
    <n v="400"/>
    <n v="150"/>
    <n v="600"/>
    <n v="450"/>
    <n v="400"/>
    <s v="N/A"/>
    <n v="100"/>
    <n v="1.26"/>
    <m/>
    <n v="1.0830769230769233"/>
    <n v="1.1480615384615387"/>
    <n v="877.94839200000001"/>
    <n v="132.6711968570302"/>
    <n v="145.06571954824457"/>
    <n v="288.36971777449321"/>
    <n v="120"/>
    <n v="156"/>
    <n v="179.09760000000003"/>
    <n v="596.99200000000008"/>
    <s v="Never"/>
    <s v="2023_1903_02960"/>
    <s v="W2246AC LE2 CLEAR r130x0120 CB1P"/>
    <m/>
    <m/>
    <m/>
    <s v="N/A"/>
    <m/>
    <n v="0.46153846153846156"/>
    <m/>
  </r>
  <r>
    <s v="Fuyao"/>
    <s v="Changchun"/>
    <s v="Hongqi"/>
    <s v="C100"/>
    <s v="OEM"/>
    <x v="1"/>
    <s v="W2250AJ"/>
    <s v="L"/>
    <s v="E2"/>
    <s v="Clear"/>
    <s v="Acoustic"/>
    <s v="BF011638"/>
    <s v="Y"/>
    <x v="0"/>
    <n v="0.5"/>
    <n v="98"/>
    <n v="30"/>
    <s v="N/A"/>
    <s v="N/A"/>
    <n v="0.8"/>
    <n v="160"/>
    <n v="560"/>
    <n v="400"/>
    <n v="120"/>
    <n v="150"/>
    <n v="600"/>
    <n v="450"/>
    <n v="80"/>
    <s v="N/A"/>
    <n v="68"/>
    <n v="1.1400000000000001"/>
    <m/>
    <n v="1.0220408163265307"/>
    <n v="1.0833632653061225"/>
    <n v="880.5526000000001"/>
    <n v="146.63658599987545"/>
    <n v="160.33579529016504"/>
    <n v="318.72442490865035"/>
    <n v="120"/>
    <n v="117.6"/>
    <n v="127.40352"/>
    <n v="424.67840000000001"/>
    <d v="2023-03-01T00:00:00"/>
    <s v="2023_1903_02960"/>
    <s v="W2250AJ LE2 CLEAR r098x0120 CB1P"/>
    <m/>
    <m/>
    <m/>
    <s v="N/A"/>
    <m/>
    <n v="0.5714285714285714"/>
    <m/>
  </r>
  <r>
    <s v="Fuyao"/>
    <s v="Changchun"/>
    <s v="Hongqi"/>
    <s v="C100"/>
    <s v="OEM"/>
    <x v="1"/>
    <s v="W2254AD"/>
    <s v="L"/>
    <s v="E2"/>
    <s v="Clear"/>
    <s v="Acoustic"/>
    <s v="BF011639"/>
    <s v="Y"/>
    <x v="0"/>
    <n v="0.54"/>
    <n v="100"/>
    <n v="30"/>
    <s v="N/A"/>
    <s v="N/A"/>
    <n v="0.8"/>
    <n v="180"/>
    <n v="580"/>
    <n v="400"/>
    <n v="120"/>
    <n v="150"/>
    <n v="600"/>
    <n v="450"/>
    <n v="100"/>
    <s v="N/A"/>
    <n v="70"/>
    <n v="1.1779999999999999"/>
    <m/>
    <n v="1.0456999999999999"/>
    <n v="1.1084419999999999"/>
    <n v="883.15680800000007"/>
    <n v="141.9063735482666"/>
    <n v="155.1636728614501"/>
    <n v="308.44299184708109"/>
    <n v="120"/>
    <n v="120"/>
    <n v="133.01303999999999"/>
    <n v="443.3768"/>
    <s v="Never"/>
    <s v="2023_1903_02960"/>
    <s v="W2254AD LE2 CLEAR r100x0120 CB1P"/>
    <m/>
    <m/>
    <m/>
    <s v="N/A"/>
    <m/>
    <n v="0.57999999999999996"/>
    <m/>
  </r>
  <r>
    <s v="Fuyao"/>
    <s v="Changchun"/>
    <s v="Hongqi"/>
    <s v="C100"/>
    <s v="OEM"/>
    <x v="0"/>
    <s v="W2262AB from SYPKA passed validation"/>
    <m/>
    <m/>
    <m/>
    <s v="Acoustic"/>
    <s v="Copy"/>
    <s v="Y"/>
    <x v="0"/>
    <m/>
    <m/>
    <m/>
    <m/>
    <n v="0"/>
    <m/>
    <m/>
    <m/>
    <n v="0"/>
    <n v="0"/>
    <m/>
    <m/>
    <n v="0"/>
    <n v="0"/>
    <n v="0"/>
    <n v="0"/>
    <n v="0"/>
    <m/>
    <e v="#DIV/0!"/>
    <e v="#DIV/0!"/>
    <n v="0"/>
    <e v="#DIV/0!"/>
    <e v="#DIV/0!"/>
    <e v="#DIV/0!"/>
    <m/>
    <n v="0"/>
    <e v="#DIV/0!"/>
    <e v="#DIV/0!"/>
    <s v="N/A"/>
    <s v="N/A"/>
    <m/>
    <s v="Passed validation. No order yet."/>
    <m/>
    <m/>
    <s v="N/A"/>
    <m/>
    <m/>
    <m/>
  </r>
  <r>
    <s v="Fuyao"/>
    <s v="Changchun"/>
    <s v="Hongqi"/>
    <s v="C206"/>
    <s v="OEM"/>
    <x v="1"/>
    <s v="W2220AA"/>
    <s v="L"/>
    <s v="E2"/>
    <s v="Clear"/>
    <s v="Acoustic"/>
    <s v="BF011633"/>
    <s v="Y"/>
    <x v="0"/>
    <n v="0.2"/>
    <n v="106"/>
    <n v="30"/>
    <s v="N/A"/>
    <s v="N/A"/>
    <n v="0.8"/>
    <n v="200"/>
    <n v="600"/>
    <n v="400"/>
    <n v="160"/>
    <n v="150"/>
    <n v="600"/>
    <n v="450"/>
    <n v="160"/>
    <s v="N/A"/>
    <n v="76"/>
    <n v="0.95200000000000007"/>
    <m/>
    <n v="0.89750943396226424"/>
    <n v="0.95136000000000009"/>
    <n v="861.02103999999997"/>
    <n v="175.59423113430464"/>
    <n v="191.99874646091195"/>
    <n v="381.66580293682927"/>
    <n v="120"/>
    <n v="127.2"/>
    <n v="121.01299200000001"/>
    <n v="403.37664000000007"/>
    <s v="Never"/>
    <s v="2023_1903_02960"/>
    <s v="W2220AA LE2 CLEAR r106x0120 CB1P"/>
    <m/>
    <m/>
    <m/>
    <s v="N/A"/>
    <m/>
    <n v="0.56603773584905659"/>
    <m/>
  </r>
  <r>
    <s v="Fuyao"/>
    <s v="Changchun"/>
    <s v="Hongqi"/>
    <s v="HS5"/>
    <s v="OEM"/>
    <x v="1"/>
    <s v="W2254AE"/>
    <s v="L"/>
    <s v="E2"/>
    <s v="Clear"/>
    <s v="Acoustic"/>
    <s v="BF011707"/>
    <s v="Y"/>
    <x v="0"/>
    <n v="0.54"/>
    <n v="105"/>
    <n v="30"/>
    <s v="N/A"/>
    <s v="N/A"/>
    <n v="0.8"/>
    <n v="200"/>
    <n v="600"/>
    <n v="400"/>
    <n v="150"/>
    <n v="150"/>
    <n v="600"/>
    <n v="450"/>
    <n v="150"/>
    <s v="N/A"/>
    <n v="75"/>
    <n v="1.2050000000000001"/>
    <m/>
    <n v="1.060357142857143"/>
    <n v="1.1239785714285717"/>
    <n v="883.15680800000007"/>
    <n v="138.72672866378261"/>
    <n v="151.68697645708559"/>
    <n v="301.53182107540368"/>
    <n v="152"/>
    <n v="159.6"/>
    <n v="179.38698000000005"/>
    <n v="597.95660000000021"/>
    <s v="Never"/>
    <s v="2023_1949_03006"/>
    <s v="W2254AE LE2 CLEAR r105x0152 CB1P"/>
    <s v="Obsolete if they're going to monolayer? Or they may use both."/>
    <m/>
    <m/>
    <s v="N/A"/>
    <m/>
    <n v="0.5714285714285714"/>
    <m/>
  </r>
  <r>
    <s v="Fuyao"/>
    <s v="Changchun"/>
    <s v="Hongqi"/>
    <s v="HS5"/>
    <s v="OEM"/>
    <x v="2"/>
    <s v="W5054AA"/>
    <s v="L"/>
    <s v="E2"/>
    <s v="Clear"/>
    <s v="Standard"/>
    <s v="BF011706 (CB1P), BF011875 (CB4P)"/>
    <m/>
    <x v="1"/>
    <n v="0.54"/>
    <n v="105"/>
    <n v="30"/>
    <s v="N/A"/>
    <s v="N/A"/>
    <n v="0.76"/>
    <n v="200"/>
    <n v="600"/>
    <n v="400"/>
    <n v="150"/>
    <n v="150"/>
    <n v="600"/>
    <n v="450"/>
    <n v="150"/>
    <s v="N/A"/>
    <n v="75"/>
    <n v="1.165"/>
    <m/>
    <n v="1.020357142857143"/>
    <n v="1.0866803571428572"/>
    <n v="844.72264200000006"/>
    <n v="143.48987814580087"/>
    <n v="156.89511298780101"/>
    <n v="311.88484497498837"/>
    <n v="157"/>
    <n v="164.85"/>
    <n v="179.139256875"/>
    <n v="597.13085625000008"/>
    <d v="2023-08-01T00:00:00"/>
    <s v="2023_1949_03006, 2023_2076_03133"/>
    <s v="W5054AA FR3 CLEAR r105x0157 CB1P, W5054AA FR3 CLEAR r105x0157 CB4P"/>
    <m/>
    <m/>
    <m/>
    <s v="N/A"/>
    <m/>
    <n v="0.5714285714285714"/>
    <m/>
  </r>
  <r>
    <s v="Fuyao"/>
    <s v="Changchun"/>
    <s v="Hongqi"/>
    <s v="HS5"/>
    <s v="OEM"/>
    <x v="1"/>
    <s v="W2258AA"/>
    <s v="L"/>
    <s v="E2"/>
    <s v="Clear"/>
    <s v="Acoustic"/>
    <s v="BF011211"/>
    <s v="Y"/>
    <x v="0"/>
    <n v="0.57999999999999996"/>
    <n v="103"/>
    <n v="30"/>
    <s v="N/A"/>
    <s v="N/A"/>
    <n v="0.8"/>
    <n v="210"/>
    <n v="430"/>
    <n v="220"/>
    <n v="300"/>
    <n v="210"/>
    <n v="610"/>
    <n v="400"/>
    <n v="120"/>
    <s v="N/A"/>
    <n v="73"/>
    <n v="1.2234"/>
    <m/>
    <n v="1.0733601941747573"/>
    <n v="1.1377618058252426"/>
    <n v="885.76101600000004"/>
    <n v="136.64027140743667"/>
    <n v="149.40559639593604"/>
    <n v="296.99676671232749"/>
    <n v="50"/>
    <n v="51.5"/>
    <n v="58.594732999999991"/>
    <n v="195.31577666666664"/>
    <d v="2022-09-01T00:00:00"/>
    <s v="2022_1609_02665"/>
    <s v="W2258AA LE2 CLEAR r103x0050 CB1P"/>
    <s v="Went to monolayer"/>
    <m/>
    <m/>
    <s v="N/A"/>
    <m/>
    <n v="0.41747572815533979"/>
    <m/>
  </r>
  <r>
    <s v="Fuyao"/>
    <s v="Changchun"/>
    <s v="Hongqi"/>
    <s v="HS5"/>
    <s v="OEM"/>
    <x v="1"/>
    <s v="W5058AA"/>
    <s v="F"/>
    <s v="R3"/>
    <s v="Clear"/>
    <s v="Standard"/>
    <s v="BF011212"/>
    <m/>
    <x v="1"/>
    <n v="0.57999999999999996"/>
    <n v="103"/>
    <n v="30"/>
    <s v="N/A"/>
    <s v="N/A"/>
    <n v="0.76"/>
    <n v="210"/>
    <n v="430"/>
    <n v="220"/>
    <n v="300"/>
    <n v="210"/>
    <n v="610"/>
    <n v="400"/>
    <n v="120"/>
    <s v="N/A"/>
    <n v="73"/>
    <n v="1.1834"/>
    <m/>
    <n v="1.0333601941747574"/>
    <n v="1.1005286067961169"/>
    <n v="847.33913399999994"/>
    <n v="141.25883728228666"/>
    <n v="154.45564190534745"/>
    <n v="307.03552847377176"/>
    <n v="50"/>
    <n v="51.5"/>
    <n v="56.677223250000019"/>
    <n v="188.92407750000007"/>
    <d v="2022-12-01T00:00:00"/>
    <s v="2022_1609_02665"/>
    <s v="W5058AA FR3 CLEAR r103x0050 CB1P"/>
    <m/>
    <m/>
    <m/>
    <s v="N/A"/>
    <m/>
    <n v="0.41747572815533979"/>
    <m/>
  </r>
  <r>
    <s v="Fuyao"/>
    <s v="Changchun"/>
    <s v="Hongqi"/>
    <s v="HS5"/>
    <s v="OEM"/>
    <x v="1"/>
    <s v="W5060AB"/>
    <s v="F"/>
    <s v="R3"/>
    <s v="Clear"/>
    <s v="Standard"/>
    <s v="BF011649"/>
    <m/>
    <x v="1"/>
    <n v="0.6"/>
    <n v="103"/>
    <n v="30"/>
    <s v="N/A"/>
    <s v="N/A"/>
    <n v="0.76"/>
    <n v="200"/>
    <n v="600"/>
    <n v="400"/>
    <n v="130"/>
    <n v="150"/>
    <n v="600"/>
    <n v="450"/>
    <n v="130"/>
    <s v="N/A"/>
    <n v="73"/>
    <n v="1.198"/>
    <m/>
    <n v="1.0427864077669902"/>
    <n v="1.1105675242718445"/>
    <n v="848.64738"/>
    <n v="139.5373188980451"/>
    <n v="152.57329434957276"/>
    <n v="303.29369315180423"/>
    <n v="120"/>
    <n v="123.6"/>
    <n v="137.26614599999996"/>
    <n v="457.55381999999992"/>
    <s v="Never"/>
    <s v="2023_1903_02960"/>
    <s v="W5060AB FR3 CLEAR r103x0120 CB1P"/>
    <m/>
    <m/>
    <m/>
    <s v="N/A"/>
    <m/>
    <n v="0.58252427184466016"/>
    <m/>
  </r>
  <r>
    <s v="Fuyao"/>
    <s v="Changchun"/>
    <s v="Hongqi"/>
    <s v="HS5"/>
    <s v="OEM"/>
    <x v="1"/>
    <s v="W5068AA"/>
    <s v="F"/>
    <s v="R3"/>
    <s v="Clear"/>
    <s v="Standard"/>
    <s v="BF011550"/>
    <m/>
    <x v="1"/>
    <n v="0.68"/>
    <n v="100"/>
    <n v="30"/>
    <s v="N/A"/>
    <s v="N/A"/>
    <n v="0.76"/>
    <n v="180"/>
    <n v="580"/>
    <n v="400"/>
    <n v="120"/>
    <n v="150"/>
    <n v="600"/>
    <n v="450"/>
    <n v="100"/>
    <s v="N/A"/>
    <n v="70"/>
    <n v="1.236"/>
    <m/>
    <n v="1.0693999999999999"/>
    <n v="1.1389109999999998"/>
    <n v="853.88036399999999"/>
    <n v="135.24733660182687"/>
    <n v="147.88252963656001"/>
    <n v="293.96912977011448"/>
    <n v="120"/>
    <n v="120"/>
    <n v="136.66931999999997"/>
    <n v="455.56439999999992"/>
    <s v="?"/>
    <s v="2022_1807_02863"/>
    <s v="W5068AA FR3 CLEAR r100x0120 CB1P"/>
    <s v="Validation passed. No order"/>
    <m/>
    <m/>
    <s v="N/A"/>
    <m/>
    <n v="0.57999999999999996"/>
    <m/>
  </r>
  <r>
    <s v="Fuyao"/>
    <s v="Changchun"/>
    <s v="VW"/>
    <s v="416-3"/>
    <s v="OEM"/>
    <x v="1"/>
    <s v="W2258AC"/>
    <s v="L"/>
    <s v="E2"/>
    <s v="Clear"/>
    <s v="Acoustic"/>
    <s v="BF011640"/>
    <s v="Y"/>
    <x v="0"/>
    <n v="0.57999999999999996"/>
    <n v="105"/>
    <n v="30"/>
    <s v="N/A"/>
    <s v="N/A"/>
    <n v="0.8"/>
    <n v="200"/>
    <n v="600"/>
    <n v="400"/>
    <n v="150"/>
    <n v="150"/>
    <n v="600"/>
    <n v="450"/>
    <n v="150"/>
    <s v="N/A"/>
    <n v="75"/>
    <n v="1.2349999999999999"/>
    <m/>
    <n v="1.0796428571428571"/>
    <n v="1.1444214285714285"/>
    <n v="885.76101600000004"/>
    <n v="135.35684861526968"/>
    <n v="148.00227257553701"/>
    <n v="294.20716145413888"/>
    <n v="120"/>
    <n v="126"/>
    <n v="144.19709999999998"/>
    <n v="480.65699999999993"/>
    <s v="Never"/>
    <s v="2023_1903_02960"/>
    <s v="W2258AC LE2 CLEAR r105x0120 CB1P"/>
    <s v="4-roll package was set up as W2258AG for Shanghai. Should be obsolete once Changchun tests this code."/>
    <m/>
    <m/>
    <s v="N/A"/>
    <m/>
    <n v="0.5714285714285714"/>
    <m/>
  </r>
  <r>
    <s v="Fuyao"/>
    <s v="Changchun"/>
    <s v="VW"/>
    <s v="Magotan B9"/>
    <s v="OEM"/>
    <x v="2"/>
    <s v="W2251AJT"/>
    <s v="L"/>
    <s v="E2"/>
    <s v="Clear"/>
    <s v="Acoustic"/>
    <s v="BF012515 (CB1P), BF012707 (CB4P)"/>
    <s v="Y"/>
    <x v="0"/>
    <n v="0.51"/>
    <n v="94"/>
    <n v="25"/>
    <s v="N/A"/>
    <s v="N/A"/>
    <n v="0.8"/>
    <n v="150"/>
    <n v="550"/>
    <n v="400"/>
    <n v="140"/>
    <n v="150"/>
    <n v="550"/>
    <n v="400"/>
    <n v="140"/>
    <s v="N/A"/>
    <n v="69"/>
    <n v="1.1519000000000001"/>
    <m/>
    <n v="1.0227452127659575"/>
    <n v="1.0841099255319149"/>
    <n v="881.20365200000003"/>
    <n v="145.12171893381196"/>
    <n v="158.67940500979958"/>
    <n v="315.43176004502249"/>
    <n v="159"/>
    <n v="149.46"/>
    <n v="162.03106947000001"/>
    <n v="648.12427788000002"/>
    <d v="2024-09-01T00:00:00"/>
    <s v="2024_2743_03801, 2024_2909_03967"/>
    <s v="W2251AJ LE2 CLEAR r094x0159 CB1P, W2251AJ LE2 CLEAR r094x0159 CB4P"/>
    <m/>
    <m/>
    <m/>
    <m/>
    <m/>
    <m/>
    <m/>
  </r>
  <r>
    <s v="Fuyao"/>
    <s v="Changchun"/>
    <s v="VW"/>
    <s v="Magotan B9"/>
    <s v="OEM"/>
    <x v="0"/>
    <s v="W2254AI"/>
    <s v="L"/>
    <s v="E2"/>
    <s v="Clear"/>
    <s v="Acoustic"/>
    <s v="BF012516 (CB1P), BF012708 (CB4P)"/>
    <s v="Y"/>
    <x v="0"/>
    <n v="0.54"/>
    <n v="94"/>
    <n v="25"/>
    <s v="N/A"/>
    <s v="N/A"/>
    <n v="0.8"/>
    <n v="150"/>
    <n v="550"/>
    <n v="400"/>
    <n v="140"/>
    <n v="150"/>
    <n v="550"/>
    <n v="400"/>
    <n v="140"/>
    <s v="N/A"/>
    <n v="69"/>
    <n v="1.1726000000000001"/>
    <m/>
    <n v="1.0358478723404256"/>
    <n v="1.0979987446808512"/>
    <n v="883.15680800000007"/>
    <n v="142.55987381874297"/>
    <n v="155.87822499640811"/>
    <n v="309.86341838296221"/>
    <n v="156"/>
    <n v="146.63999999999999"/>
    <n v="161.01053592000002"/>
    <n v="644.04214368000009"/>
    <d v="2024-09-01T00:00:00"/>
    <s v="2024_2743_03801, 2024_2909_03967"/>
    <s v="W2254AI LE2 CLEAR r094x0156 CB1P, W2254AI LE2 CLEAR r094x0156 CB4P"/>
    <m/>
    <m/>
    <m/>
    <m/>
    <m/>
    <m/>
    <m/>
  </r>
  <r>
    <s v="Fuyao"/>
    <s v="Chongqing"/>
    <s v="BAG"/>
    <s v="C385"/>
    <s v="OEM"/>
    <x v="1"/>
    <s v="W5017AA"/>
    <s v="F"/>
    <s v="R3"/>
    <s v="Clear"/>
    <s v="Standard"/>
    <s v="BF011581"/>
    <m/>
    <x v="1"/>
    <n v="0.17"/>
    <n v="110"/>
    <n v="30"/>
    <s v="N/A"/>
    <s v="N/A"/>
    <n v="0.76"/>
    <n v="200"/>
    <n v="600"/>
    <n v="400"/>
    <n v="200"/>
    <n v="150"/>
    <n v="600"/>
    <n v="450"/>
    <n v="200"/>
    <s v="N/A"/>
    <n v="80"/>
    <n v="0.89600000000000002"/>
    <m/>
    <n v="0.8465454545454546"/>
    <n v="0.9015709090909092"/>
    <n v="820.52009100000009"/>
    <n v="186.56887058019871"/>
    <n v="203.99866811471892"/>
    <n v="405.51991562038108"/>
    <n v="120"/>
    <n v="132"/>
    <n v="119.00736000000002"/>
    <n v="396.69120000000009"/>
    <m/>
    <s v="2022_1831_02887, 2023_1838_02894"/>
    <s v="W5017AA FR3 CLEAR r110x0120 CB1P"/>
    <m/>
    <m/>
    <m/>
    <s v="N/A"/>
    <m/>
    <n v="0.54545454545454541"/>
    <m/>
  </r>
  <r>
    <s v="Fuyao"/>
    <s v="Chongqing"/>
    <s v="BAG"/>
    <s v="C385"/>
    <s v="OEM"/>
    <x v="1"/>
    <s v="W5020AB"/>
    <s v="F"/>
    <s v="R3"/>
    <s v="Clear"/>
    <s v="Standard"/>
    <s v="BF011855"/>
    <m/>
    <x v="1"/>
    <n v="0.2"/>
    <n v="108"/>
    <n v="30"/>
    <s v="N/A"/>
    <s v="N/A"/>
    <n v="0.76"/>
    <n v="200"/>
    <n v="600"/>
    <n v="400"/>
    <n v="180"/>
    <n v="150"/>
    <n v="600"/>
    <n v="450"/>
    <n v="180"/>
    <s v="N/A"/>
    <n v="78"/>
    <n v="0.91600000000000004"/>
    <m/>
    <n v="0.85966666666666669"/>
    <n v="0.91554500000000005"/>
    <n v="822.48245999999995"/>
    <n v="182.4953144539935"/>
    <n v="199.54454872356786"/>
    <n v="396.6657689911151"/>
    <n v="200"/>
    <n v="216"/>
    <n v="197.75772000000001"/>
    <n v="659.19240000000002"/>
    <d v="2023-07-23T00:00:00"/>
    <s v="2023_2056_03113"/>
    <s v="W5020AB FR3 CLEAR r108x0200 CB1P"/>
    <m/>
    <m/>
    <m/>
    <s v="N/A"/>
    <m/>
    <n v="0.55555555555555558"/>
    <m/>
  </r>
  <r>
    <s v="Fuyao"/>
    <s v="Chongqing"/>
    <s v="BYD"/>
    <s v="HC"/>
    <s v="OEM"/>
    <x v="1"/>
    <s v="W2233ADT"/>
    <s v="L"/>
    <s v="E2"/>
    <s v="Clear"/>
    <s v="Acoustic"/>
    <s v="BF011854"/>
    <s v="Y"/>
    <x v="0"/>
    <n v="0.33"/>
    <n v="112"/>
    <n v="30"/>
    <s v="N/A"/>
    <s v="N/A"/>
    <n v="0.8"/>
    <n v="200"/>
    <n v="600"/>
    <n v="400"/>
    <n v="220"/>
    <n v="150"/>
    <n v="600"/>
    <n v="450"/>
    <n v="220"/>
    <s v="N/A"/>
    <n v="82"/>
    <n v="1.0706"/>
    <m/>
    <n v="0.97154107142857149"/>
    <n v="1.0298335357142858"/>
    <n v="869.48471600000005"/>
    <n v="156.14207737703907"/>
    <n v="170.72931686044103"/>
    <n v="339.38524602639779"/>
    <n v="171"/>
    <n v="191.52"/>
    <n v="197.23371876000004"/>
    <n v="657.44572920000019"/>
    <d v="2023-07-23T00:00:00"/>
    <s v="2023_2056_03113, 2024_2777_03835"/>
    <s v="W2233AD LE2 CLEAR r112x0171 CB4P"/>
    <m/>
    <m/>
    <m/>
    <s v="N/A"/>
    <m/>
    <n v="0.5357142857142857"/>
    <m/>
  </r>
  <r>
    <s v="Fuyao"/>
    <s v="Chongqing"/>
    <m/>
    <m/>
    <s v="N/A"/>
    <x v="0"/>
    <s v="W2222AGT"/>
    <s v="L"/>
    <s v="E2"/>
    <s v="Clear"/>
    <s v="Acoustic"/>
    <m/>
    <m/>
    <x v="0"/>
    <n v="0.22"/>
    <n v="112"/>
    <n v="30"/>
    <s v="N/A"/>
    <s v="N/A"/>
    <n v="0.8"/>
    <n v="150"/>
    <n v="600"/>
    <n v="450"/>
    <n v="220"/>
    <n v="150"/>
    <n v="600"/>
    <n v="450"/>
    <n v="220"/>
    <s v="N/A"/>
    <n v="82"/>
    <n v="0.98040000000000005"/>
    <m/>
    <n v="0.91436071428571442"/>
    <n v="0.9692223571428572"/>
    <n v="862.32314400000007"/>
    <n v="170.50765813939009"/>
    <n v="186.43697126763379"/>
    <n v="370.60979640540745"/>
    <n v="186"/>
    <n v="208.32"/>
    <n v="201.90840144000001"/>
    <n v="673.02800480000008"/>
    <m/>
    <m/>
    <m/>
    <m/>
    <m/>
    <m/>
    <m/>
    <m/>
    <m/>
    <m/>
  </r>
  <r>
    <s v="Fuyao"/>
    <s v="Chongqing"/>
    <s v="BYD"/>
    <s v="HC"/>
    <s v="OEM"/>
    <x v="0"/>
    <s v="W2232AHT"/>
    <s v="L"/>
    <s v="E2"/>
    <s v="Clear"/>
    <s v="Acoustic"/>
    <s v="Copy"/>
    <m/>
    <x v="0"/>
    <m/>
    <m/>
    <m/>
    <m/>
    <n v="0"/>
    <m/>
    <m/>
    <m/>
    <n v="0"/>
    <n v="0"/>
    <m/>
    <m/>
    <n v="0"/>
    <n v="0"/>
    <s v="N/A"/>
    <n v="0"/>
    <n v="0"/>
    <m/>
    <e v="#DIV/0!"/>
    <e v="#DIV/0!"/>
    <n v="0"/>
    <e v="#DIV/0!"/>
    <e v="#DIV/0!"/>
    <e v="#DIV/0!"/>
    <m/>
    <n v="0"/>
    <e v="#DIV/0!"/>
    <e v="#DIV/0!"/>
    <m/>
    <s v="N/A"/>
    <m/>
    <m/>
    <m/>
    <m/>
    <m/>
    <m/>
    <m/>
    <m/>
  </r>
  <r>
    <s v="Fuyao"/>
    <s v="Chongqing"/>
    <s v="BYD"/>
    <s v="HC2"/>
    <s v="OEM"/>
    <x v="0"/>
    <s v="W2233AFT"/>
    <s v="L"/>
    <s v="E2"/>
    <s v="Clear"/>
    <s v="Acoustic"/>
    <s v="Copy"/>
    <m/>
    <x v="0"/>
    <m/>
    <m/>
    <m/>
    <m/>
    <n v="0"/>
    <m/>
    <m/>
    <m/>
    <n v="0"/>
    <n v="0"/>
    <m/>
    <m/>
    <n v="0"/>
    <n v="0"/>
    <s v="N/A"/>
    <n v="0"/>
    <n v="0"/>
    <m/>
    <e v="#DIV/0!"/>
    <e v="#DIV/0!"/>
    <n v="0"/>
    <e v="#DIV/0!"/>
    <e v="#DIV/0!"/>
    <e v="#DIV/0!"/>
    <m/>
    <n v="0"/>
    <e v="#DIV/0!"/>
    <e v="#DIV/0!"/>
    <m/>
    <s v="N/A"/>
    <m/>
    <m/>
    <m/>
    <m/>
    <m/>
    <m/>
    <m/>
    <m/>
  </r>
  <r>
    <s v="Fuyao"/>
    <s v="Chongqing"/>
    <s v="Tesla"/>
    <s v="Model X"/>
    <s v="OEM"/>
    <x v="2"/>
    <s v="W2260AA"/>
    <s v="L"/>
    <s v="E2"/>
    <s v="Clear"/>
    <s v="Acoustic"/>
    <s v="Copy"/>
    <s v="Y"/>
    <x v="0"/>
    <m/>
    <s v="See AGP Peru section for product design (original design)"/>
    <m/>
    <m/>
    <e v="#VALUE!"/>
    <m/>
    <m/>
    <m/>
    <n v="0"/>
    <e v="#VALUE!"/>
    <m/>
    <m/>
    <n v="0"/>
    <e v="#VALUE!"/>
    <s v="N/A"/>
    <e v="#VALUE!"/>
    <e v="#VALUE!"/>
    <m/>
    <e v="#VALUE!"/>
    <e v="#VALUE!"/>
    <n v="0"/>
    <e v="#VALUE!"/>
    <e v="#VALUE!"/>
    <e v="#VALUE!"/>
    <m/>
    <e v="#VALUE!"/>
    <e v="#VALUE!"/>
    <e v="#VALUE!"/>
    <s v="N/A - same as AGP's"/>
    <s v="N/A - AGP's design"/>
    <s v="AGP's design"/>
    <s v="See AGP section for product design details"/>
    <m/>
    <m/>
    <s v="N/A"/>
    <m/>
    <m/>
    <m/>
  </r>
  <r>
    <s v="Fuyao"/>
    <s v="Chongqing"/>
    <s v="Chang An"/>
    <s v="C390"/>
    <s v="OEM"/>
    <x v="0"/>
    <s v="W5025AE"/>
    <s v="F"/>
    <s v="R3"/>
    <s v="Clear"/>
    <s v="Standard"/>
    <s v="tbd"/>
    <s v="Y"/>
    <x v="1"/>
    <n v="0.25"/>
    <n v="115"/>
    <n v="27"/>
    <s v="N/A"/>
    <s v="N/A"/>
    <n v="0.76"/>
    <n v="300"/>
    <n v="750"/>
    <n v="450"/>
    <n v="130"/>
    <n v="300"/>
    <n v="750"/>
    <n v="450"/>
    <n v="130"/>
    <s v="N/A"/>
    <n v="88"/>
    <n v="0.98"/>
    <m/>
    <n v="0.89582608695652188"/>
    <n v="0.95405478260869581"/>
    <n v="825.75307499999997"/>
    <n v="170.57725310189596"/>
    <n v="186.51306799060018"/>
    <n v="370.76106571006267"/>
    <n v="187"/>
    <n v="215.05"/>
    <n v="205.16948100000005"/>
    <n v="759.88696666666681"/>
    <s v="?"/>
    <s v="2025-0128-0267"/>
    <s v="W5025AE FR3 CLEAR r115x0187 CB1P"/>
    <m/>
    <m/>
    <m/>
    <m/>
    <m/>
    <m/>
    <m/>
  </r>
  <r>
    <s v="Fuyao"/>
    <s v="Chongqing"/>
    <s v="Chang An"/>
    <s v="C390"/>
    <s v="OEM"/>
    <x v="0"/>
    <s v="W5027AD"/>
    <s v="F"/>
    <s v="R3"/>
    <s v="Clear"/>
    <s v="Standard"/>
    <s v="tbd"/>
    <s v="Y"/>
    <x v="1"/>
    <n v="0.27"/>
    <n v="115"/>
    <n v="27"/>
    <s v="N/A"/>
    <s v="N/A"/>
    <n v="0.76"/>
    <n v="300"/>
    <n v="750"/>
    <n v="450"/>
    <n v="130"/>
    <n v="300"/>
    <n v="750"/>
    <n v="450"/>
    <n v="130"/>
    <s v="N/A"/>
    <n v="88"/>
    <n v="0.99760000000000004"/>
    <m/>
    <n v="0.90669217391304346"/>
    <n v="0.96562716521739123"/>
    <n v="827.06132100000002"/>
    <n v="167.56787093009024"/>
    <n v="183.22254072853667"/>
    <n v="364.21997232945216"/>
    <n v="183"/>
    <n v="210.45"/>
    <n v="203.21623691999997"/>
    <n v="752.65272933333313"/>
    <s v="?"/>
    <s v="2025-0128-0267"/>
    <s v="W5027AD FR3 CLEAR r115x0183 CB1P"/>
    <m/>
    <m/>
    <m/>
    <m/>
    <m/>
    <m/>
    <m/>
  </r>
  <r>
    <s v="Fuyao"/>
    <s v="Chongqing"/>
    <s v="Chang An"/>
    <s v="C518"/>
    <s v="OEM"/>
    <x v="0"/>
    <s v="W5027AC"/>
    <s v="F"/>
    <s v="R3"/>
    <s v="Clear"/>
    <s v="Standard"/>
    <s v="tbd"/>
    <s v="Y"/>
    <x v="1"/>
    <n v="0.27"/>
    <n v="107"/>
    <n v="24"/>
    <s v="N/A"/>
    <s v="N/A"/>
    <n v="0.76"/>
    <n v="250"/>
    <n v="700"/>
    <n v="450"/>
    <n v="130"/>
    <n v="250"/>
    <n v="700"/>
    <n v="450"/>
    <n v="130"/>
    <s v="N/A"/>
    <n v="83"/>
    <n v="0.98409999999999997"/>
    <m/>
    <n v="0.89718271028037377"/>
    <n v="0.955499586448598"/>
    <n v="827.06132100000002"/>
    <n v="169.86658676949298"/>
    <n v="185.73600917669765"/>
    <n v="369.2163849160263"/>
    <n v="186"/>
    <n v="199.02"/>
    <n v="190.16352769499997"/>
    <n v="792.3480320624999"/>
    <s v="?"/>
    <s v="2025-0128-0267"/>
    <s v="W5027AC FR3 CLEAR r107x0186 CB1P"/>
    <m/>
    <m/>
    <m/>
    <m/>
    <m/>
    <m/>
    <m/>
  </r>
  <r>
    <s v="Fuyao"/>
    <s v="Chongqing"/>
    <s v="Chang An"/>
    <s v="C518"/>
    <s v="OEM"/>
    <x v="0"/>
    <s v="W5029AB"/>
    <s v="F"/>
    <s v="R3"/>
    <s v="Clear"/>
    <s v="Standard"/>
    <s v="tbd"/>
    <s v="Y"/>
    <x v="1"/>
    <n v="0.28999999999999998"/>
    <n v="107"/>
    <n v="24"/>
    <s v="N/A"/>
    <s v="N/A"/>
    <n v="0.76"/>
    <n v="250"/>
    <n v="700"/>
    <n v="450"/>
    <n v="130"/>
    <n v="250"/>
    <n v="700"/>
    <n v="450"/>
    <n v="130"/>
    <s v="N/A"/>
    <n v="83"/>
    <n v="1.0006999999999999"/>
    <m/>
    <n v="0.90734439252336441"/>
    <n v="0.96632177803738317"/>
    <n v="828.36956700000007"/>
    <n v="167.04877389812935"/>
    <n v="182.65494816707124"/>
    <n v="363.09168021970771"/>
    <n v="183"/>
    <n v="195.81"/>
    <n v="189.21546735749999"/>
    <n v="788.39778065625001"/>
    <s v="?"/>
    <s v="2025-0128-0267"/>
    <s v="W5029AB FR3 CLEAR r107x0183 CB1P"/>
    <m/>
    <m/>
    <m/>
    <m/>
    <m/>
    <m/>
    <m/>
  </r>
  <r>
    <s v="Fuyao"/>
    <s v="Chongqing"/>
    <s v="Chang An"/>
    <s v="C857"/>
    <s v="OEM"/>
    <x v="0"/>
    <s v="W5026AAT"/>
    <s v="F"/>
    <s v="R3"/>
    <s v="Clear"/>
    <s v="Standard"/>
    <m/>
    <s v="Y"/>
    <x v="1"/>
    <n v="0.26"/>
    <n v="104"/>
    <n v="20"/>
    <s v="N/A"/>
    <s v="N/A"/>
    <n v="0.76"/>
    <n v="200"/>
    <n v="700"/>
    <n v="500"/>
    <n v="140"/>
    <n v="200"/>
    <n v="700"/>
    <n v="500"/>
    <n v="140"/>
    <s v="N/A"/>
    <n v="84"/>
    <n v="0.97839999999999994"/>
    <m/>
    <n v="0.89019999999999999"/>
    <n v="0.94806299999999999"/>
    <n v="826.40719799999999"/>
    <n v="170.85620200312553"/>
    <n v="186.81807709606312"/>
    <n v="371.36737979953136"/>
    <n v="187"/>
    <n v="194.48"/>
    <n v="184.37929223999998"/>
    <n v="921.89646119999986"/>
    <s v="?"/>
    <s v="2024_2914_03972"/>
    <m/>
    <s v="changed to T variant"/>
    <m/>
    <m/>
    <m/>
    <m/>
    <m/>
    <m/>
  </r>
  <r>
    <s v="Fuyao"/>
    <s v="Chongqing"/>
    <s v="Chang An"/>
    <s v="C857"/>
    <s v="OEM"/>
    <x v="0"/>
    <s v="W5026ABT"/>
    <s v="F"/>
    <s v="R3"/>
    <s v="Clear"/>
    <s v="Standard"/>
    <m/>
    <s v="Y"/>
    <x v="0"/>
    <n v="0.26"/>
    <n v="102"/>
    <n v="19"/>
    <s v="N/A"/>
    <s v="N/A"/>
    <n v="0.76"/>
    <n v="200"/>
    <n v="700"/>
    <n v="500"/>
    <n v="130"/>
    <n v="200"/>
    <n v="700"/>
    <n v="500"/>
    <n v="130"/>
    <s v="N/A"/>
    <n v="83"/>
    <n v="0.9758"/>
    <m/>
    <n v="0.88799901960784322"/>
    <n v="0.945718955882353"/>
    <n v="826.40719799999999"/>
    <n v="171.31144500907772"/>
    <n v="187.31585020576776"/>
    <n v="372.35688091397975"/>
    <n v="187"/>
    <n v="190.74"/>
    <n v="180.38643364500001"/>
    <n v="949.40228234210531"/>
    <m/>
    <m/>
    <m/>
    <m/>
    <m/>
    <m/>
    <m/>
    <m/>
    <m/>
    <m/>
  </r>
  <r>
    <s v="Fuyao"/>
    <s v="Chongqing"/>
    <s v="Chang An"/>
    <s v="CD701"/>
    <s v="OEM"/>
    <x v="0"/>
    <s v="W5025AB"/>
    <s v="F"/>
    <s v="R3"/>
    <s v="Clear"/>
    <s v="Standard"/>
    <s v="BF011852"/>
    <m/>
    <x v="1"/>
    <n v="0.25"/>
    <n v="130"/>
    <n v="30"/>
    <s v="N/A"/>
    <s v="N/A"/>
    <n v="0.76"/>
    <n v="200"/>
    <n v="600"/>
    <n v="400"/>
    <n v="400"/>
    <n v="150"/>
    <n v="600"/>
    <n v="450"/>
    <n v="400"/>
    <s v="N/A"/>
    <n v="100"/>
    <n v="1.01"/>
    <m/>
    <n v="0.91384615384615386"/>
    <n v="0.97324615384615387"/>
    <n v="825.75307499999997"/>
    <n v="165.51060201966141"/>
    <n v="180.97307587206748"/>
    <n v="359.74836078798165"/>
    <n v="181"/>
    <n v="235.3"/>
    <n v="229.00482000000002"/>
    <n v="763.34940000000006"/>
    <s v="?"/>
    <s v="2023_2056_03113"/>
    <s v="W5025AB FR3 CLEAR r130x0181 CB1P"/>
    <m/>
    <m/>
    <m/>
    <s v="N/A"/>
    <m/>
    <n v="0.46153846153846156"/>
    <m/>
  </r>
  <r>
    <s v="Fuyao"/>
    <s v="Chongqing"/>
    <s v="Chang An"/>
    <s v="E15"/>
    <s v="OEM"/>
    <x v="0"/>
    <s v="W2240AX"/>
    <s v="L"/>
    <s v="E2"/>
    <s v="Clear"/>
    <s v="Standard"/>
    <m/>
    <m/>
    <x v="0"/>
    <n v="0.4"/>
    <n v="119"/>
    <n v="15"/>
    <s v="N/A"/>
    <s v="N/A"/>
    <n v="0.8"/>
    <n v="710"/>
    <n v="910"/>
    <n v="200"/>
    <n v="130"/>
    <n v="510"/>
    <n v="910"/>
    <n v="400"/>
    <n v="130"/>
    <s v="N/A"/>
    <n v="104"/>
    <n v="1.2160000000000002"/>
    <m/>
    <n v="1.034218487394958"/>
    <n v="1.0962715966386556"/>
    <n v="874.04208000000006"/>
    <n v="137.47179937488323"/>
    <n v="150.31480808452972"/>
    <n v="298.80414835185974"/>
    <n v="150"/>
    <n v="178.5"/>
    <n v="195.68448000000004"/>
    <n v="1304.5632000000003"/>
    <m/>
    <m/>
    <m/>
    <m/>
    <m/>
    <m/>
    <m/>
    <m/>
    <m/>
    <m/>
  </r>
  <r>
    <s v="Fuyao"/>
    <s v="Chongqing"/>
    <s v="Chang An"/>
    <s v="E16-1"/>
    <s v="OEM"/>
    <x v="0"/>
    <s v="W5023AC"/>
    <s v="F"/>
    <s v="R3"/>
    <s v="Clear"/>
    <s v="Standard"/>
    <m/>
    <m/>
    <x v="1"/>
    <n v="0.23"/>
    <n v="115"/>
    <n v="10"/>
    <s v="N/A"/>
    <s v="N/A"/>
    <n v="0.76"/>
    <n v="600"/>
    <n v="920"/>
    <n v="320"/>
    <n v="130"/>
    <n v="520"/>
    <n v="920"/>
    <n v="400"/>
    <n v="130"/>
    <s v="N/A"/>
    <n v="105"/>
    <n v="1.0015000000000001"/>
    <m/>
    <n v="0.8912500000000001"/>
    <n v="0.94918125000000009"/>
    <n v="824.44482900000003"/>
    <n v="166.91533503730207"/>
    <n v="182.50904306618889"/>
    <n v="362.80164193296201"/>
    <n v="183"/>
    <n v="210.45"/>
    <n v="199.75519406250001"/>
    <n v="1997.551940625"/>
    <m/>
    <m/>
    <m/>
    <m/>
    <m/>
    <m/>
    <m/>
    <m/>
    <m/>
    <m/>
  </r>
  <r>
    <s v="Fuyao"/>
    <s v="Chongqing"/>
    <s v="Chang An"/>
    <s v="Shen Lan SL03 (C385)"/>
    <s v="OEM"/>
    <x v="1"/>
    <s v="W5027AB"/>
    <s v="F"/>
    <s v="R3"/>
    <s v="Clear"/>
    <s v="Standard"/>
    <s v="BF012400"/>
    <m/>
    <x v="1"/>
    <n v="0.27"/>
    <n v="104"/>
    <n v="20"/>
    <s v="N/A"/>
    <s v="N/A"/>
    <n v="0.76"/>
    <n v="200"/>
    <n v="700"/>
    <n v="500"/>
    <n v="140"/>
    <n v="200"/>
    <n v="700"/>
    <n v="500"/>
    <n v="140"/>
    <s v="N/A"/>
    <n v="84"/>
    <n v="0.98680000000000001"/>
    <m/>
    <n v="0.89520769230769237"/>
    <n v="0.95339619230769235"/>
    <n v="827.06132100000002"/>
    <n v="169.40181195769964"/>
    <n v="185.2278137725863"/>
    <n v="368.20616578421306"/>
    <n v="185"/>
    <n v="192.4"/>
    <n v="183.4334274"/>
    <n v="917.16713699999991"/>
    <s v="?"/>
    <s v="2024_2635_03693"/>
    <s v="W5027AB FR3 CLEAR r104x0185 CB1P"/>
    <s v="Redesign"/>
    <m/>
    <m/>
    <m/>
    <m/>
    <n v="0.67307692307692313"/>
    <m/>
  </r>
  <r>
    <s v="Fuyao"/>
    <s v="Chongqing"/>
    <s v="Chang An"/>
    <s v="Shen Lan SL03 (C385)"/>
    <s v="OEM"/>
    <x v="0"/>
    <s v="W5028AB"/>
    <s v="F"/>
    <s v="R3"/>
    <s v="Clear"/>
    <s v="Standard"/>
    <s v="BF012514, BF012812"/>
    <m/>
    <x v="1"/>
    <n v="0.28000000000000003"/>
    <n v="104"/>
    <n v="15"/>
    <s v="N/A"/>
    <s v="N/A"/>
    <n v="0.76"/>
    <n v="300"/>
    <n v="750"/>
    <n v="450"/>
    <n v="140"/>
    <n v="300"/>
    <n v="750"/>
    <n v="450"/>
    <n v="140"/>
    <s v="N/A"/>
    <n v="89"/>
    <n v="1.0092000000000001"/>
    <m/>
    <n v="0.90257115384615383"/>
    <n v="0.96123827884615387"/>
    <n v="827.71544400000005"/>
    <n v="165.64180344813519"/>
    <n v="181.11653451326612"/>
    <n v="360.03353586589515"/>
    <n v="181"/>
    <n v="188.24"/>
    <n v="180.94349361000002"/>
    <n v="1206.2899574000003"/>
    <s v="?"/>
    <s v="2024_2743_03801, 2025-0065-0202"/>
    <s v="W5028AB FR3 CLEAR r104x0181 CB1P, W5028AB FR3 CLEAR r104x0181 CB4P"/>
    <m/>
    <m/>
    <m/>
    <m/>
    <m/>
    <m/>
    <m/>
  </r>
  <r>
    <s v="Fuyao"/>
    <s v="Chongqing"/>
    <s v="Chang An"/>
    <s v="Shen Lan SL03 (C385)"/>
    <s v="OEM"/>
    <x v="1"/>
    <s v="W5028AA"/>
    <s v="F"/>
    <s v="R3"/>
    <s v="Clear"/>
    <s v="Standard"/>
    <s v="BF012125"/>
    <m/>
    <x v="1"/>
    <n v="0.28000000000000003"/>
    <n v="104"/>
    <n v="30"/>
    <s v="N/A"/>
    <s v="N/A"/>
    <n v="0.76"/>
    <n v="200"/>
    <n v="600"/>
    <n v="400"/>
    <n v="140"/>
    <n v="200"/>
    <n v="600"/>
    <n v="400"/>
    <n v="140"/>
    <s v="N/A"/>
    <n v="74"/>
    <n v="0.96720000000000006"/>
    <m/>
    <n v="0.89348461538461543"/>
    <n v="0.95156111538461541"/>
    <n v="827.71544400000005"/>
    <n v="172.83468573186315"/>
    <n v="188.98139643381739"/>
    <n v="375.66774648041923"/>
    <n v="189"/>
    <n v="196.56"/>
    <n v="187.03885284"/>
    <n v="623.46284280000009"/>
    <s v="?"/>
    <s v="2023_2320_03377"/>
    <s v="W5028AA FR3 CLEAR r104x0189 CB1P"/>
    <m/>
    <m/>
    <m/>
    <m/>
    <m/>
    <n v="0.57692307692307687"/>
    <m/>
  </r>
  <r>
    <s v="Fuyao"/>
    <s v="Chongqing"/>
    <s v="Geely"/>
    <s v="BX1E"/>
    <s v="OEM"/>
    <x v="1"/>
    <s v="W5022AA"/>
    <s v="F"/>
    <s v="R3"/>
    <s v="Clear"/>
    <s v="Standard"/>
    <s v="BF011582"/>
    <m/>
    <x v="1"/>
    <n v="0.22"/>
    <n v="115"/>
    <n v="30"/>
    <s v="N/A"/>
    <s v="N/A"/>
    <n v="0.76"/>
    <n v="200"/>
    <n v="600"/>
    <n v="400"/>
    <n v="250"/>
    <n v="150"/>
    <n v="600"/>
    <n v="450"/>
    <n v="250"/>
    <s v="N/A"/>
    <n v="85"/>
    <n v="0.94700000000000006"/>
    <m/>
    <n v="0.87789130434782614"/>
    <n v="0.93495423913043485"/>
    <n v="823.790706"/>
    <n v="176.52133900724183"/>
    <n v="193.0124674031554"/>
    <n v="383.68093389214511"/>
    <n v="120"/>
    <n v="138"/>
    <n v="129.023685"/>
    <n v="430.07895000000002"/>
    <m/>
    <s v="2022_1831_02887, 2023_1838_02894"/>
    <s v="W5022AA FR3 CLEAR r115x0120 CB1P"/>
    <m/>
    <m/>
    <m/>
    <s v="N/A"/>
    <m/>
    <n v="0.52173913043478259"/>
    <m/>
  </r>
  <r>
    <s v="Fuyao"/>
    <s v="Chongqing"/>
    <s v="Geely"/>
    <s v="BX1E"/>
    <s v="OEM"/>
    <x v="2"/>
    <s v="W5025AD"/>
    <s v="F"/>
    <s v="R3"/>
    <s v="Clear"/>
    <s v="Standard"/>
    <s v="BF011904"/>
    <m/>
    <x v="1"/>
    <n v="0.25"/>
    <n v="112"/>
    <n v="30"/>
    <s v="N/A"/>
    <s v="N/A"/>
    <n v="0.76"/>
    <n v="200"/>
    <n v="600"/>
    <n v="400"/>
    <n v="220"/>
    <n v="150"/>
    <n v="600"/>
    <n v="450"/>
    <n v="220"/>
    <s v="N/A"/>
    <n v="82"/>
    <n v="0.96500000000000008"/>
    <m/>
    <n v="0.88995535714285723"/>
    <n v="0.94780245535714303"/>
    <n v="825.75307499999997"/>
    <n v="173.22871299467153"/>
    <n v="189.4122348505577"/>
    <n v="376.52419108379428"/>
    <n v="189"/>
    <n v="211.68"/>
    <n v="200.63082375000005"/>
    <n v="668.76941250000016"/>
    <s v="?"/>
    <s v="2023_2077_03134"/>
    <m/>
    <m/>
    <m/>
    <m/>
    <m/>
    <m/>
    <n v="0.5357142857142857"/>
    <m/>
  </r>
  <r>
    <s v="Fuyao"/>
    <s v="Chongqing"/>
    <s v="?"/>
    <s v="?"/>
    <s v="OEM"/>
    <x v="0"/>
    <s v="W5071AA"/>
    <s v="F"/>
    <s v="R3"/>
    <s v="Clear"/>
    <s v="Standard"/>
    <m/>
    <m/>
    <x v="1"/>
    <n v="0.71"/>
    <n v="107"/>
    <n v="30"/>
    <s v="N/A"/>
    <s v="N/A"/>
    <n v="0.76"/>
    <n v="180"/>
    <n v="620"/>
    <n v="440"/>
    <n v="150"/>
    <n v="180"/>
    <n v="620"/>
    <n v="440"/>
    <n v="150"/>
    <s v="N/A"/>
    <n v="77"/>
    <n v="1.3067"/>
    <m/>
    <n v="1.1099901869158877"/>
    <n v="1.1821395490654203"/>
    <n v="855.84273299999995"/>
    <n v="127.92967631427108"/>
    <n v="139.88123259415946"/>
    <n v="278.06370582066387"/>
    <n v="140"/>
    <n v="149.80000000000001"/>
    <n v="177.08450444999997"/>
    <n v="590.28168149999988"/>
    <m/>
    <m/>
    <m/>
    <m/>
    <m/>
    <m/>
    <m/>
    <m/>
    <m/>
    <m/>
  </r>
  <r>
    <s v="Fuyao"/>
    <s v="Chongqing"/>
    <s v="Seres (Hua Wei)"/>
    <s v="F1, X1"/>
    <s v="OEM"/>
    <x v="1"/>
    <s v="W2262AD"/>
    <s v="L"/>
    <s v="E2"/>
    <s v="Clear"/>
    <s v="Acoustic"/>
    <s v="BF011449"/>
    <s v="Y"/>
    <x v="0"/>
    <n v="0.62"/>
    <n v="103"/>
    <n v="30"/>
    <s v="N/A"/>
    <s v="N/A"/>
    <n v="0.8"/>
    <n v="262"/>
    <n v="480"/>
    <n v="218"/>
    <n v="250"/>
    <n v="160"/>
    <n v="560"/>
    <n v="400"/>
    <n v="170"/>
    <s v="N/A"/>
    <n v="73"/>
    <n v="1.2526000000000002"/>
    <m/>
    <n v="1.0922126213592234"/>
    <n v="1.1577453786407768"/>
    <n v="888.36522400000001"/>
    <n v="133.45498007333387"/>
    <n v="145.92272603447881"/>
    <n v="290.0733230048391"/>
    <n v="50"/>
    <n v="51.5"/>
    <n v="59.623887000000003"/>
    <n v="198.74629000000002"/>
    <d v="2022-12-01T00:00:00"/>
    <s v="2022_1741_02797"/>
    <m/>
    <s v="Replaced by W2264AG"/>
    <m/>
    <m/>
    <s v="N/A"/>
    <m/>
    <n v="0.46601941747572817"/>
    <m/>
  </r>
  <r>
    <s v="Fuyao"/>
    <s v="Chongqing"/>
    <s v="Seres (Hua Wei)"/>
    <s v="F1, X1"/>
    <s v="OEM"/>
    <x v="0"/>
    <s v="W2264AGT"/>
    <s v="L"/>
    <s v="E2"/>
    <s v="Clear"/>
    <s v="Acoustic"/>
    <s v="BF011668"/>
    <s v="Y"/>
    <x v="0"/>
    <n v="0.64"/>
    <n v="103"/>
    <n v="30"/>
    <s v="N/A"/>
    <s v="N/A"/>
    <n v="0.8"/>
    <n v="200"/>
    <n v="600"/>
    <n v="400"/>
    <n v="130"/>
    <n v="150"/>
    <n v="600"/>
    <n v="450"/>
    <n v="130"/>
    <s v="N/A"/>
    <n v="73"/>
    <n v="1.2672000000000001"/>
    <m/>
    <n v="1.1016388349514565"/>
    <n v="1.167737165048544"/>
    <n v="889.66732800000011"/>
    <n v="131.91738323852434"/>
    <n v="144.24148250535683"/>
    <n v="286.73125346895637"/>
    <n v="144"/>
    <n v="148.32"/>
    <n v="173.19877632000004"/>
    <n v="577.3292544000002"/>
    <d v="2023-04-23T00:00:00"/>
    <s v="2023_1920_02977, 2024_2777_03835"/>
    <s v="W2264AG LE2 CLEAR r103x0144 CB4P"/>
    <s v="Replacing W2262AD"/>
    <m/>
    <m/>
    <s v="N/A"/>
    <m/>
    <n v="0.58252427184466016"/>
    <m/>
  </r>
  <r>
    <s v="Fuyao"/>
    <s v="Chongqing"/>
    <m/>
    <m/>
    <s v="OEM"/>
    <x v="0"/>
    <s v="W5031AA"/>
    <s v="F"/>
    <s v="R3"/>
    <s v="Clear"/>
    <s v="Standard"/>
    <s v="BF011914"/>
    <m/>
    <x v="1"/>
    <n v="0.31"/>
    <n v="124"/>
    <n v="30"/>
    <s v="N/A"/>
    <s v="N/A"/>
    <n v="0.76"/>
    <n v="200"/>
    <n v="600"/>
    <n v="400"/>
    <n v="340"/>
    <n v="200"/>
    <n v="600"/>
    <n v="400"/>
    <n v="340"/>
    <s v="N/A"/>
    <n v="94"/>
    <n v="1.0514000000000001"/>
    <m/>
    <n v="0.94095000000000006"/>
    <n v="1.0021117500000001"/>
    <n v="829.67781300000001"/>
    <n v="158.99344496847823"/>
    <n v="173.84706736806939"/>
    <n v="345.58288415052448"/>
    <n v="174"/>
    <n v="215.76"/>
    <n v="216.21563118"/>
    <n v="720.71877060000008"/>
    <s v="?"/>
    <s v="2023_2089_03146"/>
    <s v="W5031AA FR3 CLEAR r124x0174 CB1P"/>
    <m/>
    <m/>
    <m/>
    <s v="N/A"/>
    <m/>
    <n v="0.4838709677419355"/>
    <m/>
  </r>
  <r>
    <s v="Fuyao"/>
    <s v="Fuqing (Fuzhou)"/>
    <s v="GM"/>
    <s v="E2ZO"/>
    <s v="ARG"/>
    <x v="1"/>
    <s v="W2247AA"/>
    <s v="L"/>
    <s v="E2"/>
    <s v="Clear"/>
    <s v="Acoustic"/>
    <s v="BF009410"/>
    <s v="Y"/>
    <x v="2"/>
    <n v="0.47"/>
    <n v="110"/>
    <n v="30"/>
    <s v="N/A"/>
    <s v="N/A"/>
    <n v="0.8"/>
    <n v="200"/>
    <n v="600"/>
    <n v="400"/>
    <n v="200"/>
    <n v="200"/>
    <n v="600"/>
    <n v="400"/>
    <n v="200"/>
    <s v="N/A"/>
    <n v="80"/>
    <n v="1.1759999999999999"/>
    <m/>
    <n v="1.0392727272727271"/>
    <n v="1.1016290909090909"/>
    <n v="878.59944400000006"/>
    <n v="142.14771091824662"/>
    <n v="155.42755665883348"/>
    <n v="308.96755475838557"/>
    <n v="50"/>
    <n v="55"/>
    <n v="60.589599999999997"/>
    <n v="201.96533333333332"/>
    <d v="2020-09-01T00:00:00"/>
    <s v="2020_0343_01395"/>
    <s v="W2247AA LE2 CLEAR r110x0050 W18P"/>
    <s v="Wedge angle increased due to ghosting being high"/>
    <m/>
    <m/>
    <s v="N/A"/>
    <m/>
    <n v="0.54545454545454541"/>
    <m/>
  </r>
  <r>
    <s v="Fuyao"/>
    <s v="Fuqing (Fuzhou)"/>
    <s v="Various"/>
    <s v="Various"/>
    <s v="ARG"/>
    <x v="1"/>
    <s v="W2220ABT"/>
    <s v="L"/>
    <s v="E2"/>
    <s v="Clear"/>
    <s v="Acoustic"/>
    <s v="BF011669"/>
    <s v="Y"/>
    <x v="0"/>
    <n v="0.2"/>
    <n v="120"/>
    <n v="30"/>
    <s v="N/A"/>
    <s v="N/A"/>
    <n v="0.8"/>
    <n v="200"/>
    <n v="600"/>
    <n v="400"/>
    <n v="300"/>
    <n v="150"/>
    <n v="600"/>
    <n v="450"/>
    <n v="300"/>
    <s v="N/A"/>
    <n v="90"/>
    <n v="0.98"/>
    <m/>
    <n v="0.91249999999999998"/>
    <n v="0.96725000000000005"/>
    <n v="861.02103999999997"/>
    <n v="170.57725310189596"/>
    <n v="186.51306799060018"/>
    <n v="370.76106571006267"/>
    <n v="187"/>
    <n v="224.4"/>
    <n v="217.05090000000001"/>
    <n v="723.50300000000004"/>
    <d v="2023-04-01T00:00:00"/>
    <s v="2023_1920_02977, 2024_2777_03835"/>
    <s v="W2220AB LE2 CLEAR r120x0187 CB4P"/>
    <m/>
    <m/>
    <m/>
    <s v="N/A"/>
    <m/>
    <n v="0.5"/>
    <m/>
  </r>
  <r>
    <s v="Fuyao"/>
    <s v="Fuqing (Fuzhou)"/>
    <s v="Various"/>
    <s v="Various"/>
    <s v="ARG"/>
    <x v="1"/>
    <s v="W2230AAT"/>
    <s v="L"/>
    <s v="E2"/>
    <s v="Clear"/>
    <s v="Acoustic"/>
    <s v="BF011670"/>
    <s v="Y"/>
    <x v="0"/>
    <n v="0.3"/>
    <n v="120"/>
    <n v="30"/>
    <s v="N/A"/>
    <s v="N/A"/>
    <n v="0.8"/>
    <n v="200"/>
    <n v="600"/>
    <n v="400"/>
    <n v="300"/>
    <n v="150"/>
    <n v="600"/>
    <n v="450"/>
    <n v="300"/>
    <s v="N/A"/>
    <n v="90"/>
    <n v="1.07"/>
    <m/>
    <n v="0.96875"/>
    <n v="1.026875"/>
    <n v="867.53156000000013"/>
    <n v="156.22963368211029"/>
    <n v="170.82505292597023"/>
    <n v="339.57555551015088"/>
    <n v="171"/>
    <n v="205.2"/>
    <n v="210.71474999999998"/>
    <n v="702.38249999999994"/>
    <d v="2023-04-01T00:00:00"/>
    <s v="2023_1920_02977, 2024_2777_03835"/>
    <s v="W2230AA LE2 CLEAR r120x0171 CB4P"/>
    <m/>
    <m/>
    <m/>
    <s v="N/A"/>
    <m/>
    <n v="0.5"/>
    <m/>
  </r>
  <r>
    <s v="Fuyao"/>
    <s v="Fuqing (Fuzhou)"/>
    <s v="Various"/>
    <s v="Various"/>
    <s v="ARG"/>
    <x v="1"/>
    <s v="W2235ABT"/>
    <s v="L"/>
    <s v="E2"/>
    <s v="Clear"/>
    <s v="Acoustic"/>
    <s v="BF011671"/>
    <s v="Y"/>
    <x v="0"/>
    <n v="0.35"/>
    <n v="99"/>
    <n v="30"/>
    <s v="N/A"/>
    <s v="N/A"/>
    <n v="0.8"/>
    <n v="150"/>
    <n v="550"/>
    <n v="400"/>
    <n v="140"/>
    <n v="150"/>
    <n v="600"/>
    <n v="450"/>
    <n v="90"/>
    <s v="N/A"/>
    <n v="69"/>
    <n v="1.0415000000000001"/>
    <m/>
    <n v="0.95734090909090919"/>
    <n v="1.0147813636363638"/>
    <n v="870.78682000000003"/>
    <n v="160.5047604799405"/>
    <n v="175.49957429744424"/>
    <n v="348.86782947274259"/>
    <n v="175"/>
    <n v="173.25"/>
    <n v="175.81087125000005"/>
    <n v="586.0362375000002"/>
    <s v="Never"/>
    <s v="2023_1920_02977, 2024_2777_03835"/>
    <s v="W2235AB LE2 CLEAR r099x0175 CB4P"/>
    <m/>
    <m/>
    <m/>
    <s v="N/A"/>
    <m/>
    <n v="0.55555555555555558"/>
    <m/>
  </r>
  <r>
    <s v="Fuyao"/>
    <s v="Fuqing (Fuzhou)"/>
    <s v="Various"/>
    <s v="Various"/>
    <s v="ARG"/>
    <x v="1"/>
    <s v="W2235ACT"/>
    <s v="L"/>
    <s v="E2"/>
    <s v="Clear"/>
    <s v="Acoustic"/>
    <s v="BF011672"/>
    <s v="Y"/>
    <x v="0"/>
    <n v="0.35"/>
    <n v="120"/>
    <n v="30"/>
    <s v="N/A"/>
    <s v="N/A"/>
    <n v="0.8"/>
    <n v="200"/>
    <n v="600"/>
    <n v="400"/>
    <n v="300"/>
    <n v="150"/>
    <n v="600"/>
    <n v="450"/>
    <n v="300"/>
    <s v="N/A"/>
    <n v="90"/>
    <n v="1.115"/>
    <m/>
    <n v="0.99687499999999996"/>
    <n v="1.0566875"/>
    <n v="870.78682000000003"/>
    <n v="149.92440182946908"/>
    <n v="163.93076827873378"/>
    <n v="325.870712462656"/>
    <n v="164"/>
    <n v="196.8"/>
    <n v="207.95610000000002"/>
    <n v="693.18700000000013"/>
    <s v="Never"/>
    <s v="2023_1920_02977, 2024_2777_03835"/>
    <s v="W2235AC LE2 CLEAR r120x0164 CB4P"/>
    <s v="Similar to W2235AE"/>
    <m/>
    <m/>
    <s v="N/A"/>
    <m/>
    <n v="0.5"/>
    <m/>
  </r>
  <r>
    <s v="Fuyao"/>
    <s v="Fuqing (Fuzhou)"/>
    <s v="Various"/>
    <s v="Various"/>
    <s v="ARG"/>
    <x v="1"/>
    <s v="W2240AIT"/>
    <s v="L"/>
    <s v="E2"/>
    <s v="Clear"/>
    <s v="Acoustic"/>
    <s v="BF011673"/>
    <s v="Y"/>
    <x v="0"/>
    <n v="0.4"/>
    <n v="85"/>
    <n v="20"/>
    <s v="N/A"/>
    <s v="N/A"/>
    <n v="0.8"/>
    <n v="150"/>
    <n v="500"/>
    <n v="350"/>
    <n v="150"/>
    <n v="150"/>
    <n v="550"/>
    <n v="400"/>
    <n v="100"/>
    <s v="N/A"/>
    <n v="65"/>
    <n v="1.06"/>
    <m/>
    <n v="0.96058823529411774"/>
    <n v="1.0182235294117647"/>
    <n v="874.04208000000006"/>
    <n v="157.70349815080945"/>
    <n v="172.43661002904545"/>
    <n v="342.77909848666172"/>
    <n v="172"/>
    <n v="146.19999999999999"/>
    <n v="148.86428000000001"/>
    <n v="744.32140000000004"/>
    <s v="Never"/>
    <s v="2023_1920_02977, 2024_2777_03835"/>
    <s v="W2240AI LE2 CLEAR r085x0172 CB4P"/>
    <m/>
    <m/>
    <m/>
    <s v="N/A"/>
    <m/>
    <n v="0.58823529411764708"/>
    <m/>
  </r>
  <r>
    <s v="Fuyao"/>
    <s v="Fuqing (Fuzhou)"/>
    <s v="Various"/>
    <s v="Various"/>
    <s v="ARG"/>
    <x v="1"/>
    <s v="W2240AJT"/>
    <s v="L"/>
    <s v="E2"/>
    <s v="Clear"/>
    <s v="Acoustic"/>
    <s v="BF011674"/>
    <s v="Y"/>
    <x v="0"/>
    <n v="0.4"/>
    <n v="99"/>
    <n v="30"/>
    <s v="N/A"/>
    <s v="N/A"/>
    <n v="0.8"/>
    <n v="150"/>
    <n v="550"/>
    <n v="400"/>
    <n v="140"/>
    <n v="150"/>
    <n v="600"/>
    <n v="450"/>
    <n v="90"/>
    <s v="N/A"/>
    <n v="69"/>
    <n v="1.0760000000000001"/>
    <m/>
    <n v="0.97981818181818192"/>
    <n v="1.0386072727272728"/>
    <n v="874.04208000000006"/>
    <n v="155.35846472105766"/>
    <n v="169.87249686876225"/>
    <n v="337.6820115203173"/>
    <n v="170"/>
    <n v="168.3"/>
    <n v="174.79760400000004"/>
    <n v="582.65868000000012"/>
    <s v="Never"/>
    <s v="2023_1920_02977, 2024_2777_03835"/>
    <s v="W2240AJ LE2 CLEAR r099x0170 CB4P"/>
    <m/>
    <m/>
    <m/>
    <s v="N/A"/>
    <m/>
    <n v="0.55555555555555558"/>
    <m/>
  </r>
  <r>
    <s v="Fuyao"/>
    <s v="Fuqing (Fuzhou)"/>
    <s v="Various"/>
    <s v="Various"/>
    <s v="ARG"/>
    <x v="1"/>
    <s v="W2240ALT"/>
    <s v="L"/>
    <s v="E2"/>
    <s v="Clear"/>
    <s v="Acoustic"/>
    <s v="BF011676"/>
    <s v="Y"/>
    <x v="0"/>
    <n v="0.4"/>
    <n v="120"/>
    <n v="30"/>
    <s v="N/A"/>
    <s v="N/A"/>
    <n v="0.8"/>
    <n v="200"/>
    <n v="600"/>
    <n v="400"/>
    <n v="300"/>
    <n v="150"/>
    <n v="600"/>
    <n v="450"/>
    <n v="300"/>
    <s v="N/A"/>
    <n v="90"/>
    <n v="1.1600000000000001"/>
    <m/>
    <n v="1.0249999999999999"/>
    <n v="1.0864999999999998"/>
    <n v="874.04208000000006"/>
    <n v="144.1083689998776"/>
    <n v="157.57138502654149"/>
    <n v="313.22917620332879"/>
    <n v="158"/>
    <n v="189.6"/>
    <n v="206.00039999999996"/>
    <n v="686.66799999999989"/>
    <s v="Never"/>
    <s v="2023_1920_02977, 2024_2777_03835"/>
    <s v="W2240AL LE2 CLEAR r120x0158 CB4P"/>
    <m/>
    <m/>
    <m/>
    <s v="N/A"/>
    <m/>
    <n v="0.5"/>
    <m/>
  </r>
  <r>
    <s v="Fuyao"/>
    <s v="Fuqing (Fuzhou)"/>
    <s v="Various"/>
    <s v="Various"/>
    <s v="ARG"/>
    <x v="1"/>
    <s v="W2244AET"/>
    <s v="L"/>
    <s v="E2"/>
    <s v="Clear"/>
    <s v="Acoustic"/>
    <s v="BF011519"/>
    <s v="Y"/>
    <x v="0"/>
    <n v="0.44"/>
    <n v="99"/>
    <n v="30"/>
    <s v="N/A"/>
    <s v="N/A"/>
    <n v="0.8"/>
    <n v="170"/>
    <n v="570"/>
    <n v="400"/>
    <n v="120"/>
    <n v="150"/>
    <n v="600"/>
    <n v="450"/>
    <n v="90"/>
    <s v="N/A"/>
    <n v="69"/>
    <n v="1.1036000000000001"/>
    <m/>
    <n v="0.99780000000000013"/>
    <n v="1.0576680000000001"/>
    <n v="876.64628800000003"/>
    <n v="151.47309536050926"/>
    <n v="165.62414518918823"/>
    <n v="329.23690140980557"/>
    <n v="166"/>
    <n v="164.34"/>
    <n v="173.81715912000001"/>
    <n v="579.3905304000001"/>
    <d v="2023-02-23T00:00:00"/>
    <s v="2022_1806_02862, 2024_2777_03835"/>
    <s v="W2244AE LE2 CLEAR r099x0166 CB4P"/>
    <s v="Replaced by W2244AL"/>
    <m/>
    <m/>
    <s v="N/A"/>
    <m/>
    <n v="0.5757575757575758"/>
    <m/>
  </r>
  <r>
    <s v="Fuyao"/>
    <s v="Fuqing (Fuzhou)"/>
    <s v="Various"/>
    <s v="Various"/>
    <s v="ARG"/>
    <x v="0"/>
    <s v="W2244AL"/>
    <s v="L"/>
    <s v="E2"/>
    <s v="Clear"/>
    <s v="Acoustic"/>
    <s v="BF012313"/>
    <s v="Y"/>
    <x v="0"/>
    <n v="0.44"/>
    <n v="99"/>
    <n v="25"/>
    <s v="N/A"/>
    <s v="N/A"/>
    <n v="0.8"/>
    <n v="170"/>
    <n v="570"/>
    <n v="400"/>
    <n v="170"/>
    <n v="150"/>
    <n v="600"/>
    <n v="450"/>
    <n v="140"/>
    <s v="N/A"/>
    <n v="74"/>
    <n v="1.1255999999999999"/>
    <m/>
    <n v="1.003911111111111"/>
    <n v="1.0641457777777776"/>
    <n v="876.64628800000003"/>
    <n v="148.51253379518303"/>
    <n v="162.38699949430367"/>
    <n v="322.80192288189539"/>
    <n v="162"/>
    <n v="160.38"/>
    <n v="170.66769983999998"/>
    <n v="682.67079935999993"/>
    <s v="?"/>
    <s v="2024_2532_03589"/>
    <s v="W2244AL LE2 CLEAR r099x0162 CB4P"/>
    <s v="Reduced flat distance. Replacing W2244AE"/>
    <m/>
    <m/>
    <m/>
    <m/>
    <n v="0.5757575757575758"/>
    <m/>
  </r>
  <r>
    <s v="Fuyao"/>
    <s v="Fuqing (Fuzhou)"/>
    <s v="Various"/>
    <s v="Various"/>
    <s v="ARG"/>
    <x v="1"/>
    <s v="W2244AFT"/>
    <s v="L"/>
    <s v="E2"/>
    <s v="Clear"/>
    <s v="Acoustic"/>
    <s v="BF011520"/>
    <s v="Y"/>
    <x v="0"/>
    <n v="0.44"/>
    <n v="106"/>
    <n v="30"/>
    <s v="N/A"/>
    <s v="N/A"/>
    <n v="0.8"/>
    <n v="200"/>
    <n v="600"/>
    <n v="400"/>
    <n v="160"/>
    <n v="150"/>
    <n v="600"/>
    <n v="450"/>
    <n v="160"/>
    <s v="N/A"/>
    <n v="76"/>
    <n v="1.1344000000000001"/>
    <m/>
    <n v="1.0145207547169814"/>
    <n v="1.0753920000000003"/>
    <n v="876.64628800000003"/>
    <n v="147.3604619533304"/>
    <n v="161.12729780570183"/>
    <n v="320.29781769733904"/>
    <n v="161"/>
    <n v="170.66"/>
    <n v="183.52639872000006"/>
    <n v="611.75466240000026"/>
    <d v="2023-02-23T00:00:00"/>
    <s v="2022_1806_02862, 2024_2777_03835"/>
    <s v="W2244AF LE2 CLEAR r106x0161 CB4P"/>
    <m/>
    <m/>
    <m/>
    <s v="N/A"/>
    <m/>
    <n v="0.56603773584905659"/>
    <m/>
  </r>
  <r>
    <s v="Fuyao"/>
    <s v="Fuqing (Fuzhou)"/>
    <s v="Various"/>
    <s v="Various"/>
    <s v="ARG"/>
    <x v="1"/>
    <s v="W2244AGT"/>
    <s v="L"/>
    <s v="E2"/>
    <s v="Clear"/>
    <s v="Acoustic"/>
    <s v="BF011677"/>
    <s v="Y"/>
    <x v="0"/>
    <n v="0.44"/>
    <n v="91"/>
    <n v="25"/>
    <s v="N/A"/>
    <s v="N/A"/>
    <n v="0.8"/>
    <n v="150"/>
    <n v="500"/>
    <n v="350"/>
    <n v="160"/>
    <n v="150"/>
    <n v="550"/>
    <n v="400"/>
    <n v="110"/>
    <s v="N/A"/>
    <n v="66"/>
    <n v="1.0904"/>
    <m/>
    <n v="0.98509010989010992"/>
    <n v="1.0441955164835166"/>
    <n v="876.64628800000003"/>
    <n v="153.30677553178469"/>
    <n v="167.62913300695908"/>
    <n v="333.22252787588178"/>
    <n v="168"/>
    <n v="152.88"/>
    <n v="159.63661056000001"/>
    <n v="638.54644224000003"/>
    <s v="Never"/>
    <s v="2023_1920_02977, 2024_2777_03835"/>
    <s v="W2244AG LE2 CLEAR r091x0168 CB4P"/>
    <m/>
    <m/>
    <m/>
    <s v="N/A"/>
    <m/>
    <n v="0.5494505494505495"/>
    <m/>
  </r>
  <r>
    <s v="Fuyao"/>
    <s v="Fuqing (Fuzhou)"/>
    <s v="Various"/>
    <s v="Various"/>
    <s v="ARG"/>
    <x v="1"/>
    <s v="W2244AHT"/>
    <s v="L"/>
    <s v="E2"/>
    <s v="Clear"/>
    <s v="Acoustic"/>
    <s v="BF011678"/>
    <s v="Y"/>
    <x v="0"/>
    <n v="0.44"/>
    <n v="115"/>
    <n v="30"/>
    <s v="N/A"/>
    <s v="N/A"/>
    <n v="0.8"/>
    <n v="200"/>
    <n v="600"/>
    <n v="400"/>
    <n v="250"/>
    <n v="150"/>
    <n v="600"/>
    <n v="450"/>
    <n v="250"/>
    <s v="N/A"/>
    <n v="85"/>
    <n v="1.1739999999999999"/>
    <m/>
    <n v="1.0357826086956521"/>
    <n v="1.0979295652173913"/>
    <n v="876.64628800000003"/>
    <n v="142.38987056205966"/>
    <n v="155.69233954922333"/>
    <n v="309.49390493684967"/>
    <n v="156"/>
    <n v="179.4"/>
    <n v="196.96856399999999"/>
    <n v="656.56187999999997"/>
    <d v="2023-04-23T00:00:00"/>
    <s v="2023_1920_02977, 2024_2777_03835"/>
    <s v="W2244AH LE2 CLEAR r115x0156 CB4P"/>
    <m/>
    <m/>
    <m/>
    <s v="N/A"/>
    <m/>
    <n v="0.52173913043478259"/>
    <m/>
  </r>
  <r>
    <s v="Fuyao"/>
    <s v="Fuqing (Fuzhou)"/>
    <s v="Various"/>
    <s v="Various"/>
    <s v="ARG"/>
    <x v="1"/>
    <s v="W2244AC"/>
    <s v="L"/>
    <s v="E2"/>
    <s v="Clear"/>
    <s v="Acoustic"/>
    <s v="BF010674"/>
    <s v="Y"/>
    <x v="2"/>
    <n v="0.44"/>
    <n v="99"/>
    <n v="25"/>
    <s v="N/A"/>
    <s v="N/A"/>
    <n v="0.8"/>
    <n v="150"/>
    <n v="620"/>
    <n v="470"/>
    <n v="120"/>
    <n v="150"/>
    <n v="620"/>
    <n v="470"/>
    <n v="120"/>
    <s v="N/A"/>
    <n v="74"/>
    <n v="1.1255999999999999"/>
    <m/>
    <n v="1.003911111111111"/>
    <n v="1.0641457777777776"/>
    <n v="876.64628800000003"/>
    <n v="148.51253379518303"/>
    <n v="162.38699949430367"/>
    <n v="322.80192288189539"/>
    <n v="162"/>
    <n v="160.38"/>
    <n v="170.66769983999998"/>
    <n v="682.67079935999993"/>
    <d v="2022-03-01T00:00:00"/>
    <s v="2022_1305_02361"/>
    <s v="W2244AC LE2 CLEAR r099x0162 CT4P"/>
    <s v="Straight to commercial"/>
    <m/>
    <m/>
    <s v="N/A"/>
    <d v="2022-04-01T00:00:00"/>
    <n v="0.6262626262626263"/>
    <m/>
  </r>
  <r>
    <s v="Fuyao"/>
    <s v="Fuqing (Fuzhou)"/>
    <s v="Various"/>
    <s v="Various"/>
    <s v="ARG"/>
    <x v="1"/>
    <s v="W2244AD"/>
    <s v="L"/>
    <s v="E2"/>
    <s v="Clear"/>
    <s v="Acoustic"/>
    <s v="BF011207"/>
    <s v="Y"/>
    <x v="2"/>
    <n v="0.44"/>
    <n v="106"/>
    <n v="30"/>
    <s v="N/A"/>
    <s v="N/A"/>
    <n v="0.8"/>
    <n v="150"/>
    <n v="620"/>
    <n v="470"/>
    <n v="140"/>
    <n v="150"/>
    <n v="620"/>
    <n v="470"/>
    <n v="140"/>
    <s v="N/A"/>
    <n v="76"/>
    <n v="1.1344000000000001"/>
    <m/>
    <n v="1.0145207547169814"/>
    <n v="1.0753920000000003"/>
    <n v="876.64628800000003"/>
    <n v="147.3604619533304"/>
    <n v="161.12729780570183"/>
    <n v="320.29781769733904"/>
    <n v="161"/>
    <n v="170.66"/>
    <n v="183.52639872000006"/>
    <n v="611.75466240000026"/>
    <d v="2022-09-01T00:00:00"/>
    <s v="2022_1608_02664"/>
    <m/>
    <m/>
    <m/>
    <m/>
    <s v="N/A"/>
    <m/>
    <n v="0.58490566037735847"/>
    <m/>
  </r>
  <r>
    <s v="Fuyao"/>
    <s v="Fuqing (Fuzhou)"/>
    <s v="Various"/>
    <s v="Various"/>
    <s v="ARG"/>
    <x v="1"/>
    <s v="W2248ADT"/>
    <s v="L"/>
    <s v="E2"/>
    <s v="Clear"/>
    <s v="Acoustic"/>
    <s v="BF011679"/>
    <s v="Y"/>
    <x v="0"/>
    <n v="0.48"/>
    <n v="100"/>
    <n v="30"/>
    <s v="N/A"/>
    <s v="N/A"/>
    <n v="0.8"/>
    <n v="150"/>
    <n v="550"/>
    <n v="400"/>
    <n v="150"/>
    <n v="150"/>
    <n v="600"/>
    <n v="450"/>
    <n v="100"/>
    <s v="N/A"/>
    <n v="70"/>
    <n v="1.1360000000000001"/>
    <m/>
    <n v="1.0184"/>
    <n v="1.079504"/>
    <n v="879.250496"/>
    <n v="147.15291200691726"/>
    <n v="160.90035794963748"/>
    <n v="319.84669401044141"/>
    <n v="161"/>
    <n v="161"/>
    <n v="173.80014399999999"/>
    <n v="579.3338133333333"/>
    <d v="2023-04-23T00:00:00"/>
    <s v="2023_1920_02977, 2024_2777_03835"/>
    <s v="W2248AD LE2 CLEAR r100x0161 CB4P"/>
    <m/>
    <m/>
    <m/>
    <s v="N/A"/>
    <m/>
    <n v="0.55000000000000004"/>
    <m/>
  </r>
  <r>
    <s v="Fuyao"/>
    <s v="Fuqing (Fuzhou)"/>
    <s v="Various"/>
    <s v="Various"/>
    <s v="ARG"/>
    <x v="1"/>
    <s v="W2252AHT"/>
    <s v="L"/>
    <s v="E2"/>
    <s v="Clear"/>
    <s v="Acoustic"/>
    <s v="BF011522"/>
    <s v="Y"/>
    <x v="0"/>
    <n v="0.52"/>
    <n v="90"/>
    <n v="30"/>
    <s v="N/A"/>
    <s v="N/A"/>
    <n v="0.8"/>
    <n v="80"/>
    <n v="480"/>
    <n v="400"/>
    <n v="120"/>
    <n v="80"/>
    <n v="500"/>
    <n v="420"/>
    <n v="100"/>
    <s v="N/A"/>
    <n v="60"/>
    <n v="1.1120000000000001"/>
    <m/>
    <n v="1.008"/>
    <n v="1.0684800000000001"/>
    <n v="881.85470400000008"/>
    <n v="150.32887413656297"/>
    <n v="164.37302754567281"/>
    <n v="326.74986006822076"/>
    <n v="164"/>
    <n v="147.6"/>
    <n v="157.70764800000001"/>
    <n v="525.69216000000006"/>
    <d v="2023-02-23T00:00:00"/>
    <s v="2022_1806_02862, 2024_2777_03835"/>
    <s v="W2252AH LE2 CLEAR r090x0164 CB4P"/>
    <m/>
    <m/>
    <m/>
    <s v="N/A"/>
    <m/>
    <n v="0.53333333333333333"/>
    <m/>
  </r>
  <r>
    <s v="Fuyao"/>
    <s v="Fuqing (Fuzhou)"/>
    <s v="Various"/>
    <s v="Various"/>
    <s v="ARG"/>
    <x v="1"/>
    <s v="W2252AIT"/>
    <s v="L"/>
    <s v="E2"/>
    <s v="Clear"/>
    <s v="Acoustic"/>
    <s v="BF011523"/>
    <s v="Y"/>
    <x v="0"/>
    <n v="0.52"/>
    <n v="100"/>
    <n v="30"/>
    <s v="N/A"/>
    <s v="N/A"/>
    <n v="0.8"/>
    <n v="180"/>
    <n v="580"/>
    <n v="400"/>
    <n v="120"/>
    <n v="150"/>
    <n v="600"/>
    <n v="450"/>
    <n v="100"/>
    <s v="N/A"/>
    <n v="70"/>
    <n v="1.1640000000000001"/>
    <m/>
    <n v="1.0366000000000002"/>
    <n v="1.0987960000000001"/>
    <n v="881.85470400000008"/>
    <n v="143.61315123699143"/>
    <n v="157.02990260376987"/>
    <n v="312.15278728166788"/>
    <n v="157"/>
    <n v="157"/>
    <n v="172.51097200000001"/>
    <n v="575.03657333333342"/>
    <d v="2023-02-23T00:00:00"/>
    <s v="2022_1806_02862, 2024_2777_03835"/>
    <s v="W2252AI LE2 CLEAR r100x0157 CB4P"/>
    <s v="Replaced by W2252AR"/>
    <m/>
    <m/>
    <s v="N/A"/>
    <m/>
    <n v="0.57999999999999996"/>
    <m/>
  </r>
  <r>
    <s v="Fuyao"/>
    <s v="Fuqing (Fuzhou)"/>
    <s v="Various"/>
    <s v="Various"/>
    <s v="ARG"/>
    <x v="0"/>
    <s v="W2252AR"/>
    <s v="L"/>
    <s v="E2"/>
    <s v="Clear"/>
    <s v="Acoustic"/>
    <s v="BF012314"/>
    <s v="Y"/>
    <x v="0"/>
    <n v="0.52"/>
    <n v="100"/>
    <n v="25"/>
    <s v="N/A"/>
    <s v="N/A"/>
    <n v="0.8"/>
    <n v="180"/>
    <n v="580"/>
    <n v="400"/>
    <n v="170"/>
    <n v="150"/>
    <n v="600"/>
    <n v="450"/>
    <n v="150"/>
    <s v="N/A"/>
    <n v="75"/>
    <n v="1.19"/>
    <m/>
    <n v="1.04375"/>
    <n v="1.1063749999999999"/>
    <n v="881.85470400000008"/>
    <n v="140.47538490744373"/>
    <n v="153.59899716872957"/>
    <n v="305.33264234946341"/>
    <n v="154"/>
    <n v="154"/>
    <n v="170.38174999999998"/>
    <n v="681.52699999999993"/>
    <s v="?"/>
    <s v="2024_2532_03589"/>
    <s v="W2252AR LE2 CLEAR r100x0154 CB4P"/>
    <s v="Reduced flat distance. Replacing W2252AI"/>
    <m/>
    <m/>
    <m/>
    <m/>
    <n v="0.57999999999999996"/>
    <m/>
  </r>
  <r>
    <s v="Fuyao"/>
    <s v="Fuqing (Fuzhou)"/>
    <s v="Various"/>
    <s v="Various"/>
    <s v="ARG"/>
    <x v="1"/>
    <s v="W2252AJT"/>
    <s v="L"/>
    <s v="E2"/>
    <s v="Clear"/>
    <s v="Acoustic"/>
    <s v="BF011524"/>
    <s v="Y"/>
    <x v="0"/>
    <n v="0.52"/>
    <n v="103"/>
    <n v="30"/>
    <s v="N/A"/>
    <s v="N/A"/>
    <n v="0.8"/>
    <n v="180"/>
    <n v="580"/>
    <n v="400"/>
    <n v="150"/>
    <n v="150"/>
    <n v="600"/>
    <n v="450"/>
    <n v="130"/>
    <s v="N/A"/>
    <n v="73"/>
    <n v="1.1796"/>
    <m/>
    <n v="1.0450815533980582"/>
    <n v="1.1077864466019418"/>
    <n v="881.85470400000008"/>
    <n v="141.71389287882167"/>
    <n v="154.95321009731111"/>
    <n v="308.02462224132034"/>
    <n v="155"/>
    <n v="159.65"/>
    <n v="176.85810620000001"/>
    <n v="589.52702066666677"/>
    <d v="2023-02-23T00:00:00"/>
    <s v="2022_1806_02862, 2024_2777_03835"/>
    <s v="W2252AJ LE2 CLEAR r103x0155 CB4P"/>
    <m/>
    <m/>
    <m/>
    <s v="N/A"/>
    <m/>
    <n v="0.56310679611650483"/>
    <m/>
  </r>
  <r>
    <s v="Fuyao"/>
    <s v="Fuqing (Fuzhou)"/>
    <s v="Various"/>
    <s v="Various"/>
    <s v="ARG"/>
    <x v="1"/>
    <s v="W2252AKT"/>
    <s v="L"/>
    <s v="E2"/>
    <s v="Clear"/>
    <s v="Acoustic"/>
    <s v="BF011525 (CB4P), BF012212 (CB1P)"/>
    <s v="Y"/>
    <x v="0"/>
    <n v="0.52"/>
    <n v="107"/>
    <n v="30"/>
    <s v="N/A"/>
    <s v="N/A"/>
    <n v="0.8"/>
    <n v="180"/>
    <n v="580"/>
    <n v="400"/>
    <n v="190"/>
    <n v="150"/>
    <n v="600"/>
    <n v="450"/>
    <n v="170"/>
    <s v="N/A"/>
    <n v="77"/>
    <n v="1.2004000000000001"/>
    <m/>
    <n v="1.0563308411214953"/>
    <n v="1.1197106915887849"/>
    <n v="881.85470400000008"/>
    <n v="139.25833725413031"/>
    <n v="152.2682494425093"/>
    <n v="302.68730789391992"/>
    <n v="152"/>
    <n v="162.63999999999999"/>
    <n v="182.10974687999996"/>
    <n v="607.03248959999985"/>
    <d v="2023-02-23T00:00:00"/>
    <s v="2022_1806_02862, 2024_2437_03494"/>
    <s v="W2252AK LE2 CLEAR r107x0152 CB4P"/>
    <s v="Being tested by Xinyi"/>
    <m/>
    <m/>
    <s v="N/A"/>
    <m/>
    <n v="0.54205607476635509"/>
    <m/>
  </r>
  <r>
    <s v="Fuyao"/>
    <s v="Fuqing (Fuzhou)"/>
    <s v="Various"/>
    <s v="Various"/>
    <s v="ARG"/>
    <x v="1"/>
    <s v="W2252AMT"/>
    <s v="L"/>
    <s v="E2"/>
    <s v="Clear"/>
    <s v="Acoustic"/>
    <s v="BF011680"/>
    <s v="Y"/>
    <x v="0"/>
    <n v="0.52"/>
    <n v="85"/>
    <n v="20"/>
    <s v="N/A"/>
    <s v="N/A"/>
    <n v="0.8"/>
    <n v="150"/>
    <n v="500"/>
    <n v="350"/>
    <n v="150"/>
    <n v="150"/>
    <n v="550"/>
    <n v="400"/>
    <n v="100"/>
    <s v="N/A"/>
    <n v="65"/>
    <n v="1.1379999999999999"/>
    <m/>
    <n v="1.008764705882353"/>
    <n v="1.0692905882352943"/>
    <n v="881.85470400000008"/>
    <n v="146.89429528985769"/>
    <n v="160.61758051914606"/>
    <n v="319.28457328283088"/>
    <n v="161"/>
    <n v="136.85"/>
    <n v="146.33241700000002"/>
    <n v="731.66208500000005"/>
    <s v="Never"/>
    <s v="2023_1920_02977, 2024_2777_03835"/>
    <s v="W2252AM LE2 CLEAR r085x0161 CB4P"/>
    <m/>
    <m/>
    <m/>
    <s v="N/A"/>
    <m/>
    <n v="0.58823529411764708"/>
    <m/>
  </r>
  <r>
    <s v="Fuyao"/>
    <s v="Fuqing (Fuzhou)"/>
    <s v="Various"/>
    <s v="Various"/>
    <s v="ARG"/>
    <x v="1"/>
    <s v="W2252AC"/>
    <s v="L"/>
    <s v="E2"/>
    <s v="Clear"/>
    <s v="Acoustic"/>
    <s v="BF010675"/>
    <s v="Y"/>
    <x v="2"/>
    <n v="0.52"/>
    <n v="100"/>
    <n v="25"/>
    <s v="N/A"/>
    <s v="N/A"/>
    <n v="0.8"/>
    <n v="150"/>
    <n v="630"/>
    <n v="480"/>
    <n v="120"/>
    <n v="150"/>
    <n v="630"/>
    <n v="480"/>
    <n v="120"/>
    <s v="N/A"/>
    <n v="75"/>
    <n v="1.19"/>
    <m/>
    <n v="1.04375"/>
    <n v="1.1063749999999999"/>
    <n v="881.85470400000008"/>
    <n v="140.47538490744373"/>
    <n v="153.59899716872957"/>
    <n v="305.33264234946341"/>
    <n v="154"/>
    <n v="154"/>
    <n v="170.38174999999998"/>
    <n v="681.52699999999993"/>
    <d v="2022-03-01T00:00:00"/>
    <s v="2022_1305_02361"/>
    <s v="W2252AC LE2 CLEAR r100x0154 CT4P"/>
    <s v="Straight to commercial"/>
    <m/>
    <m/>
    <s v="N/A"/>
    <d v="2022-04-01T00:00:00"/>
    <n v="0.63"/>
    <m/>
  </r>
  <r>
    <s v="Fuyao"/>
    <s v="Fuqing (Fuzhou)"/>
    <s v="Various"/>
    <s v="Various"/>
    <s v="ARG"/>
    <x v="1"/>
    <s v="W2252AD"/>
    <s v="L"/>
    <s v="E2"/>
    <s v="Clear"/>
    <s v="Acoustic"/>
    <s v="BF011208"/>
    <s v="Y"/>
    <x v="2"/>
    <n v="0.52"/>
    <n v="103"/>
    <n v="28"/>
    <s v="N/A"/>
    <s v="N/A"/>
    <n v="0.8"/>
    <n v="150"/>
    <n v="630"/>
    <n v="480"/>
    <n v="120"/>
    <n v="150"/>
    <n v="630"/>
    <n v="480"/>
    <n v="120"/>
    <s v="N/A"/>
    <n v="75"/>
    <n v="1.19"/>
    <m/>
    <n v="1.0480097087378639"/>
    <n v="1.1108902912621357"/>
    <n v="881.85470400000008"/>
    <n v="140.47538490744373"/>
    <n v="153.59899716872957"/>
    <n v="305.33264234946341"/>
    <n v="154"/>
    <n v="158.62"/>
    <n v="176.20941799999997"/>
    <n v="629.31934999999987"/>
    <d v="2022-09-01T00:00:00"/>
    <s v="2022_1608_02664"/>
    <m/>
    <m/>
    <m/>
    <m/>
    <s v="N/A"/>
    <m/>
    <n v="0.61165048543689315"/>
    <m/>
  </r>
  <r>
    <s v="Fuyao"/>
    <s v="Fuqing (Fuzhou)"/>
    <s v="Various"/>
    <s v="Various"/>
    <s v="ARG"/>
    <x v="1"/>
    <s v="W2252AE"/>
    <s v="L"/>
    <s v="E2"/>
    <s v="Clear"/>
    <s v="Acoustic"/>
    <s v="BF011209"/>
    <s v="Y"/>
    <x v="2"/>
    <n v="0.52"/>
    <n v="107"/>
    <n v="30"/>
    <s v="N/A"/>
    <s v="N/A"/>
    <n v="0.8"/>
    <n v="150"/>
    <n v="630"/>
    <n v="480"/>
    <n v="140"/>
    <n v="150"/>
    <n v="630"/>
    <n v="480"/>
    <n v="140"/>
    <s v="N/A"/>
    <n v="77"/>
    <n v="1.2004000000000001"/>
    <m/>
    <n v="1.0563308411214953"/>
    <n v="1.1197106915887849"/>
    <n v="881.85470400000008"/>
    <n v="139.25833725413031"/>
    <n v="152.2682494425093"/>
    <n v="302.68730789391992"/>
    <n v="152"/>
    <n v="162.63999999999999"/>
    <n v="182.10974687999996"/>
    <n v="607.03248959999985"/>
    <d v="2022-10-01T00:00:00"/>
    <s v="2022_1608_02664"/>
    <m/>
    <m/>
    <m/>
    <m/>
    <s v="N/A"/>
    <m/>
    <n v="0.58878504672897192"/>
    <m/>
  </r>
  <r>
    <s v="Fuyao"/>
    <s v="Fuqing (Fuzhou)"/>
    <s v="Various"/>
    <s v="Various"/>
    <s v="ARG"/>
    <x v="1"/>
    <s v="W2259ABT"/>
    <s v="L"/>
    <s v="E2"/>
    <s v="Clear"/>
    <s v="Acoustic"/>
    <s v="BF011526"/>
    <s v="Y"/>
    <x v="0"/>
    <n v="0.59"/>
    <n v="91"/>
    <n v="30"/>
    <s v="N/A"/>
    <s v="N/A"/>
    <n v="0.8"/>
    <n v="90"/>
    <n v="490"/>
    <n v="400"/>
    <n v="120"/>
    <n v="90"/>
    <n v="500"/>
    <n v="410"/>
    <n v="110"/>
    <s v="N/A"/>
    <n v="61"/>
    <n v="1.1598999999999999"/>
    <m/>
    <n v="1.0392741758241757"/>
    <n v="1.1016306263736262"/>
    <n v="886.41206799999998"/>
    <n v="144.12079320618849"/>
    <n v="157.58496993774307"/>
    <n v="313.25618104652256"/>
    <n v="158"/>
    <n v="143.78"/>
    <n v="158.39245145999996"/>
    <n v="527.97483819999991"/>
    <d v="2023-02-23T00:00:00"/>
    <s v="2022_1806_02862, 2024_2777_03835"/>
    <s v="W2259AB LE2 CLEAR r091x0158 CB4P"/>
    <m/>
    <m/>
    <m/>
    <s v="N/A"/>
    <m/>
    <n v="0.53846153846153844"/>
    <m/>
  </r>
  <r>
    <s v="Fuyao"/>
    <s v="Fuqing (Fuzhou)"/>
    <s v="Various"/>
    <s v="Various"/>
    <s v="ARG"/>
    <x v="1"/>
    <s v="W2259ACT"/>
    <s v="L"/>
    <s v="E2"/>
    <s v="Clear"/>
    <s v="Acoustic"/>
    <s v="BF011527"/>
    <s v="Y"/>
    <x v="0"/>
    <n v="0.59"/>
    <n v="115"/>
    <n v="30"/>
    <s v="N/A"/>
    <s v="N/A"/>
    <n v="0.8"/>
    <n v="200"/>
    <n v="600"/>
    <n v="400"/>
    <n v="250"/>
    <n v="150"/>
    <n v="600"/>
    <n v="450"/>
    <n v="250"/>
    <s v="N/A"/>
    <n v="85"/>
    <n v="1.3014999999999999"/>
    <m/>
    <n v="1.1161630434782608"/>
    <n v="1.1831328260869565"/>
    <n v="886.41206799999998"/>
    <n v="128.44080525536538"/>
    <n v="140.4401126629183"/>
    <n v="279.17467875210258"/>
    <n v="140"/>
    <n v="161"/>
    <n v="190.484385"/>
    <n v="634.94794999999999"/>
    <d v="2023-02-23T00:00:00"/>
    <s v="2022_1806_02862, 2024_2777_03835"/>
    <s v="W2259AC LE2 CLEAR r115x0140 CB4P"/>
    <m/>
    <m/>
    <m/>
    <s v="N/A"/>
    <m/>
    <n v="0.52173913043478259"/>
    <m/>
  </r>
  <r>
    <s v="Fuyao"/>
    <s v="Fuqing (Fuzhou)"/>
    <s v="Various"/>
    <s v="Various"/>
    <s v="ARG"/>
    <x v="1"/>
    <s v="W2259ADT"/>
    <s v="L"/>
    <s v="E2"/>
    <s v="Clear"/>
    <s v="Acoustic"/>
    <s v="BF011681"/>
    <s v="Y"/>
    <x v="0"/>
    <n v="0.59"/>
    <n v="85"/>
    <n v="20"/>
    <s v="N/A"/>
    <s v="N/A"/>
    <n v="0.8"/>
    <n v="150"/>
    <n v="500"/>
    <n v="350"/>
    <n v="150"/>
    <n v="150"/>
    <n v="550"/>
    <n v="400"/>
    <n v="100"/>
    <s v="N/A"/>
    <n v="65"/>
    <n v="1.1835"/>
    <m/>
    <n v="1.0368676470588236"/>
    <n v="1.0990797058823529"/>
    <n v="886.41206799999998"/>
    <n v="141.24690159683823"/>
    <n v="154.44259115402465"/>
    <n v="307.00958546333879"/>
    <n v="154"/>
    <n v="130.9"/>
    <n v="143.86953350000002"/>
    <n v="719.34766750000006"/>
    <s v="Never"/>
    <s v="2023_1920_02977, 2024_2777_03835"/>
    <s v="W2259AD LE2 CLEAR r085x0154 CB4P"/>
    <m/>
    <m/>
    <m/>
    <s v="N/A"/>
    <m/>
    <n v="0.58823529411764708"/>
    <m/>
  </r>
  <r>
    <s v="Fuyao"/>
    <s v="Fuqing (Fuzhou)"/>
    <s v="Various"/>
    <s v="Various"/>
    <s v="ARG"/>
    <x v="1"/>
    <s v="W2259AET"/>
    <s v="L"/>
    <s v="E2"/>
    <s v="Clear"/>
    <s v="Acoustic"/>
    <s v="BF011682"/>
    <s v="Y"/>
    <x v="0"/>
    <n v="0.59"/>
    <n v="117"/>
    <n v="30"/>
    <s v="N/A"/>
    <s v="N/A"/>
    <n v="0.8"/>
    <n v="200"/>
    <n v="600"/>
    <n v="400"/>
    <n v="270"/>
    <n v="150"/>
    <n v="600"/>
    <n v="450"/>
    <n v="270"/>
    <s v="N/A"/>
    <n v="87"/>
    <n v="1.3132999999999999"/>
    <m/>
    <n v="1.1224576923076921"/>
    <n v="1.1898051538461536"/>
    <n v="886.41206799999998"/>
    <n v="127.28676466904594"/>
    <n v="139.17825830411039"/>
    <n v="276.66629436980236"/>
    <n v="139"/>
    <n v="162.63"/>
    <n v="193.49801216999995"/>
    <n v="644.99337389999982"/>
    <s v="Never"/>
    <s v="2023_1920_02977, 2024_2777_03835"/>
    <s v="W2259AE LE2 CLEAR r117x0139 CB4P"/>
    <m/>
    <m/>
    <m/>
    <s v="N/A"/>
    <m/>
    <n v="0.51282051282051277"/>
    <m/>
  </r>
  <r>
    <s v="Fuyao"/>
    <s v="Fuqing (Fuzhou)"/>
    <s v="Various"/>
    <s v="Various"/>
    <s v="ARG"/>
    <x v="1"/>
    <s v="W2259AFT"/>
    <s v="L"/>
    <s v="E2"/>
    <s v="Clear"/>
    <s v="Acoustic"/>
    <s v="BF011806"/>
    <s v="Y"/>
    <x v="0"/>
    <n v="0.59"/>
    <n v="100"/>
    <n v="30"/>
    <s v="N/A"/>
    <s v="N/A"/>
    <n v="0.8"/>
    <n v="150"/>
    <n v="550"/>
    <n v="400"/>
    <n v="150"/>
    <n v="150"/>
    <n v="600"/>
    <n v="450"/>
    <n v="100"/>
    <s v="N/A"/>
    <n v="70"/>
    <n v="1.2130000000000001"/>
    <m/>
    <n v="1.0684499999999999"/>
    <n v="1.1325569999999998"/>
    <n v="886.41206799999998"/>
    <n v="137.81179558108659"/>
    <n v="150.68656770881134"/>
    <n v="299.54315284077614"/>
    <n v="151"/>
    <n v="151"/>
    <n v="171.01610699999998"/>
    <n v="570.05368999999996"/>
    <d v="2023-05-01T00:00:00"/>
    <s v="2023_2021_03078, 2024_2777_03835"/>
    <s v="W2259AF LE2 CLEAR r100x0151 CB4P"/>
    <s v="Should not have been created. W2259AA would work. Only needed a 4-roll package."/>
    <m/>
    <m/>
    <m/>
    <m/>
    <n v="0.55000000000000004"/>
    <m/>
  </r>
  <r>
    <s v="Fuyao"/>
    <s v="Fuqing (Fuzhou)"/>
    <s v="Various"/>
    <s v="Various"/>
    <s v="ARG"/>
    <x v="1"/>
    <s v="W2259AA"/>
    <s v="L"/>
    <s v="E2"/>
    <s v="Clear"/>
    <s v="Acoustic"/>
    <s v="BF010676, BF011316 (L9 50m)"/>
    <s v="Y"/>
    <x v="3"/>
    <n v="0.59"/>
    <n v="100"/>
    <n v="25"/>
    <s v="N/A"/>
    <s v="N/A"/>
    <n v="0.8"/>
    <n v="150"/>
    <n v="630"/>
    <n v="480"/>
    <n v="120"/>
    <n v="150"/>
    <n v="630"/>
    <n v="480"/>
    <n v="120"/>
    <s v="N/A"/>
    <n v="75"/>
    <n v="1.2425000000000002"/>
    <m/>
    <n v="1.0765625000000001"/>
    <n v="1.1411562500000001"/>
    <n v="886.41206799999998"/>
    <n v="134.5398052634672"/>
    <n v="147.10889869681139"/>
    <n v="292.4312630952607"/>
    <n v="147"/>
    <n v="147"/>
    <n v="167.74996875000002"/>
    <n v="670.99987500000009"/>
    <d v="2022-03-01T00:00:00"/>
    <s v="2022_1305_02361, 2022_1643_02699"/>
    <s v="W2259AA LE2 CLEAR r100x0147 CT4P, W2259AA LE2 CLEAR r100x0050 CB1P"/>
    <s v="Straight to commercial from L8 for two campaigns. Then moved to L9, and then became W2259AF."/>
    <m/>
    <m/>
    <s v="N/A"/>
    <d v="2022-04-01T00:00:00"/>
    <n v="0.63"/>
    <m/>
  </r>
  <r>
    <s v="Fuyao"/>
    <s v="Fuqing (Fuzhou)"/>
    <s v="Various"/>
    <s v="Various"/>
    <s v="ARG"/>
    <x v="1"/>
    <s v="W2265AAT"/>
    <s v="L"/>
    <s v="E2"/>
    <s v="Clear"/>
    <s v="Acoustic"/>
    <s v="BF011528"/>
    <s v="Y"/>
    <x v="0"/>
    <n v="0.65"/>
    <n v="108"/>
    <n v="30"/>
    <s v="N/A"/>
    <s v="N/A"/>
    <n v="0.8"/>
    <n v="200"/>
    <n v="600"/>
    <n v="400"/>
    <n v="180"/>
    <n v="150"/>
    <n v="600"/>
    <n v="450"/>
    <n v="180"/>
    <s v="N/A"/>
    <n v="78"/>
    <n v="1.3069999999999999"/>
    <m/>
    <n v="1.1239166666666667"/>
    <n v="1.1913516666666668"/>
    <n v="890.31838000000005"/>
    <n v="127.9003121957598"/>
    <n v="139.84912519570634"/>
    <n v="277.99988094557119"/>
    <n v="140"/>
    <n v="151.19999999999999"/>
    <n v="180.132372"/>
    <n v="600.44123999999999"/>
    <d v="2023-02-23T00:00:00"/>
    <s v="2022_1806_02862, 2024_2777_03835"/>
    <s v="W2265AA LE2 CLEAR r108x0140 CB4P"/>
    <m/>
    <m/>
    <m/>
    <s v="N/A"/>
    <m/>
    <n v="0.55555555555555558"/>
    <m/>
  </r>
  <r>
    <s v="Fuyao"/>
    <s v="Fuqing (Fuzhou)"/>
    <s v="Various"/>
    <s v="Various"/>
    <s v="ARG"/>
    <x v="1"/>
    <s v="W2265ABT"/>
    <s v="L"/>
    <s v="E2"/>
    <s v="Clear"/>
    <s v="Acoustic"/>
    <s v="BF011683"/>
    <s v="Y"/>
    <x v="0"/>
    <n v="0.65"/>
    <n v="120"/>
    <n v="30"/>
    <s v="N/A"/>
    <s v="N/A"/>
    <n v="0.8"/>
    <n v="200"/>
    <n v="600"/>
    <n v="400"/>
    <n v="300"/>
    <n v="150"/>
    <n v="600"/>
    <n v="450"/>
    <n v="300"/>
    <s v="N/A"/>
    <n v="90"/>
    <n v="1.3850000000000002"/>
    <m/>
    <n v="1.1656250000000001"/>
    <n v="1.2355625000000001"/>
    <n v="890.31838000000005"/>
    <n v="120.69726212264116"/>
    <n v="131.9731455817965"/>
    <n v="262.34356996091077"/>
    <n v="132"/>
    <n v="158.4"/>
    <n v="195.71310000000003"/>
    <n v="652.37700000000007"/>
    <s v="Never"/>
    <s v="2023_1920_02977, 2024_2777_03835"/>
    <s v="W2265AB LE2 CLEAR r120x0132 CB4P"/>
    <m/>
    <m/>
    <m/>
    <s v="N/A"/>
    <m/>
    <n v="0.5"/>
    <m/>
  </r>
  <r>
    <s v="Fuyao"/>
    <s v="Fuqing (Fuzhou)"/>
    <s v="Various"/>
    <s v="Various"/>
    <s v="ARG"/>
    <x v="1"/>
    <s v="W2268AAT"/>
    <s v="L"/>
    <s v="E2"/>
    <s v="Clear"/>
    <s v="Acoustic"/>
    <s v="BF011529"/>
    <s v="Y"/>
    <x v="0"/>
    <n v="0.68"/>
    <n v="100"/>
    <n v="30"/>
    <s v="N/A"/>
    <s v="N/A"/>
    <n v="0.8"/>
    <n v="180"/>
    <n v="580"/>
    <n v="400"/>
    <n v="120"/>
    <n v="150"/>
    <n v="600"/>
    <n v="450"/>
    <n v="100"/>
    <s v="N/A"/>
    <n v="70"/>
    <n v="1.276"/>
    <m/>
    <n v="1.1093999999999999"/>
    <n v="1.175964"/>
    <n v="892.27153599999997"/>
    <n v="131.00760818170693"/>
    <n v="143.2467136604923"/>
    <n v="284.75379654848081"/>
    <n v="143"/>
    <n v="143"/>
    <n v="168.16285200000002"/>
    <n v="560.54284000000007"/>
    <d v="2023-02-23T00:00:00"/>
    <s v="2022_1806_02862, 2024_2777_03835"/>
    <s v="W2268AA LE2 CLEAR r100x0143 CB4P"/>
    <s v="Replaced by W2268AD"/>
    <m/>
    <m/>
    <s v="N/A"/>
    <m/>
    <n v="0.57999999999999996"/>
    <m/>
  </r>
  <r>
    <s v="Fuyao"/>
    <s v="Fuqing (Fuzhou)"/>
    <s v="Various"/>
    <s v="Various"/>
    <s v="ARG"/>
    <x v="1"/>
    <s v="W2268AD"/>
    <s v="L"/>
    <s v="E2"/>
    <s v="Clear"/>
    <s v="Acoustic"/>
    <s v="BF012315"/>
    <s v="Y"/>
    <x v="0"/>
    <n v="0.68"/>
    <n v="100"/>
    <n v="25"/>
    <s v="N/A"/>
    <s v="N/A"/>
    <n v="0.8"/>
    <n v="180"/>
    <n v="580"/>
    <n v="400"/>
    <n v="170"/>
    <n v="150"/>
    <n v="600"/>
    <n v="450"/>
    <n v="150"/>
    <s v="N/A"/>
    <n v="75"/>
    <n v="1.31"/>
    <m/>
    <n v="1.1187500000000001"/>
    <n v="1.1858750000000002"/>
    <n v="892.27153599999997"/>
    <n v="127.60741071744887"/>
    <n v="139.52886002350243"/>
    <n v="277.36323999684083"/>
    <n v="140"/>
    <n v="140"/>
    <n v="166.02250000000004"/>
    <n v="664.09000000000015"/>
    <s v="?"/>
    <s v="2024_2532_03589"/>
    <s v="W2268AD LE2 CLEAR r100x0140 CB4P"/>
    <s v="Reduced flat distance. Replacing W2268AA"/>
    <m/>
    <m/>
    <m/>
    <m/>
    <n v="0.57999999999999996"/>
    <m/>
  </r>
  <r>
    <s v="Fuyao"/>
    <s v="Fuqing (Fuzhou)"/>
    <s v="Various"/>
    <s v="Various"/>
    <s v="ARG"/>
    <x v="1"/>
    <s v="W2268ABT"/>
    <s v="L"/>
    <s v="E2"/>
    <s v="Clear"/>
    <s v="Acoustic"/>
    <s v="BF011530"/>
    <s v="Y"/>
    <x v="0"/>
    <n v="0.68"/>
    <n v="115"/>
    <n v="30"/>
    <s v="N/A"/>
    <s v="N/A"/>
    <n v="0.8"/>
    <n v="180"/>
    <n v="580"/>
    <n v="400"/>
    <n v="270"/>
    <n v="150"/>
    <n v="600"/>
    <n v="450"/>
    <n v="250"/>
    <s v="N/A"/>
    <n v="85"/>
    <n v="1.3780000000000001"/>
    <m/>
    <n v="1.164391304347826"/>
    <n v="1.2342547826086956"/>
    <n v="892.27153599999997"/>
    <n v="121.31038319293035"/>
    <n v="132.64354617618881"/>
    <n v="263.67622960512443"/>
    <n v="133"/>
    <n v="152.94999999999999"/>
    <n v="188.77926899999997"/>
    <n v="629.26422999999988"/>
    <d v="2023-02-23T00:00:00"/>
    <s v="2022_1806_02862, 2024_2777_03835"/>
    <s v="W2268AB LE2 CLEAR r115x0133 CB4P"/>
    <s v="Nearly identical to W2268AC, but AC is K adhesion"/>
    <m/>
    <m/>
    <s v="N/A"/>
    <m/>
    <n v="0.5043478260869565"/>
    <m/>
  </r>
  <r>
    <s v="Fuyao"/>
    <s v="Guangzhou"/>
    <s v="?"/>
    <s v="?"/>
    <m/>
    <x v="0"/>
    <s v="W5044AA"/>
    <s v="F"/>
    <s v="R3"/>
    <s v="Clear"/>
    <s v="Standard"/>
    <s v="BF011940"/>
    <m/>
    <x v="1"/>
    <n v="0.44"/>
    <n v="100"/>
    <n v="30"/>
    <s v="N/A"/>
    <s v="N/A"/>
    <n v="0.76"/>
    <n v="150"/>
    <n v="550"/>
    <n v="400"/>
    <n v="150"/>
    <n v="150"/>
    <n v="600"/>
    <n v="450"/>
    <n v="100"/>
    <s v="N/A"/>
    <n v="70"/>
    <n v="1.0680000000000001"/>
    <m/>
    <n v="0.96020000000000005"/>
    <n v="1.022613"/>
    <n v="838.18141200000002"/>
    <n v="156.52219853919291"/>
    <n v="171.14495002882788"/>
    <n v="340.21146479013242"/>
    <n v="171"/>
    <n v="171"/>
    <n v="174.86682300000001"/>
    <n v="582.88941000000011"/>
    <s v="?"/>
    <s v="2023_2120_03177"/>
    <s v="W5044AA FR3 CLEAR r100x0171 CB1P"/>
    <m/>
    <m/>
    <m/>
    <s v="N/A"/>
    <m/>
    <n v="0.55000000000000004"/>
    <m/>
  </r>
  <r>
    <s v="Fuyao"/>
    <s v="Guangzhou"/>
    <s v="BYD"/>
    <s v="ESEA"/>
    <s v="OEM"/>
    <x v="1"/>
    <s v="W2222AA"/>
    <s v="L"/>
    <s v="E2"/>
    <s v="Clear"/>
    <s v="Acoustic"/>
    <s v="BF011537"/>
    <s v="Y"/>
    <x v="0"/>
    <n v="0.22"/>
    <n v="115"/>
    <n v="30"/>
    <s v="N/A"/>
    <s v="N/A"/>
    <n v="0.8"/>
    <n v="229"/>
    <n v="629"/>
    <n v="400"/>
    <n v="221"/>
    <n v="200"/>
    <n v="650"/>
    <n v="450"/>
    <n v="200"/>
    <s v="N/A"/>
    <n v="85"/>
    <n v="0.9870000000000001"/>
    <m/>
    <n v="0.91789130434782618"/>
    <n v="0.97296478260869568"/>
    <n v="862.32314400000007"/>
    <n v="169.36748534940023"/>
    <n v="185.19028027435476"/>
    <n v="368.13155460573603"/>
    <n v="120"/>
    <n v="138"/>
    <n v="134.26913999999999"/>
    <n v="447.56380000000001"/>
    <d v="2023-01-01T00:00:00"/>
    <s v="2022_1807_02863"/>
    <s v="W2222AA LE2 CLEAR r115x0120 CB1P"/>
    <m/>
    <m/>
    <m/>
    <s v="N/A"/>
    <m/>
    <n v="0.54695652173913045"/>
    <m/>
  </r>
  <r>
    <s v="Fuyao"/>
    <s v="Guangzhou"/>
    <s v="BYD"/>
    <s v="Han (HC2)"/>
    <s v="OEM"/>
    <x v="1"/>
    <s v="W2230AC"/>
    <s v="L"/>
    <s v="E2"/>
    <s v="Clear"/>
    <s v="Acoustic"/>
    <s v="BF012344"/>
    <s v="Y"/>
    <x v="0"/>
    <n v="0.3"/>
    <n v="115"/>
    <n v="25"/>
    <s v="N/A"/>
    <s v="N/A"/>
    <n v="0.8"/>
    <n v="150"/>
    <n v="650"/>
    <n v="500"/>
    <n v="250"/>
    <n v="150"/>
    <n v="650"/>
    <n v="500"/>
    <n v="250"/>
    <s v="N/A"/>
    <n v="90"/>
    <n v="1.07"/>
    <m/>
    <n v="0.96434782608695657"/>
    <n v="1.0222086956521741"/>
    <n v="867.53156000000013"/>
    <n v="156.22963368211029"/>
    <n v="170.82505292597023"/>
    <n v="339.57555551015088"/>
    <n v="171"/>
    <n v="196.65"/>
    <n v="201.01734000000005"/>
    <n v="804.06936000000019"/>
    <d v="2024-06-01T00:00:00"/>
    <s v="2024_2567_03625"/>
    <s v="W2230AC LE2 CLEAR r115x0171 CB1P"/>
    <s v="Shaped"/>
    <m/>
    <m/>
    <m/>
    <m/>
    <n v="0.56521739130434778"/>
    <m/>
  </r>
  <r>
    <s v="Fuyao"/>
    <s v="Guangzhou"/>
    <s v="BYD"/>
    <s v="Han (HC2)"/>
    <s v="OEM"/>
    <x v="1"/>
    <s v="W2233AFT"/>
    <s v="L"/>
    <s v="E2"/>
    <s v="Clear"/>
    <s v="Acoustic"/>
    <s v="BF012171"/>
    <s v="Y"/>
    <x v="0"/>
    <n v="0.33"/>
    <n v="116"/>
    <n v="30"/>
    <s v="N/A"/>
    <s v="N/A"/>
    <n v="0.8"/>
    <n v="200"/>
    <n v="600"/>
    <n v="400"/>
    <n v="260"/>
    <n v="200"/>
    <n v="600"/>
    <n v="400"/>
    <n v="260"/>
    <s v="N/A"/>
    <n v="86"/>
    <n v="1.0838000000000001"/>
    <m/>
    <n v="0.97859827586206904"/>
    <n v="1.0373141724137933"/>
    <n v="869.48471600000005"/>
    <n v="154.24036541784281"/>
    <n v="168.64994153052976"/>
    <n v="335.25174792015264"/>
    <n v="169"/>
    <n v="196.04"/>
    <n v="203.35507036000004"/>
    <n v="677.85023453333349"/>
    <d v="2024-02-01T00:00:00"/>
    <s v="2024_2388_03445, 2024_2777_03835"/>
    <s v="W2233AF LE2 CLEAR r116x0169 CB4P"/>
    <s v="Nearly identical to W2233AE at KCC"/>
    <m/>
    <m/>
    <m/>
    <m/>
    <n v="0.51724137931034486"/>
    <m/>
  </r>
  <r>
    <s v="Fuyao"/>
    <s v="Guangzhou"/>
    <s v="BYD"/>
    <s v="Han (HC2)"/>
    <s v="OEM"/>
    <x v="2"/>
    <s v="W2232AHT"/>
    <s v="L"/>
    <s v="E2"/>
    <s v="Clear"/>
    <s v="Acoustic"/>
    <s v="BF012569 (CB4P), BF012730 (CB1P)"/>
    <s v="Y"/>
    <x v="0"/>
    <n v="0.32"/>
    <n v="116"/>
    <n v="30"/>
    <s v="N/A"/>
    <s v="N/A"/>
    <n v="0.8"/>
    <n v="200"/>
    <n v="600"/>
    <n v="400"/>
    <n v="260"/>
    <n v="200"/>
    <n v="600"/>
    <n v="400"/>
    <n v="260"/>
    <s v="N/A"/>
    <n v="86"/>
    <n v="1.0752000000000002"/>
    <m/>
    <n v="0.973186206896552"/>
    <n v="1.0315773793103451"/>
    <n v="868.833664"/>
    <n v="155.47405881683221"/>
    <n v="169.99889009559908"/>
    <n v="337.9332630169842"/>
    <n v="170"/>
    <n v="197.2"/>
    <n v="203.42705920000003"/>
    <n v="678.09019733333344"/>
    <d v="2024-10-01T00:00:00"/>
    <s v="2024_2813_03871, 2024_2931_03989"/>
    <s v="W2232AHT LE2 CLEAR r116x0170 CB4P, W2232AHT LE2 CLEAR r116x170 CB1P"/>
    <s v="Replacing W2232AET at 2 cm narrower &amp; new HUD area"/>
    <m/>
    <m/>
    <m/>
    <m/>
    <m/>
    <m/>
  </r>
  <r>
    <s v="Fuyao"/>
    <s v="Guangzhou"/>
    <s v="BYD"/>
    <s v="Han (HC2)"/>
    <s v="OEM"/>
    <x v="1"/>
    <s v="W2235AD"/>
    <s v="L"/>
    <s v="E2"/>
    <s v="Clear"/>
    <s v="Acoustic"/>
    <s v="BF012172"/>
    <s v="Y"/>
    <x v="0"/>
    <n v="0.35"/>
    <n v="116"/>
    <n v="30"/>
    <s v="N/A"/>
    <s v="N/A"/>
    <n v="0.8"/>
    <n v="200"/>
    <n v="600"/>
    <n v="400"/>
    <n v="260"/>
    <n v="200"/>
    <n v="600"/>
    <n v="400"/>
    <n v="260"/>
    <s v="N/A"/>
    <n v="86"/>
    <n v="1.101"/>
    <m/>
    <n v="0.98942241379310336"/>
    <n v="1.0487877586206895"/>
    <n v="870.78682000000003"/>
    <n v="151.83079749305907"/>
    <n v="166.01526487810006"/>
    <n v="330.01439091358895"/>
    <n v="166"/>
    <n v="192.56"/>
    <n v="201.95457079999997"/>
    <n v="673.18190266666659"/>
    <d v="2024-02-01T00:00:00"/>
    <s v="2024_2388_03445"/>
    <s v="W2235AD LE2 CLEAR r116x0166 CB1P"/>
    <m/>
    <m/>
    <m/>
    <m/>
    <m/>
    <n v="0.51724137931034486"/>
    <m/>
  </r>
  <r>
    <s v="Fuyao"/>
    <s v="Guangzhou"/>
    <s v="BYD"/>
    <s v="Han (HC2)"/>
    <s v="OEM"/>
    <x v="1"/>
    <s v="W2240AKT"/>
    <s v="L"/>
    <s v="E2"/>
    <s v="Clear"/>
    <s v="Acoustic"/>
    <s v="BF011675 (CB4P), BF012151 (CB1P)"/>
    <s v="Y"/>
    <x v="0"/>
    <n v="0.4"/>
    <n v="110"/>
    <n v="30"/>
    <s v="N/A"/>
    <s v="N/A"/>
    <n v="0.8"/>
    <n v="200"/>
    <n v="600"/>
    <n v="400"/>
    <n v="200"/>
    <n v="150"/>
    <n v="600"/>
    <n v="450"/>
    <n v="200"/>
    <s v="N/A"/>
    <n v="80"/>
    <n v="1.1200000000000001"/>
    <m/>
    <n v="1.0036363636363637"/>
    <n v="1.0638545454545454"/>
    <n v="874.04208000000006"/>
    <n v="149.25509646415895"/>
    <n v="163.19893449177513"/>
    <n v="324.41593249630483"/>
    <n v="163"/>
    <n v="179.3"/>
    <n v="190.74912"/>
    <n v="635.83040000000005"/>
    <d v="2024-05-01T00:00:00"/>
    <s v="2023_1920_02977, 2023_2364_03421, 2024_2777_03835"/>
    <s v="W2240AK LE2 CLEAR r110x0163 CB4P, W2240AK LE2 CLEAR r110x0163 CB1P"/>
    <s v="Unshaped. Orig for Fuqing, but then switched to Guangzhou."/>
    <m/>
    <m/>
    <s v="N/A"/>
    <m/>
    <n v="0.54545454545454541"/>
    <m/>
  </r>
  <r>
    <s v="Fuyao"/>
    <s v="Guangzhou"/>
    <s v="BYD"/>
    <s v="SZ"/>
    <s v="OEM"/>
    <x v="0"/>
    <s v="W2223AB"/>
    <s v="L"/>
    <s v="E2"/>
    <s v="Clear"/>
    <s v="Acoustic"/>
    <s v="BF012152"/>
    <s v="Y"/>
    <x v="0"/>
    <n v="0.23"/>
    <n v="108"/>
    <n v="30"/>
    <s v="N/A"/>
    <s v="N/A"/>
    <n v="0.8"/>
    <n v="200"/>
    <n v="600"/>
    <n v="400"/>
    <n v="180"/>
    <n v="200"/>
    <n v="600"/>
    <n v="400"/>
    <n v="180"/>
    <s v="N/A"/>
    <n v="78"/>
    <n v="0.97940000000000005"/>
    <m/>
    <n v="0.91461666666666674"/>
    <n v="0.96949366666666681"/>
    <n v="862.97419600000001"/>
    <n v="170.68175213381463"/>
    <n v="186.62732962098039"/>
    <n v="370.98820134353838"/>
    <n v="187"/>
    <n v="201.96"/>
    <n v="195.79894092000004"/>
    <n v="652.6631364000001"/>
    <d v="2024-01-01T00:00:00"/>
    <s v="2023_2362_03419"/>
    <s v="W2223AB LE2 CLEAR r108x0187 CB1P"/>
    <m/>
    <m/>
    <m/>
    <m/>
    <m/>
    <n v="0.55555555555555558"/>
    <m/>
  </r>
  <r>
    <s v="Fuyao"/>
    <s v="Guangzhou"/>
    <s v="GAC"/>
    <s v="A58"/>
    <s v="OEM"/>
    <x v="2"/>
    <s v="W5037AA"/>
    <s v="F"/>
    <s v="R3"/>
    <s v="Clear"/>
    <s v="Standard"/>
    <s v="BF011644, BF012813"/>
    <m/>
    <x v="1"/>
    <n v="0.37"/>
    <n v="107"/>
    <n v="30"/>
    <s v="N/A"/>
    <s v="N/A"/>
    <n v="0.76"/>
    <n v="200"/>
    <n v="600"/>
    <n v="400"/>
    <n v="170"/>
    <n v="150"/>
    <n v="600"/>
    <n v="450"/>
    <n v="170"/>
    <s v="N/A"/>
    <n v="77"/>
    <n v="1.0448999999999999"/>
    <m/>
    <n v="0.94238925233644844"/>
    <n v="1.0036445537383176"/>
    <n v="833.60255100000006"/>
    <n v="159.98249405671169"/>
    <n v="174.92851625111317"/>
    <n v="347.73264847914777"/>
    <n v="120"/>
    <n v="128.4"/>
    <n v="128.8679607"/>
    <n v="429.55986899999999"/>
    <s v="?"/>
    <s v="2023_1903_02960, 2025-0065-0202"/>
    <s v="W5037AA FR3 CLEAR r107x0120 CB1P, W5037AA FR3 CLEAR r107x0120 CB4P"/>
    <m/>
    <m/>
    <m/>
    <s v="N/A"/>
    <m/>
    <n v="0.56074766355140182"/>
    <m/>
  </r>
  <r>
    <s v="Fuyao"/>
    <s v="Guangzhou"/>
    <s v="GAC"/>
    <s v="A58"/>
    <s v="OEM"/>
    <x v="0"/>
    <s v="W5039AA"/>
    <s v="F"/>
    <s v="R3"/>
    <s v="Clear"/>
    <s v="Standard"/>
    <s v="BF012859 (CB1P), ______ (CB4P)"/>
    <s v="Y"/>
    <x v="1"/>
    <n v="0.39"/>
    <n v="107"/>
    <n v="30"/>
    <s v="N/A"/>
    <s v="N/A"/>
    <n v="0.76"/>
    <n v="200"/>
    <n v="600"/>
    <n v="400"/>
    <n v="170"/>
    <n v="200"/>
    <n v="600"/>
    <n v="400"/>
    <n v="170"/>
    <s v="N/A"/>
    <n v="77"/>
    <n v="1.0603"/>
    <m/>
    <n v="0.95224813084112159"/>
    <n v="1.0141442593457946"/>
    <n v="834.910797"/>
    <n v="157.6588777137207"/>
    <n v="172.38782102309554"/>
    <n v="342.68211298298729"/>
    <n v="172"/>
    <n v="184.04"/>
    <n v="186.64310949000003"/>
    <n v="622.1436983000001"/>
    <s v="?"/>
    <s v="2025-0145-0285, 2025-0198-0343"/>
    <m/>
    <m/>
    <m/>
    <m/>
    <m/>
    <m/>
    <m/>
    <m/>
  </r>
  <r>
    <s v="Fuyao"/>
    <s v="Guangzhou"/>
    <s v="GAC"/>
    <s v="A58"/>
    <s v="OEM"/>
    <x v="0"/>
    <s v="W2239AHT"/>
    <s v="L"/>
    <s v="E2"/>
    <s v="Clear"/>
    <s v="Acoustic"/>
    <s v="tbd"/>
    <s v="Y"/>
    <x v="0"/>
    <n v="0.39"/>
    <n v="108"/>
    <n v="30"/>
    <s v="N/A"/>
    <s v="N/A"/>
    <n v="0.8"/>
    <n v="150"/>
    <n v="650"/>
    <n v="500"/>
    <n v="130"/>
    <n v="150"/>
    <n v="650"/>
    <n v="500"/>
    <n v="130"/>
    <s v="N/A"/>
    <n v="78"/>
    <n v="1.1042000000000001"/>
    <m/>
    <n v="0.99435000000000007"/>
    <n v="1.054011"/>
    <n v="873.39102800000012"/>
    <n v="151.39078793683936"/>
    <n v="165.53414837057434"/>
    <n v="329.0580007207584"/>
    <n v="166"/>
    <n v="179.28"/>
    <n v="188.96309208"/>
    <n v="629.87697360000004"/>
    <s v="?"/>
    <s v="2025-0261-0406"/>
    <m/>
    <m/>
    <m/>
    <m/>
    <m/>
    <m/>
    <m/>
    <m/>
  </r>
  <r>
    <s v="Fuyao"/>
    <s v="Guangzhou"/>
    <s v="GAC"/>
    <s v="T60-M"/>
    <s v="OEM"/>
    <x v="0"/>
    <s v="W2228ADT"/>
    <s v="L"/>
    <s v="E2"/>
    <s v="Clear"/>
    <s v="Acoustic"/>
    <m/>
    <s v="Y"/>
    <x v="0"/>
    <n v="0.28000000000000003"/>
    <n v="110"/>
    <n v="30"/>
    <s v="N/A"/>
    <s v="N/A"/>
    <n v="0.8"/>
    <n v="200"/>
    <n v="600"/>
    <n v="400"/>
    <n v="200"/>
    <n v="200"/>
    <n v="600"/>
    <n v="400"/>
    <n v="200"/>
    <s v="N/A"/>
    <n v="80"/>
    <n v="1.024"/>
    <m/>
    <n v="0.94254545454545458"/>
    <n v="0.99909818181818189"/>
    <n v="866.22945600000003"/>
    <n v="163.24776175767386"/>
    <n v="178.49883460037904"/>
    <n v="354.82992616783349"/>
    <n v="178"/>
    <n v="195.8"/>
    <n v="195.62342400000003"/>
    <n v="652.07808000000011"/>
    <d v="2024-12-01T00:00:00"/>
    <s v="2024_2866_03924"/>
    <m/>
    <s v="Shaped"/>
    <m/>
    <m/>
    <m/>
    <m/>
    <m/>
    <m/>
  </r>
  <r>
    <s v="Fuyao"/>
    <s v="Guangzhou"/>
    <s v="GAC"/>
    <s v="T60-M"/>
    <s v="OEM"/>
    <x v="0"/>
    <s v="W2236ADT"/>
    <s v="L"/>
    <s v="E2"/>
    <s v="Clear"/>
    <s v="Acoustic"/>
    <m/>
    <s v="Y"/>
    <x v="0"/>
    <n v="0.36"/>
    <n v="105"/>
    <n v="30"/>
    <s v="N/A"/>
    <s v="N/A"/>
    <n v="0.8"/>
    <n v="200"/>
    <n v="600"/>
    <n v="400"/>
    <n v="150"/>
    <n v="200"/>
    <n v="600"/>
    <n v="400"/>
    <n v="150"/>
    <s v="N/A"/>
    <n v="75"/>
    <n v="1.07"/>
    <m/>
    <n v="0.97357142857142853"/>
    <n v="1.0319857142857143"/>
    <n v="871.43787200000008"/>
    <n v="156.22963368211029"/>
    <n v="170.82505292597023"/>
    <n v="339.57555551015088"/>
    <n v="171"/>
    <n v="179.55"/>
    <n v="185.293035"/>
    <n v="617.64345000000003"/>
    <d v="2024-12-01T00:00:00"/>
    <s v="2024_2877_03935"/>
    <m/>
    <s v="Straight cut"/>
    <m/>
    <m/>
    <m/>
    <m/>
    <m/>
    <m/>
  </r>
  <r>
    <s v="Fuyao"/>
    <s v="Guangzhou"/>
    <s v="GAC"/>
    <s v="T60-M"/>
    <s v="OEM"/>
    <x v="0"/>
    <s v="W2237AB"/>
    <s v="L"/>
    <s v="E2"/>
    <s v="Clear"/>
    <s v="Acoustic"/>
    <s v="BF011539"/>
    <s v="Y"/>
    <x v="0"/>
    <n v="0.37"/>
    <n v="107"/>
    <n v="30"/>
    <s v="N/A"/>
    <s v="N/A"/>
    <n v="0.8"/>
    <n v="213"/>
    <n v="428"/>
    <n v="215"/>
    <n v="342"/>
    <n v="200"/>
    <n v="600"/>
    <n v="400"/>
    <n v="170"/>
    <s v="N/A"/>
    <n v="77"/>
    <n v="1.0849"/>
    <m/>
    <n v="0.98238925233644858"/>
    <n v="1.0413326074766356"/>
    <n v="872.08892400000002"/>
    <n v="154.08397828358193"/>
    <n v="168.47894426287047"/>
    <n v="334.91183002660284"/>
    <n v="120"/>
    <n v="128.4"/>
    <n v="133.70710680000002"/>
    <n v="445.69035600000007"/>
    <d v="2023-01-01T00:00:00"/>
    <s v="2022_1807_02863"/>
    <s v="W2237AB LE2 CLEAR r107x0120 CB1P"/>
    <s v="Straight cut"/>
    <m/>
    <m/>
    <s v="N/A"/>
    <m/>
    <n v="0.39999999999999997"/>
    <m/>
  </r>
  <r>
    <s v="Fuyao"/>
    <s v="Guangzhou"/>
    <s v="GAC"/>
    <s v="T9M"/>
    <s v="OEM"/>
    <x v="0"/>
    <s v="W2221AET"/>
    <s v="L"/>
    <s v="E2"/>
    <s v="Clear"/>
    <s v="Acoustic"/>
    <s v="BF012568"/>
    <s v="Y"/>
    <x v="0"/>
    <n v="0.21"/>
    <n v="131"/>
    <n v="25"/>
    <s v="N/A"/>
    <s v="N/A"/>
    <n v="0.8"/>
    <s v="N/A"/>
    <s v="N/A"/>
    <e v="#VALUE!"/>
    <e v="#VALUE!"/>
    <n v="540"/>
    <n v="940"/>
    <n v="400"/>
    <n v="120"/>
    <s v="N/A"/>
    <n v="106"/>
    <n v="1.0226"/>
    <m/>
    <n v="0.93254045801526719"/>
    <n v="0.9884928854961833"/>
    <n v="861.67209200000002"/>
    <n v="163.47125761769806"/>
    <n v="178.74321008291435"/>
    <n v="355.31570936422992"/>
    <n v="179"/>
    <n v="234.49"/>
    <n v="231.79169672000003"/>
    <n v="927.16678688000013"/>
    <d v="2024-11-01T00:00:00"/>
    <s v="2024_2813_03871"/>
    <s v="W2221AET LE2 CLEAR r131x0179 CB1P"/>
    <s v="For shaping"/>
    <m/>
    <m/>
    <m/>
    <m/>
    <e v="#VALUE!"/>
    <m/>
  </r>
  <r>
    <s v="Fuyao"/>
    <s v="Guangzhou"/>
    <s v="GAC"/>
    <s v="T9M"/>
    <s v="OEM"/>
    <x v="1"/>
    <s v="W2229AC"/>
    <s v="L"/>
    <s v="E2"/>
    <s v="Clear"/>
    <s v="Acoustic"/>
    <s v="BF012513"/>
    <s v="Y"/>
    <x v="0"/>
    <n v="0.28999999999999998"/>
    <n v="122"/>
    <n v="15"/>
    <s v="N/A"/>
    <s v="N/A"/>
    <n v="0.8"/>
    <s v="N/A"/>
    <s v="N/A"/>
    <e v="#VALUE!"/>
    <e v="#VALUE!"/>
    <n v="540"/>
    <n v="940"/>
    <n v="400"/>
    <n v="130"/>
    <s v="N/A"/>
    <n v="107"/>
    <n v="1.1103000000000001"/>
    <m/>
    <n v="0.97422581967213118"/>
    <n v="1.0326793688524591"/>
    <n v="866.88050800000008"/>
    <n v="150.55904533896967"/>
    <n v="164.62470200016949"/>
    <n v="327.25015256764971"/>
    <n v="165"/>
    <n v="201.3"/>
    <n v="207.87835695000004"/>
    <n v="1385.8557130000004"/>
    <d v="2024-08-01T00:00:00"/>
    <s v="2024_2743_03801"/>
    <s v="W2229AC LE2 CLEAR r122x0165 CB1P"/>
    <s v="Not for HUD. For double image at camera."/>
    <m/>
    <m/>
    <m/>
    <m/>
    <e v="#VALUE!"/>
    <m/>
  </r>
  <r>
    <s v="Fuyao"/>
    <s v="Guangzhou"/>
    <s v="Honda"/>
    <s v="2ZY"/>
    <s v="OEM"/>
    <x v="0"/>
    <s v="W2250AKT"/>
    <s v="L"/>
    <s v="E2"/>
    <s v="Clear"/>
    <s v="Acoustic"/>
    <s v="BF011701"/>
    <s v="Y"/>
    <x v="0"/>
    <n v="0.5"/>
    <n v="102"/>
    <n v="30"/>
    <s v="N/A"/>
    <s v="N/A"/>
    <n v="0.8"/>
    <n v="193"/>
    <n v="356"/>
    <n v="163"/>
    <n v="364"/>
    <n v="150"/>
    <n v="550"/>
    <n v="400"/>
    <n v="170"/>
    <s v="N/A"/>
    <n v="72"/>
    <n v="1.1600000000000001"/>
    <m/>
    <n v="1.0329411764705885"/>
    <n v="1.0949176470588238"/>
    <n v="880.5526000000001"/>
    <n v="144.1083689998776"/>
    <n v="157.57138502654149"/>
    <n v="313.22917620332879"/>
    <n v="158"/>
    <n v="161.16"/>
    <n v="176.45692800000003"/>
    <n v="588.18976000000009"/>
    <d v="2023-04-23T00:00:00"/>
    <s v="2023_1949_03006, 2024_2777_03835"/>
    <s v="W2250AK LE2 CLEAR r102x0158 CB4P"/>
    <m/>
    <m/>
    <m/>
    <s v="N/A"/>
    <m/>
    <n v="0.34901960784313729"/>
    <m/>
  </r>
  <r>
    <s v="Fuyao"/>
    <s v="Guangzhou"/>
    <s v="Honda"/>
    <s v="2ZY"/>
    <s v="OEM"/>
    <x v="1"/>
    <s v="W2250AI"/>
    <s v="L"/>
    <s v="E2"/>
    <s v="Clear"/>
    <s v="Acoustic"/>
    <s v="BF011544"/>
    <s v="Y"/>
    <x v="0"/>
    <n v="0.5"/>
    <n v="104"/>
    <n v="30"/>
    <s v="N/A"/>
    <s v="N/A"/>
    <n v="0.8"/>
    <n v="193"/>
    <n v="356"/>
    <n v="163"/>
    <n v="384"/>
    <n v="150"/>
    <n v="550"/>
    <n v="400"/>
    <n v="190"/>
    <s v="N/A"/>
    <n v="74"/>
    <n v="1.17"/>
    <m/>
    <n v="1.0383653846153846"/>
    <n v="1.1006673076923077"/>
    <n v="880.5526000000001"/>
    <n v="142.87667353834021"/>
    <n v="156.22462105195572"/>
    <n v="310.55200375714657"/>
    <n v="120"/>
    <n v="124.8"/>
    <n v="137.36328"/>
    <n v="457.87760000000003"/>
    <d v="2023-02-23T00:00:00"/>
    <s v="2022_1807_02863"/>
    <s v="W2250AI LE2 CLEAR r104x0120 CB1P"/>
    <m/>
    <m/>
    <m/>
    <s v="N/A"/>
    <m/>
    <n v="0.34230769230769231"/>
    <m/>
  </r>
  <r>
    <s v="Fuyao"/>
    <s v="Guangzhou"/>
    <s v="Honda"/>
    <s v="3EE"/>
    <s v="OEM"/>
    <x v="2"/>
    <s v="W2219AET"/>
    <s v="L"/>
    <s v="E2"/>
    <s v="Clear"/>
    <s v="Acoustic"/>
    <s v="BF012342 (CB1P), BF012756 (CB4P)"/>
    <s v="Y"/>
    <x v="0"/>
    <n v="0.19"/>
    <n v="105"/>
    <n v="25"/>
    <s v="N/A"/>
    <s v="N/A"/>
    <n v="0.8"/>
    <n v="200"/>
    <n v="600"/>
    <n v="400"/>
    <n v="200"/>
    <n v="200"/>
    <n v="600"/>
    <n v="400"/>
    <n v="200"/>
    <s v="N/A"/>
    <n v="80"/>
    <n v="0.95200000000000007"/>
    <m/>
    <n v="0.89409523809523817"/>
    <n v="0.94774095238095246"/>
    <n v="860.36998800000003"/>
    <n v="175.59423113430464"/>
    <n v="191.99874646091195"/>
    <n v="381.66580293682927"/>
    <n v="192"/>
    <n v="201.6"/>
    <n v="191.06457600000002"/>
    <n v="764.25830400000007"/>
    <d v="2024-06-01T00:00:00"/>
    <s v="2024_2567_03625, 2024_2963_04021"/>
    <s v="W2219AE LE2 CLEAR r105x0192 CB1P, W2219AET LE2 CLEAR r105x0192 CB4P"/>
    <m/>
    <m/>
    <m/>
    <m/>
    <m/>
    <n v="0.5714285714285714"/>
    <m/>
  </r>
  <r>
    <s v="Fuyao"/>
    <s v="Guangzhou"/>
    <s v="Honda"/>
    <s v="3EE"/>
    <s v="OEM"/>
    <x v="1"/>
    <s v="W2227AF"/>
    <s v="L"/>
    <s v="E2"/>
    <s v="Clear"/>
    <s v="Acoustic"/>
    <s v="BF012341"/>
    <s v="Y"/>
    <x v="0"/>
    <n v="0.27"/>
    <n v="102"/>
    <n v="25"/>
    <s v="N/A"/>
    <s v="N/A"/>
    <n v="0.8"/>
    <n v="200"/>
    <n v="600"/>
    <n v="400"/>
    <n v="170"/>
    <n v="200"/>
    <n v="600"/>
    <n v="400"/>
    <n v="170"/>
    <s v="N/A"/>
    <n v="77"/>
    <n v="1.0079"/>
    <m/>
    <n v="0.92942794117647065"/>
    <n v="0.98519361764705893"/>
    <n v="865.57840400000009"/>
    <n v="165.8554499849767"/>
    <n v="181.35014052067484"/>
    <n v="360.49791089975338"/>
    <n v="181"/>
    <n v="184.62"/>
    <n v="181.88644569000002"/>
    <n v="727.54578276000007"/>
    <d v="2024-06-01T00:00:00"/>
    <s v="2024_2567_03625"/>
    <s v="W2227AF LE2 CLEAR r102x0181 CB1P"/>
    <m/>
    <m/>
    <m/>
    <m/>
    <m/>
    <n v="0.58823529411764708"/>
    <m/>
  </r>
  <r>
    <s v="Fuyao"/>
    <s v="Guangzhou"/>
    <s v="Honda"/>
    <s v="3FS"/>
    <s v="OEM"/>
    <x v="0"/>
    <s v="W2222ABT"/>
    <s v="L"/>
    <s v="E2"/>
    <s v="Clear"/>
    <s v="Acoustic"/>
    <s v="BF012556"/>
    <s v="Y"/>
    <x v="0"/>
    <n v="0.22"/>
    <n v="115"/>
    <n v="30"/>
    <s v="N/A"/>
    <s v="N/A"/>
    <n v="0.8"/>
    <n v="200"/>
    <n v="600"/>
    <n v="400"/>
    <n v="250"/>
    <n v="200"/>
    <n v="600"/>
    <n v="400"/>
    <n v="250"/>
    <s v="N/A"/>
    <n v="85"/>
    <n v="0.9870000000000001"/>
    <m/>
    <n v="0.91789130434782618"/>
    <n v="0.97296478260869568"/>
    <n v="862.32314400000007"/>
    <n v="169.36748534940023"/>
    <n v="185.19028027435476"/>
    <n v="368.13155460573603"/>
    <n v="185"/>
    <n v="212.75"/>
    <n v="206.99825749999999"/>
    <n v="689.99419166666667"/>
    <d v="2024-10-01T00:00:00"/>
    <s v="2024_2793_03851"/>
    <s v="W2222ABT LE2 CLEAR r115x0185 CB1P"/>
    <s v="Shaped"/>
    <m/>
    <m/>
    <m/>
    <m/>
    <m/>
    <m/>
  </r>
  <r>
    <s v="Fuyao"/>
    <s v="Guangzhou"/>
    <s v="Honda"/>
    <s v="3FS"/>
    <s v="OEM"/>
    <x v="0"/>
    <s v="W2230ADT"/>
    <s v="L"/>
    <s v="E2"/>
    <s v="Clear"/>
    <s v="Acoustic"/>
    <s v="BF012685 (CB1P), BF012757 (CB4P)"/>
    <s v="Y"/>
    <x v="0"/>
    <n v="0.3"/>
    <n v="109"/>
    <n v="30"/>
    <s v="N/A"/>
    <s v="N/A"/>
    <n v="0.8"/>
    <n v="200"/>
    <n v="600"/>
    <n v="400"/>
    <n v="190"/>
    <n v="200"/>
    <n v="600"/>
    <n v="400"/>
    <n v="190"/>
    <s v="N/A"/>
    <n v="79"/>
    <n v="1.0370000000000001"/>
    <m/>
    <n v="0.95111467889908263"/>
    <n v="1.0081815596330277"/>
    <n v="867.53156000000013"/>
    <n v="161.20126136919768"/>
    <n v="176.26114429198472"/>
    <n v="350.38172072889239"/>
    <n v="176"/>
    <n v="191.84"/>
    <n v="193.40955040000003"/>
    <n v="644.69850133333341"/>
    <d v="2024-12-01T00:00:00"/>
    <s v="2024_2887_03945, 2024_2963_04021"/>
    <s v="W2230ADT LE2 CLEAR r109x0176 CB1P, W2230ADT LE2 CLEAR r109x0176 CB4P"/>
    <s v="Straight cut"/>
    <m/>
    <m/>
    <m/>
    <m/>
    <m/>
    <m/>
  </r>
  <r>
    <s v="Fuyao"/>
    <s v="Guangzhou"/>
    <s v="Honda"/>
    <s v="Accord (2QD)"/>
    <s v="OEM"/>
    <x v="1"/>
    <s v="W2247AB"/>
    <s v="L"/>
    <s v="E2"/>
    <s v="Clear"/>
    <s v="Acoustic"/>
    <s v="BF011541"/>
    <s v="Y"/>
    <x v="0"/>
    <n v="0.47"/>
    <n v="96"/>
    <n v="30"/>
    <s v="N/A"/>
    <s v="N/A"/>
    <n v="0.8"/>
    <n v="171"/>
    <n v="375"/>
    <n v="204"/>
    <n v="285"/>
    <n v="150"/>
    <n v="550"/>
    <n v="400"/>
    <n v="110"/>
    <s v="N/A"/>
    <n v="66"/>
    <n v="1.1102000000000001"/>
    <m/>
    <n v="1.0035687500000001"/>
    <n v="1.063782875"/>
    <n v="878.59944400000006"/>
    <n v="150.57260677342643"/>
    <n v="164.63953038262309"/>
    <n v="327.27962925226217"/>
    <n v="120"/>
    <n v="115.2"/>
    <n v="122.5477872"/>
    <n v="408.49262400000003"/>
    <d v="2023-01-01T00:00:00"/>
    <s v="2022_1807_02863"/>
    <s v="W2247AB LE2 CLEAR r096x0120 CB1P"/>
    <s v="Replaced by W2247AC"/>
    <m/>
    <m/>
    <s v="N/A"/>
    <m/>
    <n v="0.390625"/>
    <m/>
  </r>
  <r>
    <s v="Fuyao"/>
    <s v="Guangzhou"/>
    <s v="Honda"/>
    <s v="Accord (2QD)"/>
    <s v="OEM"/>
    <x v="1"/>
    <s v="W2247AC"/>
    <s v="L"/>
    <s v="E2"/>
    <s v="Clear"/>
    <s v="Acoustic"/>
    <s v="BF011667"/>
    <s v="Y"/>
    <x v="0"/>
    <n v="0.47"/>
    <n v="96"/>
    <n v="30"/>
    <s v="N/A"/>
    <s v="N/A"/>
    <n v="0.8"/>
    <n v="150"/>
    <n v="500"/>
    <n v="350"/>
    <n v="160"/>
    <n v="150"/>
    <n v="550"/>
    <n v="400"/>
    <n v="110"/>
    <s v="N/A"/>
    <n v="66"/>
    <n v="1.1102000000000001"/>
    <m/>
    <n v="1.0035687500000001"/>
    <n v="1.063782875"/>
    <n v="878.59944400000006"/>
    <n v="150.57260677342643"/>
    <n v="164.63953038262309"/>
    <n v="327.27962925226217"/>
    <n v="165"/>
    <n v="158.4"/>
    <n v="168.50320740000001"/>
    <n v="561.67735800000003"/>
    <s v="Never"/>
    <s v="2023_1920_02977"/>
    <s v="W2247AC LE2 CLEAR r096x0165 CB4P"/>
    <s v="Replaced W2247AB, but then switched to 0.50 mrad."/>
    <m/>
    <m/>
    <s v="N/A"/>
    <m/>
    <n v="0.52083333333333337"/>
    <m/>
  </r>
  <r>
    <s v="Fuyao"/>
    <s v="Guangzhou"/>
    <s v="Honda"/>
    <s v="Accord (2QD)"/>
    <s v="OEM"/>
    <x v="1"/>
    <s v="W2250AOT"/>
    <s v="L"/>
    <s v="E2"/>
    <s v="Clear"/>
    <s v="Acoustic"/>
    <s v="BF011790"/>
    <s v="Y"/>
    <x v="0"/>
    <n v="0.5"/>
    <n v="96"/>
    <n v="25"/>
    <s v="N/A"/>
    <s v="N/A"/>
    <n v="0.8"/>
    <n v="150"/>
    <n v="550"/>
    <n v="400"/>
    <n v="160"/>
    <n v="150"/>
    <n v="550"/>
    <n v="400"/>
    <n v="160"/>
    <s v="N/A"/>
    <n v="71"/>
    <n v="1.155"/>
    <m/>
    <n v="1.0237239583333333"/>
    <n v="1.0851473958333333"/>
    <n v="880.5526000000001"/>
    <n v="144.73221475312383"/>
    <n v="158.25351223444864"/>
    <n v="314.58514666308349"/>
    <n v="158"/>
    <n v="151.68"/>
    <n v="164.595157"/>
    <n v="658.380628"/>
    <d v="2023-05-01T00:00:00"/>
    <s v="2023_2009_03066, 2025-0142-0282 (CB1P)"/>
    <s v="W2250AO LE2 CLEAR r096x0158 CB4P"/>
    <m/>
    <m/>
    <m/>
    <s v="N/A"/>
    <m/>
    <n v="0.57291666666666663"/>
    <m/>
  </r>
  <r>
    <s v="Fuyao"/>
    <s v="Guangzhou"/>
    <s v="Honda"/>
    <s v="Accord (2QD)"/>
    <s v="OEM"/>
    <x v="2"/>
    <s v="W2252APT"/>
    <s v="L"/>
    <s v="E2"/>
    <s v="Clear"/>
    <s v="Acoustic"/>
    <s v="BF012261 (CB2P), BF012263 (CB4P)"/>
    <s v="Y"/>
    <x v="0"/>
    <n v="0.52"/>
    <n v="96"/>
    <n v="25"/>
    <s v="N/A"/>
    <s v="N/A"/>
    <n v="0.8"/>
    <n v="140"/>
    <n v="540"/>
    <n v="400"/>
    <n v="170"/>
    <n v="140"/>
    <n v="540"/>
    <n v="400"/>
    <n v="170"/>
    <s v="N/A"/>
    <n v="71"/>
    <n v="1.1692"/>
    <m/>
    <n v="1.0326729166666666"/>
    <n v="1.0946332916666666"/>
    <n v="881.85470400000008"/>
    <n v="142.97443383497949"/>
    <n v="156.33151439513188"/>
    <n v="310.76449229888937"/>
    <s v="156, 311"/>
    <e v="#VALUE!"/>
    <e v="#VALUE!"/>
    <e v="#VALUE!"/>
    <d v="2024-03-01T00:00:00"/>
    <s v="2024_2478_03535, 2024_2777_03835"/>
    <s v="W2252AP LE2 CLEAR r096x0311 CB2P, W2252AP LE2 CLEAR r096x0156 CB4P"/>
    <s v="To help Ulsan with LWA near transition"/>
    <m/>
    <m/>
    <m/>
    <m/>
    <n v="0.5625"/>
    <m/>
  </r>
  <r>
    <s v="Fuyao"/>
    <s v="Guangzhou"/>
    <s v="Honda"/>
    <s v="Accord (2QD)"/>
    <s v="OEM"/>
    <x v="1"/>
    <s v="W2252AOT"/>
    <s v="L"/>
    <s v="E2"/>
    <s v="Clear"/>
    <s v="Acoustic"/>
    <s v="BF011702"/>
    <s v="Y"/>
    <x v="0"/>
    <n v="0.52"/>
    <n v="96"/>
    <n v="30"/>
    <s v="N/A"/>
    <s v="N/A"/>
    <n v="0.8"/>
    <n v="140"/>
    <n v="540"/>
    <n v="400"/>
    <n v="120"/>
    <n v="140"/>
    <n v="540"/>
    <n v="400"/>
    <n v="120"/>
    <s v="N/A"/>
    <n v="66"/>
    <n v="1.1432"/>
    <m/>
    <n v="1.0252250000000001"/>
    <n v="1.0867385000000001"/>
    <n v="881.85470400000008"/>
    <n v="146.22612669686671"/>
    <n v="159.88698970502813"/>
    <n v="317.83226416712864"/>
    <n v="160"/>
    <n v="153.6"/>
    <n v="166.9230336"/>
    <n v="556.41011200000003"/>
    <d v="2023-11-01T00:00:00"/>
    <s v="2023_1949_03006, 2024_2777_03835"/>
    <s v="W2252AO LE2 CLEAR r096x0160 CB4P"/>
    <m/>
    <m/>
    <m/>
    <s v="N/A"/>
    <m/>
    <n v="0.5625"/>
    <m/>
  </r>
  <r>
    <s v="Fuyao"/>
    <s v="Guangzhou"/>
    <s v="Toyota"/>
    <s v="313D"/>
    <s v="OEM"/>
    <x v="0"/>
    <s v="W2229AB"/>
    <s v="L"/>
    <s v="E2"/>
    <s v="Clear"/>
    <s v="Acoustic"/>
    <s v="BF011916 (CB1P), _____ (CB4P)"/>
    <s v="Y"/>
    <x v="0"/>
    <n v="0.28999999999999998"/>
    <n v="110"/>
    <n v="30"/>
    <s v="N/A"/>
    <s v="N/A"/>
    <n v="0.8"/>
    <n v="200"/>
    <n v="600"/>
    <n v="400"/>
    <n v="200"/>
    <n v="200"/>
    <n v="600"/>
    <n v="400"/>
    <n v="200"/>
    <s v="N/A"/>
    <n v="80"/>
    <n v="1.032"/>
    <m/>
    <n v="0.94763636363636372"/>
    <n v="1.0044945454545455"/>
    <n v="866.88050800000008"/>
    <n v="161.98227523242059"/>
    <n v="177.11512270425209"/>
    <n v="352.07930658513709"/>
    <n v="177"/>
    <n v="194.7"/>
    <n v="195.57508799999999"/>
    <n v="651.91696000000002"/>
    <d v="2024-03-01T00:00:00"/>
    <s v="2023_2089_03146, 2024_2925_03983"/>
    <s v="W2229AB LE2 CLEAR r110x0177 CB1P"/>
    <s v="Also being tested by Zhengzhou"/>
    <m/>
    <m/>
    <s v="N/A"/>
    <m/>
    <n v="0.54545454545454541"/>
    <m/>
  </r>
  <r>
    <s v="Fuyao"/>
    <s v="Guangzhou"/>
    <s v="Toyota"/>
    <s v="530B"/>
    <s v="OEM"/>
    <x v="2"/>
    <s v="W5048AA"/>
    <s v="F"/>
    <s v="R3"/>
    <s v="Clear"/>
    <s v="Standard"/>
    <s v="BF011645 (CB1P), BF011905 (CB4P)"/>
    <m/>
    <x v="1"/>
    <n v="0.48"/>
    <n v="106"/>
    <n v="30"/>
    <s v="N/A"/>
    <s v="N/A"/>
    <n v="0.76"/>
    <n v="200"/>
    <n v="600"/>
    <n v="400"/>
    <n v="160"/>
    <n v="150"/>
    <n v="600"/>
    <n v="450"/>
    <n v="160"/>
    <s v="N/A"/>
    <n v="76"/>
    <n v="1.1248"/>
    <m/>
    <n v="0.99402264150943398"/>
    <n v="1.0586341132075472"/>
    <n v="840.79790400000002"/>
    <n v="148.61816148636026"/>
    <n v="162.50249522651865"/>
    <n v="323.0315117317403"/>
    <n v="163"/>
    <n v="172.78"/>
    <n v="182.91080208"/>
    <n v="609.70267360000003"/>
    <s v="?"/>
    <s v="2023_1903_02960, 2023_2077_03134"/>
    <s v="W5048AA FR3 CLEAR r106x0120 CB1P, W5048AA FR3 CLEAR r106x0163 CB4P"/>
    <m/>
    <m/>
    <m/>
    <s v="N/A"/>
    <m/>
    <n v="0.56603773584905659"/>
    <m/>
  </r>
  <r>
    <s v="Fuyao"/>
    <s v="Guangzhou"/>
    <s v="Toyota"/>
    <s v="530B"/>
    <s v="OEM"/>
    <x v="1"/>
    <s v="W2248AB"/>
    <s v="L"/>
    <s v="E2"/>
    <s v="Clear"/>
    <s v="Acoustic"/>
    <s v="BF011542"/>
    <s v="Y"/>
    <x v="0"/>
    <n v="0.48"/>
    <n v="106"/>
    <n v="30"/>
    <s v="N/A"/>
    <s v="N/A"/>
    <n v="0.8"/>
    <n v="267"/>
    <n v="459"/>
    <n v="192"/>
    <n v="301"/>
    <n v="200"/>
    <n v="600"/>
    <n v="400"/>
    <n v="160"/>
    <s v="N/A"/>
    <n v="76"/>
    <n v="1.1648000000000001"/>
    <m/>
    <n v="1.034022641509434"/>
    <n v="1.0960640000000001"/>
    <n v="879.250496"/>
    <n v="143.51451583092208"/>
    <n v="156.92205239593764"/>
    <n v="311.9383966310624"/>
    <n v="120"/>
    <n v="127.2"/>
    <n v="139.41934080000001"/>
    <n v="464.73113600000005"/>
    <s v="Never"/>
    <s v="2022_1807_02863"/>
    <s v="W2248AB LE2 CLEAR r106x0120 CB1P"/>
    <s v="Switched to monolayer"/>
    <m/>
    <m/>
    <s v="N/A"/>
    <m/>
    <n v="0.43301886792452826"/>
    <m/>
  </r>
  <r>
    <s v="Fuyao"/>
    <s v="Guangzhou"/>
    <s v="Toyota"/>
    <s v="New Highlander (760B)"/>
    <s v="OEM"/>
    <x v="2"/>
    <s v="W2249AHT"/>
    <s v="L"/>
    <s v="E2"/>
    <s v="Clear"/>
    <s v="Acoustic"/>
    <s v="BF012032"/>
    <s v="Y"/>
    <x v="0"/>
    <n v="0.49"/>
    <n v="102"/>
    <n v="30"/>
    <s v="N/A"/>
    <s v="N/A"/>
    <n v="0.8"/>
    <n v="150"/>
    <n v="550"/>
    <n v="400"/>
    <n v="170"/>
    <n v="150"/>
    <n v="550"/>
    <n v="400"/>
    <n v="170"/>
    <s v="N/A"/>
    <n v="72"/>
    <n v="1.1528"/>
    <m/>
    <n v="1.0282823529411766"/>
    <n v="1.0899792941176472"/>
    <n v="879.90154800000005"/>
    <n v="145.00842126982826"/>
    <n v="158.55552275398003"/>
    <n v="315.18549999640999"/>
    <n v="159"/>
    <n v="162.18"/>
    <n v="176.77284192000002"/>
    <n v="589.24280640000006"/>
    <d v="2023-11-01T00:00:00"/>
    <s v="2023_2220_03277, 2024_2777_03835"/>
    <s v="W2249AH LE2 CLEAR r102x0159 CB4P"/>
    <m/>
    <m/>
    <m/>
    <s v="N/A"/>
    <m/>
    <n v="0.53921568627450978"/>
    <m/>
  </r>
  <r>
    <s v="Fuyao"/>
    <s v="Guangzhou"/>
    <s v="Toyota"/>
    <s v="New Highlander (760B)"/>
    <s v="OEM"/>
    <x v="1"/>
    <s v="W2249AB"/>
    <s v="L"/>
    <s v="E2"/>
    <s v="Clear"/>
    <s v="Acoustic"/>
    <s v="BF010420 (159m thick down), BF010454 (50m), BF011313 (L9 50m)"/>
    <s v="Y"/>
    <x v="2"/>
    <n v="0.49"/>
    <n v="102"/>
    <n v="30"/>
    <s v="N/A"/>
    <s v="N/A"/>
    <n v="0.8"/>
    <n v="195"/>
    <n v="595"/>
    <n v="400"/>
    <n v="125"/>
    <n v="150"/>
    <n v="630"/>
    <n v="480"/>
    <n v="90"/>
    <s v="N/A"/>
    <n v="72"/>
    <n v="1.1528"/>
    <m/>
    <n v="1.0282823529411766"/>
    <n v="1.0899792941176472"/>
    <n v="879.90154800000005"/>
    <n v="145.00842126982826"/>
    <n v="158.55552275398003"/>
    <n v="315.18549999640999"/>
    <n v="159"/>
    <n v="162.18"/>
    <n v="176.77284192000002"/>
    <n v="589.24280640000006"/>
    <d v="2022-02-01T00:00:00"/>
    <s v="2021_1136_02191, 2022_1643_02699"/>
    <s v="W2249AB LE2 CLEAR r102x0159 CT4A (thick down, L8), W2249AB LE2 CLEAR r102x0050 CT1A, W2249AB LE2 CLEAR r102x0050 CB1P (L9)"/>
    <s v="Straight to commercial on L8. Moving to L9 as W2249AH."/>
    <m/>
    <m/>
    <s v="N/A"/>
    <d v="2022-05-01T00:00:00"/>
    <n v="0.58333333333333337"/>
    <m/>
  </r>
  <r>
    <s v="Fuyao"/>
    <s v="Guangzhou"/>
    <s v="Toyota"/>
    <s v="New Highlander (760B)"/>
    <s v="OEM"/>
    <x v="1"/>
    <s v="W2249AC"/>
    <s v="L"/>
    <s v="E2"/>
    <s v="Clear"/>
    <s v="Acoustic"/>
    <s v="BF010823"/>
    <s v="Y"/>
    <x v="2"/>
    <n v="0.49"/>
    <n v="104"/>
    <n v="30"/>
    <s v="N/A"/>
    <s v="N/A"/>
    <n v="0.8"/>
    <n v="192"/>
    <n v="403"/>
    <n v="211"/>
    <n v="337"/>
    <n v="100"/>
    <n v="500"/>
    <n v="400"/>
    <n v="240"/>
    <s v="N/A"/>
    <n v="74"/>
    <n v="1.1626000000000001"/>
    <m/>
    <n v="1.033598076923077"/>
    <n v="1.0956139615384617"/>
    <n v="879.90154800000005"/>
    <n v="143.78608983301052"/>
    <n v="157.2189976180872"/>
    <n v="312.52868088410582"/>
    <n v="157"/>
    <n v="163.28"/>
    <n v="178.89184764000004"/>
    <n v="596.30615880000016"/>
    <s v="Never"/>
    <s v="2022_1408_02464"/>
    <s v="W2249AC LE2 CLEAR r104x0157 CT4P"/>
    <s v="Wider roll, changed HUD. Will replace W2248AB."/>
    <m/>
    <m/>
    <s v="N/A"/>
    <s v="Jun 2022?"/>
    <n v="0.38749999999999996"/>
    <m/>
  </r>
  <r>
    <s v="Fuyao"/>
    <s v="Guangzhou"/>
    <s v="Toyota"/>
    <s v="Sienna (825B)"/>
    <s v="OEM"/>
    <x v="2"/>
    <s v="W2232AET"/>
    <s v="L"/>
    <s v="E2"/>
    <s v="Clear"/>
    <s v="Acoustic"/>
    <s v="BF011941"/>
    <s v="Y"/>
    <x v="0"/>
    <n v="0.32"/>
    <n v="118"/>
    <n v="30"/>
    <s v="N/A"/>
    <s v="N/A"/>
    <n v="0.8"/>
    <n v="273"/>
    <n v="448"/>
    <n v="175"/>
    <n v="432"/>
    <n v="160"/>
    <n v="560"/>
    <n v="400"/>
    <n v="320"/>
    <s v="N/A"/>
    <n v="88"/>
    <n v="1.0816000000000001"/>
    <m/>
    <n v="0.97659661016949162"/>
    <n v="1.0351924067796612"/>
    <n v="868.833664"/>
    <n v="154.55409397176223"/>
    <n v="168.99297950331749"/>
    <n v="335.93365791037485"/>
    <n v="169"/>
    <n v="199.42"/>
    <n v="206.43806976000002"/>
    <n v="688.12689920000014"/>
    <d v="2023-08-01T00:00:00"/>
    <s v="2023_2120_03177, 2024_2777_03835"/>
    <s v="W2232AE LE2 CLEAR r118x0169 CB4P"/>
    <s v="Replacing W2232AC"/>
    <m/>
    <m/>
    <s v="N/A"/>
    <m/>
    <n v="0.3796610169491525"/>
    <m/>
  </r>
  <r>
    <s v="Fuyao"/>
    <s v="Guangzhou"/>
    <s v="Toyota"/>
    <s v="Sienna (825B)"/>
    <s v="OEM"/>
    <x v="1"/>
    <s v="W2232AC"/>
    <s v="L"/>
    <s v="E2"/>
    <s v="Clear"/>
    <s v="Acoustic"/>
    <s v="BF010824 (L8 171m), BF011310 (L9 50m), BF011580 (L9 171m)"/>
    <s v="Y"/>
    <x v="0"/>
    <n v="0.32"/>
    <n v="115"/>
    <n v="30"/>
    <s v="N/A"/>
    <s v="N/A"/>
    <n v="0.8"/>
    <n v="273"/>
    <n v="448"/>
    <n v="175"/>
    <n v="402"/>
    <n v="160"/>
    <n v="560"/>
    <n v="400"/>
    <n v="290"/>
    <s v="N/A"/>
    <n v="85"/>
    <n v="1.0720000000000001"/>
    <m/>
    <n v="0.97147826086956524"/>
    <n v="1.0297669565217391"/>
    <n v="868.833664"/>
    <n v="155.93816048494219"/>
    <n v="170.50634946901883"/>
    <n v="338.94201902599013"/>
    <n v="171"/>
    <n v="196.65"/>
    <n v="202.50367199999999"/>
    <n v="675.01224000000002"/>
    <d v="2022-09-01T00:00:00"/>
    <s v="2022_1408_02464, 2022_1643_02699, 2022_1831_02887 (4 roll), 2023_1838_02894"/>
    <s v="W2232AC LE2 CLEAR r115x0171 CT4P (L8), W2232AC LE2 CLEAR r 115x0050 CB1P (L9), W2232AC LE2 CLEAR r115x0171 CB4P (L9)"/>
    <s v="Also being tested by Chongqing for the BYD HC"/>
    <m/>
    <m/>
    <s v="N/A"/>
    <s v="Jun 2022?"/>
    <n v="0.38956521739130434"/>
    <m/>
  </r>
  <r>
    <s v="Fuyao"/>
    <s v="Guangzhou"/>
    <m/>
    <m/>
    <s v="OEM"/>
    <x v="0"/>
    <s v="W2229AFT"/>
    <s v="L"/>
    <s v="E2"/>
    <s v="Clear"/>
    <s v="Acoustic"/>
    <m/>
    <s v="Y"/>
    <x v="0"/>
    <n v="0.28999999999999998"/>
    <n v="108"/>
    <n v="30"/>
    <s v="N/A"/>
    <s v="N/A"/>
    <n v="0.8"/>
    <n v="200"/>
    <n v="600"/>
    <n v="400"/>
    <n v="180"/>
    <n v="200"/>
    <n v="600"/>
    <n v="400"/>
    <n v="180"/>
    <s v="N/A"/>
    <n v="78"/>
    <n v="1.0262"/>
    <m/>
    <n v="0.94451666666666667"/>
    <n v="1.0011876666666668"/>
    <n v="866.88050800000008"/>
    <n v="162.8977860454668"/>
    <n v="178.11616315609837"/>
    <n v="354.06923055531223"/>
    <n v="178"/>
    <n v="192.24"/>
    <n v="192.46831704000004"/>
    <n v="641.56105680000019"/>
    <s v="?"/>
    <s v="2024_2866_03924"/>
    <m/>
    <m/>
    <m/>
    <m/>
    <m/>
    <m/>
    <m/>
    <m/>
  </r>
  <r>
    <s v="Fuyao"/>
    <s v="Guangzhou"/>
    <m/>
    <m/>
    <s v="OEM"/>
    <x v="0"/>
    <s v="W2232AFT"/>
    <s v="L"/>
    <s v="E2"/>
    <s v="Clear"/>
    <s v="Acoustic"/>
    <s v="BF012557"/>
    <s v="Y"/>
    <x v="0"/>
    <n v="0.35"/>
    <n v="105"/>
    <n v="30"/>
    <s v="N/A"/>
    <s v="N/A"/>
    <n v="0.8"/>
    <n v="200"/>
    <n v="600"/>
    <n v="400"/>
    <n v="150"/>
    <n v="200"/>
    <n v="600"/>
    <n v="400"/>
    <n v="150"/>
    <s v="N/A"/>
    <n v="75"/>
    <n v="1.0625"/>
    <m/>
    <n v="0.96875"/>
    <n v="1.026875"/>
    <n v="870.78682000000003"/>
    <n v="157.33243109633696"/>
    <n v="172.03087682897711"/>
    <n v="341.97255943139908"/>
    <n v="172"/>
    <n v="180.6"/>
    <n v="185.45362499999999"/>
    <n v="618.17875000000004"/>
    <s v="?"/>
    <s v="2024_2793_03851"/>
    <s v="W2232AFT LE2 CLEAR r105x0172 CB4P"/>
    <m/>
    <m/>
    <m/>
    <m/>
    <m/>
    <m/>
    <m/>
  </r>
  <r>
    <s v="Fuyao"/>
    <s v="Guangzhou"/>
    <m/>
    <m/>
    <s v="OEM"/>
    <x v="0"/>
    <s v="W2229AJT"/>
    <s v="L"/>
    <s v="E2"/>
    <s v="Clear"/>
    <s v="Acoustic"/>
    <s v="tbd"/>
    <s v="Y"/>
    <x v="0"/>
    <n v="0.28999999999999998"/>
    <n v="118"/>
    <n v="30"/>
    <s v="N/A"/>
    <s v="N/A"/>
    <n v="0.8"/>
    <n v="150"/>
    <n v="750"/>
    <n v="600"/>
    <n v="130"/>
    <n v="150"/>
    <n v="750"/>
    <n v="600"/>
    <n v="130"/>
    <s v="N/A"/>
    <n v="88"/>
    <n v="1.0552000000000001"/>
    <m/>
    <n v="0.96004067796610182"/>
    <n v="1.017643118644068"/>
    <n v="866.88050800000008"/>
    <n v="158.4208757011543"/>
    <n v="173.22100704206608"/>
    <n v="344.33836656165789"/>
    <n v="173"/>
    <n v="204.14"/>
    <n v="207.74166624000003"/>
    <n v="692.47222080000017"/>
    <s v="?"/>
    <s v="2025-0264-0410"/>
    <m/>
    <m/>
    <m/>
    <m/>
    <m/>
    <m/>
    <m/>
    <m/>
  </r>
  <r>
    <s v="Fuyao"/>
    <s v="Guangzhou"/>
    <m/>
    <m/>
    <s v="OEM"/>
    <x v="0"/>
    <s v="W5039AB"/>
    <s v="F"/>
    <s v="R3"/>
    <s v="Clear"/>
    <s v="Standard"/>
    <s v="tbd"/>
    <s v="Y"/>
    <x v="1"/>
    <n v="0.39"/>
    <n v="108"/>
    <n v="20"/>
    <s v="N/A"/>
    <s v="N/A"/>
    <n v="0.76"/>
    <n v="200"/>
    <n v="750"/>
    <n v="550"/>
    <n v="130"/>
    <n v="200"/>
    <n v="750"/>
    <n v="550"/>
    <n v="130"/>
    <s v="N/A"/>
    <n v="88"/>
    <n v="1.1032"/>
    <m/>
    <n v="0.96337777777777789"/>
    <n v="1.0259973333333334"/>
    <n v="834.910797"/>
    <n v="151.5280167148822"/>
    <n v="165.6841974535788"/>
    <n v="329.3562766459948"/>
    <n v="166"/>
    <n v="179.28"/>
    <n v="183.94080192000001"/>
    <n v="919.70400960000006"/>
    <s v="?"/>
    <s v="2025-0264-0410"/>
    <m/>
    <m/>
    <m/>
    <m/>
    <m/>
    <m/>
    <m/>
    <m/>
  </r>
  <r>
    <s v="Fuyao"/>
    <s v="Guangzhou"/>
    <m/>
    <m/>
    <s v="OEM"/>
    <x v="0"/>
    <s v="W2240AT"/>
    <s v="L"/>
    <s v="E2"/>
    <s v="Clear"/>
    <s v="Acoustic"/>
    <s v="BF012343"/>
    <s v="Y"/>
    <x v="0"/>
    <n v="0.4"/>
    <n v="108"/>
    <n v="25"/>
    <s v="N/A"/>
    <s v="N/A"/>
    <n v="0.8"/>
    <n v="200"/>
    <n v="600"/>
    <n v="400"/>
    <n v="230"/>
    <n v="200"/>
    <n v="600"/>
    <n v="400"/>
    <n v="230"/>
    <s v="N/A"/>
    <n v="83"/>
    <n v="1.1320000000000001"/>
    <m/>
    <n v="1.0044259259259261"/>
    <n v="1.0646914814814816"/>
    <n v="874.04208000000006"/>
    <n v="147.6728869610053"/>
    <n v="161.46891045122629"/>
    <n v="320.97689434263378"/>
    <n v="161"/>
    <n v="173.88"/>
    <n v="185.12855480000002"/>
    <n v="740.51421920000007"/>
    <s v="?"/>
    <s v="2024_2567_03625"/>
    <s v="W2240AT LE2 CLEAR r108x0161 CB4P"/>
    <m/>
    <m/>
    <m/>
    <m/>
    <m/>
    <n v="0.55555555555555558"/>
    <m/>
  </r>
  <r>
    <s v="Fuyao"/>
    <s v="Hubei"/>
    <s v="BAG"/>
    <s v="C301"/>
    <s v="OEM"/>
    <x v="1"/>
    <s v="W5021AA"/>
    <s v="F"/>
    <s v="R3"/>
    <s v="Clear"/>
    <s v="Standard"/>
    <s v="BF011506"/>
    <m/>
    <x v="1"/>
    <n v="0.21"/>
    <n v="110"/>
    <n v="30"/>
    <s v="N/A"/>
    <s v="N/A"/>
    <n v="0.76"/>
    <n v="300"/>
    <n v="600"/>
    <n v="300"/>
    <n v="200"/>
    <n v="200"/>
    <n v="700"/>
    <n v="500"/>
    <n v="100"/>
    <s v="N/A"/>
    <n v="80"/>
    <n v="0.92799999999999994"/>
    <m/>
    <n v="0.86690909090909074"/>
    <n v="0.92325818181818164"/>
    <n v="823.13658299999997"/>
    <n v="180.13546124984703"/>
    <n v="196.96423128317693"/>
    <n v="391.53647025416109"/>
    <n v="50"/>
    <n v="55"/>
    <n v="50.779199999999989"/>
    <n v="169.26399999999998"/>
    <s v="?"/>
    <s v="2022_1781_02837"/>
    <m/>
    <m/>
    <m/>
    <m/>
    <s v="N/A"/>
    <m/>
    <n v="0.54545454545454541"/>
    <m/>
  </r>
  <r>
    <s v="Fuyao"/>
    <s v="Hubei"/>
    <s v="BYD"/>
    <s v="MR"/>
    <s v="OEM"/>
    <x v="1"/>
    <s v="W2250AQ"/>
    <s v="L"/>
    <s v="E2"/>
    <s v="Clear"/>
    <s v="Acoustic"/>
    <s v="BF011949"/>
    <s v="Y"/>
    <x v="0"/>
    <n v="0.5"/>
    <n v="131"/>
    <n v="30"/>
    <s v="N/A"/>
    <s v="N/A"/>
    <n v="0.8"/>
    <n v="200"/>
    <n v="700"/>
    <n v="500"/>
    <n v="310"/>
    <n v="200"/>
    <n v="700"/>
    <n v="500"/>
    <n v="310"/>
    <s v="N/A"/>
    <n v="101"/>
    <n v="1.3050000000000002"/>
    <m/>
    <n v="1.1103244274809163"/>
    <n v="1.1769438931297713"/>
    <n v="880.5526000000001"/>
    <n v="128.0963279998912"/>
    <n v="140.06345335692581"/>
    <n v="278.42593440295894"/>
    <n v="140"/>
    <n v="183.4"/>
    <n v="215.85151000000008"/>
    <n v="719.50503333333359"/>
    <s v="Never"/>
    <s v="2023_2136_03193"/>
    <s v="W2250AQ LE2 CLEAR r131x0140 CB1P"/>
    <m/>
    <m/>
    <m/>
    <m/>
    <m/>
    <n v="0.53435114503816794"/>
    <m/>
  </r>
  <r>
    <s v="Fuyao"/>
    <s v="Hubei"/>
    <s v="BYD"/>
    <s v="ST"/>
    <s v="OEM"/>
    <x v="1"/>
    <s v="W2249AGT"/>
    <s v="L"/>
    <s v="E2"/>
    <s v="Clear"/>
    <s v="Acoustic"/>
    <s v="BF011703"/>
    <s v="Y"/>
    <x v="0"/>
    <n v="0.49"/>
    <n v="116"/>
    <n v="30"/>
    <s v="N/A"/>
    <s v="N/A"/>
    <n v="0.8"/>
    <n v="200"/>
    <n v="600"/>
    <n v="400"/>
    <n v="260"/>
    <n v="150"/>
    <n v="600"/>
    <n v="450"/>
    <n v="260"/>
    <s v="N/A"/>
    <n v="86"/>
    <n v="1.2214"/>
    <m/>
    <n v="1.0651913793103447"/>
    <n v="1.1291028620689654"/>
    <n v="879.90154800000005"/>
    <n v="136.86401509731294"/>
    <n v="149.65024286129702"/>
    <n v="297.48308858347917"/>
    <n v="150"/>
    <n v="174"/>
    <n v="196.46389799999997"/>
    <n v="654.87965999999994"/>
    <d v="2023-04-23T00:00:00"/>
    <s v="2023_1949_03006, 2024_2777_03835"/>
    <s v="W2249AG LE2 CLEAR r116x0150 CB4P"/>
    <s v="Replaced W2249AE, which then went to Suzhou. Being replaced by W2251AH."/>
    <m/>
    <m/>
    <s v="N/A"/>
    <m/>
    <n v="0.51724137931034486"/>
    <m/>
  </r>
  <r>
    <s v="Fuyao"/>
    <s v="Hubei"/>
    <s v="BYD"/>
    <s v="ST"/>
    <s v="OEM"/>
    <x v="1"/>
    <s v="W2251AHT"/>
    <s v="L"/>
    <s v="E2"/>
    <s v="Clear"/>
    <s v="Acoustic"/>
    <s v="BF011988"/>
    <s v="Y"/>
    <x v="0"/>
    <n v="0.51"/>
    <n v="116"/>
    <n v="30"/>
    <s v="N/A"/>
    <s v="N/A"/>
    <n v="0.8"/>
    <n v="200"/>
    <n v="700"/>
    <n v="500"/>
    <n v="160"/>
    <n v="200"/>
    <n v="700"/>
    <n v="500"/>
    <n v="160"/>
    <s v="N/A"/>
    <n v="86"/>
    <n v="1.2386000000000001"/>
    <m/>
    <n v="1.0760155172413794"/>
    <n v="1.1405764482758622"/>
    <n v="881.20365200000003"/>
    <n v="134.96343294030197"/>
    <n v="147.57210288292276"/>
    <n v="293.35204617783097"/>
    <n v="148"/>
    <n v="171.68"/>
    <n v="195.81416464000003"/>
    <n v="652.71388213333341"/>
    <s v="Never"/>
    <s v="2023_2180_03237, 2024_2777_03835"/>
    <s v="W2251AH LE2 CLEAR r116x0148 CB4P"/>
    <s v="Replacing W2249AG"/>
    <m/>
    <m/>
    <s v="N/A"/>
    <m/>
    <n v="0.60344827586206895"/>
    <m/>
  </r>
  <r>
    <s v="Fuyao"/>
    <s v="Hubei"/>
    <s v="BYD"/>
    <s v="ST Tang SUV"/>
    <s v="OEM"/>
    <x v="2"/>
    <s v="W2250ART"/>
    <s v="L"/>
    <s v="E2"/>
    <s v="Clear"/>
    <s v="Acoustic"/>
    <s v="BF012033"/>
    <s v="Y"/>
    <x v="0"/>
    <n v="0.5"/>
    <n v="116"/>
    <n v="30"/>
    <s v="N/A"/>
    <s v="N/A"/>
    <n v="0.8"/>
    <n v="150"/>
    <n v="650"/>
    <n v="500"/>
    <n v="210"/>
    <n v="150"/>
    <n v="650"/>
    <n v="500"/>
    <n v="210"/>
    <s v="N/A"/>
    <n v="86"/>
    <n v="1.23"/>
    <m/>
    <n v="1.070603448275862"/>
    <n v="1.1348396551724138"/>
    <n v="880.5526000000001"/>
    <n v="135.90707970720166"/>
    <n v="148.6039078299091"/>
    <n v="295.40312552509062"/>
    <n v="149"/>
    <n v="172.84"/>
    <n v="196.14568600000001"/>
    <n v="653.81895333333341"/>
    <d v="2023-10-23T00:00:00"/>
    <s v="2023_2220_03277, 2024_2777_03835"/>
    <s v="W2250AR LE2 CLEAR r116x0149 CB4P"/>
    <s v="Will be replaced by W2250AU"/>
    <m/>
    <m/>
    <s v="N/A"/>
    <m/>
    <n v="0.56034482758620685"/>
    <m/>
  </r>
  <r>
    <s v="Fuyao"/>
    <s v="Hubei"/>
    <s v="BYD"/>
    <s v="ST Tang SUV"/>
    <s v="OEM"/>
    <x v="0"/>
    <s v="W2250AU"/>
    <s v="L"/>
    <s v="E2"/>
    <s v="Clear"/>
    <s v="Acoustic"/>
    <s v="BF012369"/>
    <s v="Y"/>
    <x v="0"/>
    <n v="0.5"/>
    <n v="114"/>
    <n v="30"/>
    <s v="N/A"/>
    <s v="N/A"/>
    <n v="0.8"/>
    <n v="150"/>
    <n v="650"/>
    <n v="500"/>
    <n v="190"/>
    <n v="150"/>
    <n v="650"/>
    <n v="500"/>
    <n v="190"/>
    <s v="N/A"/>
    <n v="84"/>
    <n v="1.22"/>
    <m/>
    <n v="1.0652631578947369"/>
    <n v="1.1291789473684211"/>
    <n v="880.5526000000001"/>
    <n v="137.02107216381808"/>
    <n v="149.82197264818703"/>
    <n v="297.82446261955857"/>
    <n v="150"/>
    <n v="171"/>
    <n v="193.08959999999999"/>
    <n v="643.63199999999995"/>
    <s v="?"/>
    <s v="2024_2591_03649"/>
    <s v="W2250AU LE2 CLEAR r114x0150 CB4P"/>
    <s v="Will replace W2250AR"/>
    <m/>
    <m/>
    <m/>
    <m/>
    <n v="0.57017543859649122"/>
    <m/>
  </r>
  <r>
    <s v="Fuyao"/>
    <s v="Hubei"/>
    <s v="Chang An"/>
    <s v="C236"/>
    <s v="OEM"/>
    <x v="0"/>
    <s v="W2225AE"/>
    <s v="L"/>
    <s v="E2"/>
    <s v="Clear"/>
    <s v="Acoustic"/>
    <s v="BF012370"/>
    <s v="Y"/>
    <x v="0"/>
    <n v="0.25"/>
    <n v="106"/>
    <n v="25"/>
    <s v="N/A"/>
    <s v="N/A"/>
    <n v="0.8"/>
    <n v="200"/>
    <n v="600"/>
    <n v="400"/>
    <n v="210"/>
    <n v="200"/>
    <n v="600"/>
    <n v="400"/>
    <n v="210"/>
    <s v="N/A"/>
    <n v="81"/>
    <n v="1.0024999999999999"/>
    <m/>
    <n v="0.92512971698113211"/>
    <n v="0.98063750000000005"/>
    <n v="864.27630000000011"/>
    <n v="166.74883594998309"/>
    <n v="182.32698915789345"/>
    <n v="362.43974503327831"/>
    <n v="182"/>
    <n v="192.92"/>
    <n v="189.18458649999999"/>
    <n v="756.73834599999998"/>
    <d v="2024-06-01T00:00:00"/>
    <s v="2024_2591_03649"/>
    <s v="W2225AE LE2 CLEAR r106x0182 CB1P"/>
    <m/>
    <m/>
    <m/>
    <m/>
    <m/>
    <n v="0.56603773584905659"/>
    <m/>
  </r>
  <r>
    <s v="Fuyao"/>
    <s v="Hubei"/>
    <s v="Chang An"/>
    <s v="C236"/>
    <s v="OEM"/>
    <x v="0"/>
    <s v="W2225AFT"/>
    <s v="L"/>
    <s v="E2"/>
    <s v="Clear"/>
    <s v="Acoustic"/>
    <s v="BF012555"/>
    <s v="Y"/>
    <x v="0"/>
    <n v="0.25"/>
    <n v="106"/>
    <n v="20"/>
    <s v="N/A"/>
    <s v="N/A"/>
    <n v="0.8"/>
    <n v="250"/>
    <n v="700"/>
    <n v="450"/>
    <n v="160"/>
    <n v="250"/>
    <n v="700"/>
    <n v="450"/>
    <n v="160"/>
    <s v="N/A"/>
    <n v="86"/>
    <n v="1.0150000000000001"/>
    <m/>
    <n v="0.92778301886792447"/>
    <n v="0.98344999999999994"/>
    <n v="864.27630000000011"/>
    <n v="164.69527885700296"/>
    <n v="180.08158288747603"/>
    <n v="357.9762013752329"/>
    <n v="180"/>
    <n v="190.8"/>
    <n v="187.64225999999999"/>
    <n v="938.21129999999994"/>
    <d v="2024-10-01T00:00:00"/>
    <s v="2024_2786_03844"/>
    <s v="W2225AFT LE2 CLEAR r106x0180 CB1P"/>
    <s v="Larger HUD area"/>
    <m/>
    <m/>
    <m/>
    <m/>
    <n v="0.660377358490566"/>
    <m/>
  </r>
  <r>
    <s v="Fuyao"/>
    <s v="Hubei"/>
    <s v="Chang An"/>
    <s v="C236"/>
    <s v="OEM"/>
    <x v="0"/>
    <s v="W2225AHT"/>
    <s v="L"/>
    <s v="E2"/>
    <s v="Clear"/>
    <s v="Acoustic"/>
    <m/>
    <s v="Y"/>
    <x v="0"/>
    <n v="0.25"/>
    <n v="106"/>
    <n v="10"/>
    <s v="N/A"/>
    <s v="N/A"/>
    <n v="0.8"/>
    <n v="330"/>
    <n v="830"/>
    <n v="500"/>
    <n v="130"/>
    <n v="330"/>
    <n v="830"/>
    <n v="500"/>
    <n v="130"/>
    <s v="N/A"/>
    <n v="96"/>
    <n v="1.04"/>
    <m/>
    <n v="0.93132075471698128"/>
    <n v="0.98720000000000019"/>
    <n v="864.27630000000011"/>
    <n v="160.7362577306327"/>
    <n v="175.75269868345015"/>
    <n v="349.37100422678981"/>
    <n v="120"/>
    <n v="127.2"/>
    <n v="125.57184000000002"/>
    <n v="1255.7184000000002"/>
    <s v="?"/>
    <s v="2024_2986_04044"/>
    <m/>
    <s v="Short roll due to very narrow plateau"/>
    <m/>
    <m/>
    <m/>
    <m/>
    <m/>
    <m/>
  </r>
  <r>
    <s v="Fuyao"/>
    <s v="Hubei"/>
    <s v="Chang An"/>
    <s v="C301"/>
    <s v="OEM"/>
    <x v="2"/>
    <s v="W5021AB"/>
    <s v="L"/>
    <s v="E2"/>
    <s v="Clear"/>
    <s v="Standard"/>
    <s v="BF011705"/>
    <m/>
    <x v="1"/>
    <n v="0.21"/>
    <n v="113"/>
    <n v="30"/>
    <s v="N/A"/>
    <s v="N/A"/>
    <n v="0.76"/>
    <n v="300"/>
    <n v="600"/>
    <n v="300"/>
    <n v="230"/>
    <n v="200"/>
    <n v="700"/>
    <n v="500"/>
    <n v="130"/>
    <s v="N/A"/>
    <n v="83"/>
    <n v="0.93430000000000002"/>
    <m/>
    <n v="0.8702871681415929"/>
    <n v="0.92685583407079641"/>
    <n v="823.13658299999997"/>
    <n v="178.92080492332016"/>
    <n v="195.63609828833157"/>
    <n v="388.89633350729048"/>
    <n v="196"/>
    <n v="221.48"/>
    <n v="205.28003012999997"/>
    <n v="684.26676709999992"/>
    <d v="2023-07-23T00:00:00"/>
    <s v="2023_1949_03006"/>
    <s v="W5021AB FR3 CLEAR r113x0196 CB4P"/>
    <m/>
    <m/>
    <m/>
    <s v="N/A"/>
    <m/>
    <n v="0.53097345132743368"/>
    <m/>
  </r>
  <r>
    <s v="Fuyao"/>
    <s v="Hubei"/>
    <s v="Cherry"/>
    <s v="T18FL3"/>
    <s v="OEM"/>
    <x v="0"/>
    <s v="W2256AET"/>
    <s v="L"/>
    <s v="E2"/>
    <s v="Clear"/>
    <s v="Acoustic"/>
    <s v="BF011704"/>
    <s v="Y"/>
    <x v="0"/>
    <n v="0.56000000000000005"/>
    <n v="101"/>
    <n v="30"/>
    <s v="N/A"/>
    <s v="N/A"/>
    <n v="0.8"/>
    <n v="180"/>
    <n v="580"/>
    <n v="400"/>
    <n v="130"/>
    <n v="150"/>
    <n v="600"/>
    <n v="450"/>
    <n v="110"/>
    <s v="N/A"/>
    <n v="71"/>
    <n v="1.1976"/>
    <m/>
    <n v="1.057849504950495"/>
    <n v="1.1213204752475248"/>
    <n v="884.45891200000005"/>
    <n v="139.58392454897964"/>
    <n v="152.62425403372424"/>
    <n v="303.39499365051893"/>
    <n v="153"/>
    <n v="154.53"/>
    <n v="173.27765303999999"/>
    <n v="577.59217679999995"/>
    <d v="2023-04-23T00:00:00"/>
    <s v="2023_1949_03006, 2024_2777_03835"/>
    <s v="W2256AE LE2 CLEAR r101x0153 CB4P"/>
    <m/>
    <m/>
    <m/>
    <s v="N/A"/>
    <m/>
    <n v="0.57425742574257421"/>
    <m/>
  </r>
  <r>
    <s v="Fuyao"/>
    <s v="Hubei"/>
    <s v="Cherry"/>
    <s v="T18FL3"/>
    <s v="OEM"/>
    <x v="1"/>
    <s v="W2256AC"/>
    <s v="L"/>
    <s v="E2"/>
    <s v="Clear"/>
    <s v="Acoustic"/>
    <s v="BF011583"/>
    <s v="Y"/>
    <x v="0"/>
    <n v="0.56000000000000005"/>
    <n v="100"/>
    <n v="30"/>
    <s v="N/A"/>
    <s v="N/A"/>
    <n v="0.8"/>
    <n v="180"/>
    <n v="580"/>
    <n v="400"/>
    <n v="120"/>
    <n v="150"/>
    <n v="600"/>
    <n v="450"/>
    <n v="100"/>
    <s v="N/A"/>
    <n v="70"/>
    <n v="1.1920000000000002"/>
    <m/>
    <n v="1.0548000000000002"/>
    <n v="1.1180880000000002"/>
    <n v="884.45891200000005"/>
    <n v="140.23968795290102"/>
    <n v="153.34128073052699"/>
    <n v="304.82033925827301"/>
    <n v="120"/>
    <n v="120"/>
    <n v="134.17056000000002"/>
    <n v="447.23520000000008"/>
    <d v="2023-02-23T00:00:00"/>
    <s v="2022_1831_02887, 2023_1838_02894"/>
    <s v="W2256AC LE2 CLEAR r100x0120 CB1P"/>
    <m/>
    <m/>
    <m/>
    <s v="N/A"/>
    <m/>
    <n v="0.57999999999999996"/>
    <m/>
  </r>
  <r>
    <s v="Fuyao"/>
    <s v="Hubei"/>
    <s v="Cherry"/>
    <s v="T18FL3"/>
    <s v="OEM"/>
    <x v="0"/>
    <s v="W2257ADT"/>
    <s v="L"/>
    <s v="E2"/>
    <s v="Clear"/>
    <s v="Acoustic"/>
    <s v="BF011709"/>
    <s v="Y"/>
    <x v="0"/>
    <n v="0.56999999999999995"/>
    <n v="102"/>
    <n v="30"/>
    <s v="N/A"/>
    <s v="N/A"/>
    <n v="0.8"/>
    <n v="200"/>
    <n v="600"/>
    <n v="400"/>
    <n v="120"/>
    <n v="150"/>
    <n v="600"/>
    <n v="450"/>
    <n v="120"/>
    <s v="N/A"/>
    <n v="72"/>
    <n v="1.2103999999999999"/>
    <m/>
    <n v="1.0655529411764706"/>
    <n v="1.1294861176470588"/>
    <n v="885.10996399999999"/>
    <n v="138.10782224046434"/>
    <n v="151.01025002543636"/>
    <n v="300.18658657952869"/>
    <n v="151"/>
    <n v="154.02000000000001"/>
    <n v="173.96345184"/>
    <n v="579.87817280000002"/>
    <d v="2023-04-23T00:00:00"/>
    <s v="2023_1949_03006, 2024_2777_03835"/>
    <s v="W2257AD LE2 CLEAR r102x0151 CB4P"/>
    <m/>
    <m/>
    <m/>
    <s v="N/A"/>
    <m/>
    <n v="0.58823529411764708"/>
    <m/>
  </r>
  <r>
    <s v="Fuyao"/>
    <s v="Hubei"/>
    <s v="Chery"/>
    <s v="Rui Hu SUV (T18)"/>
    <s v="OEM"/>
    <x v="1"/>
    <s v="W2258AHT"/>
    <s v="L"/>
    <s v="E2"/>
    <s v="Clear"/>
    <s v="Acoustic"/>
    <s v="BF011800"/>
    <s v="Y"/>
    <x v="0"/>
    <n v="0.57999999999999996"/>
    <n v="100"/>
    <n v="30"/>
    <s v="N/A"/>
    <s v="N/A"/>
    <n v="0.8"/>
    <n v="150"/>
    <n v="550"/>
    <n v="400"/>
    <n v="150"/>
    <n v="150"/>
    <n v="600"/>
    <n v="450"/>
    <n v="100"/>
    <s v="N/A"/>
    <n v="70"/>
    <n v="1.206"/>
    <m/>
    <n v="1.0639000000000001"/>
    <n v="1.127734"/>
    <n v="885.76101600000004"/>
    <n v="138.61169820883751"/>
    <n v="151.56119952801674"/>
    <n v="301.28179468976907"/>
    <n v="152"/>
    <n v="152"/>
    <n v="171.41556800000001"/>
    <n v="571.38522666666677"/>
    <d v="2023-05-01T00:00:00"/>
    <s v="2023_2021_03078, 2024_2777_03835"/>
    <s v="W2258AH LE2 CLEAR r100x0152 CB4P"/>
    <m/>
    <m/>
    <m/>
    <m/>
    <m/>
    <n v="0.55000000000000004"/>
    <m/>
  </r>
  <r>
    <s v="Fuyao"/>
    <s v="Hubei"/>
    <s v="Chery"/>
    <s v="T19"/>
    <m/>
    <x v="0"/>
    <s v="W5023AB"/>
    <s v="F"/>
    <s v="R3"/>
    <s v="Clear"/>
    <s v="Standard"/>
    <s v="BF012107"/>
    <m/>
    <x v="1"/>
    <n v="0.23"/>
    <n v="112"/>
    <n v="30"/>
    <s v="N/A"/>
    <s v="N/A"/>
    <n v="0.76"/>
    <n v="200"/>
    <n v="600"/>
    <n v="400"/>
    <n v="220"/>
    <n v="200"/>
    <n v="600"/>
    <n v="400"/>
    <n v="220"/>
    <s v="N/A"/>
    <n v="82"/>
    <n v="0.9486"/>
    <m/>
    <n v="0.87955892857142859"/>
    <n v="0.93673025892857154"/>
    <n v="824.44482900000003"/>
    <n v="176.22360113837024"/>
    <n v="192.68691401095103"/>
    <n v="383.03378072513334"/>
    <n v="193"/>
    <n v="216.16"/>
    <n v="202.48361277000001"/>
    <n v="674.94537590000004"/>
    <s v="?"/>
    <s v="2023_2288_03345"/>
    <s v="W5023AB FR3 CLEAR r112x0193 CB4P"/>
    <m/>
    <m/>
    <m/>
    <m/>
    <m/>
    <n v="0.5357142857142857"/>
    <m/>
  </r>
  <r>
    <s v="Fuyao"/>
    <s v="Hubei"/>
    <s v="Chery"/>
    <s v="T19"/>
    <m/>
    <x v="1"/>
    <s v="W5023AA"/>
    <s v="F"/>
    <s v="R3"/>
    <s v="Clear"/>
    <s v="Standard"/>
    <s v="BF011994"/>
    <m/>
    <x v="1"/>
    <n v="0.23"/>
    <n v="113"/>
    <n v="30"/>
    <s v="N/A"/>
    <s v="N/A"/>
    <n v="0.76"/>
    <n v="200"/>
    <n v="600"/>
    <n v="400"/>
    <n v="230"/>
    <n v="200"/>
    <n v="600"/>
    <n v="400"/>
    <n v="230"/>
    <s v="N/A"/>
    <n v="83"/>
    <n v="0.95089999999999997"/>
    <m/>
    <n v="0.88079070796460179"/>
    <n v="0.93804210398230092"/>
    <n v="824.44482900000003"/>
    <n v="175.79735833406042"/>
    <n v="192.22085038467577"/>
    <n v="382.10731348812863"/>
    <n v="120"/>
    <n v="135.6"/>
    <n v="127.1985093"/>
    <n v="423.99503099999998"/>
    <s v="?"/>
    <s v="2023_2180_03237"/>
    <s v="W5023AA FR3 CLEAR r113x0120 CB1P"/>
    <m/>
    <m/>
    <m/>
    <m/>
    <m/>
    <n v="0.53097345132743368"/>
    <m/>
  </r>
  <r>
    <s v="Fuyao"/>
    <s v="Hubei"/>
    <s v="Geely"/>
    <s v="HX11"/>
    <s v="OEM"/>
    <x v="1"/>
    <s v="W2255AA"/>
    <s v="L"/>
    <s v="E2"/>
    <s v="Clear"/>
    <s v="Acoustic"/>
    <s v="BF011799"/>
    <s v="Y"/>
    <x v="0"/>
    <n v="0.55000000000000004"/>
    <n v="105"/>
    <n v="30"/>
    <s v="N/A"/>
    <s v="N/A"/>
    <n v="0.8"/>
    <n v="200"/>
    <n v="600"/>
    <n v="400"/>
    <n v="150"/>
    <n v="150"/>
    <n v="600"/>
    <n v="450"/>
    <n v="150"/>
    <s v="N/A"/>
    <n v="75"/>
    <n v="1.2125000000000001"/>
    <m/>
    <n v="1.0651785714285715"/>
    <n v="1.1290892857142858"/>
    <n v="883.80786000000012"/>
    <n v="137.86862518751178"/>
    <n v="150.74870649961909"/>
    <n v="299.66667579040114"/>
    <n v="151"/>
    <n v="158.55000000000001"/>
    <n v="179.01710625000001"/>
    <n v="596.7236875000001"/>
    <d v="2023-06-23T00:00:00"/>
    <s v="2023_2021_03078, 2023_2213_03270"/>
    <s v="W2255AA LE2 CLEAR r105x0151 CB1P"/>
    <m/>
    <m/>
    <m/>
    <s v="N/A"/>
    <m/>
    <n v="0.5714285714285714"/>
    <m/>
  </r>
  <r>
    <s v="Fuyao"/>
    <s v="Hubei"/>
    <s v="Geely"/>
    <s v="HX11"/>
    <s v="OEM"/>
    <x v="1"/>
    <s v="W2260AHT"/>
    <s v="L"/>
    <s v="E2"/>
    <s v="Clear"/>
    <s v="Acoustic"/>
    <s v="BF011937"/>
    <s v="Y"/>
    <x v="0"/>
    <n v="0.6"/>
    <n v="101"/>
    <n v="30"/>
    <s v="N/A"/>
    <s v="N/A"/>
    <n v="0.8"/>
    <n v="150"/>
    <n v="550"/>
    <n v="400"/>
    <n v="160"/>
    <n v="150"/>
    <n v="600"/>
    <n v="450"/>
    <n v="110"/>
    <s v="N/A"/>
    <n v="71"/>
    <n v="1.226"/>
    <m/>
    <n v="1.0762673267326732"/>
    <n v="1.1408433663366335"/>
    <n v="887.06312000000003"/>
    <n v="136.35049595420719"/>
    <n v="149.08874929101808"/>
    <n v="296.36692038814147"/>
    <n v="149"/>
    <n v="150.49"/>
    <n v="171.68551819999999"/>
    <n v="572.28506066666671"/>
    <d v="2023-08-01T00:00:00"/>
    <s v="2023_2120_03177, 2024_2777_03835"/>
    <s v="W2260AH LE2 CLEAR r101x0149 CB4P"/>
    <s v="Replaced W2260AF and W2260AC"/>
    <m/>
    <m/>
    <s v="N/A"/>
    <m/>
    <n v="0.54455445544554459"/>
    <m/>
  </r>
  <r>
    <s v="Fuyao"/>
    <s v="Hubei"/>
    <s v="Geely"/>
    <s v="HX11"/>
    <s v="OEM"/>
    <x v="1"/>
    <s v="W2260ACT"/>
    <s v="L"/>
    <s v="E2"/>
    <s v="Clear"/>
    <s v="Acoustic"/>
    <s v="BF011465 (CB1P, BF011849 (CB4P)"/>
    <s v="Y"/>
    <x v="0"/>
    <n v="0.6"/>
    <n v="103"/>
    <n v="30"/>
    <s v="N/A"/>
    <s v="N/A"/>
    <n v="0.8"/>
    <n v="210"/>
    <n v="430"/>
    <n v="220"/>
    <n v="300"/>
    <n v="210"/>
    <n v="610"/>
    <n v="400"/>
    <n v="120"/>
    <s v="N/A"/>
    <n v="73"/>
    <n v="1.238"/>
    <m/>
    <n v="1.0827864077669904"/>
    <n v="1.1477535922330098"/>
    <n v="887.06312000000003"/>
    <n v="135.02884332783364"/>
    <n v="147.64362409595168"/>
    <n v="293.49422002896728"/>
    <n v="148"/>
    <n v="152.44"/>
    <n v="174.9635576"/>
    <n v="583.21185866666667"/>
    <d v="2022-12-01T00:00:00"/>
    <s v="2022_1756_02812, 2024_2777_03835"/>
    <s v="W2260AC LE2 CLEAR r103x0148 CB1P, W2260AC LE2 CLEAR r103x0148 CB4P"/>
    <s v="Originally set up for Fuyao Changchun for the Hongqi HS5. Replaced by W2260AH?"/>
    <m/>
    <m/>
    <s v="N/A"/>
    <m/>
    <n v="0.41747572815533979"/>
    <m/>
  </r>
  <r>
    <s v="Fuyao"/>
    <s v="Hubei"/>
    <s v="Smart"/>
    <s v="HX11"/>
    <s v="OEM"/>
    <x v="1"/>
    <s v="W2260AF"/>
    <s v="L"/>
    <s v="E2"/>
    <s v="Clear"/>
    <s v="Acoustic"/>
    <s v="BF011801"/>
    <s v="Y"/>
    <x v="0"/>
    <n v="0.6"/>
    <n v="100"/>
    <n v="30"/>
    <s v="N/A"/>
    <s v="N/A"/>
    <n v="0.8"/>
    <n v="150"/>
    <n v="550"/>
    <n v="400"/>
    <n v="150"/>
    <n v="150"/>
    <n v="600"/>
    <n v="450"/>
    <n v="100"/>
    <s v="N/A"/>
    <n v="70"/>
    <n v="1.22"/>
    <m/>
    <n v="1.0730000000000002"/>
    <n v="1.1373800000000003"/>
    <n v="887.06312000000003"/>
    <n v="137.02107216381808"/>
    <n v="149.82197264818703"/>
    <n v="297.82446261955857"/>
    <n v="150"/>
    <n v="150"/>
    <n v="170.60700000000003"/>
    <n v="568.69000000000017"/>
    <s v="Never"/>
    <s v="2023_2021_03078"/>
    <s v="W2260AF LE2 CLEAR r100x0150 CB4P"/>
    <s v="Replaced by W2260AH"/>
    <m/>
    <m/>
    <s v="N/A"/>
    <m/>
    <n v="0.55000000000000004"/>
    <m/>
  </r>
  <r>
    <s v="Fuyao"/>
    <s v="Hubei"/>
    <s v="Smart"/>
    <s v="HX11"/>
    <s v="OEM"/>
    <x v="1"/>
    <s v="W2260AD"/>
    <s v="L"/>
    <s v="E2"/>
    <s v="Clear"/>
    <s v="Acoustic"/>
    <s v="BF011547"/>
    <s v="Y"/>
    <x v="0"/>
    <n v="0.6"/>
    <n v="97"/>
    <n v="30"/>
    <s v="N/A"/>
    <s v="N/A"/>
    <n v="0.8"/>
    <n v="150"/>
    <n v="550"/>
    <n v="400"/>
    <n v="120"/>
    <n v="100"/>
    <n v="550"/>
    <n v="450"/>
    <n v="120"/>
    <s v="N/A"/>
    <n v="67"/>
    <n v="1.202"/>
    <m/>
    <n v="1.0631649484536081"/>
    <n v="1.1269548453608247"/>
    <n v="887.06312000000003"/>
    <n v="139.07296841918304"/>
    <n v="152.06556292078884"/>
    <n v="302.28439633599123"/>
    <n v="120"/>
    <n v="116.4"/>
    <n v="131.17754400000001"/>
    <n v="437.25848000000008"/>
    <d v="2023-01-01T00:00:00"/>
    <s v="2022_1807_02863"/>
    <s v="W2260AD LE2 CLEAR r097x0120 CB1P"/>
    <m/>
    <m/>
    <m/>
    <s v="N/A"/>
    <m/>
    <n v="0.5670103092783505"/>
    <m/>
  </r>
  <r>
    <s v="Fuyao"/>
    <s v="Hubei"/>
    <s v="Geely"/>
    <s v="Xingyue L"/>
    <s v="OEM"/>
    <x v="1"/>
    <s v="W2241AC"/>
    <s v="L"/>
    <s v="E2"/>
    <s v="Clear"/>
    <s v="Acoustic"/>
    <s v="BF010441 (L8 50m), BF011312 (L9 50m)"/>
    <s v="Y"/>
    <x v="3"/>
    <n v="0.41"/>
    <n v="88"/>
    <n v="20"/>
    <s v="N/A"/>
    <s v="N/A"/>
    <n v="0.8"/>
    <n v="130"/>
    <n v="530"/>
    <n v="400"/>
    <n v="150"/>
    <n v="100"/>
    <n v="600"/>
    <n v="500"/>
    <n v="80"/>
    <s v="N/A"/>
    <n v="68"/>
    <n v="1.0788"/>
    <m/>
    <n v="0.97108181818181805"/>
    <n v="1.029346727272727"/>
    <n v="874.69313200000011"/>
    <n v="154.95523548373936"/>
    <n v="169.43159680273283"/>
    <n v="336.80556581003106"/>
    <n v="50"/>
    <n v="44"/>
    <n v="45.29125599999999"/>
    <n v="226.45627999999994"/>
    <d v="2022-02-01T00:00:00"/>
    <s v="2021_1156_02211, 2022_1610_02666, 2022_1643_02699"/>
    <s v="W2241AC LE2 r88x0050 CT1P (L8), W2241AC LE2 CLEAR r88x0050 CB1P (L9)"/>
    <s v="First extruded on L8, then extended to L9"/>
    <m/>
    <m/>
    <s v="N/A"/>
    <m/>
    <n v="0.60227272727272729"/>
    <m/>
  </r>
  <r>
    <s v="Fuyao"/>
    <s v="Hubei"/>
    <s v="Geely"/>
    <s v="XingYue L SUV (KX11)"/>
    <s v="OEM"/>
    <x v="2"/>
    <s v="W2236AC"/>
    <s v="L"/>
    <s v="E2"/>
    <s v="Clear"/>
    <s v="Acoustic"/>
    <s v="BF011798 (1), BF012031 (4)"/>
    <s v="Y"/>
    <x v="0"/>
    <n v="0.36"/>
    <n v="95"/>
    <n v="25"/>
    <s v="N/A"/>
    <s v="N/A"/>
    <n v="0.8"/>
    <n v="150"/>
    <n v="550"/>
    <n v="400"/>
    <n v="150"/>
    <n v="150"/>
    <n v="600"/>
    <n v="450"/>
    <n v="100"/>
    <s v="N/A"/>
    <n v="70"/>
    <n v="1.052"/>
    <m/>
    <n v="0.9591578947368421"/>
    <n v="1.0167073684210526"/>
    <n v="871.43787200000008"/>
    <n v="158.902764296443"/>
    <n v="173.74791504827772"/>
    <n v="345.38578364625619"/>
    <n v="174"/>
    <n v="165.3"/>
    <n v="168.06172800000002"/>
    <n v="672.24691200000007"/>
    <d v="2023-06-23T00:00:00"/>
    <s v="2023_2021_03078"/>
    <s v="W2236AC LE2 CLEAR r095x0174 CB1P, W2236AC LE2 CLEAR R095X0174 CB4P"/>
    <m/>
    <m/>
    <m/>
    <s v="N/A"/>
    <m/>
    <n v="0.57894736842105265"/>
    <m/>
  </r>
  <r>
    <s v="Fuyao"/>
    <s v="Hubei"/>
    <s v="Mitsubishi"/>
    <s v="5A45"/>
    <s v="OEM"/>
    <x v="1"/>
    <s v="W2258AB"/>
    <s v="L"/>
    <s v="E2"/>
    <s v="Clear"/>
    <s v="Acoustic"/>
    <s v="BF011546"/>
    <s v="Y"/>
    <x v="0"/>
    <n v="0.57999999999999996"/>
    <n v="106"/>
    <n v="30"/>
    <s v="N/A"/>
    <s v="N/A"/>
    <n v="0.8"/>
    <n v="200"/>
    <n v="600"/>
    <n v="400"/>
    <n v="160"/>
    <n v="150"/>
    <n v="600"/>
    <n v="450"/>
    <n v="160"/>
    <s v="N/A"/>
    <n v="76"/>
    <n v="1.2408000000000001"/>
    <m/>
    <n v="1.082777358490566"/>
    <n v="1.1477440000000001"/>
    <n v="885.76101600000004"/>
    <n v="134.72413607338655"/>
    <n v="147.31045021823675"/>
    <n v="292.83191843638093"/>
    <n v="120"/>
    <n v="127.2"/>
    <n v="145.99303680000003"/>
    <n v="486.64345600000013"/>
    <d v="2023-01-01T00:00:00"/>
    <s v="2022_1807_02863"/>
    <s v="W2258AB LE2 CLEAR r106x0120 CB1P"/>
    <s v="Windshield being phased out?"/>
    <m/>
    <m/>
    <s v="N/A"/>
    <m/>
    <n v="0.56603773584905659"/>
    <m/>
  </r>
  <r>
    <s v="Fuyao"/>
    <s v="Hubei"/>
    <s v="X-peng"/>
    <s v="K11"/>
    <s v="OEM"/>
    <x v="0"/>
    <s v="W2232AJ"/>
    <s v="L"/>
    <s v="E2"/>
    <s v="Clear"/>
    <s v="Acoustic"/>
    <s v="BF012737"/>
    <s v="Y"/>
    <x v="0"/>
    <n v="0.32"/>
    <n v="113"/>
    <n v="25"/>
    <s v="N/A"/>
    <s v="N/A"/>
    <n v="0.8"/>
    <n v="250"/>
    <n v="750"/>
    <n v="500"/>
    <n v="130"/>
    <n v="250"/>
    <n v="750"/>
    <n v="500"/>
    <n v="130"/>
    <s v="N/A"/>
    <n v="88"/>
    <n v="1.0816000000000001"/>
    <m/>
    <n v="0.97195044247787621"/>
    <n v="1.0302674690265488"/>
    <n v="868.833664"/>
    <n v="154.55409397176223"/>
    <n v="168.99297950331749"/>
    <n v="335.93365791037485"/>
    <n v="169"/>
    <n v="190.97"/>
    <n v="196.75017856000002"/>
    <n v="787.00071424000009"/>
    <d v="2025-03-01T00:00:00"/>
    <s v="2024_2939_03997"/>
    <m/>
    <m/>
    <m/>
    <m/>
    <m/>
    <m/>
    <m/>
    <m/>
  </r>
  <r>
    <s v="Fuyao"/>
    <s v="Hubei"/>
    <m/>
    <m/>
    <m/>
    <x v="1"/>
    <s v="W2252AQT"/>
    <s v="L"/>
    <s v="E2"/>
    <s v="Clear"/>
    <s v="Acoustic"/>
    <s v="BF011939"/>
    <s v="Y"/>
    <x v="0"/>
    <n v="0.52"/>
    <n v="115"/>
    <n v="30"/>
    <s v="N/A"/>
    <s v="N/A"/>
    <n v="0.8"/>
    <n v="200"/>
    <n v="600"/>
    <n v="400"/>
    <n v="250"/>
    <n v="200"/>
    <n v="600"/>
    <n v="400"/>
    <n v="250"/>
    <s v="N/A"/>
    <n v="85"/>
    <n v="1.242"/>
    <m/>
    <n v="1.0786521739130435"/>
    <n v="1.1433713043478262"/>
    <n v="881.85470400000008"/>
    <n v="134.59396782597264"/>
    <n v="147.16812128082785"/>
    <n v="292.54898904658734"/>
    <n v="147"/>
    <n v="169.05"/>
    <n v="193.28691900000004"/>
    <n v="644.28973000000019"/>
    <s v="Never"/>
    <s v="2023_2120_03177, 2024_2777_03835"/>
    <s v="W2252AQ LE2 CLEAR r115x0147 CB4P"/>
    <m/>
    <m/>
    <m/>
    <m/>
    <m/>
    <n v="0.52173913043478259"/>
    <m/>
  </r>
  <r>
    <s v="Fuyao"/>
    <s v="R&amp;D"/>
    <s v="GM"/>
    <s v="E2ZO"/>
    <s v="OEM"/>
    <x v="1"/>
    <s v="W2244AA"/>
    <s v="L"/>
    <s v="E2"/>
    <s v="Clear"/>
    <s v="Acoustic"/>
    <s v="BF008989"/>
    <s v="Y"/>
    <x v="2"/>
    <n v="0.44"/>
    <n v="110"/>
    <n v="30"/>
    <s v="N/A"/>
    <s v="N/A"/>
    <n v="0.8"/>
    <n v="200"/>
    <n v="600"/>
    <n v="400"/>
    <n v="200"/>
    <m/>
    <m/>
    <n v="0"/>
    <n v="800"/>
    <s v="N/A"/>
    <n v="80"/>
    <n v="1.1520000000000001"/>
    <m/>
    <n v="1.0240000000000002"/>
    <n v="1.0854400000000002"/>
    <n v="876.64628800000003"/>
    <n v="145.10912156237674"/>
    <n v="158.66563075589249"/>
    <n v="315.40437881585194"/>
    <n v="50"/>
    <n v="55"/>
    <n v="59.699200000000012"/>
    <n v="198.99733333333339"/>
    <d v="2020-01-01T00:00:00"/>
    <s v="2020_0003_01054"/>
    <s v="W2244AA LE2 CLEAR R110x0050 W18P"/>
    <s v="Export market. Low volume and unstable demand."/>
    <n v="2"/>
    <s v="ghosting, image always high but they actually wanted 0.47mrad"/>
    <s v="N/A"/>
    <m/>
    <n v="0.54545454545454541"/>
    <m/>
  </r>
  <r>
    <s v="Fuyao"/>
    <s v="Shanghai"/>
    <s v="Buick"/>
    <s v="Envision"/>
    <s v="OEM"/>
    <x v="1"/>
    <s v="W2256AA"/>
    <s v="L"/>
    <s v="E2"/>
    <s v="Clear"/>
    <s v="Acoustic"/>
    <s v="BF010670, BF011315 (L9 50m)"/>
    <s v="Y"/>
    <x v="3"/>
    <n v="0.56000000000000005"/>
    <n v="105"/>
    <n v="30"/>
    <s v="N/A"/>
    <s v="N/A"/>
    <n v="0.8"/>
    <n v="278"/>
    <n v="424"/>
    <n v="146"/>
    <n v="326"/>
    <n v="160"/>
    <n v="560"/>
    <n v="400"/>
    <n v="190"/>
    <s v="N/A"/>
    <n v="75"/>
    <n v="1.2200000000000002"/>
    <m/>
    <n v="1.0700000000000003"/>
    <n v="1.1342000000000003"/>
    <n v="884.45891200000005"/>
    <n v="137.02107216381802"/>
    <n v="149.821972648187"/>
    <n v="297.82446261955852"/>
    <n v="50"/>
    <n v="52.5"/>
    <n v="59.545500000000018"/>
    <n v="198.48500000000007"/>
    <s v="Mar 22 on L8, Nov '22 on L9"/>
    <s v="2022_1272_02327, 2022_1643_02699"/>
    <s v="W2256AA LE2 CLEAR r105x0050 CT1P, W2256AA LE2 CLEAR r105x0050 CB1P"/>
    <m/>
    <m/>
    <m/>
    <s v="N/A"/>
    <m/>
    <n v="0.40380952380952378"/>
    <m/>
  </r>
  <r>
    <s v="Fuyao"/>
    <s v="Shanghai"/>
    <s v="Chery"/>
    <s v="T18L"/>
    <s v="OEM"/>
    <x v="0"/>
    <s v="W2256AGT"/>
    <s v="L"/>
    <s v="E2"/>
    <s v="Clear"/>
    <s v="Acoustic"/>
    <s v="BF011913 (CB4P), BF012401 (CB1P)"/>
    <s v="Y"/>
    <x v="0"/>
    <n v="0.56000000000000005"/>
    <n v="105"/>
    <n v="30"/>
    <s v="N/A"/>
    <s v="N/A"/>
    <n v="0.8"/>
    <n v="200"/>
    <n v="600"/>
    <n v="400"/>
    <n v="150"/>
    <n v="200"/>
    <n v="600"/>
    <n v="400"/>
    <n v="150"/>
    <s v="N/A"/>
    <n v="75"/>
    <n v="1.2200000000000002"/>
    <m/>
    <n v="1.0700000000000003"/>
    <n v="1.1342000000000003"/>
    <n v="884.45891200000005"/>
    <n v="137.02107216381802"/>
    <n v="149.821972648187"/>
    <n v="297.82446261955852"/>
    <n v="150"/>
    <n v="157.5"/>
    <n v="178.63650000000004"/>
    <n v="595.45500000000015"/>
    <d v="2023-07-01T00:00:00"/>
    <s v="2023_2089_03146, 2024_2777_03835"/>
    <s v="W2256AG LE2 CLEAR r105x0150 CB4P, W2256AG LE2 CLEAR r105x0150 CB1P"/>
    <s v="Shaped. Replacing W2258AG?"/>
    <m/>
    <m/>
    <s v="N/A"/>
    <m/>
    <n v="0.5714285714285714"/>
    <m/>
  </r>
  <r>
    <s v="Fuyao"/>
    <s v="Shanghai"/>
    <s v="Ford"/>
    <s v="U625"/>
    <s v="OEM"/>
    <x v="0"/>
    <s v="W2240AOT"/>
    <s v="L"/>
    <s v="E2"/>
    <s v="Clear"/>
    <s v="Acoustic"/>
    <s v="BF011814"/>
    <s v="Y"/>
    <x v="0"/>
    <n v="0.4"/>
    <n v="105"/>
    <n v="30"/>
    <s v="N/A"/>
    <s v="N/A"/>
    <n v="0.8"/>
    <n v="200"/>
    <n v="600"/>
    <n v="400"/>
    <n v="150"/>
    <n v="200"/>
    <n v="600"/>
    <n v="400"/>
    <n v="150"/>
    <s v="N/A"/>
    <n v="75"/>
    <n v="1.1000000000000001"/>
    <m/>
    <n v="0.99285714285714288"/>
    <n v="1.0524285714285715"/>
    <n v="874.04208000000006"/>
    <n v="151.96882549078001"/>
    <n v="166.16618784617106"/>
    <n v="330.31440399623767"/>
    <n v="166"/>
    <n v="174.3"/>
    <n v="183.43830000000003"/>
    <n v="611.46100000000013"/>
    <d v="2023-06-23T00:00:00"/>
    <s v="2023_2030_03087, 2024_2777_03835"/>
    <s v="W2240AO LE2 CLEAR r105x0166 CB4P"/>
    <m/>
    <m/>
    <m/>
    <m/>
    <m/>
    <n v="0.5714285714285714"/>
    <m/>
  </r>
  <r>
    <s v="Fuyao"/>
    <s v="Shanghai"/>
    <s v="Geely"/>
    <s v="DCY11"/>
    <s v="OEM"/>
    <x v="1"/>
    <s v="W2264AF"/>
    <s v="L"/>
    <s v="E2"/>
    <s v="Clear"/>
    <s v="Acoustic"/>
    <s v="BF011642"/>
    <s v="Y"/>
    <x v="0"/>
    <n v="0.64"/>
    <n v="98"/>
    <n v="30"/>
    <s v="N/A"/>
    <s v="N/A"/>
    <n v="0.8"/>
    <n v="160"/>
    <n v="560"/>
    <n v="400"/>
    <n v="120"/>
    <n v="150"/>
    <n v="600"/>
    <n v="450"/>
    <n v="80"/>
    <s v="N/A"/>
    <n v="68"/>
    <n v="1.2352000000000001"/>
    <m/>
    <n v="1.0842122448979592"/>
    <n v="1.1492649795918366"/>
    <n v="889.66732800000011"/>
    <n v="135.33493202708712"/>
    <n v="147.97830847699819"/>
    <n v="294.15952428421429"/>
    <n v="120"/>
    <n v="117.6"/>
    <n v="135.15356159999999"/>
    <n v="450.51187199999998"/>
    <s v="Never"/>
    <s v="2023_1903_02960"/>
    <s v="W2264AF LE2 CLEAR r098x0120 CB1P"/>
    <m/>
    <m/>
    <m/>
    <s v="N/A"/>
    <m/>
    <n v="0.5714285714285714"/>
    <m/>
  </r>
  <r>
    <s v="Fuyao"/>
    <s v="Shanghai"/>
    <s v="Geely"/>
    <s v="EF1E"/>
    <s v="OEM"/>
    <x v="0"/>
    <s v="W2235AKT"/>
    <s v="L"/>
    <s v="E2"/>
    <s v="Clear"/>
    <s v="Acoustic"/>
    <s v="BF012880"/>
    <s v="Y"/>
    <x v="0"/>
    <n v="0.35"/>
    <n v="130"/>
    <n v="30"/>
    <s v="N/A"/>
    <s v="N/A"/>
    <n v="0.8"/>
    <n v="250"/>
    <n v="650"/>
    <n v="400"/>
    <n v="350"/>
    <n v="250"/>
    <n v="650"/>
    <n v="400"/>
    <n v="350"/>
    <s v="N/A"/>
    <n v="100"/>
    <n v="1.1499999999999999"/>
    <m/>
    <n v="1.0153846153846153"/>
    <n v="1.0763076923076922"/>
    <n v="870.78682000000003"/>
    <n v="145.36148525205047"/>
    <n v="158.94157098329407"/>
    <n v="315.95290817031434"/>
    <n v="159"/>
    <n v="206.7"/>
    <n v="222.47279999999995"/>
    <n v="741.57599999999991"/>
    <s v="?"/>
    <s v="2025-0161-0301"/>
    <s v="W2235AK LE2 CLEAR r130x0159 CB1P"/>
    <m/>
    <m/>
    <m/>
    <m/>
    <m/>
    <n v="0.5"/>
    <m/>
  </r>
  <r>
    <s v="Fuyao"/>
    <s v="Shanghai"/>
    <s v="Geely"/>
    <s v="FY11 (or FX11?)"/>
    <s v="OEM"/>
    <x v="0"/>
    <s v="W2233ACT"/>
    <s v="L"/>
    <s v="E2"/>
    <s v="Clear"/>
    <s v="Acoustic"/>
    <s v="BF011815"/>
    <s v="Y"/>
    <x v="0"/>
    <n v="0.33"/>
    <n v="103"/>
    <n v="30"/>
    <s v="N/A"/>
    <s v="N/A"/>
    <n v="0.8"/>
    <n v="200"/>
    <n v="600"/>
    <n v="400"/>
    <n v="130"/>
    <n v="200"/>
    <n v="600"/>
    <n v="400"/>
    <n v="130"/>
    <s v="N/A"/>
    <n v="73"/>
    <n v="1.0409000000000002"/>
    <m/>
    <n v="0.95553252427184476"/>
    <n v="1.0128644757281553"/>
    <n v="869.48471600000005"/>
    <n v="160.59727931584015"/>
    <n v="175.60073650762624"/>
    <n v="349.06892534908388"/>
    <n v="176"/>
    <n v="181.28"/>
    <n v="183.61207216"/>
    <n v="612.0402405333333"/>
    <d v="2023-06-23T00:00:00"/>
    <s v="2023_2030_03087, 2024_2777_03835"/>
    <s v="W2233ACT LE2 CLEAR r103x0176 CB4P"/>
    <s v="For stretching"/>
    <m/>
    <m/>
    <m/>
    <m/>
    <n v="0.58252427184466016"/>
    <m/>
  </r>
  <r>
    <s v="Fuyao"/>
    <s v="Shanghai"/>
    <s v="Geely"/>
    <s v="FY11 (or FX11?)"/>
    <s v="OEM"/>
    <x v="0"/>
    <s v="W5056AA"/>
    <s v="F"/>
    <s v="R3"/>
    <s v="Clear"/>
    <s v="Standard"/>
    <s v="BF011646"/>
    <m/>
    <x v="1"/>
    <n v="0.56000000000000005"/>
    <n v="93"/>
    <n v="30"/>
    <s v="N/A"/>
    <s v="N/A"/>
    <n v="0.76"/>
    <n v="110"/>
    <n v="510"/>
    <n v="400"/>
    <n v="120"/>
    <n v="100"/>
    <n v="550"/>
    <n v="450"/>
    <n v="80"/>
    <s v="N/A"/>
    <n v="63"/>
    <n v="1.1128"/>
    <m/>
    <n v="0.99330322580645158"/>
    <n v="1.0578679354838709"/>
    <n v="846.030888"/>
    <n v="150.22080161741377"/>
    <n v="164.2548585826637"/>
    <n v="326.51495722129891"/>
    <n v="120"/>
    <n v="111.6"/>
    <n v="118.05806159999999"/>
    <n v="393.52687199999997"/>
    <s v="?"/>
    <s v="2023_1903_02960"/>
    <s v="W5056AA FR3 CLEAR r093x0120 CB1P"/>
    <s v="Switching to acoustic?"/>
    <m/>
    <m/>
    <s v="N/A"/>
    <m/>
    <n v="0.54838709677419351"/>
    <m/>
  </r>
  <r>
    <s v="Fuyao"/>
    <s v="Shanghai"/>
    <s v="Geely"/>
    <s v="FY11-J1"/>
    <s v="OEM"/>
    <x v="0"/>
    <s v="W2256AFT"/>
    <s v="L"/>
    <s v="E2"/>
    <s v="Clear"/>
    <s v="Acoustic"/>
    <s v="BF011728"/>
    <s v="Y"/>
    <x v="0"/>
    <n v="0.56000000000000005"/>
    <n v="96"/>
    <n v="30"/>
    <s v="N/A"/>
    <s v="N/A"/>
    <n v="0.8"/>
    <n v="150"/>
    <n v="540"/>
    <n v="390"/>
    <n v="120"/>
    <n v="150"/>
    <n v="550"/>
    <n v="400"/>
    <n v="110"/>
    <s v="N/A"/>
    <n v="66"/>
    <n v="1.1696"/>
    <m/>
    <n v="1.0425500000000001"/>
    <n v="1.1051030000000002"/>
    <n v="884.45891200000005"/>
    <n v="142.92553696978285"/>
    <n v="156.27804944492834"/>
    <n v="310.65821169276802"/>
    <n v="156"/>
    <n v="149.76"/>
    <n v="165.50022528000002"/>
    <n v="551.66741760000014"/>
    <d v="2023-04-23T00:00:00"/>
    <s v="2023_1957_03014, 2024_2777_03835"/>
    <s v="W2256AF LE2 CLEAR r096x0156 CB4P"/>
    <m/>
    <m/>
    <m/>
    <s v="N/A"/>
    <m/>
    <n v="0.5625"/>
    <m/>
  </r>
  <r>
    <s v="Fuyao"/>
    <s v="Shanghai"/>
    <s v="GM"/>
    <s v="E2QL"/>
    <s v="OEM"/>
    <x v="1"/>
    <s v="W2247AET"/>
    <s v="L"/>
    <s v="E2"/>
    <s v="Clear"/>
    <s v="Acoustic"/>
    <s v="BF011813"/>
    <s v="Y"/>
    <x v="0"/>
    <n v="0.47"/>
    <n v="105"/>
    <n v="30"/>
    <s v="N/A"/>
    <s v="N/A"/>
    <n v="0.8"/>
    <n v="200"/>
    <n v="600"/>
    <n v="400"/>
    <n v="150"/>
    <n v="200"/>
    <n v="600"/>
    <n v="400"/>
    <n v="150"/>
    <s v="N/A"/>
    <n v="75"/>
    <n v="1.1524999999999999"/>
    <m/>
    <n v="1.0266071428571428"/>
    <n v="1.0882035714285714"/>
    <n v="878.59944400000006"/>
    <n v="145.04616749662304"/>
    <n v="158.59679534124788"/>
    <n v="315.26754394434835"/>
    <n v="159"/>
    <n v="166.95"/>
    <n v="181.67558624999998"/>
    <n v="605.58528749999994"/>
    <s v="Never"/>
    <s v="2023_2030_03087, 2024_2777_03835"/>
    <s v="W2247AE LE2 CLEAR r105x0159 CB4P"/>
    <m/>
    <m/>
    <m/>
    <m/>
    <m/>
    <n v="0.5714285714285714"/>
    <m/>
  </r>
  <r>
    <s v="Fuyao"/>
    <s v="Shanghai"/>
    <s v="Great Wall"/>
    <s v="B01"/>
    <s v="OEM"/>
    <x v="0"/>
    <s v="W2256AB"/>
    <s v="L"/>
    <s v="E2"/>
    <s v="Clear"/>
    <s v="Acoustic"/>
    <s v="BF011545"/>
    <s v="Y"/>
    <x v="0"/>
    <n v="0.56000000000000005"/>
    <n v="98"/>
    <n v="30"/>
    <s v="N/A"/>
    <s v="N/A"/>
    <n v="0.8"/>
    <n v="150"/>
    <n v="550"/>
    <n v="400"/>
    <n v="130"/>
    <n v="150"/>
    <n v="550"/>
    <n v="400"/>
    <n v="130"/>
    <s v="N/A"/>
    <n v="68"/>
    <n v="1.1808000000000001"/>
    <m/>
    <n v="1.0486857142857142"/>
    <n v="1.1116068571428572"/>
    <n v="884.45891200000005"/>
    <n v="141.56987469500172"/>
    <n v="154.79573732282196"/>
    <n v="307.71158908863606"/>
    <n v="120"/>
    <n v="117.6"/>
    <n v="130.7249664"/>
    <n v="435.749888"/>
    <d v="2023-02-23T00:00:00"/>
    <s v="2022_1807_02863"/>
    <s v="W2256AB LE2 CLEAR r098x0120 CB1P"/>
    <s v="Shaped version. (Unshaped is at Tianjin.)"/>
    <m/>
    <m/>
    <s v="N/A"/>
    <m/>
    <n v="0.56122448979591832"/>
    <m/>
  </r>
  <r>
    <s v="Fuyao"/>
    <s v="Shanghai"/>
    <s v="LiXiang"/>
    <s v="L7 (X03)"/>
    <s v="OEM"/>
    <x v="1"/>
    <s v="W2258AG"/>
    <s v="L"/>
    <s v="E2"/>
    <s v="Clear"/>
    <s v="Acoustic"/>
    <s v="BF011727"/>
    <s v="Y"/>
    <x v="0"/>
    <n v="0.57999999999999996"/>
    <n v="105"/>
    <n v="30"/>
    <s v="N/A"/>
    <s v="N/A"/>
    <n v="0.8"/>
    <n v="200"/>
    <n v="600"/>
    <n v="400"/>
    <n v="150"/>
    <n v="150"/>
    <n v="600"/>
    <n v="450"/>
    <n v="150"/>
    <s v="N/A"/>
    <n v="75"/>
    <n v="1.2349999999999999"/>
    <m/>
    <n v="1.0796428571428571"/>
    <n v="1.1444214285714285"/>
    <n v="885.76101600000004"/>
    <n v="135.35684861526968"/>
    <n v="148.00227257553701"/>
    <n v="294.20716145413888"/>
    <n v="148"/>
    <n v="155.4"/>
    <n v="177.84308999999999"/>
    <n v="592.81029999999998"/>
    <d v="2023-04-23T00:00:00"/>
    <s v="2023_1957_03014"/>
    <s v="W2258AG LE2 CLEAR r105x0148 CB4P"/>
    <s v="Should never have been created. Same design as W2258AC (Changchun). But lives on since 4-roll pkg. W2258AC is obsolete."/>
    <m/>
    <m/>
    <s v="N/A"/>
    <m/>
    <n v="0.5714285714285714"/>
    <m/>
  </r>
  <r>
    <s v="Fuyao"/>
    <s v="Shanghai"/>
    <s v="LiXiang"/>
    <s v="L7 (X03)"/>
    <s v="OEM"/>
    <x v="1"/>
    <s v="W2258AD"/>
    <s v="L"/>
    <s v="E2"/>
    <s v="Clear"/>
    <s v="Acoustic"/>
    <s v="BF011641"/>
    <s v="Y"/>
    <x v="0"/>
    <n v="0.57999999999999996"/>
    <n v="107"/>
    <n v="30"/>
    <s v="N/A"/>
    <s v="N/A"/>
    <n v="0.8"/>
    <n v="200"/>
    <n v="600"/>
    <n v="400"/>
    <n v="170"/>
    <n v="150"/>
    <n v="600"/>
    <n v="450"/>
    <n v="170"/>
    <s v="N/A"/>
    <n v="77"/>
    <n v="1.2465999999999999"/>
    <m/>
    <n v="1.0859074766355139"/>
    <n v="1.1510619252336447"/>
    <n v="885.76101600000004"/>
    <n v="134.09731111812775"/>
    <n v="146.62506548274362"/>
    <n v="291.46947248183983"/>
    <n v="120"/>
    <n v="128.4"/>
    <n v="147.79635119999998"/>
    <n v="492.65450399999992"/>
    <d v="2023-03-01T00:00:00"/>
    <s v="2023_1903_02960"/>
    <s v="W2258AD LE2 CLEAR r107x0120 CB1P"/>
    <s v="Replaced by W2258AG"/>
    <m/>
    <m/>
    <s v="N/A"/>
    <m/>
    <n v="0.56074766355140182"/>
    <m/>
  </r>
  <r>
    <s v="Fuyao"/>
    <s v="Shanghai"/>
    <s v="LiXiang"/>
    <s v="L7 (X03)"/>
    <s v="OEM"/>
    <x v="0"/>
    <s v="W2260AKT"/>
    <s v="L"/>
    <s v="E2"/>
    <s v="Clear"/>
    <s v="Acoustic"/>
    <m/>
    <s v="Y"/>
    <x v="0"/>
    <n v="0.6"/>
    <n v="110"/>
    <n v="27"/>
    <s v="N/A"/>
    <s v="N/A"/>
    <n v="0.8"/>
    <n v="150"/>
    <n v="700"/>
    <n v="550"/>
    <n v="130"/>
    <n v="150"/>
    <n v="700"/>
    <n v="550"/>
    <n v="130"/>
    <s v="N/A"/>
    <n v="83"/>
    <n v="1.298"/>
    <m/>
    <n v="1.1101181818181818"/>
    <n v="1.1767252727272728"/>
    <n v="887.06312000000003"/>
    <n v="128.78714024642375"/>
    <n v="140.81880325946702"/>
    <n v="279.92746101376076"/>
    <n v="141"/>
    <n v="155.1"/>
    <n v="182.5100898"/>
    <n v="675.96329555555553"/>
    <d v="2024-12-01T00:00:00"/>
    <s v="2024_2836_03894"/>
    <m/>
    <m/>
    <m/>
    <m/>
    <m/>
    <m/>
    <n v="0.63636363636363635"/>
    <m/>
  </r>
  <r>
    <s v="Fuyao"/>
    <s v="Shanghai"/>
    <s v="LiXiang"/>
    <s v="L7 (X03)"/>
    <s v="OEM"/>
    <x v="1"/>
    <s v="W2266AA"/>
    <s v="L"/>
    <s v="E2"/>
    <s v="Clear"/>
    <s v="Acoustic"/>
    <s v="BF011684"/>
    <s v="Y"/>
    <x v="0"/>
    <n v="0.66"/>
    <n v="99"/>
    <n v="30"/>
    <s v="N/A"/>
    <s v="N/A"/>
    <n v="0.8"/>
    <n v="150"/>
    <n v="550"/>
    <n v="400"/>
    <n v="140"/>
    <n v="150"/>
    <n v="600"/>
    <n v="450"/>
    <n v="90"/>
    <s v="N/A"/>
    <n v="69"/>
    <n v="1.2554000000000001"/>
    <m/>
    <n v="1.0966999999999998"/>
    <n v="1.1625019999999997"/>
    <n v="890.9694320000001"/>
    <n v="133.15732678019597"/>
    <n v="145.5972651193151"/>
    <n v="289.42635366883974"/>
    <n v="146"/>
    <n v="144.54"/>
    <n v="168.02803907999996"/>
    <n v="560.09346359999984"/>
    <d v="2023-04-23T00:00:00"/>
    <s v="2023_1920_02977"/>
    <s v="W2266AA LE2 CLEAR r099x0146 CB4P"/>
    <s v="Straight cut"/>
    <m/>
    <m/>
    <s v="N/A"/>
    <m/>
    <n v="0.55555555555555558"/>
    <m/>
  </r>
  <r>
    <s v="Fuyao"/>
    <s v="Shanghai"/>
    <m/>
    <s v="CC1E"/>
    <s v="OEM"/>
    <x v="0"/>
    <s v="W2223ADT"/>
    <s v="L"/>
    <s v="E2"/>
    <s v="Clear"/>
    <s v="Acoustic"/>
    <s v="BF012892"/>
    <s v="Y"/>
    <x v="0"/>
    <n v="0.23"/>
    <n v="121"/>
    <n v="30"/>
    <s v="N/A"/>
    <s v="N/A"/>
    <n v="0.8"/>
    <n v="200"/>
    <n v="650"/>
    <n v="450"/>
    <n v="260"/>
    <n v="200"/>
    <n v="650"/>
    <n v="450"/>
    <n v="260"/>
    <s v="N/A"/>
    <n v="91"/>
    <n v="1.0093000000000001"/>
    <m/>
    <n v="0.93059628099173575"/>
    <n v="0.98643205785123989"/>
    <n v="862.97419600000001"/>
    <n v="165.62539189523235"/>
    <n v="181.09858974614897"/>
    <n v="359.99786425825965"/>
    <n v="181"/>
    <n v="219.01"/>
    <n v="216.03848499000003"/>
    <n v="720.12828330000013"/>
    <d v="2025-07-01T00:00:00"/>
    <s v="2025-0186-0327"/>
    <m/>
    <m/>
    <m/>
    <m/>
    <m/>
    <m/>
    <m/>
    <m/>
  </r>
  <r>
    <s v="Fuyao"/>
    <s v="Shanghai"/>
    <s v="LiXiang"/>
    <s v="X04"/>
    <s v="OEM"/>
    <x v="0"/>
    <s v="W2258AJT"/>
    <s v="L"/>
    <s v="E2"/>
    <s v="Clear"/>
    <s v="Acoustic"/>
    <m/>
    <s v="Y"/>
    <x v="0"/>
    <n v="0.57999999999999996"/>
    <n v="107"/>
    <n v="24"/>
    <s v="N/A"/>
    <s v="N/A"/>
    <n v="0.8"/>
    <n v="150"/>
    <n v="700"/>
    <n v="550"/>
    <n v="130"/>
    <n v="150"/>
    <n v="700"/>
    <n v="550"/>
    <n v="130"/>
    <s v="N/A"/>
    <n v="83"/>
    <n v="1.2814000000000001"/>
    <m/>
    <n v="1.0946887850467293"/>
    <n v="1.1603701121495331"/>
    <n v="885.76101600000004"/>
    <n v="130.45552367711724"/>
    <n v="142.6430518423507"/>
    <n v="283.5538039611842"/>
    <n v="143"/>
    <n v="153.01"/>
    <n v="177.54823086000005"/>
    <n v="739.78429525000024"/>
    <d v="2024-12-01T00:00:00"/>
    <s v="2024_2836_03894"/>
    <m/>
    <m/>
    <m/>
    <m/>
    <m/>
    <m/>
    <n v="0.65420560747663548"/>
    <m/>
  </r>
  <r>
    <s v="Fuyao"/>
    <s v="Shanghai"/>
    <s v="LiXiang"/>
    <s v="X04"/>
    <s v="OEM"/>
    <x v="0"/>
    <s v="W2256AJT"/>
    <s v="L"/>
    <s v="E2"/>
    <s v="Clear"/>
    <s v="Acoustic"/>
    <s v="BF012891 (CB1P), _____ (CB4P)"/>
    <s v="Y"/>
    <x v="0"/>
    <n v="0.56000000000000005"/>
    <n v="107"/>
    <n v="24"/>
    <s v="N/A"/>
    <s v="N/A"/>
    <n v="0.8"/>
    <n v="150"/>
    <n v="700"/>
    <n v="550"/>
    <n v="130"/>
    <n v="150"/>
    <n v="700"/>
    <n v="550"/>
    <n v="130"/>
    <s v="N/A"/>
    <n v="83"/>
    <n v="1.2648000000000001"/>
    <m/>
    <n v="1.0845271028037382"/>
    <n v="1.1495987289719625"/>
    <n v="884.45891200000005"/>
    <n v="132.16770085377769"/>
    <n v="144.51518550821328"/>
    <n v="287.27533554384996"/>
    <n v="145"/>
    <n v="155.15"/>
    <n v="178.36024279999998"/>
    <n v="743.16767833333324"/>
    <s v="?"/>
    <s v="2025-0186-0327, 2025-0198-0343"/>
    <m/>
    <m/>
    <m/>
    <m/>
    <m/>
    <m/>
    <m/>
    <m/>
  </r>
  <r>
    <s v="Fuyao"/>
    <s v="Shanghai"/>
    <s v="Zeekr"/>
    <s v="007/007GT"/>
    <s v="OEM"/>
    <x v="0"/>
    <s v="W2230AFT"/>
    <s v="L"/>
    <s v="E2"/>
    <s v="Clear"/>
    <s v="Acoustic"/>
    <m/>
    <s v="Y"/>
    <x v="0"/>
    <n v="0.3"/>
    <n v="108"/>
    <n v="25"/>
    <s v="N/A"/>
    <s v="N/A"/>
    <n v="0.8"/>
    <n v="200"/>
    <n v="700"/>
    <n v="500"/>
    <n v="130"/>
    <n v="200"/>
    <n v="700"/>
    <n v="500"/>
    <n v="130"/>
    <s v="N/A"/>
    <n v="83"/>
    <n v="1.0489999999999999"/>
    <m/>
    <n v="0.95331944444444427"/>
    <n v="1.0105186111111109"/>
    <n v="867.53156000000013"/>
    <n v="159.35720499509824"/>
    <n v="174.24481089684289"/>
    <n v="346.37354089214637"/>
    <n v="174"/>
    <n v="187.92"/>
    <n v="189.89665739999995"/>
    <n v="759.58662959999981"/>
    <s v="?"/>
    <s v="2025-0242-0387"/>
    <m/>
    <m/>
    <m/>
    <m/>
    <m/>
    <m/>
    <m/>
    <m/>
  </r>
  <r>
    <s v="Fuyao"/>
    <s v="Shanghai"/>
    <s v="NIO"/>
    <s v="Pegasus"/>
    <s v="OEM"/>
    <x v="0"/>
    <s v="W2232AKT"/>
    <s v="L"/>
    <s v="E2"/>
    <s v="Clear"/>
    <s v="Acoustic"/>
    <s v="tbd"/>
    <s v="Y"/>
    <x v="0"/>
    <n v="0.32"/>
    <n v="123"/>
    <n v="10"/>
    <s v="N/A"/>
    <s v="N/A"/>
    <n v="0.8"/>
    <n v="300"/>
    <n v="800"/>
    <n v="500"/>
    <n v="330"/>
    <n v="300"/>
    <n v="800"/>
    <n v="500"/>
    <n v="330"/>
    <s v="N/A"/>
    <n v="113"/>
    <n v="1.1616"/>
    <m/>
    <n v="0.9954991869918699"/>
    <n v="1.0552291382113821"/>
    <n v="868.833664"/>
    <n v="143.90987262384473"/>
    <n v="157.35434455129837"/>
    <n v="312.79773105704328"/>
    <n v="157"/>
    <n v="193.11"/>
    <n v="203.77529888000001"/>
    <n v="2037.7529887999999"/>
    <d v="2025-08-01T00:00:00"/>
    <s v="2025-0224-0369"/>
    <s v="W2232AKT LE2 CLEAR r123x0157 CB1P"/>
    <m/>
    <m/>
    <m/>
    <m/>
    <m/>
    <m/>
    <m/>
  </r>
  <r>
    <s v="Fuyao"/>
    <s v="Shanghai"/>
    <s v="NIO"/>
    <s v="Pegasus"/>
    <s v="OEM"/>
    <x v="0"/>
    <s v="W2235AI"/>
    <s v="L"/>
    <s v="E2"/>
    <s v="Clear"/>
    <s v="Acoustic"/>
    <s v="BF012810"/>
    <s v="Y"/>
    <x v="0"/>
    <n v="0.35"/>
    <n v="123"/>
    <n v="30"/>
    <s v="N/A"/>
    <s v="N/A"/>
    <n v="0.8"/>
    <n v="300"/>
    <n v="750"/>
    <n v="450"/>
    <n v="180"/>
    <n v="300"/>
    <n v="750"/>
    <n v="450"/>
    <n v="180"/>
    <s v="N/A"/>
    <n v="93"/>
    <n v="1.1254999999999999"/>
    <m/>
    <n v="1.0024451219512194"/>
    <n v="1.0625918292682925"/>
    <n v="870.78682000000003"/>
    <n v="148.52572904474283"/>
    <n v="162.40142748181978"/>
    <n v="322.83060363914836"/>
    <n v="162"/>
    <n v="199.26"/>
    <n v="211.73204789999997"/>
    <n v="705.77349299999992"/>
    <d v="2025-03-01T00:00:00"/>
    <s v="2025-0050-0186"/>
    <s v="W2235AI LE2 CLEAR r123x0162 CB1P"/>
    <m/>
    <m/>
    <m/>
    <m/>
    <m/>
    <n v="0.6097560975609756"/>
    <m/>
  </r>
  <r>
    <s v="Fuyao"/>
    <s v="Shanghai"/>
    <s v="NIO"/>
    <s v="Pegasus"/>
    <s v="OEM"/>
    <x v="0"/>
    <s v="W2235AJ"/>
    <s v="L"/>
    <s v="E2"/>
    <s v="Clear"/>
    <s v="Acoustic"/>
    <s v="BF012879"/>
    <s v="Y"/>
    <x v="0"/>
    <n v="0.35"/>
    <n v="123"/>
    <n v="10"/>
    <s v="N/A"/>
    <s v="N/A"/>
    <n v="0.8"/>
    <n v="300"/>
    <n v="800"/>
    <n v="500"/>
    <n v="330"/>
    <n v="300"/>
    <n v="800"/>
    <n v="500"/>
    <n v="330"/>
    <s v="N/A"/>
    <n v="113"/>
    <n v="1.1955"/>
    <m/>
    <n v="1.0138272357723577"/>
    <n v="1.0746568699186991"/>
    <n v="870.78682000000003"/>
    <n v="139.82911588444836"/>
    <n v="152.89235184507584"/>
    <n v="303.92793341351859"/>
    <n v="120"/>
    <n v="147.6"/>
    <n v="158.61935399999999"/>
    <n v="1586.1935399999998"/>
    <s v="?"/>
    <s v="2025-0161-0301, 2025-019-0336"/>
    <s v="W2235AJ LE2 CLEAR r123x0120 CB1P"/>
    <m/>
    <m/>
    <m/>
    <m/>
    <m/>
    <n v="0.65040650406504064"/>
    <m/>
  </r>
  <r>
    <s v="Fuyao"/>
    <s v="Shanghai"/>
    <s v="NIO"/>
    <s v="Sirius"/>
    <s v="OEM"/>
    <x v="0"/>
    <s v="W2246AFT"/>
    <s v="L"/>
    <s v="E2"/>
    <s v="Clear"/>
    <s v="Acoustic"/>
    <s v="BF012809"/>
    <s v="Y"/>
    <x v="0"/>
    <n v="0.46"/>
    <n v="108"/>
    <n v="30"/>
    <s v="N/A"/>
    <s v="N/A"/>
    <n v="0.8"/>
    <n v="200"/>
    <n v="600"/>
    <n v="400"/>
    <n v="180"/>
    <n v="200"/>
    <n v="600"/>
    <n v="400"/>
    <n v="180"/>
    <s v="N/A"/>
    <n v="78"/>
    <n v="1.1588000000000001"/>
    <m/>
    <n v="1.0292333333333334"/>
    <n v="1.0909873333333335"/>
    <n v="877.94839200000001"/>
    <n v="144.25760100091301"/>
    <n v="157.73455870796354"/>
    <n v="313.55354193636646"/>
    <n v="158"/>
    <n v="170.64"/>
    <n v="186.16607856000002"/>
    <n v="620.55359520000013"/>
    <d v="2025-03-24T00:00:00"/>
    <s v="2025-0050-0186, 2025-0146-0286"/>
    <s v="W2246AF LE2 CLEAR r108x0158 CB1P"/>
    <m/>
    <m/>
    <m/>
    <m/>
    <m/>
    <n v="0.55555555555555558"/>
    <m/>
  </r>
  <r>
    <s v="Fuyao"/>
    <s v="Shenyang"/>
    <s v="BMW"/>
    <s v="X3"/>
    <s v="OEM"/>
    <x v="1"/>
    <s v="W2246AB"/>
    <s v="L"/>
    <s v="E2"/>
    <s v="Clear"/>
    <s v="Acoustic"/>
    <s v="BF011540"/>
    <s v="Y"/>
    <x v="0"/>
    <n v="0.46"/>
    <n v="100"/>
    <n v="30"/>
    <s v="N/A"/>
    <s v="N/A"/>
    <n v="0.8"/>
    <n v="180"/>
    <n v="580"/>
    <n v="400"/>
    <n v="120"/>
    <n v="150"/>
    <n v="600"/>
    <n v="450"/>
    <n v="100"/>
    <s v="N/A"/>
    <n v="70"/>
    <n v="1.1220000000000001"/>
    <m/>
    <n v="1.0093000000000001"/>
    <n v="1.0698580000000002"/>
    <n v="877.94839200000001"/>
    <n v="148.98904459880393"/>
    <n v="162.9080273001677"/>
    <n v="323.83765097670357"/>
    <n v="120"/>
    <n v="120"/>
    <n v="128.38296000000003"/>
    <n v="427.9432000000001"/>
    <d v="2023-01-01T00:00:00"/>
    <s v="2022_1807_02863"/>
    <s v="W2246AB LE2 CLEAR r100x0120 CB1P"/>
    <m/>
    <m/>
    <m/>
    <s v="N/A"/>
    <m/>
    <n v="0.57999999999999996"/>
    <m/>
  </r>
  <r>
    <s v="Fuyao"/>
    <s v="Shenyang"/>
    <s v="Chery"/>
    <s v="T1EJ"/>
    <s v="OEM"/>
    <x v="0"/>
    <s v="W2262AHT"/>
    <s v="L"/>
    <s v="E2"/>
    <s v="Clear"/>
    <s v="Acoustic"/>
    <s v="BF011931"/>
    <s v="Y"/>
    <x v="0"/>
    <n v="0.62"/>
    <n v="96"/>
    <n v="25"/>
    <s v="N/A"/>
    <s v="N/A"/>
    <n v="0.8"/>
    <n v="150"/>
    <n v="550"/>
    <n v="400"/>
    <n v="160"/>
    <n v="150"/>
    <n v="550"/>
    <n v="400"/>
    <n v="160"/>
    <s v="N/A"/>
    <n v="71"/>
    <n v="1.2402"/>
    <m/>
    <n v="1.0774177083333332"/>
    <n v="1.1420627708333331"/>
    <n v="888.36522400000001"/>
    <n v="134.78931465881152"/>
    <n v="147.38171797354312"/>
    <n v="292.97358845013827"/>
    <n v="147"/>
    <n v="141.12"/>
    <n v="161.16789821999996"/>
    <n v="644.67159287999982"/>
    <d v="2023-07-01T00:00:00"/>
    <s v="2023_2107_03164, 2024_2777_03835"/>
    <s v="W2262AH LE2 CLEAR r096x0147 CB4P"/>
    <m/>
    <m/>
    <m/>
    <m/>
    <m/>
    <n v="0.57291666666666663"/>
    <m/>
  </r>
  <r>
    <s v="Fuyao"/>
    <s v="Shenyang"/>
    <s v="Chery"/>
    <s v="T1EJ (normal w/s)"/>
    <s v="OEM"/>
    <x v="2"/>
    <s v="W5062AC"/>
    <s v="F"/>
    <s v="R3"/>
    <s v="Clear"/>
    <s v="Standard"/>
    <s v="BF011995"/>
    <m/>
    <x v="1"/>
    <n v="0.62"/>
    <n v="96"/>
    <n v="25"/>
    <s v="N/A"/>
    <s v="N/A"/>
    <n v="0.76"/>
    <n v="150"/>
    <n v="550"/>
    <n v="400"/>
    <n v="160"/>
    <n v="150"/>
    <n v="550"/>
    <n v="400"/>
    <n v="160"/>
    <s v="N/A"/>
    <n v="71"/>
    <n v="1.2001999999999999"/>
    <m/>
    <n v="1.0374177083333331"/>
    <n v="1.1048498593749998"/>
    <n v="849.95562600000005"/>
    <n v="139.2815431093635"/>
    <n v="152.29362325511431"/>
    <n v="302.73774737198926"/>
    <n v="152"/>
    <n v="145.91999999999999"/>
    <n v="161.21969147999997"/>
    <n v="644.87876591999986"/>
    <s v="?"/>
    <s v="2023_2180_03237"/>
    <s v="W5062AC FR3 CLEAR r096x0152 CB4P"/>
    <s v="Nearly identical to W5062AB &amp; AD"/>
    <m/>
    <m/>
    <m/>
    <m/>
    <n v="0.57291666666666663"/>
    <m/>
  </r>
  <r>
    <s v="Fuyao"/>
    <s v="Shenyang"/>
    <s v="Chery"/>
    <s v="T1EJ (wired w/s)"/>
    <s v="OEM"/>
    <x v="2"/>
    <s v="W2262AIT"/>
    <s v="L"/>
    <s v="E2"/>
    <s v="Clear"/>
    <s v="Acoustic"/>
    <s v="BF011989"/>
    <s v="Y"/>
    <x v="0"/>
    <n v="0.62"/>
    <n v="101"/>
    <n v="25"/>
    <s v="N/A"/>
    <s v="N/A"/>
    <n v="0.8"/>
    <n v="200"/>
    <n v="600"/>
    <n v="400"/>
    <n v="160"/>
    <n v="200"/>
    <n v="600"/>
    <n v="400"/>
    <n v="160"/>
    <s v="N/A"/>
    <n v="76"/>
    <n v="1.2712000000000001"/>
    <m/>
    <n v="1.0939168316831684"/>
    <n v="1.1595518415841586"/>
    <n v="888.36522400000001"/>
    <n v="131.50228763362023"/>
    <n v="143.78760748174022"/>
    <n v="285.8290154152466"/>
    <n v="144"/>
    <n v="145.44"/>
    <n v="168.64521984000001"/>
    <n v="674.58087936000004"/>
    <d v="2023-09-01T00:00:00"/>
    <s v="2023_2180_03237, 2024_2777_03835"/>
    <s v="W2262AI LE2 CLEAR r101x0144 CB4P"/>
    <m/>
    <m/>
    <m/>
    <m/>
    <m/>
    <n v="0.59405940594059403"/>
    <m/>
  </r>
  <r>
    <s v="Fuyao"/>
    <s v="Suzhou"/>
    <s v="BYD"/>
    <s v="Qin (EKEA)"/>
    <s v="OEM"/>
    <x v="0"/>
    <s v="W2240AU"/>
    <s v="L"/>
    <s v="E2"/>
    <s v="Clear"/>
    <s v="Acoustic"/>
    <s v="BF012399"/>
    <s v="Y"/>
    <x v="0"/>
    <n v="0.4"/>
    <n v="122"/>
    <n v="30"/>
    <s v="N/A"/>
    <s v="N/A"/>
    <n v="0.8"/>
    <n v="200"/>
    <n v="700"/>
    <n v="500"/>
    <n v="220"/>
    <n v="200"/>
    <n v="700"/>
    <n v="500"/>
    <n v="220"/>
    <s v="N/A"/>
    <n v="92"/>
    <n v="1.1680000000000001"/>
    <m/>
    <n v="1.0292459016393443"/>
    <n v="1.0910006557377048"/>
    <n v="874.04208000000006"/>
    <n v="143.12132537659076"/>
    <n v="156.49212896471587"/>
    <n v="311.08377088686763"/>
    <n v="156"/>
    <n v="190.32"/>
    <n v="207.63924479999997"/>
    <n v="692.13081599999998"/>
    <d v="2024-06-01T00:00:00"/>
    <s v="2024_2635_03693"/>
    <s v="W2240AU LE2 CLEAR r122x0156 CB1P"/>
    <s v="Restart, for shaping"/>
    <m/>
    <m/>
    <m/>
    <m/>
    <n v="0.57377049180327866"/>
    <m/>
  </r>
  <r>
    <s v="Fuyao"/>
    <s v="Suzhou"/>
    <s v="BYD"/>
    <s v="Qin (EKEA)"/>
    <s v="OEM"/>
    <x v="1"/>
    <s v="W2240AG"/>
    <s v="L"/>
    <s v="E2"/>
    <s v="Clear"/>
    <s v="Acoustic"/>
    <s v="BF011635"/>
    <s v="Y"/>
    <x v="0"/>
    <n v="0.4"/>
    <n v="123"/>
    <n v="30"/>
    <s v="N/A"/>
    <s v="N/A"/>
    <n v="0.8"/>
    <n v="200"/>
    <n v="600"/>
    <n v="400"/>
    <n v="330"/>
    <n v="150"/>
    <n v="650"/>
    <n v="500"/>
    <n v="280"/>
    <s v="N/A"/>
    <n v="93"/>
    <n v="1.1720000000000002"/>
    <m/>
    <n v="1.0313658536585366"/>
    <n v="1.093247804878049"/>
    <n v="874.04208000000006"/>
    <n v="142.63285668929865"/>
    <n v="155.95802613548477"/>
    <n v="310.022051532305"/>
    <n v="120"/>
    <n v="147.6"/>
    <n v="161.36337600000002"/>
    <n v="537.87792000000013"/>
    <d v="2023-03-01T00:00:00"/>
    <s v="2023_1903_02960"/>
    <s v="W2240AG LE2 CLEAR r123x0120 CB1P"/>
    <s v="For shaped. Failed qualification."/>
    <m/>
    <m/>
    <s v="N/A"/>
    <m/>
    <n v="0.48780487804878048"/>
    <m/>
  </r>
  <r>
    <s v="Fuyao"/>
    <s v="Suzhou"/>
    <s v="BYD"/>
    <s v="Qin (EKEA)"/>
    <s v="OEM"/>
    <x v="0"/>
    <s v="W2249ALT"/>
    <s v="L"/>
    <s v="E2"/>
    <s v="Clear"/>
    <s v="Acoustic"/>
    <s v="BF012777"/>
    <s v="Y"/>
    <x v="0"/>
    <n v="0.49"/>
    <n v="110"/>
    <n v="27"/>
    <s v="N/A"/>
    <s v="N/A"/>
    <n v="0.8"/>
    <n v="200"/>
    <n v="700"/>
    <n v="500"/>
    <n v="130"/>
    <n v="200"/>
    <n v="700"/>
    <n v="500"/>
    <n v="130"/>
    <s v="N/A"/>
    <n v="83"/>
    <n v="1.2067000000000001"/>
    <m/>
    <n v="1.0532631818181819"/>
    <n v="1.1164589727272727"/>
    <n v="879.90154800000005"/>
    <n v="138.53129032887875"/>
    <n v="151.47327971392073"/>
    <n v="301.10702278599604"/>
    <n v="151"/>
    <n v="166.1"/>
    <n v="185.44383536999999"/>
    <n v="686.82901988888875"/>
    <d v="2025-03-25T00:00:00"/>
    <s v="2024_2986_04044"/>
    <m/>
    <m/>
    <m/>
    <m/>
    <m/>
    <m/>
    <m/>
    <m/>
  </r>
  <r>
    <s v="Fuyao"/>
    <s v="Suzhou"/>
    <s v="BYD"/>
    <s v="Qin (EKEA)"/>
    <s v="OEM"/>
    <x v="1"/>
    <s v="W2249AE"/>
    <s v="L"/>
    <s v="E2"/>
    <s v="Clear"/>
    <s v="Acoustic"/>
    <s v="BF011543"/>
    <s v="Y"/>
    <x v="0"/>
    <n v="0.49"/>
    <n v="115"/>
    <n v="30"/>
    <s v="N/A"/>
    <s v="N/A"/>
    <n v="0.8"/>
    <n v="200"/>
    <n v="600"/>
    <n v="400"/>
    <n v="250"/>
    <n v="150"/>
    <n v="600"/>
    <n v="450"/>
    <n v="250"/>
    <s v="N/A"/>
    <n v="85"/>
    <n v="1.2164999999999999"/>
    <m/>
    <n v="1.0625760869565217"/>
    <n v="1.1263306521739131"/>
    <n v="879.90154800000005"/>
    <n v="137.41529637472917"/>
    <n v="150.25302641248516"/>
    <n v="298.68133530280431"/>
    <n v="120"/>
    <n v="138"/>
    <n v="155.43363000000002"/>
    <n v="518.11210000000005"/>
    <d v="2023-02-23T00:00:00"/>
    <s v="2022_1807_02863"/>
    <s v="W2249AE LE2 CLEAR r115x0120 CB1P"/>
    <s v="For non-shaped. Originally set up for Hubei. Replaced by W2249AG at Hubei."/>
    <m/>
    <m/>
    <s v="N/A"/>
    <m/>
    <n v="0.52173913043478259"/>
    <m/>
  </r>
  <r>
    <s v="Fuyao"/>
    <s v="Suzhou"/>
    <s v="BYD"/>
    <s v="SC3E"/>
    <s v="OEM"/>
    <x v="0"/>
    <s v="W5075AA"/>
    <s v="F"/>
    <s v="R3"/>
    <s v="Clear"/>
    <s v="Standard"/>
    <m/>
    <s v="Y"/>
    <x v="1"/>
    <n v="0.75"/>
    <n v="102"/>
    <n v="19"/>
    <s v="N/A"/>
    <s v="N/A"/>
    <n v="0.76"/>
    <n v="200"/>
    <n v="700"/>
    <n v="500"/>
    <n v="130"/>
    <n v="200"/>
    <n v="700"/>
    <n v="500"/>
    <n v="130"/>
    <s v="N/A"/>
    <n v="83"/>
    <n v="1.3824999999999998"/>
    <m/>
    <n v="1.1292279411764707"/>
    <n v="1.2026277573529414"/>
    <n v="858.45922500000006"/>
    <n v="120.91552118615411"/>
    <n v="132.21179503131154"/>
    <n v="262.81797062991791"/>
    <n v="132"/>
    <n v="134.63999999999999"/>
    <n v="161.92180125000002"/>
    <n v="852.22000657894739"/>
    <s v="?"/>
    <s v="2024_2986_04044"/>
    <m/>
    <m/>
    <m/>
    <m/>
    <m/>
    <m/>
    <m/>
    <m/>
  </r>
  <r>
    <s v="Fuyao"/>
    <s v="Suzhou"/>
    <s v="Chang An"/>
    <s v="C673"/>
    <s v="OEM"/>
    <x v="1"/>
    <s v="W5017AB"/>
    <s v="F"/>
    <s v="R3"/>
    <s v="Clear"/>
    <s v="Standard"/>
    <s v="BF011643"/>
    <m/>
    <x v="1"/>
    <n v="0.17"/>
    <n v="121"/>
    <n v="30"/>
    <s v="N/A"/>
    <s v="N/A"/>
    <n v="0.76"/>
    <n v="200"/>
    <n v="600"/>
    <n v="400"/>
    <n v="310"/>
    <n v="150"/>
    <n v="650"/>
    <n v="500"/>
    <n v="260"/>
    <s v="N/A"/>
    <n v="91"/>
    <n v="0.91470000000000007"/>
    <m/>
    <n v="0.85652768595041329"/>
    <n v="0.91220198553719012"/>
    <n v="820.52009100000009"/>
    <n v="182.75468245310813"/>
    <n v="199.82814762303286"/>
    <n v="397.22952268050881"/>
    <n v="120"/>
    <n v="145.19999999999999"/>
    <n v="132.45172829999998"/>
    <n v="441.50576099999995"/>
    <d v="2023-07-23T00:00:00"/>
    <s v="2023_1903_02960"/>
    <s v="W5017AB FR3 CLEAR r121x0120 CB1P"/>
    <m/>
    <m/>
    <m/>
    <s v="N/A"/>
    <m/>
    <n v="0.49586776859504134"/>
    <m/>
  </r>
  <r>
    <s v="Fuyao"/>
    <s v="Suzhou"/>
    <s v="Chang An"/>
    <s v="C673"/>
    <s v="OEM"/>
    <x v="0"/>
    <s v="W2229AG"/>
    <s v="L"/>
    <s v="E2"/>
    <s v="Clear"/>
    <s v="Acoustic"/>
    <s v="BF012738"/>
    <s v="Y"/>
    <x v="0"/>
    <n v="0.28999999999999998"/>
    <n v="109"/>
    <n v="26"/>
    <s v="N/A"/>
    <s v="N/A"/>
    <n v="0.8"/>
    <n v="200"/>
    <n v="700"/>
    <n v="500"/>
    <n v="130"/>
    <n v="200"/>
    <n v="700"/>
    <n v="500"/>
    <n v="130"/>
    <s v="N/A"/>
    <n v="83"/>
    <n v="1.0407"/>
    <m/>
    <n v="0.94905733944954129"/>
    <n v="1.0060007798165138"/>
    <n v="866.88050800000008"/>
    <n v="160.62814263462866"/>
    <n v="175.63448316593465"/>
    <n v="349.13600883622706"/>
    <n v="176"/>
    <n v="191.84"/>
    <n v="192.99118960000001"/>
    <n v="742.27380615384618"/>
    <d v="2025-02-01T00:00:00"/>
    <s v="2024_2939_03997"/>
    <s v="W2229AG LE2 CLEAR r109x0176 CB1P"/>
    <m/>
    <m/>
    <m/>
    <m/>
    <m/>
    <m/>
    <m/>
  </r>
  <r>
    <s v="Fuyao"/>
    <s v="Suzhou"/>
    <s v="Geely"/>
    <s v="DX11"/>
    <s v="OEM"/>
    <x v="0"/>
    <s v="W2221AD"/>
    <s v="L"/>
    <s v="E2"/>
    <s v="Clear"/>
    <s v="Acoustic"/>
    <s v="BF011851"/>
    <s v="Y"/>
    <x v="0"/>
    <n v="0.21"/>
    <n v="113"/>
    <n v="30"/>
    <s v="N/A"/>
    <s v="N/A"/>
    <n v="0.8"/>
    <n v="200"/>
    <n v="600"/>
    <n v="400"/>
    <n v="230"/>
    <n v="150"/>
    <n v="600"/>
    <n v="450"/>
    <n v="230"/>
    <s v="N/A"/>
    <n v="83"/>
    <n v="0.97430000000000005"/>
    <m/>
    <n v="0.91028716814159305"/>
    <n v="0.96490439823008867"/>
    <n v="861.67209200000002"/>
    <n v="171.57519043401214"/>
    <n v="187.60423548269341"/>
    <n v="372.93014923110076"/>
    <n v="188"/>
    <n v="212.44"/>
    <n v="204.98429036000005"/>
    <n v="683.28096786666686"/>
    <d v="2023-07-23T00:00:00"/>
    <s v="2023_2056_03113"/>
    <s v="W2221AD LE2 CLEAR r113x0188 CB1P"/>
    <m/>
    <m/>
    <m/>
    <s v="N/A"/>
    <m/>
    <n v="0.53097345132743368"/>
    <m/>
  </r>
  <r>
    <s v="Fuyao"/>
    <s v="Suzhou"/>
    <s v="Geely"/>
    <s v="DX11"/>
    <s v="OEM"/>
    <x v="0"/>
    <s v="W2227AK"/>
    <s v="L"/>
    <s v="E2"/>
    <s v="Clear"/>
    <s v="Acoustic"/>
    <s v="BF012739"/>
    <s v="Y"/>
    <x v="0"/>
    <n v="0.27"/>
    <n v="100"/>
    <n v="17"/>
    <s v="N/A"/>
    <s v="N/A"/>
    <n v="0.8"/>
    <n v="200"/>
    <n v="700"/>
    <n v="500"/>
    <n v="130"/>
    <n v="200"/>
    <n v="700"/>
    <n v="500"/>
    <n v="130"/>
    <s v="N/A"/>
    <n v="83"/>
    <n v="1.0241"/>
    <m/>
    <n v="0.93109850000000005"/>
    <n v="0.98696441000000001"/>
    <n v="865.57840400000009"/>
    <n v="163.23182115013967"/>
    <n v="178.48140477569396"/>
    <n v="354.79527819144755"/>
    <n v="178"/>
    <n v="178"/>
    <n v="175.67966498000001"/>
    <n v="1033.4097939999999"/>
    <d v="2025-02-01T00:00:00"/>
    <s v="2024_2939_03997"/>
    <s v="W2227AK LE2 CLEAR r100x0178 CB1P"/>
    <m/>
    <m/>
    <m/>
    <m/>
    <m/>
    <m/>
    <m/>
  </r>
  <r>
    <s v="Fuyao"/>
    <s v="Suzhou"/>
    <s v="Geely"/>
    <s v="FS11"/>
    <s v="OEM"/>
    <x v="0"/>
    <s v="W2234AAT"/>
    <s v="L"/>
    <s v="E2"/>
    <s v="Clear"/>
    <s v="Acoustic"/>
    <s v="BF012778"/>
    <s v="Y"/>
    <x v="0"/>
    <n v="0.34"/>
    <n v="87"/>
    <n v="20"/>
    <s v="N/A"/>
    <s v="N/A"/>
    <n v="0.8"/>
    <n v="180"/>
    <n v="530"/>
    <n v="350"/>
    <n v="140"/>
    <n v="180"/>
    <n v="580"/>
    <n v="400"/>
    <n v="90"/>
    <s v="N/A"/>
    <n v="67"/>
    <n v="1.0278"/>
    <m/>
    <n v="0.94008390804597708"/>
    <n v="0.99648894252873566"/>
    <n v="870.13576799999998"/>
    <n v="162.64419929933646"/>
    <n v="177.83888561080769"/>
    <n v="353.51804280585856"/>
    <n v="178"/>
    <n v="154.86000000000001"/>
    <n v="154.31627764000001"/>
    <n v="771.58138819999999"/>
    <d v="2025-03-25T00:00:00"/>
    <s v="2024_2986_04044"/>
    <m/>
    <m/>
    <m/>
    <m/>
    <m/>
    <m/>
    <m/>
    <m/>
  </r>
  <r>
    <s v="Fuyao"/>
    <s v="Suzhou"/>
    <s v="Geely"/>
    <s v="FS11"/>
    <s v="OEM"/>
    <x v="0"/>
    <s v="W2265AET"/>
    <s v="L"/>
    <s v="E2"/>
    <s v="Clear"/>
    <s v="Acoustic"/>
    <s v="BF012779"/>
    <s v="Y"/>
    <x v="0"/>
    <n v="0.65"/>
    <n v="87"/>
    <n v="20"/>
    <s v="N/A"/>
    <s v="N/A"/>
    <n v="0.8"/>
    <n v="180"/>
    <n v="530"/>
    <n v="350"/>
    <n v="140"/>
    <n v="180"/>
    <n v="580"/>
    <n v="400"/>
    <n v="90"/>
    <s v="N/A"/>
    <n v="67"/>
    <n v="1.2355"/>
    <m/>
    <n v="1.0678074712643677"/>
    <n v="1.1318759195402297"/>
    <n v="890.31838000000005"/>
    <n v="135.30207044909594"/>
    <n v="147.94237687639674"/>
    <n v="294.08809744707526"/>
    <n v="148"/>
    <n v="128.76"/>
    <n v="145.74034339999997"/>
    <n v="728.7017169999998"/>
    <d v="2025-03-25T00:00:00"/>
    <s v="2024_2986_04044"/>
    <m/>
    <m/>
    <m/>
    <m/>
    <m/>
    <m/>
    <m/>
    <m/>
  </r>
  <r>
    <s v="Fuyao"/>
    <s v="Suzhou"/>
    <s v="Geely"/>
    <s v="P417"/>
    <s v="OEM"/>
    <x v="0"/>
    <s v="W2245AB"/>
    <s v="L"/>
    <s v="E2"/>
    <s v="Clear"/>
    <s v="Acoustic"/>
    <s v="BF011850"/>
    <s v="Y"/>
    <x v="0"/>
    <n v="0.45"/>
    <n v="107"/>
    <n v="30"/>
    <s v="N/A"/>
    <s v="N/A"/>
    <n v="0.8"/>
    <n v="200"/>
    <n v="600"/>
    <n v="400"/>
    <n v="170"/>
    <n v="150"/>
    <n v="600"/>
    <n v="450"/>
    <n v="170"/>
    <s v="N/A"/>
    <n v="77"/>
    <n v="1.1465000000000001"/>
    <m/>
    <n v="1.0218247663551403"/>
    <n v="1.0831342523364487"/>
    <n v="877.29733999999996"/>
    <n v="145.80524033131968"/>
    <n v="159.426782931346"/>
    <n v="316.91743950794722"/>
    <n v="159"/>
    <n v="170.13"/>
    <n v="184.27363035000002"/>
    <n v="614.2454345000001"/>
    <d v="2023-07-23T00:00:00"/>
    <s v="2023_2056_03113"/>
    <s v="W2245AB LE2 CLEAR r107x0159 CB1P"/>
    <m/>
    <m/>
    <m/>
    <s v="N/A"/>
    <m/>
    <n v="0.56074766355140182"/>
    <m/>
  </r>
  <r>
    <s v="Fuyao"/>
    <s v="Suzhou"/>
    <s v="Great Wall"/>
    <s v="A01"/>
    <s v="OEM"/>
    <x v="0"/>
    <s v="W5065AB"/>
    <s v="F"/>
    <s v="R3"/>
    <s v="Clear"/>
    <s v="Standard"/>
    <m/>
    <s v="Y"/>
    <x v="1"/>
    <n v="0.65"/>
    <n v="93"/>
    <n v="20"/>
    <s v="N/A"/>
    <s v="N/A"/>
    <n v="0.76"/>
    <n v="200"/>
    <n v="600"/>
    <n v="400"/>
    <n v="130"/>
    <n v="200"/>
    <n v="600"/>
    <n v="400"/>
    <n v="130"/>
    <s v="N/A"/>
    <n v="73"/>
    <n v="1.2345000000000002"/>
    <m/>
    <n v="1.0482715053763441"/>
    <n v="1.1164091532258063"/>
    <n v="851.91799500000002"/>
    <n v="135.41167115419847"/>
    <n v="148.06221679286199"/>
    <n v="294.32632190835267"/>
    <n v="148"/>
    <n v="137.63999999999999"/>
    <n v="153.66255584999996"/>
    <n v="768.31277924999972"/>
    <s v="?"/>
    <s v="2024_2986_04044"/>
    <m/>
    <m/>
    <m/>
    <m/>
    <m/>
    <m/>
    <m/>
    <m/>
  </r>
  <r>
    <s v="Fuyao"/>
    <s v="Suzhou"/>
    <s v="Great Wall"/>
    <s v="A01/A02"/>
    <s v="OEM"/>
    <x v="2"/>
    <s v="W5056AC"/>
    <s v="F"/>
    <s v="R3"/>
    <s v="Clear"/>
    <s v="Standard"/>
    <s v="BF011648"/>
    <m/>
    <x v="1"/>
    <n v="0.56000000000000005"/>
    <n v="101"/>
    <n v="30"/>
    <s v="N/A"/>
    <s v="N/A"/>
    <n v="0.76"/>
    <n v="190"/>
    <n v="590"/>
    <n v="400"/>
    <n v="120"/>
    <n v="150"/>
    <n v="600"/>
    <n v="450"/>
    <n v="110"/>
    <s v="N/A"/>
    <n v="71"/>
    <n v="1.1576"/>
    <m/>
    <n v="1.017849504950495"/>
    <n v="1.0840097227722771"/>
    <n v="846.030888"/>
    <n v="144.40714239794232"/>
    <n v="157.89807069003814"/>
    <n v="313.87858016228529"/>
    <n v="120"/>
    <n v="121.2"/>
    <n v="131.38197839999998"/>
    <n v="437.93992799999995"/>
    <d v="2023-07-23T00:00:00"/>
    <s v="2023_1903_02960"/>
    <s v="W5056AC FR3 CLEAR r101x0120 CB1P"/>
    <s v="Validation failed. Now what?"/>
    <m/>
    <m/>
    <s v="N/A"/>
    <m/>
    <n v="0.58415841584158412"/>
    <m/>
  </r>
  <r>
    <s v="Fuyao"/>
    <s v="Suzhou"/>
    <s v="Guang Shu"/>
    <s v="EC24"/>
    <s v="OEM"/>
    <x v="1"/>
    <s v="W2240AF"/>
    <s v="L"/>
    <s v="E2"/>
    <s v="Clear"/>
    <s v="Acoustic"/>
    <s v="BF011634"/>
    <s v="Y"/>
    <x v="0"/>
    <n v="0.4"/>
    <n v="113"/>
    <n v="30"/>
    <s v="N/A"/>
    <s v="N/A"/>
    <n v="0.8"/>
    <n v="200"/>
    <n v="600"/>
    <n v="400"/>
    <n v="230"/>
    <n v="150"/>
    <n v="650"/>
    <n v="500"/>
    <n v="180"/>
    <s v="N/A"/>
    <n v="83"/>
    <n v="1.1320000000000001"/>
    <m/>
    <n v="1.0100707964601769"/>
    <n v="1.0706750442477875"/>
    <n v="874.04208000000006"/>
    <n v="147.6728869610053"/>
    <n v="161.46891045122629"/>
    <n v="320.97689434263378"/>
    <n v="120"/>
    <n v="135.6"/>
    <n v="145.18353599999998"/>
    <n v="483.94511999999992"/>
    <d v="2023-06-23T00:00:00"/>
    <s v="2023_1903_02960"/>
    <s v="W2240AF LE2 CLEAR r113x0120 CB1P"/>
    <m/>
    <m/>
    <m/>
    <s v="N/A"/>
    <m/>
    <n v="0.53097345132743368"/>
    <m/>
  </r>
  <r>
    <s v="Fuyao"/>
    <s v="Tianjin"/>
    <s v="BYD"/>
    <s v="UF"/>
    <s v="OEM"/>
    <x v="1"/>
    <s v="W2219AA"/>
    <s v="L"/>
    <s v="E2"/>
    <s v="Clear"/>
    <s v="Acoustic"/>
    <s v="BF011664"/>
    <s v="Y"/>
    <x v="0"/>
    <n v="0.19"/>
    <n v="130"/>
    <n v="30"/>
    <s v="N/A"/>
    <s v="N/A"/>
    <n v="0.8"/>
    <n v="200"/>
    <n v="600"/>
    <n v="400"/>
    <n v="400"/>
    <n v="200"/>
    <n v="650"/>
    <n v="450"/>
    <n v="350"/>
    <s v="N/A"/>
    <n v="100"/>
    <n v="0.99"/>
    <m/>
    <n v="0.91692307692307695"/>
    <n v="0.97193846153846164"/>
    <n v="860.36998800000003"/>
    <n v="168.85425054531115"/>
    <n v="184.62909760685673"/>
    <n v="367.01600444026406"/>
    <n v="120"/>
    <n v="156"/>
    <n v="151.62240000000003"/>
    <n v="505.40800000000013"/>
    <d v="2023-03-01T00:00:00"/>
    <s v="2023_1919_02976"/>
    <s v="W2219AA LE2 CLEAR r130x0120 CB1P"/>
    <s v="Replacing W2225AB?"/>
    <m/>
    <m/>
    <s v="N/A"/>
    <m/>
    <n v="0.46153846153846156"/>
    <m/>
  </r>
  <r>
    <s v="Fuyao"/>
    <s v="Tianjin"/>
    <s v="BYD"/>
    <s v="UXE"/>
    <s v="OEM"/>
    <x v="0"/>
    <s v="W2218AAT"/>
    <s v="L"/>
    <s v="E2"/>
    <s v="Clear"/>
    <s v="Acoustic"/>
    <s v="BF011911"/>
    <s v="Y"/>
    <x v="0"/>
    <n v="0.18"/>
    <n v="122"/>
    <n v="30"/>
    <s v="N/A"/>
    <s v="N/A"/>
    <n v="0.8"/>
    <n v="200"/>
    <n v="600"/>
    <n v="400"/>
    <n v="320"/>
    <n v="200"/>
    <n v="600"/>
    <n v="400"/>
    <n v="320"/>
    <s v="N/A"/>
    <n v="92"/>
    <n v="0.96560000000000001"/>
    <m/>
    <n v="0.90316065573770499"/>
    <n v="0.95735029508196734"/>
    <n v="859.7189360000001"/>
    <n v="173.12107294931445"/>
    <n v="189.29453876427939"/>
    <n v="376.29022824757811"/>
    <n v="189"/>
    <n v="230.58"/>
    <n v="220.74583104000004"/>
    <n v="735.81943680000018"/>
    <d v="2023-07-23T00:00:00"/>
    <s v="2023_2089_03146, 2024_2777_03835"/>
    <s v="W2218AA LE2 CLEAR r122x0189 CB4P"/>
    <m/>
    <m/>
    <m/>
    <s v="N/A"/>
    <m/>
    <n v="0.49180327868852458"/>
    <m/>
  </r>
  <r>
    <s v="Fuyao"/>
    <s v="Tianjin"/>
    <s v="Geely"/>
    <s v="03 (CS11)"/>
    <s v="OEM"/>
    <x v="0"/>
    <s v="W2225ACT"/>
    <s v="L"/>
    <s v="E2"/>
    <s v="Clear"/>
    <s v="Acoustic"/>
    <s v="BF012106"/>
    <s v="Y"/>
    <x v="0"/>
    <n v="0.25"/>
    <n v="102"/>
    <n v="30"/>
    <s v="N/A"/>
    <s v="N/A"/>
    <n v="0.8"/>
    <n v="200"/>
    <n v="600"/>
    <n v="400"/>
    <n v="120"/>
    <n v="200"/>
    <n v="600"/>
    <n v="400"/>
    <n v="120"/>
    <s v="N/A"/>
    <n v="72"/>
    <n v="0.98"/>
    <m/>
    <n v="0.91647058823529404"/>
    <n v="0.9714588235294116"/>
    <n v="864.27630000000011"/>
    <n v="170.57725310189596"/>
    <n v="186.51306799060018"/>
    <n v="370.76106571006267"/>
    <n v="187"/>
    <n v="190.74"/>
    <n v="185.29605599999996"/>
    <n v="617.65351999999996"/>
    <d v="2023-12-01T00:00:00"/>
    <s v="2023_2288_03345, 2024_2777_03835"/>
    <s v="W2225AC LE2 CLEAR r102x0187 CB4P"/>
    <m/>
    <m/>
    <m/>
    <m/>
    <m/>
    <n v="0.58823529411764708"/>
    <m/>
  </r>
  <r>
    <s v="Fuyao"/>
    <s v="Tianjin"/>
    <s v="GM"/>
    <s v="E2UB"/>
    <s v="OEM"/>
    <x v="1"/>
    <s v="W2264AE"/>
    <s v="L"/>
    <s v="E2"/>
    <s v="Clear"/>
    <s v="Acoustic"/>
    <s v="BF011549"/>
    <s v="Y"/>
    <x v="0"/>
    <n v="0.64"/>
    <n v="110"/>
    <n v="30"/>
    <s v="N/A"/>
    <s v="N/A"/>
    <n v="0.8"/>
    <n v="200"/>
    <n v="600"/>
    <n v="400"/>
    <n v="200"/>
    <n v="150"/>
    <n v="600"/>
    <n v="450"/>
    <n v="200"/>
    <s v="N/A"/>
    <n v="80"/>
    <n v="1.3120000000000001"/>
    <m/>
    <n v="1.1258181818181818"/>
    <n v="1.1933672727272728"/>
    <n v="889.66732800000011"/>
    <n v="127.41288722550155"/>
    <n v="139.31616359053976"/>
    <n v="276.94043017977242"/>
    <n v="120"/>
    <n v="132"/>
    <n v="157.52448000000001"/>
    <n v="525.08160000000009"/>
    <d v="2023-01-01T00:00:00"/>
    <s v="2022_1807_02863"/>
    <s v="W2264AE LE2 CLEAR r110x0120 CB1P"/>
    <s v="Replaced by W2258AE. Also tested at Chongqing for the Seres F1, X1"/>
    <m/>
    <m/>
    <s v="N/A"/>
    <m/>
    <n v="0.54545454545454541"/>
    <m/>
  </r>
  <r>
    <s v="Fuyao"/>
    <s v="Tianjin"/>
    <s v="GM"/>
    <s v="Envision S (E2UB)"/>
    <s v="OEM"/>
    <x v="2"/>
    <s v="W2258AET"/>
    <s v="L"/>
    <s v="E2"/>
    <s v="Clear"/>
    <s v="Acoustic"/>
    <s v="BF011663, BF011912"/>
    <s v="Y"/>
    <x v="0"/>
    <n v="0.57999999999999996"/>
    <n v="110"/>
    <n v="30"/>
    <s v="N/A"/>
    <s v="N/A"/>
    <n v="0.8"/>
    <n v="200"/>
    <n v="600"/>
    <n v="400"/>
    <n v="200"/>
    <n v="150"/>
    <n v="600"/>
    <n v="450"/>
    <n v="200"/>
    <s v="N/A"/>
    <n v="80"/>
    <n v="1.264"/>
    <m/>
    <n v="1.0952727272727274"/>
    <n v="1.1609890909090912"/>
    <n v="885.76101600000004"/>
    <n v="132.25135129735602"/>
    <n v="144.60665081549695"/>
    <n v="287.45715537647266"/>
    <n v="145"/>
    <n v="159.5"/>
    <n v="185.17776000000003"/>
    <n v="617.25920000000019"/>
    <d v="2023-03-01T00:00:00"/>
    <s v="2023_1919_02976, 2023_2089_03146, 2024_2777_03835"/>
    <s v="W2258AE LE2 CLEAR r110x0120 CB1P, W2258AE LE2 CLEAR r110x0145 CB4P"/>
    <s v="Replaced W2264AE"/>
    <m/>
    <m/>
    <s v="N/A"/>
    <m/>
    <n v="0.54545454545454541"/>
    <m/>
  </r>
  <r>
    <s v="Fuyao"/>
    <s v="Tianjin"/>
    <s v="Great Wall"/>
    <s v="B01"/>
    <s v="OEM"/>
    <x v="0"/>
    <s v="W5048AD"/>
    <s v="F"/>
    <s v="R3"/>
    <s v="Clear"/>
    <s v="Standard"/>
    <m/>
    <m/>
    <x v="1"/>
    <n v="0.48"/>
    <n v="98"/>
    <n v="30"/>
    <s v="N/A"/>
    <s v="N/A"/>
    <n v="0.76"/>
    <n v="150"/>
    <n v="550"/>
    <n v="400"/>
    <n v="130"/>
    <n v="150"/>
    <n v="550"/>
    <n v="400"/>
    <n v="130"/>
    <s v="N/A"/>
    <n v="68"/>
    <n v="1.0864"/>
    <m/>
    <n v="0.97315918367346932"/>
    <n v="1.036414530612245"/>
    <n v="840.79790400000002"/>
    <n v="153.87123346820511"/>
    <n v="168.24632421832493"/>
    <n v="334.44941494464422"/>
    <n v="168"/>
    <n v="164.64"/>
    <n v="170.63528832"/>
    <n v="568.78429440000002"/>
    <s v="?"/>
    <s v="2024_2837_03895"/>
    <m/>
    <s v="Longer commercial rolls, but new variant required due to GWA-to-transition distance"/>
    <m/>
    <m/>
    <m/>
    <m/>
    <m/>
    <m/>
  </r>
  <r>
    <s v="Fuyao"/>
    <s v="Tianjin"/>
    <s v="Great Wall"/>
    <s v="B01"/>
    <s v="OEM"/>
    <x v="0"/>
    <s v="W5048AB"/>
    <s v="F"/>
    <s v="R3"/>
    <s v="Clear"/>
    <s v="Standard"/>
    <s v="BF011665"/>
    <m/>
    <x v="1"/>
    <n v="0.48"/>
    <n v="98"/>
    <n v="30"/>
    <s v="N/A"/>
    <s v="N/A"/>
    <n v="0.76"/>
    <n v="150"/>
    <n v="550"/>
    <n v="400"/>
    <n v="130"/>
    <n v="150"/>
    <n v="600"/>
    <n v="450"/>
    <n v="80"/>
    <s v="N/A"/>
    <n v="68"/>
    <n v="1.0864"/>
    <m/>
    <n v="0.97315918367346932"/>
    <n v="1.036414530612245"/>
    <n v="840.79790400000002"/>
    <n v="153.87123346820511"/>
    <n v="168.24632421832493"/>
    <n v="334.44941494464422"/>
    <n v="120"/>
    <n v="117.6"/>
    <n v="121.8823488"/>
    <n v="406.274496"/>
    <s v="?"/>
    <s v="2023_1919_02976"/>
    <s v="W5048AB FR3 CLEAR r098x0120 CB1P, _____"/>
    <m/>
    <m/>
    <m/>
    <s v="N/A"/>
    <m/>
    <n v="0.56122448979591832"/>
    <m/>
  </r>
  <r>
    <s v="Fuyao"/>
    <s v="Tianjin"/>
    <s v="Great Wall"/>
    <s v="B01"/>
    <s v="OEM"/>
    <x v="1"/>
    <s v="W2260AB"/>
    <s v="L"/>
    <s v="E2"/>
    <s v="Clear"/>
    <s v="Acoustic"/>
    <s v="BF011448"/>
    <s v="Y"/>
    <x v="0"/>
    <n v="0.6"/>
    <n v="91"/>
    <n v="30"/>
    <s v="N/A"/>
    <s v="N/A"/>
    <n v="0.8"/>
    <n v="175"/>
    <n v="375"/>
    <n v="200"/>
    <n v="235"/>
    <n v="100"/>
    <n v="500"/>
    <n v="400"/>
    <n v="110"/>
    <s v="N/A"/>
    <n v="61"/>
    <n v="1.1659999999999999"/>
    <m/>
    <n v="1.0433296703296704"/>
    <n v="1.1059294505494506"/>
    <n v="887.06312000000003"/>
    <n v="143.36681650073587"/>
    <n v="156.7605545718595"/>
    <n v="311.61736226060162"/>
    <n v="50"/>
    <n v="45.5"/>
    <n v="50.319790000000005"/>
    <n v="167.73263333333335"/>
    <d v="2022-12-01T00:00:00"/>
    <s v="2022_1741_02797"/>
    <m/>
    <s v="Unshaped version. (Shaped is at Shanghai.)"/>
    <m/>
    <m/>
    <s v="N/A"/>
    <m/>
    <n v="0.41208791208791207"/>
    <m/>
  </r>
  <r>
    <s v="Fuyao"/>
    <s v="Tianjin"/>
    <s v="Great Wall"/>
    <s v="B06"/>
    <s v="OEM"/>
    <x v="1"/>
    <s v="W2236AB"/>
    <s v="L"/>
    <s v="E2"/>
    <s v="Clear"/>
    <s v="Acoustic"/>
    <s v="BF011447"/>
    <s v="Y"/>
    <x v="0"/>
    <n v="0.36"/>
    <n v="97"/>
    <n v="30"/>
    <s v="N/A"/>
    <s v="N/A"/>
    <n v="0.8"/>
    <n v="175"/>
    <n v="375"/>
    <n v="200"/>
    <n v="295"/>
    <n v="100"/>
    <n v="500"/>
    <n v="400"/>
    <n v="170"/>
    <s v="N/A"/>
    <n v="67"/>
    <n v="1.0412000000000001"/>
    <m/>
    <n v="0.95789896907216499"/>
    <n v="1.0153729072164948"/>
    <n v="871.43787200000008"/>
    <n v="160.55100656920669"/>
    <n v="175.55014082864784"/>
    <n v="348.96834844012812"/>
    <n v="50"/>
    <n v="48.5"/>
    <n v="49.245585999999996"/>
    <n v="164.15195333333332"/>
    <d v="2022-12-01T00:00:00"/>
    <s v="2022_1741_02797"/>
    <m/>
    <m/>
    <m/>
    <m/>
    <s v="N/A"/>
    <m/>
    <n v="0.38659793814432991"/>
    <m/>
  </r>
  <r>
    <s v="Fuyao"/>
    <s v="Tianjin"/>
    <s v="Great Wall"/>
    <s v="B06"/>
    <s v="OEM"/>
    <x v="1"/>
    <s v="W5062AB"/>
    <s v="F"/>
    <s v="R3"/>
    <s v="Clear"/>
    <s v="Standard"/>
    <s v="BF011792"/>
    <m/>
    <x v="1"/>
    <n v="0.62"/>
    <n v="95"/>
    <n v="25"/>
    <s v="N/A"/>
    <s v="N/A"/>
    <n v="0.76"/>
    <n v="150"/>
    <n v="500"/>
    <n v="350"/>
    <n v="200"/>
    <n v="150"/>
    <n v="600"/>
    <n v="450"/>
    <n v="100"/>
    <s v="N/A"/>
    <n v="70"/>
    <n v="1.194"/>
    <m/>
    <n v="1.0341052631578946"/>
    <n v="1.1013221052631577"/>
    <n v="849.95562600000005"/>
    <n v="140.00478060289618"/>
    <n v="153.08442766397673"/>
    <n v="304.30975242534464"/>
    <n v="153"/>
    <n v="145.35"/>
    <n v="160.07716799999997"/>
    <n v="640.30867199999989"/>
    <d v="2023-07-23T00:00:00"/>
    <s v="2023_2009_03066"/>
    <s v="W5062AB FR3 CLEAR r095x0153 CB4P"/>
    <s v="Replaced by W5062AD (new HUD area)"/>
    <m/>
    <m/>
    <s v="N/A"/>
    <m/>
    <n v="0.52631578947368418"/>
    <m/>
  </r>
  <r>
    <s v="Fuyao"/>
    <s v="Tianjin"/>
    <s v="Great Wall"/>
    <s v="B06"/>
    <s v="OEM"/>
    <x v="1"/>
    <s v="W5062AD"/>
    <s v="F"/>
    <s v="R3"/>
    <s v="Clear"/>
    <s v="Standard"/>
    <s v="BF012466"/>
    <m/>
    <x v="1"/>
    <n v="0.62"/>
    <n v="95"/>
    <n v="25"/>
    <s v="N/A"/>
    <s v="N/A"/>
    <n v="0.76"/>
    <n v="150"/>
    <n v="550"/>
    <n v="400"/>
    <n v="150"/>
    <n v="150"/>
    <n v="550"/>
    <n v="400"/>
    <n v="150"/>
    <s v="N/A"/>
    <n v="70"/>
    <n v="1.194"/>
    <m/>
    <n v="1.0341052631578946"/>
    <n v="1.1013221052631577"/>
    <n v="849.95562600000005"/>
    <n v="140.00478060289618"/>
    <n v="153.08442766397673"/>
    <n v="304.30975242534464"/>
    <n v="153"/>
    <n v="145.35"/>
    <n v="160.07716799999997"/>
    <n v="640.30867199999989"/>
    <s v="?"/>
    <s v="2024_2710_03768"/>
    <s v="W5062AD FR3 CLEAR r095x0153 CB4P"/>
    <s v="Replaced W5062AB (new HUD area). Nearly identical to AC."/>
    <m/>
    <m/>
    <m/>
    <m/>
    <n v="0.57894736842105265"/>
    <m/>
  </r>
  <r>
    <s v="Fuyao"/>
    <s v="Tianjin"/>
    <s v="Great Wall"/>
    <s v="B06"/>
    <s v="OEM"/>
    <x v="1"/>
    <s v="W5068AB"/>
    <s v="F"/>
    <s v="R3"/>
    <s v="Clear"/>
    <s v="Standard"/>
    <m/>
    <s v="Y"/>
    <x v="1"/>
    <n v="0.68"/>
    <n v="95"/>
    <n v="20"/>
    <s v="N/A"/>
    <s v="N/A"/>
    <n v="0.76"/>
    <n v="150"/>
    <n v="550"/>
    <n v="400"/>
    <n v="200"/>
    <n v="150"/>
    <n v="550"/>
    <n v="400"/>
    <n v="200"/>
    <s v="N/A"/>
    <n v="75"/>
    <n v="1.27"/>
    <m/>
    <n v="1.0686842105263159"/>
    <n v="1.1381486842105264"/>
    <n v="853.88036399999999"/>
    <n v="131.62654176366775"/>
    <n v="143.92346978802217"/>
    <n v="286.09909007548146"/>
    <n v="144"/>
    <n v="136.80000000000001"/>
    <n v="155.69874000000002"/>
    <n v="778.49369999999999"/>
    <s v="?"/>
    <s v="2024_2866_03924"/>
    <m/>
    <m/>
    <m/>
    <m/>
    <m/>
    <m/>
    <m/>
    <m/>
  </r>
  <r>
    <s v="Fuyao"/>
    <s v="Tianjin"/>
    <s v="Great Wall"/>
    <s v="B06 wired"/>
    <s v="OEM"/>
    <x v="0"/>
    <s v="W5072AA"/>
    <s v="F"/>
    <s v="R3"/>
    <s v="Clear"/>
    <s v="Standard"/>
    <s v="BF012546"/>
    <m/>
    <x v="1"/>
    <n v="0.72"/>
    <n v="86"/>
    <n v="15"/>
    <s v="N/A"/>
    <s v="N/A"/>
    <n v="0.76"/>
    <n v="150"/>
    <n v="550"/>
    <n v="400"/>
    <n v="160"/>
    <n v="150"/>
    <n v="550"/>
    <n v="400"/>
    <n v="160"/>
    <s v="N/A"/>
    <n v="71"/>
    <n v="1.2711999999999999"/>
    <m/>
    <n v="1.0601813953488373"/>
    <n v="1.1290931860465117"/>
    <n v="856.49685599999998"/>
    <n v="131.50228763362023"/>
    <n v="143.78760748174025"/>
    <n v="285.8290154152466"/>
    <n v="140"/>
    <n v="120.4"/>
    <n v="135.94281960000001"/>
    <n v="906.28546400000005"/>
    <s v="?"/>
    <s v="2024_2776_03834"/>
    <s v="W5072AA FR3 CLEAR r086x0144 CB1P"/>
    <s v="Unnecessarily small flat distance"/>
    <m/>
    <m/>
    <m/>
    <m/>
    <m/>
    <m/>
  </r>
  <r>
    <s v="Fuyao"/>
    <s v="Tianjin"/>
    <s v="Great Wall"/>
    <s v="B16"/>
    <s v="OEM"/>
    <x v="0"/>
    <s v="W2262AF"/>
    <s v="L"/>
    <s v="E2"/>
    <s v="Clear"/>
    <s v="Acoustic"/>
    <s v="BF011548"/>
    <s v="Y"/>
    <x v="0"/>
    <n v="0.62"/>
    <n v="94"/>
    <n v="30"/>
    <s v="N/A"/>
    <s v="N/A"/>
    <n v="0.8"/>
    <n v="120"/>
    <n v="520"/>
    <n v="400"/>
    <n v="120"/>
    <n v="100"/>
    <n v="550"/>
    <n v="450"/>
    <n v="90"/>
    <s v="N/A"/>
    <n v="64"/>
    <n v="1.1968000000000001"/>
    <m/>
    <n v="1.0617191489361704"/>
    <n v="1.1254222978723405"/>
    <n v="888.36522400000001"/>
    <n v="139.67722931137868"/>
    <n v="152.72627559390722"/>
    <n v="303.59779779065963"/>
    <n v="120"/>
    <n v="112.8"/>
    <n v="126.94763520000001"/>
    <n v="423.15878400000003"/>
    <d v="2024-10-01T00:00:00"/>
    <s v="2022_1807_02863"/>
    <s v="W2262AF LE2 CLEAR r094x0120 CB1P"/>
    <s v="Changed to W2256AC before it could be extruded. Orig. for Hubei. Later made for Guangzhou. Or was it Tianjin?"/>
    <m/>
    <m/>
    <s v="N/A"/>
    <m/>
    <n v="0.55319148936170215"/>
    <m/>
  </r>
  <r>
    <s v="Fuyao"/>
    <s v="Tianjin"/>
    <s v="Great Wall"/>
    <s v="C01 wired"/>
    <s v="OEM"/>
    <x v="0"/>
    <s v="W2237AB (copy)"/>
    <s v="L"/>
    <s v="E2"/>
    <s v="Clear"/>
    <s v="Acoustic"/>
    <s v="Copy"/>
    <s v="Y"/>
    <x v="0"/>
    <m/>
    <m/>
    <m/>
    <m/>
    <n v="0"/>
    <m/>
    <m/>
    <m/>
    <n v="0"/>
    <n v="0"/>
    <m/>
    <m/>
    <n v="0"/>
    <n v="0"/>
    <s v="N/A"/>
    <n v="0"/>
    <n v="0"/>
    <m/>
    <e v="#DIV/0!"/>
    <e v="#DIV/0!"/>
    <n v="0"/>
    <e v="#DIV/0!"/>
    <e v="#DIV/0!"/>
    <e v="#DIV/0!"/>
    <m/>
    <n v="0"/>
    <e v="#DIV/0!"/>
    <e v="#DIV/0!"/>
    <m/>
    <s v="N/A"/>
    <m/>
    <m/>
    <m/>
    <m/>
    <m/>
    <m/>
    <m/>
    <m/>
  </r>
  <r>
    <s v="Fuyao"/>
    <s v="Tianjin"/>
    <s v="Great Wall"/>
    <s v="D03 wired"/>
    <s v="OEM"/>
    <x v="0"/>
    <s v="W2266AB (copy)"/>
    <s v="K"/>
    <s v="E2"/>
    <s v="Clear"/>
    <s v="Acoustic"/>
    <s v="Copy"/>
    <s v="Y"/>
    <x v="0"/>
    <m/>
    <m/>
    <m/>
    <m/>
    <n v="0"/>
    <m/>
    <m/>
    <m/>
    <n v="0"/>
    <n v="0"/>
    <m/>
    <m/>
    <n v="0"/>
    <n v="0"/>
    <s v="N/A"/>
    <n v="0"/>
    <n v="0"/>
    <m/>
    <e v="#DIV/0!"/>
    <e v="#DIV/0!"/>
    <n v="0"/>
    <e v="#DIV/0!"/>
    <e v="#DIV/0!"/>
    <e v="#DIV/0!"/>
    <m/>
    <n v="0"/>
    <e v="#DIV/0!"/>
    <e v="#DIV/0!"/>
    <m/>
    <s v="N/A"/>
    <m/>
    <m/>
    <m/>
    <m/>
    <m/>
    <m/>
    <m/>
    <m/>
  </r>
  <r>
    <s v="Fuyao"/>
    <s v="Tianjin"/>
    <s v="Great Wall"/>
    <s v="Dragon Max (B07)"/>
    <s v="OEM"/>
    <x v="0"/>
    <s v="W2250APT"/>
    <s v="L"/>
    <s v="E2"/>
    <s v="Clear"/>
    <s v="Acoustic"/>
    <s v="BF011910"/>
    <s v="Y"/>
    <x v="0"/>
    <n v="0.5"/>
    <n v="107"/>
    <n v="30"/>
    <s v="N/A"/>
    <s v="N/A"/>
    <n v="0.8"/>
    <n v="200"/>
    <n v="600"/>
    <n v="400"/>
    <n v="170"/>
    <n v="200"/>
    <n v="600"/>
    <n v="400"/>
    <n v="170"/>
    <s v="N/A"/>
    <n v="77"/>
    <n v="1.1850000000000001"/>
    <m/>
    <n v="1.0464719626168224"/>
    <n v="1.1092602803738318"/>
    <n v="880.5526000000001"/>
    <n v="141.0681080505131"/>
    <n v="154.24709420319675"/>
    <n v="306.62096573490419"/>
    <n v="154"/>
    <n v="164.78"/>
    <n v="182.78390900000002"/>
    <n v="609.27969666666672"/>
    <d v="2023-07-01T00:00:00"/>
    <s v="2023_2089_03146, 2024_2777_03835"/>
    <s v="W2250AP LE2 CLEAR r107x0154 CB4P"/>
    <m/>
    <m/>
    <m/>
    <s v="N/A"/>
    <m/>
    <n v="0.56074766355140182"/>
    <m/>
  </r>
  <r>
    <s v="Fuyao"/>
    <s v="Tianjin"/>
    <s v="Great Wall"/>
    <s v="LanShan DHT (C01)"/>
    <s v="OEM"/>
    <x v="2"/>
    <s v="W2229AAT"/>
    <s v="L"/>
    <s v="E2"/>
    <s v="Clear"/>
    <s v="Acoustic"/>
    <s v="BF011908"/>
    <s v="Y"/>
    <x v="0"/>
    <n v="0.28999999999999998"/>
    <n v="115"/>
    <n v="30"/>
    <s v="N/A"/>
    <s v="N/A"/>
    <n v="0.8"/>
    <n v="200"/>
    <n v="600"/>
    <n v="400"/>
    <n v="250"/>
    <n v="200"/>
    <n v="600"/>
    <n v="400"/>
    <n v="250"/>
    <s v="N/A"/>
    <n v="85"/>
    <n v="1.0465"/>
    <m/>
    <n v="0.9554021739130435"/>
    <n v="1.0127263043478261"/>
    <n v="866.88050800000008"/>
    <n v="159.73789588137416"/>
    <n v="174.66106701460888"/>
    <n v="347.20099798935638"/>
    <n v="175"/>
    <n v="201.25"/>
    <n v="203.81116875000001"/>
    <n v="679.37056250000001"/>
    <d v="2023-07-23T00:00:00"/>
    <s v="2023_2089_03146, 2024_2777_03835"/>
    <s v="W2229AA LE2 CLEAR r115x0175 CB4P"/>
    <s v="Very similar to W2229AE. Consolidate?"/>
    <m/>
    <m/>
    <s v="N/A"/>
    <m/>
    <n v="0.52173913043478259"/>
    <m/>
  </r>
  <r>
    <s v="Fuyao"/>
    <s v="Tianjin"/>
    <s v="Great Wall"/>
    <s v="WEY VV6 (V61)"/>
    <s v="OEM"/>
    <x v="1"/>
    <s v="W2233AA"/>
    <s v="L"/>
    <s v="E2"/>
    <s v="Clear"/>
    <s v="Acoustic"/>
    <s v="BF010669 (L8), BF011311 (L9 50m)"/>
    <s v="Y"/>
    <x v="2"/>
    <n v="0.33"/>
    <n v="91"/>
    <n v="30"/>
    <s v="N/A"/>
    <s v="N/A"/>
    <n v="0.8"/>
    <n v="178"/>
    <n v="375"/>
    <n v="197"/>
    <n v="235"/>
    <n v="100"/>
    <n v="500"/>
    <n v="400"/>
    <n v="110"/>
    <s v="N/A"/>
    <n v="61"/>
    <n v="1.0013000000000001"/>
    <m/>
    <n v="0.93383131868131874"/>
    <n v="0.98986119780219783"/>
    <n v="869.48471600000005"/>
    <n v="166.94867476266657"/>
    <n v="182.54549748405887"/>
    <n v="362.87410805538946"/>
    <n v="50"/>
    <n v="45.5"/>
    <n v="45.038684500000002"/>
    <n v="150.12894833333334"/>
    <s v="Mar 2022 on L8, Nov '22 on L9"/>
    <s v="2022_1272_02327, 2022_1643_02699"/>
    <s v="W2233AA LE2 CLEAR r091x0050 CT1P, W2233AA LE2 CLEAR r091x0050 CB1P"/>
    <m/>
    <m/>
    <m/>
    <s v="N/A"/>
    <m/>
    <n v="0.41208791208791207"/>
    <m/>
  </r>
  <r>
    <s v="Fuyao"/>
    <s v="Tianjin"/>
    <s v="Great Wall"/>
    <s v="WEY VV6 (V61)"/>
    <s v="OEM"/>
    <x v="2"/>
    <s v="W2233ABT"/>
    <s v="L"/>
    <s v="E2"/>
    <s v="Clear"/>
    <s v="Acoustic"/>
    <s v="BF011518"/>
    <s v="Y"/>
    <x v="0"/>
    <n v="0.33"/>
    <n v="91"/>
    <n v="30"/>
    <s v="N/A"/>
    <s v="N/A"/>
    <n v="0.8"/>
    <n v="178"/>
    <n v="375"/>
    <n v="197"/>
    <n v="235"/>
    <n v="100"/>
    <n v="500"/>
    <n v="400"/>
    <n v="110"/>
    <s v="N/A"/>
    <n v="61"/>
    <n v="1.0013000000000001"/>
    <m/>
    <n v="0.93383131868131874"/>
    <n v="0.98986119780219783"/>
    <n v="869.48471600000005"/>
    <n v="166.94867476266657"/>
    <n v="182.54549748405887"/>
    <n v="362.87410805538946"/>
    <n v="183"/>
    <n v="166.53"/>
    <n v="164.84158527"/>
    <n v="549.47195090000002"/>
    <d v="2023-02-23T00:00:00"/>
    <s v="2022_1806_02862, 2024_2777_03835"/>
    <s v="W2233AB LE2 CLEAR r091x0183 CB4P"/>
    <s v="Duplicate of W2233AA, just a 4-roll package. Should not have been a new W-code"/>
    <m/>
    <m/>
    <s v="N/A"/>
    <m/>
    <n v="0.41208791208791207"/>
    <m/>
  </r>
  <r>
    <s v="Fuyao"/>
    <s v="Tianjin"/>
    <s v="Hyundai"/>
    <s v="NX4C"/>
    <s v="OEM"/>
    <x v="1"/>
    <s v="W5040AA"/>
    <s v="L"/>
    <s v="E2"/>
    <s v="Clear"/>
    <s v="Standard"/>
    <s v="BF011666"/>
    <m/>
    <x v="1"/>
    <n v="0.4"/>
    <n v="110"/>
    <n v="30"/>
    <s v="N/A"/>
    <s v="N/A"/>
    <n v="0.76"/>
    <n v="200"/>
    <n v="600"/>
    <n v="400"/>
    <n v="200"/>
    <n v="150"/>
    <n v="600"/>
    <n v="450"/>
    <n v="200"/>
    <s v="N/A"/>
    <n v="80"/>
    <n v="1.08"/>
    <m/>
    <n v="0.96363636363636374"/>
    <n v="1.0262727272727274"/>
    <n v="835.56492000000003"/>
    <n v="154.78306299986852"/>
    <n v="169.24333947295199"/>
    <n v="336.43133740357536"/>
    <n v="120"/>
    <n v="132"/>
    <n v="135.46800000000002"/>
    <n v="451.56000000000006"/>
    <d v="2023-07-23T00:00:00"/>
    <s v="2023_1919_02976"/>
    <s v="W5040AA FR3 CLEAR r110x0120 CB1P"/>
    <m/>
    <m/>
    <m/>
    <s v="N/A"/>
    <m/>
    <n v="0.54545454545454541"/>
    <m/>
  </r>
  <r>
    <s v="Fuyao"/>
    <s v="Tianjin"/>
    <s v="LiXiang"/>
    <s v="Mega e-MPV"/>
    <s v="OEM"/>
    <x v="0"/>
    <s v="W2240AP"/>
    <s v="L"/>
    <s v="E2"/>
    <s v="Clear"/>
    <s v="Acoustic"/>
    <s v="BF011907"/>
    <s v="Y"/>
    <x v="0"/>
    <n v="0.4"/>
    <n v="135"/>
    <n v="30"/>
    <s v="N/A"/>
    <s v="N/A"/>
    <n v="0.8"/>
    <n v="200"/>
    <n v="600"/>
    <n v="400"/>
    <n v="450"/>
    <n v="200"/>
    <n v="600"/>
    <n v="400"/>
    <n v="450"/>
    <s v="N/A"/>
    <n v="105"/>
    <n v="1.22"/>
    <m/>
    <n v="1.0566666666666666"/>
    <n v="1.1200666666666668"/>
    <n v="874.04208000000006"/>
    <n v="137.02107216381808"/>
    <n v="149.82197264818703"/>
    <n v="297.82446261955857"/>
    <n v="150"/>
    <n v="202.5"/>
    <n v="226.81350000000003"/>
    <n v="756.04500000000019"/>
    <d v="2023-07-01T00:00:00"/>
    <s v="2023_2089_03146"/>
    <s v="W2240AP LE2 CLEAR r135x0150 CB1P"/>
    <m/>
    <m/>
    <m/>
    <s v="N/A"/>
    <m/>
    <n v="0.44444444444444442"/>
    <m/>
  </r>
  <r>
    <s v="Fuyao"/>
    <s v="Tianjin"/>
    <s v="LiXiang"/>
    <s v="W01"/>
    <s v="OEM"/>
    <x v="1"/>
    <s v="W2242AA"/>
    <s v="L"/>
    <s v="E2"/>
    <s v="Clear"/>
    <s v="Acoustic"/>
    <s v="BF011708"/>
    <s v="Y"/>
    <x v="0"/>
    <n v="0.42"/>
    <n v="135"/>
    <n v="30"/>
    <s v="N/A"/>
    <s v="N/A"/>
    <n v="0.8"/>
    <n v="300"/>
    <n v="700"/>
    <n v="400"/>
    <n v="350"/>
    <n v="300"/>
    <n v="700"/>
    <n v="400"/>
    <n v="350"/>
    <s v="N/A"/>
    <n v="105"/>
    <n v="1.2410000000000001"/>
    <m/>
    <n v="1.0695000000000001"/>
    <n v="1.1336700000000002"/>
    <n v="875.34418400000015"/>
    <n v="134.70242388385014"/>
    <n v="147.28670961385023"/>
    <n v="292.78472554058129"/>
    <n v="147"/>
    <n v="198.45"/>
    <n v="224.97681150000003"/>
    <n v="749.92270500000006"/>
    <d v="2023-04-01T00:00:00"/>
    <s v="2023_1949_03006"/>
    <s v="W2242AA LE2 CLEAR r135x0147 CB1P"/>
    <m/>
    <m/>
    <m/>
    <s v="N/A"/>
    <m/>
    <n v="0.51851851851851849"/>
    <m/>
  </r>
  <r>
    <s v="Fuyao"/>
    <s v="Tianjin"/>
    <s v="Toyota"/>
    <s v="Crown Kluger (770B)"/>
    <s v="OEM"/>
    <x v="2"/>
    <s v="W2248AGT"/>
    <s v="L"/>
    <s v="E2"/>
    <s v="Clear"/>
    <s v="Acoustic"/>
    <s v="BF011909"/>
    <s v="Y"/>
    <x v="0"/>
    <n v="0.48"/>
    <n v="103"/>
    <n v="30"/>
    <s v="N/A"/>
    <s v="N/A"/>
    <n v="0.8"/>
    <n v="200"/>
    <n v="600"/>
    <n v="400"/>
    <n v="130"/>
    <n v="200"/>
    <n v="600"/>
    <n v="400"/>
    <n v="130"/>
    <s v="N/A"/>
    <n v="73"/>
    <n v="1.1504000000000001"/>
    <m/>
    <n v="1.0262291262135923"/>
    <n v="1.0878028737864078"/>
    <n v="879.250496"/>
    <n v="145.31094231559285"/>
    <n v="158.88630618114411"/>
    <n v="315.84304971823838"/>
    <n v="159"/>
    <n v="163.77000000000001"/>
    <n v="178.14947664000002"/>
    <n v="593.83158880000008"/>
    <d v="2023-07-23T00:00:00"/>
    <s v="2023_2089_03146, 2024_2777_03835"/>
    <s v="W2248AG LE2 CLEAR r103x0159 CB4P"/>
    <m/>
    <m/>
    <m/>
    <s v="N/A"/>
    <m/>
    <n v="0.58252427184466016"/>
    <m/>
  </r>
  <r>
    <s v="Fuyao"/>
    <s v="Tianjin"/>
    <s v="Toyota"/>
    <s v="Crown Kluger (770B)"/>
    <s v="OEM"/>
    <x v="2"/>
    <s v="W5048AC"/>
    <s v="L"/>
    <s v="E2"/>
    <s v="Clear"/>
    <s v="Standard"/>
    <s v="BF011791"/>
    <m/>
    <x v="1"/>
    <n v="0.48"/>
    <n v="98"/>
    <n v="25"/>
    <s v="N/A"/>
    <s v="N/A"/>
    <n v="0.76"/>
    <n v="200"/>
    <n v="600"/>
    <n v="400"/>
    <n v="130"/>
    <n v="150"/>
    <n v="600"/>
    <n v="450"/>
    <n v="130"/>
    <s v="N/A"/>
    <n v="73"/>
    <n v="1.1104000000000001"/>
    <m/>
    <n v="0.97989387755102042"/>
    <n v="1.0435869795918369"/>
    <n v="840.79790400000002"/>
    <n v="150.54548634713439"/>
    <n v="164.60987628853402"/>
    <n v="327.22068119223837"/>
    <n v="165"/>
    <n v="161.69999999999999"/>
    <n v="168.7480146"/>
    <n v="674.99205840000002"/>
    <d v="2023-07-23T00:00:00"/>
    <s v="2023_2009_03066"/>
    <s v="W5048AC FR3 CLEAR r098x0165 CB4P"/>
    <m/>
    <m/>
    <m/>
    <s v="N/A"/>
    <m/>
    <n v="0.61224489795918369"/>
    <m/>
  </r>
  <r>
    <s v="Fuyao"/>
    <s v="Tianjin"/>
    <s v="Toyota"/>
    <s v="Sienna MPV (018D)"/>
    <s v="OEM"/>
    <x v="2"/>
    <s v="W2232ADT"/>
    <s v="L"/>
    <s v="E2"/>
    <s v="Clear"/>
    <s v="Acoustic"/>
    <s v="BF011517"/>
    <s v="Y"/>
    <x v="0"/>
    <n v="0.32"/>
    <n v="121"/>
    <n v="30"/>
    <s v="N/A"/>
    <s v="N/A"/>
    <n v="0.8"/>
    <n v="200"/>
    <n v="600"/>
    <n v="400"/>
    <n v="310"/>
    <n v="150"/>
    <n v="600"/>
    <n v="450"/>
    <n v="310"/>
    <s v="N/A"/>
    <n v="91"/>
    <n v="1.0912000000000002"/>
    <m/>
    <n v="0.98169917355371916"/>
    <n v="1.0406011239669422"/>
    <n v="868.833664"/>
    <n v="153.19438053506047"/>
    <n v="167.50623774815628"/>
    <n v="332.97822983491699"/>
    <n v="168"/>
    <n v="203.28"/>
    <n v="211.53339647999999"/>
    <n v="705.1113216"/>
    <d v="2023-02-01T00:00:00"/>
    <s v="2022_1806_02862, 2024_2777_03835"/>
    <s v="W2232AD LE2 CLEAR r121x0168 CB4P"/>
    <m/>
    <m/>
    <m/>
    <s v="N/A"/>
    <m/>
    <n v="0.49586776859504134"/>
    <m/>
  </r>
  <r>
    <s v="Fuyao"/>
    <s v="Tianjin"/>
    <m/>
    <m/>
    <s v="OEM"/>
    <x v="0"/>
    <s v="W5027AA"/>
    <s v="L"/>
    <s v="E2"/>
    <s v="Clear"/>
    <s v="Standard"/>
    <s v="BF011793"/>
    <m/>
    <x v="1"/>
    <n v="0.27"/>
    <n v="108"/>
    <n v="30"/>
    <s v="N/A"/>
    <s v="N/A"/>
    <n v="0.76"/>
    <n v="200"/>
    <n v="600"/>
    <n v="400"/>
    <n v="180"/>
    <n v="150"/>
    <n v="600"/>
    <n v="450"/>
    <n v="180"/>
    <s v="N/A"/>
    <n v="78"/>
    <n v="0.97060000000000002"/>
    <m/>
    <n v="0.89455000000000007"/>
    <n v="0.95269575000000006"/>
    <n v="827.06132100000002"/>
    <n v="172.22924792896976"/>
    <n v="188.3193968996375"/>
    <n v="374.35178693165204"/>
    <n v="188"/>
    <n v="203.04"/>
    <n v="193.43534508000002"/>
    <n v="644.78448360000004"/>
    <s v="?"/>
    <s v="2023_2009_03066"/>
    <s v="W5027AA FR3 CLEAR r108x0188 CB4P"/>
    <m/>
    <m/>
    <m/>
    <s v="N/A"/>
    <m/>
    <n v="0.55555555555555558"/>
    <m/>
  </r>
  <r>
    <s v="Fuyao"/>
    <s v="Tianjin"/>
    <m/>
    <m/>
    <s v="OEM"/>
    <x v="0"/>
    <s v="W5056AB"/>
    <s v="F"/>
    <s v="R3"/>
    <s v="Clear"/>
    <s v="Standard"/>
    <s v="BF011647"/>
    <m/>
    <x v="1"/>
    <n v="0.56000000000000005"/>
    <n v="98"/>
    <n v="30"/>
    <s v="N/A"/>
    <s v="N/A"/>
    <n v="0.76"/>
    <n v="160"/>
    <n v="560"/>
    <n v="400"/>
    <n v="120"/>
    <n v="150"/>
    <n v="600"/>
    <n v="450"/>
    <n v="80"/>
    <s v="N/A"/>
    <n v="68"/>
    <n v="1.1408"/>
    <m/>
    <n v="1.0086857142857144"/>
    <n v="1.0742502857142859"/>
    <n v="846.030888"/>
    <n v="146.53375529440572"/>
    <n v="160.22335784606256"/>
    <n v="318.50091549426844"/>
    <n v="120"/>
    <n v="117.6"/>
    <n v="126.33183360000002"/>
    <n v="421.10611200000011"/>
    <s v="?"/>
    <s v="2023_1903_02960"/>
    <s v="W5056AB FR3 CLEAR r098x0120 CB1P"/>
    <m/>
    <m/>
    <m/>
    <s v="N/A"/>
    <m/>
    <n v="0.5714285714285714"/>
    <m/>
  </r>
  <r>
    <s v="Fuyao"/>
    <s v="Zhengzhou"/>
    <s v="BYD"/>
    <s v="Dynasty Song Plus (SA3F)"/>
    <s v="OEM"/>
    <x v="2"/>
    <s v="W2230ABT"/>
    <s v="L"/>
    <s v="E2"/>
    <s v="Clear"/>
    <s v="Acoustic"/>
    <s v="BF011853"/>
    <s v="Y"/>
    <x v="0"/>
    <n v="0.3"/>
    <n v="105"/>
    <n v="30"/>
    <s v="N/A"/>
    <s v="N/A"/>
    <n v="0.8"/>
    <n v="200"/>
    <n v="600"/>
    <n v="400"/>
    <n v="150"/>
    <n v="150"/>
    <n v="600"/>
    <n v="450"/>
    <n v="150"/>
    <s v="N/A"/>
    <n v="75"/>
    <n v="1.0250000000000001"/>
    <m/>
    <n v="0.94464285714285712"/>
    <n v="1.0013214285714285"/>
    <n v="867.53156000000013"/>
    <n v="163.08849564864195"/>
    <n v="178.32468939589089"/>
    <n v="354.48375063010872"/>
    <n v="178"/>
    <n v="186.9"/>
    <n v="187.146975"/>
    <n v="623.82325000000003"/>
    <d v="2023-07-23T00:00:00"/>
    <s v="2023_2056_03113"/>
    <s v="W2230AB LE2 CLEAR r105x0178 CB4P"/>
    <m/>
    <m/>
    <m/>
    <s v="N/A"/>
    <m/>
    <n v="0.5714285714285714"/>
    <m/>
  </r>
  <r>
    <s v="Fuyao"/>
    <s v="Zhengzhou"/>
    <s v="BYD"/>
    <s v="SA3"/>
    <s v="OEM"/>
    <x v="2"/>
    <s v="W2222ACT"/>
    <s v="L"/>
    <s v="E2"/>
    <s v="Clear"/>
    <s v="Acoustic"/>
    <s v="BF012558 (CB1P), BF012704 (CB4P)"/>
    <s v="Y"/>
    <x v="0"/>
    <n v="0.22"/>
    <n v="112"/>
    <n v="30"/>
    <s v="N/A"/>
    <s v="N/A"/>
    <n v="0.8"/>
    <n v="200"/>
    <n v="600"/>
    <n v="400"/>
    <n v="220"/>
    <n v="200"/>
    <n v="600"/>
    <n v="400"/>
    <n v="220"/>
    <s v="N/A"/>
    <n v="82"/>
    <n v="0.98040000000000005"/>
    <m/>
    <n v="0.91436071428571442"/>
    <n v="0.9692223571428572"/>
    <n v="862.32314400000007"/>
    <n v="170.50765813939009"/>
    <n v="186.43697126763379"/>
    <n v="370.60979640540745"/>
    <n v="186"/>
    <n v="208.32"/>
    <n v="201.90840144000001"/>
    <n v="673.02800480000008"/>
    <d v="2024-11-01T00:00:00"/>
    <s v="2024_2793_03851, 2024_2909_03967"/>
    <s v="W2222ACT LE2 CLEAR r112x0186 CB1P, W2222ACT LE2 CLEAR r112x0186 CB4P"/>
    <m/>
    <m/>
    <m/>
    <m/>
    <m/>
    <m/>
    <m/>
  </r>
  <r>
    <s v="Fuyao"/>
    <s v="Zhengzhou"/>
    <s v="BYD"/>
    <s v="Formula Leopard Bao 5 (SFH)"/>
    <s v="OEM"/>
    <x v="2"/>
    <s v="W2227AAT"/>
    <s v="L"/>
    <s v="E2"/>
    <s v="Clear"/>
    <s v="Acoustic"/>
    <s v="BF011803"/>
    <s v="Y"/>
    <x v="0"/>
    <n v="0.27"/>
    <n v="83"/>
    <n v="20"/>
    <s v="N/A"/>
    <s v="N/A"/>
    <n v="0.8"/>
    <n v="100"/>
    <n v="500"/>
    <n v="400"/>
    <n v="130"/>
    <n v="100"/>
    <n v="500"/>
    <n v="400"/>
    <n v="130"/>
    <s v="N/A"/>
    <n v="63"/>
    <n v="0.97010000000000007"/>
    <m/>
    <n v="0.90554397590361468"/>
    <n v="0.95987661445783157"/>
    <n v="865.57840400000009"/>
    <n v="172.31801674039582"/>
    <n v="188.41645874733342"/>
    <n v="374.54473187904483"/>
    <n v="188"/>
    <n v="156.04"/>
    <n v="149.77914692000002"/>
    <n v="748.89573460000008"/>
    <d v="2023-07-23T00:00:00"/>
    <s v="2023_2021_03078, 2024_2777_03835"/>
    <s v="W2227AA LE2 CLEAR r083x0188 CB4P"/>
    <m/>
    <m/>
    <m/>
    <s v="N/A"/>
    <m/>
    <n v="0.60240963855421692"/>
    <m/>
  </r>
  <r>
    <s v="Fuyao"/>
    <s v="Zhengzhou"/>
    <s v="BYD"/>
    <s v="Formula Leopard Bao 5 (SFH)"/>
    <s v="OEM"/>
    <x v="0"/>
    <s v="W2228AET"/>
    <s v="L"/>
    <s v="E2"/>
    <s v="Clear"/>
    <s v="Acoustic"/>
    <s v="BF012717"/>
    <s v="Y"/>
    <x v="0"/>
    <n v="0.28000000000000003"/>
    <n v="83"/>
    <n v="15"/>
    <s v="N/A"/>
    <s v="N/A"/>
    <n v="0.8"/>
    <n v="150"/>
    <n v="550"/>
    <n v="400"/>
    <n v="130"/>
    <n v="150"/>
    <n v="550"/>
    <n v="400"/>
    <n v="130"/>
    <s v="N/A"/>
    <n v="68"/>
    <n v="0.99040000000000006"/>
    <m/>
    <n v="0.91240481927710848"/>
    <n v="0.96714910843373503"/>
    <n v="866.22945600000003"/>
    <n v="168.78605415979203"/>
    <n v="184.55453011993959"/>
    <n v="366.86777503620908"/>
    <n v="185"/>
    <n v="153.55000000000001"/>
    <n v="148.50574560000001"/>
    <n v="990.03830400000015"/>
    <d v="2025-02-01T00:00:00"/>
    <s v="2024_2914_03972"/>
    <s v="W2228AET LE2 CLEAR r083x0185 CB1P"/>
    <m/>
    <m/>
    <m/>
    <m/>
    <m/>
    <m/>
    <m/>
  </r>
  <r>
    <s v="Fuyao"/>
    <s v="Zhengzhou"/>
    <s v="BYD"/>
    <s v="Formula Leopard Bao 8 (SQ)"/>
    <s v="OEM"/>
    <x v="0"/>
    <s v="W2228AC"/>
    <s v="L"/>
    <s v="E2"/>
    <s v="Clear"/>
    <s v="Acoustic"/>
    <s v="BF012372"/>
    <s v="Y"/>
    <x v="0"/>
    <n v="0.28000000000000003"/>
    <n v="92"/>
    <n v="24"/>
    <s v="N/A"/>
    <s v="N/A"/>
    <n v="0.8"/>
    <n v="150"/>
    <n v="550"/>
    <n v="400"/>
    <n v="130"/>
    <n v="150"/>
    <n v="550"/>
    <n v="400"/>
    <n v="130"/>
    <s v="N/A"/>
    <n v="68"/>
    <n v="0.99040000000000006"/>
    <m/>
    <n v="0.92003478260869553"/>
    <n v="0.97523686956521727"/>
    <n v="866.22945600000003"/>
    <n v="168.78605415979203"/>
    <n v="184.55453011993959"/>
    <n v="366.86777503620908"/>
    <n v="185"/>
    <n v="170.2"/>
    <n v="165.98531519999997"/>
    <n v="691.60547999999994"/>
    <d v="2024-06-01T00:00:00"/>
    <s v="2024_2591_03649"/>
    <s v="W2228AC LE2 CLEAR r092x0185 CB1P"/>
    <s v="Needed to change the flat distance vs. W2228AA to get 130 mm"/>
    <m/>
    <m/>
    <m/>
    <m/>
    <n v="0.59782608695652173"/>
    <m/>
  </r>
  <r>
    <s v="Fuyao"/>
    <s v="Zhengzhou"/>
    <s v="BYD"/>
    <s v="Frigate SUV (SK2F)"/>
    <s v="OEM"/>
    <x v="0"/>
    <s v="W2235AFT"/>
    <s v="L"/>
    <s v="E2"/>
    <s v="Clear"/>
    <s v="Acoustic"/>
    <s v="BF012545"/>
    <s v="Y"/>
    <x v="0"/>
    <n v="0.35"/>
    <n v="105"/>
    <n v="30"/>
    <s v="N/A"/>
    <s v="N/A"/>
    <n v="0.8"/>
    <n v="200"/>
    <n v="600"/>
    <n v="400"/>
    <n v="150"/>
    <n v="200"/>
    <n v="600"/>
    <n v="400"/>
    <n v="150"/>
    <s v="N/A"/>
    <n v="75"/>
    <n v="1.0625"/>
    <m/>
    <n v="0.96875"/>
    <n v="1.026875"/>
    <n v="870.78682000000003"/>
    <n v="157.33243109633696"/>
    <n v="172.03087682897711"/>
    <n v="341.97255943139908"/>
    <n v="172"/>
    <n v="180.6"/>
    <n v="185.45362499999999"/>
    <n v="618.17875000000004"/>
    <d v="2024-11-01T00:00:00"/>
    <s v="2024_2776_03834"/>
    <s v="W2235AFT LE2 CLEAR r105x0172 CB1P"/>
    <m/>
    <m/>
    <m/>
    <m/>
    <m/>
    <m/>
    <m/>
  </r>
  <r>
    <s v="Fuyao"/>
    <s v="Zhengzhou"/>
    <s v="BYD"/>
    <s v="Frigate SUV (SK2F)"/>
    <s v="OEM"/>
    <x v="2"/>
    <s v="W2251ADT"/>
    <s v="L"/>
    <s v="E2"/>
    <s v="Clear"/>
    <s v="Acoustic"/>
    <s v="BF011579"/>
    <s v="Y"/>
    <x v="0"/>
    <n v="0.51"/>
    <n v="105"/>
    <n v="30"/>
    <s v="N/A"/>
    <s v="N/A"/>
    <n v="0.8"/>
    <n v="200"/>
    <n v="600"/>
    <n v="400"/>
    <n v="150"/>
    <n v="150"/>
    <n v="600"/>
    <n v="450"/>
    <n v="150"/>
    <s v="N/A"/>
    <n v="75"/>
    <n v="1.1825000000000001"/>
    <m/>
    <n v="1.0458928571428572"/>
    <n v="1.1086464285714286"/>
    <n v="881.20365200000003"/>
    <n v="141.36634929374887"/>
    <n v="154.57319799643818"/>
    <n v="307.26921301975597"/>
    <n v="155"/>
    <n v="162.75"/>
    <n v="180.43220625000001"/>
    <n v="601.44068750000008"/>
    <d v="2023-02-23T00:00:00"/>
    <s v="2022_1831_02887, 2023_1838_02894, 2024_2777_03835"/>
    <s v="W2251AD LE2 CLEAR r105x0155 CB4P"/>
    <m/>
    <m/>
    <m/>
    <s v="N/A"/>
    <m/>
    <n v="0.5714285714285714"/>
    <m/>
  </r>
  <r>
    <s v="Fuyao"/>
    <s v="Zhengzhou"/>
    <s v="BYD"/>
    <s v="Frigate SUV (SK2F)"/>
    <s v="OEM"/>
    <x v="0"/>
    <s v="W2253AB"/>
    <s v="L"/>
    <s v="E2"/>
    <s v="Clear"/>
    <s v="Acoustic"/>
    <s v="BF012316"/>
    <s v="Y"/>
    <x v="0"/>
    <n v="0.53"/>
    <n v="105"/>
    <n v="25"/>
    <s v="N/A"/>
    <s v="N/A"/>
    <n v="0.8"/>
    <n v="200"/>
    <n v="600"/>
    <n v="400"/>
    <n v="200"/>
    <n v="200"/>
    <n v="600"/>
    <n v="400"/>
    <n v="200"/>
    <s v="N/A"/>
    <n v="80"/>
    <n v="1.224"/>
    <m/>
    <n v="1.0624761904761906"/>
    <n v="1.1262247619047618"/>
    <n v="882.50575600000013"/>
    <n v="136.57329088223696"/>
    <n v="149.33235835848708"/>
    <n v="296.85118006197831"/>
    <n v="149"/>
    <n v="156.44999999999999"/>
    <n v="176.19786399999998"/>
    <n v="704.79145599999993"/>
    <s v="?"/>
    <s v="2024_2535_03592"/>
    <s v="W2253AB LE2 CLEAR r105x0149 CB1P"/>
    <s v="Will replace W2251AD LE2"/>
    <m/>
    <m/>
    <m/>
    <m/>
    <n v="0.5714285714285714"/>
    <m/>
  </r>
  <r>
    <s v="Fuyao"/>
    <s v="Zhengzhou"/>
    <s v="BYD"/>
    <s v="HB"/>
    <s v="OEM"/>
    <x v="0"/>
    <s v="W2227AQT"/>
    <s v="L"/>
    <s v="E2"/>
    <s v="Clear"/>
    <s v="Acoustic"/>
    <m/>
    <s v="Y"/>
    <x v="0"/>
    <n v="0.27"/>
    <n v="114"/>
    <n v="30"/>
    <s v="N/A"/>
    <s v="N/A"/>
    <n v="0.8"/>
    <n v="200"/>
    <n v="700"/>
    <n v="500"/>
    <n v="140"/>
    <n v="200"/>
    <n v="700"/>
    <n v="500"/>
    <n v="140"/>
    <s v="N/A"/>
    <n v="84"/>
    <n v="1.0268000000000002"/>
    <m/>
    <n v="0.94324210526315799"/>
    <n v="0.99983663157894742"/>
    <n v="865.57840400000009"/>
    <n v="162.80259840266655"/>
    <n v="178.0120828114415"/>
    <n v="353.86233384871576"/>
    <n v="178"/>
    <n v="202.92"/>
    <n v="202.88684928000001"/>
    <n v="676.2894976"/>
    <m/>
    <s v="2025-0307-0454"/>
    <s v="W2227AQT LE2 CLEAR r114x0178 CB1P"/>
    <m/>
    <m/>
    <m/>
    <m/>
    <m/>
    <m/>
    <m/>
  </r>
  <r>
    <s v="Fuyao"/>
    <s v="Zhengzhou"/>
    <s v="BYD"/>
    <s v="HXHA"/>
    <s v="OEM"/>
    <x v="1"/>
    <s v="W2225AB"/>
    <s v="L"/>
    <s v="E2"/>
    <s v="Clear"/>
    <s v="Acoustic"/>
    <s v="BF011538"/>
    <s v="Y"/>
    <x v="0"/>
    <n v="0.25"/>
    <n v="130"/>
    <n v="30"/>
    <s v="N/A"/>
    <s v="N/A"/>
    <n v="0.8"/>
    <n v="200"/>
    <n v="600"/>
    <n v="400"/>
    <n v="400"/>
    <n v="150"/>
    <n v="600"/>
    <n v="450"/>
    <n v="400"/>
    <s v="N/A"/>
    <n v="100"/>
    <n v="1.05"/>
    <m/>
    <n v="0.9538461538461539"/>
    <n v="1.011076923076923"/>
    <n v="864.27630000000011"/>
    <n v="159.20543622843621"/>
    <n v="174.0788634578935"/>
    <n v="346.04366132939185"/>
    <n v="120"/>
    <n v="156"/>
    <n v="157.72799999999998"/>
    <n v="525.76"/>
    <d v="2023-01-01T00:00:00"/>
    <s v="2022_1807_02863"/>
    <s v="W2225AB LE2 CLEAR r130x0120 CB1P"/>
    <s v="Originally set up for Tianjin. Was tested at Chonqin, but went with W5025__."/>
    <m/>
    <m/>
    <s v="N/A"/>
    <m/>
    <n v="0.46153846153846156"/>
    <m/>
  </r>
  <r>
    <s v="Fuyao"/>
    <s v="Zhengzhou"/>
    <s v="BYD"/>
    <s v="HXHA"/>
    <s v="OEM"/>
    <x v="1"/>
    <s v="W2244AJ"/>
    <s v="L"/>
    <s v="E2"/>
    <s v="Clear"/>
    <s v="Acoustic"/>
    <s v="BF011802"/>
    <s v="Y"/>
    <x v="0"/>
    <n v="0.44"/>
    <n v="107"/>
    <n v="30"/>
    <s v="N/A"/>
    <s v="N/A"/>
    <n v="0.8"/>
    <n v="200"/>
    <n v="600"/>
    <n v="400"/>
    <n v="170"/>
    <n v="150"/>
    <n v="600"/>
    <n v="450"/>
    <n v="170"/>
    <s v="N/A"/>
    <n v="77"/>
    <n v="1.1388"/>
    <m/>
    <n v="1.0168953271028038"/>
    <n v="1.0779090467289723"/>
    <n v="876.64628800000003"/>
    <n v="146.79110295034951"/>
    <n v="160.50474765611887"/>
    <n v="319.06027783268479"/>
    <n v="161"/>
    <n v="172.27"/>
    <n v="185.69139148000005"/>
    <n v="618.9713049333335"/>
    <d v="2023-05-01T00:00:00"/>
    <s v="2023_2021_03078"/>
    <s v="W2244AJ LE2 CLEAR r107x0161 CB1P"/>
    <s v="Shaped"/>
    <m/>
    <m/>
    <s v="N/A"/>
    <m/>
    <n v="0.56074766355140182"/>
    <m/>
  </r>
  <r>
    <s v="Fuyao"/>
    <s v="Zhengzhou"/>
    <s v="BYD"/>
    <s v="HXHA"/>
    <s v="OEM"/>
    <x v="2"/>
    <s v="W2247ADT"/>
    <s v="L"/>
    <s v="E2"/>
    <s v="Clear"/>
    <s v="Acoustic"/>
    <s v="BF011794"/>
    <s v="Y"/>
    <x v="0"/>
    <n v="0.47"/>
    <n v="106"/>
    <n v="30"/>
    <s v="N/A"/>
    <s v="N/A"/>
    <n v="0.8"/>
    <n v="200"/>
    <n v="600"/>
    <n v="400"/>
    <n v="160"/>
    <n v="150"/>
    <n v="600"/>
    <n v="450"/>
    <n v="160"/>
    <s v="N/A"/>
    <n v="76"/>
    <n v="1.1572"/>
    <m/>
    <n v="1.0291471698113206"/>
    <n v="1.0908959999999999"/>
    <n v="878.59944400000006"/>
    <n v="144.45705845131181"/>
    <n v="157.95265004388884"/>
    <n v="313.98707604205106"/>
    <n v="158"/>
    <n v="167.48"/>
    <n v="182.70326207999997"/>
    <n v="609.01087359999997"/>
    <d v="2023-05-01T00:00:00"/>
    <s v="2023_2009_03066, 2024_2777_03835"/>
    <s v="W2247AD LE2 CLEAR r106x0158 CB4P"/>
    <s v="Unshaped"/>
    <m/>
    <m/>
    <s v="N/A"/>
    <m/>
    <n v="0.56603773584905659"/>
    <m/>
  </r>
  <r>
    <s v="Fuyao"/>
    <s v="Zhengzhou"/>
    <s v="BYD"/>
    <s v="HXHA"/>
    <s v="OEM"/>
    <x v="0"/>
    <s v="W2239AEH (copy)"/>
    <s v="L"/>
    <s v="E2"/>
    <s v="Clear"/>
    <s v="Acoustic"/>
    <s v="Copy"/>
    <m/>
    <x v="0"/>
    <m/>
    <m/>
    <m/>
    <m/>
    <n v="0"/>
    <m/>
    <m/>
    <m/>
    <n v="0"/>
    <n v="0"/>
    <m/>
    <m/>
    <n v="0"/>
    <n v="0"/>
    <s v="N/A"/>
    <n v="0"/>
    <n v="0"/>
    <m/>
    <e v="#DIV/0!"/>
    <e v="#DIV/0!"/>
    <n v="0"/>
    <e v="#DIV/0!"/>
    <e v="#DIV/0!"/>
    <e v="#DIV/0!"/>
    <m/>
    <n v="0"/>
    <e v="#DIV/0!"/>
    <e v="#DIV/0!"/>
    <m/>
    <s v="N/A"/>
    <m/>
    <m/>
    <m/>
    <m/>
    <m/>
    <m/>
    <m/>
    <m/>
  </r>
  <r>
    <s v="Fuyao"/>
    <s v="Zhengzhou"/>
    <s v="BYD"/>
    <s v="PAHA"/>
    <s v="OEM"/>
    <x v="1"/>
    <s v="W5063AA"/>
    <s v="F"/>
    <s v="R3"/>
    <s v="Clear"/>
    <s v="Standard"/>
    <s v="BF011466"/>
    <m/>
    <x v="1"/>
    <n v="0.63"/>
    <n v="120"/>
    <n v="30"/>
    <s v="N/A"/>
    <s v="N/A"/>
    <n v="0.76"/>
    <n v="234"/>
    <n v="488"/>
    <n v="254"/>
    <n v="412"/>
    <n v="200"/>
    <n v="600"/>
    <n v="400"/>
    <n v="300"/>
    <s v="N/A"/>
    <n v="90"/>
    <n v="1.327"/>
    <m/>
    <n v="1.1143749999999999"/>
    <n v="1.1868093749999999"/>
    <n v="850.60974900000008"/>
    <n v="125.97265112272649"/>
    <n v="137.74137651152085"/>
    <n v="273.80998070524606"/>
    <n v="50"/>
    <n v="60"/>
    <n v="71.208562499999999"/>
    <n v="237.361875"/>
    <d v="2022-12-01T00:00:00"/>
    <s v="2022_1756_02812"/>
    <s v="W5063AA FR3 CLEAR r120x0050 CB1P"/>
    <m/>
    <m/>
    <m/>
    <s v="N/A"/>
    <m/>
    <n v="0.40666666666666662"/>
    <m/>
  </r>
  <r>
    <s v="Fuyao"/>
    <s v="Zhengzhou"/>
    <s v="BYD"/>
    <s v="PAHA"/>
    <s v="OEM"/>
    <x v="0"/>
    <s v="W5048AB (copy)"/>
    <s v="F"/>
    <s v="R3"/>
    <s v="Clear"/>
    <s v="Standard"/>
    <s v="Copy"/>
    <m/>
    <x v="1"/>
    <m/>
    <m/>
    <m/>
    <m/>
    <n v="0"/>
    <m/>
    <m/>
    <m/>
    <n v="0"/>
    <n v="0"/>
    <m/>
    <m/>
    <n v="0"/>
    <n v="0"/>
    <s v="N/A"/>
    <n v="0"/>
    <n v="0"/>
    <m/>
    <e v="#DIV/0!"/>
    <e v="#DIV/0!"/>
    <n v="0"/>
    <e v="#DIV/0!"/>
    <e v="#DIV/0!"/>
    <e v="#DIV/0!"/>
    <m/>
    <n v="0"/>
    <e v="#DIV/0!"/>
    <e v="#DIV/0!"/>
    <m/>
    <s v="N/A"/>
    <m/>
    <m/>
    <m/>
    <m/>
    <m/>
    <m/>
    <m/>
    <m/>
  </r>
  <r>
    <s v="Fuyao"/>
    <s v="Zhengzhou"/>
    <s v="BYD"/>
    <s v="SA5/SA3"/>
    <s v="OEM"/>
    <x v="0"/>
    <s v="W2229AB (copy)"/>
    <s v="L"/>
    <s v="E2"/>
    <s v="Clear"/>
    <s v="Acoustic"/>
    <s v="Copy"/>
    <s v="Y"/>
    <x v="0"/>
    <m/>
    <m/>
    <s v="See Fuyao Guangzhou for original set-up"/>
    <m/>
    <n v="0"/>
    <m/>
    <m/>
    <m/>
    <n v="0"/>
    <e v="#VALUE!"/>
    <m/>
    <m/>
    <n v="0"/>
    <e v="#VALUE!"/>
    <s v="N/A"/>
    <e v="#VALUE!"/>
    <e v="#VALUE!"/>
    <m/>
    <e v="#VALUE!"/>
    <e v="#VALUE!"/>
    <n v="0"/>
    <e v="#VALUE!"/>
    <e v="#VALUE!"/>
    <e v="#VALUE!"/>
    <m/>
    <n v="0"/>
    <e v="#VALUE!"/>
    <e v="#VALUE!"/>
    <m/>
    <s v="Copy"/>
    <m/>
    <s v="Straight cut"/>
    <m/>
    <m/>
    <m/>
    <m/>
    <m/>
    <m/>
  </r>
  <r>
    <s v="Fuyao"/>
    <s v="Zhengzhou"/>
    <s v="BYD"/>
    <s v="SC2"/>
    <s v="OEM"/>
    <x v="0"/>
    <s v="W5046AA"/>
    <s v="F"/>
    <s v="R3"/>
    <s v="Clear"/>
    <s v="Standard"/>
    <m/>
    <s v="Y"/>
    <x v="1"/>
    <n v="0.46"/>
    <n v="105"/>
    <n v="30"/>
    <s v="N/A"/>
    <s v="N/A"/>
    <n v="0.76"/>
    <n v="200"/>
    <n v="600"/>
    <n v="400"/>
    <n v="150"/>
    <n v="200"/>
    <n v="600"/>
    <n v="400"/>
    <n v="150"/>
    <s v="N/A"/>
    <n v="75"/>
    <n v="1.105"/>
    <m/>
    <n v="0.98178571428571437"/>
    <n v="1.0456017857142859"/>
    <n v="839.48965799999996"/>
    <n v="151.28118374647786"/>
    <n v="165.41430464324719"/>
    <n v="328.81976868403757"/>
    <n v="165"/>
    <n v="173.25"/>
    <n v="181.15050937500001"/>
    <n v="603.83503125000004"/>
    <s v="?"/>
    <s v="2024_2887_03945"/>
    <m/>
    <m/>
    <m/>
    <m/>
    <m/>
    <m/>
    <m/>
    <m/>
  </r>
  <r>
    <s v="Fuyao"/>
    <s v="Zhengzhou"/>
    <s v="BYD"/>
    <s v="SC2 EV"/>
    <s v="OEM"/>
    <x v="0"/>
    <s v="W5044AB"/>
    <s v="F"/>
    <s v="R3"/>
    <s v="Clear"/>
    <s v="Standard"/>
    <s v="tbd"/>
    <s v="Y"/>
    <x v="1"/>
    <n v="0.44"/>
    <n v="105"/>
    <n v="30"/>
    <s v="N/A"/>
    <s v="N/A"/>
    <n v="0.76"/>
    <n v="200"/>
    <n v="600"/>
    <n v="400"/>
    <n v="150"/>
    <n v="200"/>
    <n v="600"/>
    <n v="400"/>
    <n v="150"/>
    <s v="N/A"/>
    <n v="75"/>
    <n v="1.0900000000000001"/>
    <m/>
    <n v="0.9721428571428572"/>
    <n v="1.0353321428571429"/>
    <n v="838.18141200000002"/>
    <n v="153.36303489895229"/>
    <n v="167.69064828512674"/>
    <n v="333.34481137234997"/>
    <n v="168"/>
    <n v="176.4"/>
    <n v="182.63259000000002"/>
    <n v="608.77530000000013"/>
    <s v="?"/>
    <s v="2024_2932_03990"/>
    <m/>
    <m/>
    <m/>
    <m/>
    <m/>
    <m/>
    <m/>
    <m/>
  </r>
  <r>
    <s v="Fuyao"/>
    <s v="Zhengzhou"/>
    <s v="BYD"/>
    <s v="SK2F"/>
    <s v="OEM"/>
    <x v="1"/>
    <s v="W2249AF"/>
    <s v="L"/>
    <s v="E2"/>
    <s v="Clear"/>
    <s v="Acoustic"/>
    <s v="BF011637"/>
    <s v="Y"/>
    <x v="0"/>
    <n v="0.49"/>
    <n v="120"/>
    <n v="30"/>
    <s v="N/A"/>
    <s v="N/A"/>
    <n v="0.8"/>
    <n v="200"/>
    <n v="600"/>
    <n v="400"/>
    <n v="300"/>
    <n v="150"/>
    <n v="650"/>
    <n v="500"/>
    <n v="250"/>
    <s v="N/A"/>
    <n v="90"/>
    <n v="1.2410000000000001"/>
    <m/>
    <n v="1.0756250000000001"/>
    <n v="1.1401625"/>
    <n v="879.90154800000005"/>
    <n v="134.70242388385014"/>
    <n v="147.28670961385023"/>
    <n v="292.78472554058129"/>
    <n v="120"/>
    <n v="144"/>
    <n v="164.18340000000001"/>
    <n v="547.27800000000002"/>
    <d v="2023-03-01T00:00:00"/>
    <s v="2023_1903_02960"/>
    <s v="W2249AF LE2 CLEAR r120x0120 CB1P"/>
    <s v="Replaced by W2251AD"/>
    <m/>
    <m/>
    <s v="N/A"/>
    <m/>
    <n v="0.5"/>
    <m/>
  </r>
  <r>
    <s v="Fuyao"/>
    <s v="Zhengzhou"/>
    <s v="BYD"/>
    <s v="SK2F"/>
    <s v="OEM"/>
    <x v="1"/>
    <s v="W2251AB"/>
    <s v="L"/>
    <s v="E2"/>
    <s v="Clear"/>
    <s v="Acoustic"/>
    <s v="BF010872 (50m), BF011314 (L9 50m)"/>
    <s v="Y"/>
    <x v="0"/>
    <n v="0.51"/>
    <n v="107"/>
    <n v="30"/>
    <s v="N/A"/>
    <s v="N/A"/>
    <n v="0.8"/>
    <n v="238"/>
    <n v="546"/>
    <n v="308"/>
    <n v="224"/>
    <n v="192"/>
    <n v="592"/>
    <n v="400"/>
    <n v="178"/>
    <s v="N/A"/>
    <n v="77"/>
    <n v="1.1927000000000001"/>
    <m/>
    <n v="1.0514014018691591"/>
    <n v="1.1144854859813085"/>
    <n v="881.20365200000003"/>
    <n v="140.15738076620946"/>
    <n v="153.25128417103056"/>
    <n v="304.64143908431407"/>
    <n v="50"/>
    <n v="53.5"/>
    <n v="59.624973500000003"/>
    <n v="198.74991166666669"/>
    <d v="2022-06-01T00:00:00"/>
    <s v="2022_1444_02500, 2022_1610_02666, 2022_1643_02699"/>
    <s v="W2251AB LE2 CLEAR r107x0050 CB1P"/>
    <s v="First extruded on L8, then extended to L9"/>
    <m/>
    <m/>
    <s v="N/A"/>
    <m/>
    <n v="0.51028037383177571"/>
    <m/>
  </r>
  <r>
    <s v="Fuyao"/>
    <s v="Zhengzhou"/>
    <s v="BYD"/>
    <s v="SK2F"/>
    <s v="OEM"/>
    <x v="1"/>
    <s v="W2251AC"/>
    <s v="L"/>
    <s v="E2"/>
    <s v="Clear"/>
    <s v="Acoustic"/>
    <s v="BF011521"/>
    <s v="Y"/>
    <x v="0"/>
    <n v="0.51"/>
    <n v="107"/>
    <n v="30"/>
    <s v="N/A"/>
    <s v="N/A"/>
    <n v="0.8"/>
    <n v="238"/>
    <n v="546"/>
    <n v="308"/>
    <n v="224"/>
    <n v="192"/>
    <n v="592"/>
    <n v="400"/>
    <n v="178"/>
    <s v="N/A"/>
    <n v="77"/>
    <n v="1.1927000000000001"/>
    <m/>
    <n v="1.0514014018691591"/>
    <n v="1.1144854859813085"/>
    <n v="881.20365200000003"/>
    <n v="140.15738076620946"/>
    <n v="153.25128417103056"/>
    <n v="304.64143908431407"/>
    <n v="153"/>
    <n v="163.71"/>
    <n v="182.45241891000001"/>
    <n v="608.17472970000006"/>
    <s v="Never"/>
    <s v="2022_1806_02862"/>
    <s v="W2251AC LE2 CLEAR r107x0153 CB4P"/>
    <s v="Changed to W2251AD before it could be extruded. Shouldn't have been set up since the same design as W2251AB."/>
    <m/>
    <m/>
    <s v="N/A"/>
    <m/>
    <n v="0.51028037383177571"/>
    <m/>
  </r>
  <r>
    <s v="Fuyao"/>
    <s v="Zhengzhou"/>
    <m/>
    <m/>
    <s v="OEM"/>
    <x v="0"/>
    <s v="W2232ALT"/>
    <s v="L"/>
    <s v="E2"/>
    <s v="Clear"/>
    <s v="Acoustic"/>
    <s v="tbd"/>
    <s v="Y"/>
    <x v="0"/>
    <n v="0.32"/>
    <n v="83"/>
    <n v="20"/>
    <s v="N/A"/>
    <s v="N/A"/>
    <n v="0.8"/>
    <n v="100"/>
    <n v="500"/>
    <n v="400"/>
    <n v="130"/>
    <n v="100"/>
    <n v="500"/>
    <n v="400"/>
    <n v="130"/>
    <s v="N/A"/>
    <n v="63"/>
    <n v="1.0016"/>
    <m/>
    <n v="0.92508915662650615"/>
    <n v="0.98059450602409659"/>
    <n v="868.833664"/>
    <n v="166.89867016758987"/>
    <n v="182.49082131668146"/>
    <n v="362.76541972430255"/>
    <n v="182"/>
    <n v="151.06"/>
    <n v="148.12860608000003"/>
    <n v="740.64303040000004"/>
    <s v="?"/>
    <s v="2025-0264-0410"/>
    <m/>
    <m/>
    <m/>
    <m/>
    <m/>
    <m/>
    <m/>
    <m/>
  </r>
  <r>
    <s v="Fuyao"/>
    <s v="Zhengzhou"/>
    <s v="BYD"/>
    <s v="Song L SUV (SA5)"/>
    <s v="OEM"/>
    <x v="0"/>
    <s v="W2222ADT"/>
    <s v="L"/>
    <s v="E2"/>
    <s v="Clear"/>
    <s v="Acoustic"/>
    <s v="BF012559 (CB1P), BF012705 (CB4P)]"/>
    <s v="Y"/>
    <x v="0"/>
    <n v="0.22"/>
    <n v="118"/>
    <n v="30"/>
    <s v="N/A"/>
    <s v="N/A"/>
    <n v="0.8"/>
    <n v="200"/>
    <n v="600"/>
    <n v="400"/>
    <n v="280"/>
    <n v="200"/>
    <n v="600"/>
    <n v="400"/>
    <n v="280"/>
    <s v="N/A"/>
    <n v="88"/>
    <n v="0.99360000000000004"/>
    <m/>
    <n v="0.92141016949152554"/>
    <n v="0.97669477966101703"/>
    <n v="862.32314400000007"/>
    <n v="168.2424597824658"/>
    <n v="183.96015160103477"/>
    <n v="365.68623630823413"/>
    <n v="184"/>
    <n v="217.12"/>
    <n v="212.05997056000001"/>
    <n v="706.86656853333341"/>
    <d v="2024-11-01T00:00:00"/>
    <s v="2024_2793_03851, 2024_2909_03967"/>
    <s v="W2222ADT LE2 CLEAR r118x0184 CB1P, W2222ADT LE2 CLEAR r118x0184 CB4P"/>
    <s v="Shaped"/>
    <m/>
    <m/>
    <m/>
    <m/>
    <m/>
    <m/>
  </r>
  <r>
    <s v="Fuyao"/>
    <s v="Zhengzhou"/>
    <s v="BYD"/>
    <s v="SQ"/>
    <s v="OEM"/>
    <x v="0"/>
    <s v="W2231ACT"/>
    <s v="L"/>
    <s v="E2"/>
    <s v="Clear"/>
    <s v="Acoustic"/>
    <s v="BF012718"/>
    <s v="Y"/>
    <x v="0"/>
    <n v="0.31"/>
    <n v="92"/>
    <n v="20"/>
    <s v="N/A"/>
    <s v="N/A"/>
    <n v="0.8"/>
    <n v="150"/>
    <n v="550"/>
    <n v="400"/>
    <n v="170"/>
    <n v="150"/>
    <n v="550"/>
    <n v="400"/>
    <n v="170"/>
    <s v="N/A"/>
    <n v="72"/>
    <n v="1.0232000000000001"/>
    <m/>
    <n v="0.93586086956521752"/>
    <n v="0.99201252173913057"/>
    <n v="868.18261199999995"/>
    <n v="163.37539878797696"/>
    <n v="178.63839584713463"/>
    <n v="355.10735378798034"/>
    <n v="179"/>
    <n v="164.68"/>
    <n v="163.36462208000003"/>
    <n v="816.82311040000013"/>
    <d v="2025-02-01T00:00:00"/>
    <s v="2024_2914_03972"/>
    <s v="W2231ACT LE2 CLEAR r092x0179 CB1P"/>
    <m/>
    <m/>
    <m/>
    <m/>
    <m/>
    <m/>
    <m/>
  </r>
  <r>
    <s v="Fuyao"/>
    <s v="Zhengzhou"/>
    <s v="BYD"/>
    <s v="SD"/>
    <s v="OEM"/>
    <x v="0"/>
    <s v="W2231ADT"/>
    <s v="L"/>
    <s v="E2"/>
    <s v="Clear"/>
    <s v="Acoustic"/>
    <m/>
    <s v="Y"/>
    <x v="0"/>
    <n v="0.31"/>
    <n v="107"/>
    <n v="24"/>
    <s v="N/A"/>
    <s v="N/A"/>
    <n v="0.8"/>
    <n v="200"/>
    <n v="700"/>
    <n v="500"/>
    <n v="130"/>
    <n v="200"/>
    <n v="700"/>
    <n v="500"/>
    <n v="130"/>
    <s v="N/A"/>
    <n v="83"/>
    <n v="1.0573000000000001"/>
    <m/>
    <n v="0.95750607476635519"/>
    <n v="1.0149564392523365"/>
    <n v="868.18261199999995"/>
    <n v="158.10622154531163"/>
    <n v="172.87695699497601"/>
    <n v="343.65444471376281"/>
    <n v="173"/>
    <n v="185.11"/>
    <n v="187.87858647000002"/>
    <n v="782.82744362500011"/>
    <m/>
    <m/>
    <s v="W2231 LE2 CLEAR r107x0173 CB1P"/>
    <m/>
    <m/>
    <m/>
    <m/>
    <m/>
    <m/>
    <m/>
  </r>
  <r>
    <s v="Fuyao"/>
    <s v="Zhengzhou"/>
    <s v="BYD"/>
    <s v="SR"/>
    <s v="OEM"/>
    <x v="0"/>
    <s v="W2232AIT"/>
    <s v="L"/>
    <s v="E2"/>
    <s v="Clear"/>
    <s v="Acoustic"/>
    <s v="BF012732"/>
    <s v="Y"/>
    <x v="0"/>
    <n v="0.32"/>
    <n v="114"/>
    <n v="30"/>
    <s v="N/A"/>
    <s v="N/A"/>
    <n v="0.8"/>
    <n v="250"/>
    <n v="700"/>
    <n v="450"/>
    <n v="140"/>
    <n v="250"/>
    <n v="700"/>
    <n v="450"/>
    <n v="140"/>
    <s v="N/A"/>
    <n v="84"/>
    <n v="1.0688"/>
    <m/>
    <n v="0.9697684210526315"/>
    <n v="1.0279545263157894"/>
    <n v="868.833664"/>
    <n v="156.40504120495697"/>
    <n v="171.01684752132124"/>
    <n v="339.95681549013983"/>
    <n v="171"/>
    <n v="194.94"/>
    <n v="200.38945536"/>
    <n v="667.9648512"/>
    <s v="?"/>
    <s v="2024_2932_03990"/>
    <s v="changed to different HUD areas 2025-0319-0466, no production run yet and therefore changed"/>
    <m/>
    <m/>
    <m/>
    <m/>
    <m/>
    <m/>
    <m/>
  </r>
  <r>
    <s v="Fuyao"/>
    <s v="Zhengzhou"/>
    <s v="BYD"/>
    <s v="SFHE"/>
    <s v="OEM"/>
    <x v="0"/>
    <s v="W2224ACT"/>
    <s v="L"/>
    <s v="E2"/>
    <s v="Clear"/>
    <s v="Acoustic"/>
    <m/>
    <s v="Y"/>
    <x v="0"/>
    <n v="0.24"/>
    <n v="90"/>
    <n v="17"/>
    <s v="N/A"/>
    <s v="N/A"/>
    <n v="0.8"/>
    <n v="100"/>
    <n v="600"/>
    <n v="500"/>
    <n v="130"/>
    <n v="100"/>
    <n v="600"/>
    <n v="500"/>
    <n v="130"/>
    <s v="N/A"/>
    <n v="73"/>
    <n v="0.97520000000000007"/>
    <m/>
    <n v="0.90414666666666677"/>
    <n v="0.95839546666666675"/>
    <n v="863.62524800000006"/>
    <n v="171.41684581609724"/>
    <n v="187.43109785765807"/>
    <n v="372.58597661593666"/>
    <n v="187"/>
    <n v="168.3"/>
    <n v="161.29795704000003"/>
    <n v="948.81151200000011"/>
    <m/>
    <m/>
    <m/>
    <m/>
    <m/>
    <m/>
    <m/>
    <m/>
    <m/>
    <m/>
  </r>
  <r>
    <s v="Fuyao"/>
    <s v="Zhengzhou"/>
    <s v="BYD"/>
    <s v="URE"/>
    <s v="OEM"/>
    <x v="0"/>
    <s v="W2255AF"/>
    <s v="L"/>
    <s v="E2"/>
    <s v="Clear"/>
    <s v="Acoustic"/>
    <s v="BF012733"/>
    <s v="Y"/>
    <x v="0"/>
    <n v="0.55000000000000004"/>
    <n v="90"/>
    <n v="20"/>
    <s v="N/A"/>
    <s v="N/A"/>
    <n v="0.8"/>
    <n v="150"/>
    <n v="550"/>
    <n v="400"/>
    <n v="150"/>
    <n v="150"/>
    <n v="550"/>
    <n v="400"/>
    <n v="150"/>
    <s v="N/A"/>
    <n v="70"/>
    <n v="1.1850000000000001"/>
    <m/>
    <n v="1.035277777777778"/>
    <n v="1.0973944444444446"/>
    <n v="883.80786000000012"/>
    <n v="141.0681080505131"/>
    <n v="154.24709420319675"/>
    <n v="306.62096573490419"/>
    <n v="154"/>
    <n v="138.6"/>
    <n v="152.09887000000001"/>
    <n v="760.49434999999994"/>
    <d v="2025-02-01T00:00:00"/>
    <s v="2024_2932_03990"/>
    <s v="W2255AF LE2 CLEAR r090x0154 CB1P"/>
    <m/>
    <m/>
    <m/>
    <m/>
    <m/>
    <m/>
    <m/>
  </r>
  <r>
    <s v="Fuyao"/>
    <s v="Zhengzhou"/>
    <s v="BYD"/>
    <s v="URE"/>
    <s v="OEM"/>
    <x v="0"/>
    <s v="W2247AHT"/>
    <s v="L"/>
    <s v="E2"/>
    <s v="Clear"/>
    <s v="Acoustic"/>
    <m/>
    <s v="Y"/>
    <x v="0"/>
    <n v="0.47"/>
    <n v="97"/>
    <n v="24"/>
    <s v="N/A"/>
    <s v="N/A"/>
    <n v="0.8"/>
    <n v="150"/>
    <n v="600"/>
    <n v="450"/>
    <n v="130"/>
    <n v="150"/>
    <n v="600"/>
    <n v="450"/>
    <n v="130"/>
    <s v="N/A"/>
    <n v="73"/>
    <n v="1.1431"/>
    <m/>
    <n v="1.0139953608247423"/>
    <n v="1.0748350824742268"/>
    <n v="878.59944400000006"/>
    <n v="146.2389187646383"/>
    <n v="159.90097684436023"/>
    <n v="317.86006858180519"/>
    <n v="160"/>
    <n v="155.19999999999999"/>
    <n v="166.81440479999998"/>
    <n v="695.06001999999989"/>
    <m/>
    <m/>
    <m/>
    <m/>
    <m/>
    <m/>
    <m/>
    <m/>
    <m/>
    <m/>
  </r>
  <r>
    <s v="Fuyao"/>
    <s v="Zhengzhou"/>
    <s v="Geely"/>
    <s v="BoYue L (FX11)"/>
    <s v="OEM"/>
    <x v="0"/>
    <s v="W2232AGT"/>
    <s v="L"/>
    <s v="E2"/>
    <s v="Clear"/>
    <s v="Acoustic"/>
    <s v="BF012560 (CB1P),"/>
    <s v="Y"/>
    <x v="0"/>
    <n v="0.32"/>
    <n v="101"/>
    <n v="30"/>
    <s v="N/A"/>
    <s v="N/A"/>
    <n v="0.8"/>
    <n v="150"/>
    <n v="550"/>
    <n v="400"/>
    <n v="160"/>
    <n v="150"/>
    <n v="550"/>
    <n v="400"/>
    <n v="160"/>
    <s v="N/A"/>
    <n v="71"/>
    <n v="1.0272000000000001"/>
    <m/>
    <n v="0.94734257425742574"/>
    <n v="1.0041831287128713"/>
    <n v="868.833664"/>
    <n v="162.73920175219823"/>
    <n v="177.94276346455234"/>
    <n v="353.7245369897405"/>
    <n v="178"/>
    <n v="179.78"/>
    <n v="180.53204288000001"/>
    <n v="601.77347626666676"/>
    <d v="2024-11-01T00:00:00"/>
    <s v="2024_2793_03851, 2024_2909_03967"/>
    <s v="W2232AGT LE2 CLEAR r101x0178 CB1P, W2232AGT LE2 CLEAR r101x0178 CB4P"/>
    <s v="Shaped"/>
    <m/>
    <m/>
    <m/>
    <m/>
    <m/>
    <m/>
  </r>
  <r>
    <s v="Fuyao"/>
    <s v="Zhengzhou"/>
    <s v="Geely"/>
    <s v="BoYue L (FX11)"/>
    <s v="OEM"/>
    <x v="1"/>
    <s v="W2238ABT"/>
    <s v="L"/>
    <s v="E2"/>
    <s v="Clear"/>
    <s v="Acoustic"/>
    <s v="BF012123"/>
    <s v="Y"/>
    <x v="0"/>
    <n v="0.38"/>
    <n v="94"/>
    <n v="25"/>
    <s v="N/A"/>
    <s v="N/A"/>
    <n v="0.8"/>
    <n v="150"/>
    <n v="550"/>
    <n v="400"/>
    <n v="140"/>
    <n v="150"/>
    <n v="550"/>
    <n v="400"/>
    <n v="140"/>
    <s v="N/A"/>
    <n v="69"/>
    <n v="1.0622"/>
    <m/>
    <n v="0.96596702127659584"/>
    <n v="1.0239250425531916"/>
    <n v="872.73997600000007"/>
    <n v="157.37686691758429"/>
    <n v="172.07946397174558"/>
    <n v="342.06914366019714"/>
    <n v="172"/>
    <n v="161.68"/>
    <n v="165.54820088000002"/>
    <n v="662.1928035200001"/>
    <d v="2024-01-01T00:00:00"/>
    <s v="2023_2320_03377, 2024_2777_03835"/>
    <s v="W2238AB LE2 CLEAR r094x0172 CB4P"/>
    <s v="Unstretched. W/S moved from Shanghai. Liked 0.40 better"/>
    <m/>
    <m/>
    <m/>
    <m/>
    <n v="0.58510638297872342"/>
    <m/>
  </r>
  <r>
    <s v="Fuyao"/>
    <s v="Zhengzhou"/>
    <s v="Geely"/>
    <s v="BoYue L (FX11)"/>
    <s v="OEM"/>
    <x v="2"/>
    <s v="W2240ART"/>
    <s v="L"/>
    <s v="E2"/>
    <s v="Clear"/>
    <s v="Acoustic"/>
    <s v="BF011930"/>
    <s v="Y"/>
    <x v="0"/>
    <n v="0.4"/>
    <n v="94"/>
    <n v="25"/>
    <s v="N/A"/>
    <s v="N/A"/>
    <n v="0.8"/>
    <n v="150"/>
    <n v="550"/>
    <n v="400"/>
    <n v="140"/>
    <n v="150"/>
    <n v="550"/>
    <n v="400"/>
    <n v="140"/>
    <s v="N/A"/>
    <n v="69"/>
    <n v="1.0760000000000001"/>
    <m/>
    <n v="0.97470212765957465"/>
    <n v="1.0331842553191493"/>
    <n v="874.04208000000006"/>
    <n v="155.35846472105766"/>
    <n v="169.87249686876225"/>
    <n v="337.6820115203173"/>
    <n v="170"/>
    <n v="159.80000000000001"/>
    <n v="165.10284400000006"/>
    <n v="660.41137600000025"/>
    <d v="2023-07-01T00:00:00"/>
    <s v="2023_2107_03164, 2024_2777_03835"/>
    <s v="W2240AR LE2 CLEAR r094x0170 CB4P"/>
    <s v="Unstretched. W/S moved from Shanghai"/>
    <m/>
    <m/>
    <m/>
    <m/>
    <n v="0.58510638297872342"/>
    <m/>
  </r>
  <r>
    <s v="Fuyao"/>
    <s v="Zhengzhou"/>
    <s v="Geely"/>
    <s v="BoYue L (FX11)"/>
    <s v="OEM"/>
    <x v="0"/>
    <s v="W2232AMT"/>
    <s v="L"/>
    <s v="E2"/>
    <s v="Clear"/>
    <s v="Acoustic"/>
    <s v="tbd"/>
    <s v="Y"/>
    <x v="0"/>
    <n v="0.32"/>
    <n v="101"/>
    <n v="23"/>
    <s v="N/A"/>
    <s v="N/A"/>
    <n v="0.8"/>
    <n v="150"/>
    <n v="650"/>
    <n v="500"/>
    <n v="130"/>
    <n v="150"/>
    <n v="650"/>
    <n v="500"/>
    <n v="130"/>
    <s v="N/A"/>
    <n v="78"/>
    <n v="1.0496000000000001"/>
    <m/>
    <n v="0.95321980198019796"/>
    <n v="1.0104129900990098"/>
    <n v="868.833664"/>
    <n v="159.26610903187691"/>
    <n v="174.14520448817467"/>
    <n v="346.17553772471553"/>
    <n v="174"/>
    <n v="175.74"/>
    <n v="177.56997887999998"/>
    <n v="772.04338643478252"/>
    <s v="?"/>
    <s v="2025-0277-0423"/>
    <m/>
    <m/>
    <m/>
    <m/>
    <m/>
    <m/>
    <m/>
    <m/>
  </r>
  <r>
    <s v="Fuyao"/>
    <s v="Zhengzhou"/>
    <s v="Geely"/>
    <s v="P181"/>
    <s v="OEM"/>
    <x v="0"/>
    <s v="W5047AA"/>
    <s v="F"/>
    <s v="R3"/>
    <s v="Clear"/>
    <s v="Acoustic"/>
    <m/>
    <m/>
    <x v="1"/>
    <n v="0.47"/>
    <n v="105"/>
    <n v="27"/>
    <s v="N/A"/>
    <s v="N/A"/>
    <n v="0.76"/>
    <n v="250"/>
    <n v="650"/>
    <n v="400"/>
    <n v="130"/>
    <n v="250"/>
    <n v="650"/>
    <n v="400"/>
    <n v="130"/>
    <s v="N/A"/>
    <n v="78"/>
    <n v="1.1265999999999998"/>
    <m/>
    <n v="0.99043428571428571"/>
    <n v="1.0548125142857143"/>
    <n v="840.14378099999999"/>
    <n v="148.3807101365685"/>
    <n v="162.24286049244472"/>
    <n v="322.51539534516377"/>
    <n v="162"/>
    <n v="170.1"/>
    <n v="179.42360868"/>
    <n v="664.53188399999999"/>
    <m/>
    <m/>
    <m/>
    <m/>
    <m/>
    <m/>
    <m/>
    <m/>
    <m/>
    <m/>
  </r>
  <r>
    <s v="Fuyao"/>
    <s v="Zhengzhou"/>
    <s v="Geely"/>
    <s v="P181"/>
    <s v="OEM"/>
    <x v="0"/>
    <s v="W5047AB"/>
    <s v="F"/>
    <s v="R3"/>
    <s v="Clear"/>
    <s v="Acoustic"/>
    <m/>
    <s v="Y"/>
    <x v="1"/>
    <n v="0.47"/>
    <n v="105"/>
    <n v="27"/>
    <s v="N/A"/>
    <s v="N/A"/>
    <n v="0.76"/>
    <n v="150"/>
    <n v="650"/>
    <n v="500"/>
    <n v="130"/>
    <n v="150"/>
    <n v="650"/>
    <n v="500"/>
    <n v="130"/>
    <s v="N/A"/>
    <n v="78"/>
    <n v="1.1265999999999998"/>
    <m/>
    <n v="0.99043428571428571"/>
    <n v="1.0548125142857143"/>
    <n v="840.14378099999999"/>
    <n v="148.3807101365685"/>
    <n v="162.24286049244472"/>
    <n v="322.51539534516377"/>
    <n v="162"/>
    <n v="170.1"/>
    <n v="179.42360868"/>
    <n v="664.53188399999999"/>
    <m/>
    <m/>
    <m/>
    <m/>
    <m/>
    <m/>
    <m/>
    <m/>
    <m/>
    <m/>
  </r>
  <r>
    <s v="Fuyao"/>
    <s v="Zhengzhou"/>
    <s v="Geely"/>
    <s v="P182"/>
    <s v="OEM"/>
    <x v="0"/>
    <s v="W2246AGT"/>
    <s v="L"/>
    <s v="E2"/>
    <s v="Clear"/>
    <s v="Acoustic"/>
    <s v="BF013004"/>
    <s v="Y"/>
    <x v="0"/>
    <n v="0.46"/>
    <n v="105"/>
    <n v="27"/>
    <s v="N/A"/>
    <s v="N/A"/>
    <n v="0.8"/>
    <n v="250"/>
    <n v="650"/>
    <n v="400"/>
    <n v="130"/>
    <n v="250"/>
    <n v="650"/>
    <n v="400"/>
    <n v="130"/>
    <s v="N/A"/>
    <n v="78"/>
    <n v="1.1588000000000001"/>
    <m/>
    <n v="1.0255314285714285"/>
    <n v="1.0870633142857142"/>
    <n v="877.94839200000001"/>
    <n v="144.25760100091301"/>
    <n v="157.73455870796354"/>
    <n v="313.55354193636646"/>
    <n v="158"/>
    <n v="165.9"/>
    <n v="180.34380383999999"/>
    <n v="667.9400142222222"/>
    <s v="?"/>
    <s v="2025-0283-0429"/>
    <s v="W2246 LE2 CLEAR r105x0158 CB1P"/>
    <m/>
    <m/>
    <m/>
    <m/>
    <m/>
    <m/>
    <m/>
  </r>
  <r>
    <s v="Fuyao"/>
    <s v="Zhengzhou"/>
    <s v="Geely"/>
    <s v="P182"/>
    <s v="OEM"/>
    <x v="0"/>
    <s v="W2225AJT"/>
    <s v="L"/>
    <s v="E2"/>
    <s v="Clear"/>
    <s v="Acoustic"/>
    <s v="BF012979"/>
    <s v="Y"/>
    <x v="0"/>
    <n v="0.25"/>
    <n v="108"/>
    <n v="20"/>
    <s v="N/A"/>
    <s v="N/A"/>
    <n v="0.8"/>
    <n v="200"/>
    <n v="750"/>
    <n v="550"/>
    <n v="130"/>
    <n v="200"/>
    <n v="750"/>
    <n v="550"/>
    <n v="130"/>
    <s v="N/A"/>
    <n v="88"/>
    <n v="1.02"/>
    <m/>
    <n v="0.93037037037037029"/>
    <n v="0.98619259259259251"/>
    <n v="864.27630000000011"/>
    <n v="163.88794905868431"/>
    <n v="179.19883003018447"/>
    <n v="356.22141607437402"/>
    <n v="179"/>
    <n v="193.32"/>
    <n v="190.65075199999998"/>
    <n v="953.25375999999983"/>
    <s v="?"/>
    <s v="2025-0261-0406"/>
    <m/>
    <m/>
    <m/>
    <m/>
    <m/>
    <m/>
    <m/>
    <m/>
  </r>
  <r>
    <s v="Fuyao"/>
    <s v="Zhengzhou"/>
    <s v="Geely"/>
    <s v="P182"/>
    <s v="OEM"/>
    <x v="0"/>
    <s v="W2246AIT"/>
    <s v="L"/>
    <s v="E2"/>
    <s v="Clear"/>
    <s v="Acoustic"/>
    <m/>
    <s v="Y"/>
    <x v="0"/>
    <n v="0.46"/>
    <n v="105"/>
    <n v="27"/>
    <s v="N/A"/>
    <s v="N/A"/>
    <n v="0.8"/>
    <n v="150"/>
    <n v="650"/>
    <n v="500"/>
    <n v="130"/>
    <n v="150"/>
    <n v="650"/>
    <n v="500"/>
    <n v="130"/>
    <s v="N/A"/>
    <n v="78"/>
    <n v="1.1588000000000001"/>
    <m/>
    <n v="1.0255314285714285"/>
    <n v="1.0870633142857142"/>
    <n v="877.94839200000001"/>
    <n v="144.25760100091301"/>
    <n v="157.73455870796354"/>
    <n v="313.55354193636646"/>
    <n v="158"/>
    <n v="165.9"/>
    <n v="180.34380383999999"/>
    <n v="667.9400142222222"/>
    <m/>
    <m/>
    <m/>
    <m/>
    <m/>
    <m/>
    <m/>
    <m/>
    <m/>
    <m/>
  </r>
  <r>
    <s v="Fuyao"/>
    <s v="Zhengzhou"/>
    <m/>
    <m/>
    <s v="OEM"/>
    <x v="0"/>
    <s v="W2219AC"/>
    <s v="L"/>
    <s v="E2"/>
    <s v="Clear"/>
    <s v="Acoustic"/>
    <s v="BF012105"/>
    <s v="Y"/>
    <x v="0"/>
    <n v="0.19"/>
    <n v="98"/>
    <n v="25"/>
    <s v="N/A"/>
    <s v="N/A"/>
    <n v="0.8"/>
    <n v="150"/>
    <n v="550"/>
    <n v="400"/>
    <n v="180"/>
    <n v="150"/>
    <n v="550"/>
    <n v="400"/>
    <n v="180"/>
    <s v="N/A"/>
    <n v="73"/>
    <n v="0.93870000000000009"/>
    <m/>
    <n v="0.8870413265306123"/>
    <n v="0.94026380612244909"/>
    <n v="860.36998800000003"/>
    <n v="178.08214343225526"/>
    <n v="194.71908664193904"/>
    <n v="387.07344667717211"/>
    <n v="195"/>
    <n v="191.1"/>
    <n v="179.68441335000003"/>
    <n v="718.73765340000011"/>
    <d v="2023-12-01T00:00:00"/>
    <s v="2023_2288_03345"/>
    <s v="W2219AC LE2 CLEAR r098x0195 CB1P"/>
    <m/>
    <m/>
    <m/>
    <m/>
    <m/>
    <n v="0.56122448979591832"/>
    <m/>
  </r>
  <r>
    <s v="Fuyao"/>
    <s v="Zhengzhou"/>
    <m/>
    <m/>
    <s v="OEM"/>
    <x v="0"/>
    <s v="W2226AD"/>
    <s v="L"/>
    <s v="E2"/>
    <s v="Clear"/>
    <s v="Acoustic"/>
    <s v="BF012500"/>
    <s v="Y"/>
    <x v="0"/>
    <n v="0.26"/>
    <n v="110"/>
    <n v="30"/>
    <s v="N/A"/>
    <s v="N/A"/>
    <n v="0.8"/>
    <n v="200"/>
    <n v="600"/>
    <n v="400"/>
    <n v="200"/>
    <n v="200"/>
    <n v="600"/>
    <n v="400"/>
    <n v="200"/>
    <s v="N/A"/>
    <n v="80"/>
    <n v="1.008"/>
    <m/>
    <n v="0.93236363636363639"/>
    <n v="0.9883054545454546"/>
    <n v="864.92735200000004"/>
    <n v="165.83899607128774"/>
    <n v="181.33214943530572"/>
    <n v="360.46214721811651"/>
    <n v="181"/>
    <n v="199.1"/>
    <n v="196.77161599999999"/>
    <n v="655.90538666666669"/>
    <d v="2024-09-01T00:00:00"/>
    <s v="2024_2723_03781"/>
    <s v="W2226AD LE2 CLEAR r110x0181 CB1P"/>
    <m/>
    <m/>
    <m/>
    <m/>
    <m/>
    <m/>
    <m/>
  </r>
  <r>
    <s v="Fuyao"/>
    <s v="Zhengzhou"/>
    <m/>
    <m/>
    <s v="OEM"/>
    <x v="1"/>
    <s v="W2228AAT"/>
    <s v="L"/>
    <s v="E2"/>
    <s v="Clear"/>
    <s v="Acoustic"/>
    <s v="BF011804"/>
    <s v="Y"/>
    <x v="0"/>
    <n v="0.28000000000000003"/>
    <n v="92"/>
    <n v="25"/>
    <s v="N/A"/>
    <s v="N/A"/>
    <n v="0.8"/>
    <n v="150"/>
    <n v="550"/>
    <n v="400"/>
    <n v="120"/>
    <n v="150"/>
    <n v="550"/>
    <n v="400"/>
    <n v="120"/>
    <s v="N/A"/>
    <n v="67"/>
    <n v="0.98760000000000003"/>
    <m/>
    <n v="0.91928913043478266"/>
    <n v="0.97444647826086961"/>
    <n v="866.22945600000003"/>
    <n v="169.26458894274813"/>
    <n v="185.07777099107753"/>
    <n v="367.90790238544088"/>
    <n v="185"/>
    <n v="170.2"/>
    <n v="165.85079059999998"/>
    <n v="663.40316239999993"/>
    <s v="Never"/>
    <s v="2023_2021_03078, 2024_2777_03835"/>
    <s v="W2228AA LE2 CLEAR r092x0185 CB4P"/>
    <s v="HUD to transition Is too small"/>
    <m/>
    <m/>
    <s v="N/A"/>
    <m/>
    <n v="0.59782608695652173"/>
    <m/>
  </r>
  <r>
    <s v="Fuyao"/>
    <s v="Zhengzhou"/>
    <m/>
    <m/>
    <s v="OEM"/>
    <x v="0"/>
    <s v="W5029AA"/>
    <s v="F"/>
    <s v="R3"/>
    <s v="Clear"/>
    <s v="Standard"/>
    <s v="BF011915"/>
    <m/>
    <x v="1"/>
    <n v="0.28999999999999998"/>
    <n v="110"/>
    <n v="30"/>
    <s v="N/A"/>
    <s v="N/A"/>
    <n v="0.76"/>
    <n v="200"/>
    <n v="600"/>
    <n v="400"/>
    <n v="200"/>
    <n v="200"/>
    <n v="600"/>
    <n v="400"/>
    <n v="200"/>
    <s v="N/A"/>
    <n v="80"/>
    <n v="0.99199999999999999"/>
    <m/>
    <n v="0.90763636363636369"/>
    <n v="0.96663272727272731"/>
    <n v="828.36956700000007"/>
    <n v="168.51381858856658"/>
    <n v="184.25686152297195"/>
    <n v="366.27605281840874"/>
    <n v="184"/>
    <n v="202.4"/>
    <n v="195.64646400000001"/>
    <n v="652.15488000000005"/>
    <s v="?"/>
    <s v="2023_2089_03146"/>
    <s v="W5029AA FR3 CLEAR r110x0184 CB1P"/>
    <m/>
    <m/>
    <m/>
    <s v="N/A"/>
    <m/>
    <n v="0.54545454545454541"/>
    <m/>
  </r>
  <r>
    <s v="Fuyao"/>
    <s v="Zhengzhou"/>
    <m/>
    <m/>
    <s v="OEM"/>
    <x v="0"/>
    <s v="W2240AWT"/>
    <s v="L"/>
    <s v="E2"/>
    <s v="Clear"/>
    <s v="Acoustic"/>
    <m/>
    <s v="Y"/>
    <x v="0"/>
    <n v="0.4"/>
    <n v="94"/>
    <n v="21"/>
    <s v="N/A"/>
    <s v="N/A"/>
    <n v="0.8"/>
    <n v="200"/>
    <n v="600"/>
    <n v="400"/>
    <n v="130"/>
    <n v="200"/>
    <n v="600"/>
    <n v="400"/>
    <n v="130"/>
    <s v="N/A"/>
    <n v="73"/>
    <n v="1.0920000000000001"/>
    <m/>
    <n v="0.97861702127659589"/>
    <n v="1.0373340425531916"/>
    <n v="874.04208000000006"/>
    <n v="153.0821502196502"/>
    <n v="167.38352255566681"/>
    <n v="332.73428973979986"/>
    <n v="167"/>
    <n v="156.97999999999999"/>
    <n v="162.840698"/>
    <n v="775.43189523809531"/>
    <m/>
    <s v="2025-0422-0582"/>
    <s v="W2240AWT LE2 CLEAR r094x0167 CB1P"/>
    <m/>
    <m/>
    <m/>
    <m/>
    <m/>
    <m/>
    <m/>
  </r>
  <r>
    <s v="Fuyao"/>
    <s v="Zhengzhou"/>
    <m/>
    <m/>
    <s v="OEM"/>
    <x v="0"/>
    <s v="W2240AS"/>
    <s v="L"/>
    <s v="E2"/>
    <s v="Clear"/>
    <s v="Acoustic"/>
    <s v="BF012124"/>
    <s v="Y"/>
    <x v="0"/>
    <n v="0.4"/>
    <n v="118"/>
    <n v="30"/>
    <s v="N/A"/>
    <s v="N/A"/>
    <n v="0.8"/>
    <n v="200"/>
    <n v="600"/>
    <n v="400"/>
    <n v="280"/>
    <n v="200"/>
    <n v="600"/>
    <n v="400"/>
    <n v="280"/>
    <s v="N/A"/>
    <n v="88"/>
    <n v="1.1520000000000001"/>
    <m/>
    <n v="1.0207457627118646"/>
    <n v="1.0819905084745765"/>
    <n v="874.04208000000006"/>
    <n v="145.10912156237674"/>
    <n v="158.66563075589249"/>
    <n v="315.40437881585194"/>
    <n v="159"/>
    <n v="187.62"/>
    <n v="203.00305920000005"/>
    <n v="676.67686400000025"/>
    <d v="2023-12-01T00:00:00"/>
    <s v="2023_2320_03377"/>
    <s v="W2240AS LE2 CLEAR r118x0159 CB1P"/>
    <m/>
    <m/>
    <m/>
    <m/>
    <m/>
    <n v="0.50847457627118642"/>
    <m/>
  </r>
  <r>
    <s v="Fuyao"/>
    <s v="Zhengzhou"/>
    <m/>
    <m/>
    <s v="OEM"/>
    <x v="1"/>
    <s v="W5063AB"/>
    <s v="F"/>
    <s v="R3"/>
    <s v="Clear"/>
    <s v="Standard"/>
    <s v="BF011805"/>
    <m/>
    <x v="1"/>
    <n v="0.63"/>
    <n v="91"/>
    <n v="25"/>
    <s v="N/A"/>
    <s v="N/A"/>
    <n v="0.76"/>
    <n v="140"/>
    <n v="540"/>
    <n v="400"/>
    <n v="120"/>
    <n v="140"/>
    <n v="540"/>
    <n v="400"/>
    <n v="120"/>
    <s v="N/A"/>
    <n v="66"/>
    <n v="1.1758"/>
    <m/>
    <n v="1.0250153846153847"/>
    <n v="1.0916413846153847"/>
    <n v="850.60974900000008"/>
    <n v="142.17188981107165"/>
    <n v="155.45399441298537"/>
    <n v="309.02010919872555"/>
    <n v="155"/>
    <n v="141.05000000000001"/>
    <n v="153.97601730000002"/>
    <n v="615.90406920000009"/>
    <s v="?"/>
    <s v="2023_2021_03078"/>
    <s v="W5063AB FR3 CLEAR r091x0155 CB4P"/>
    <m/>
    <m/>
    <m/>
    <s v="N/A"/>
    <m/>
    <n v="0.59340659340659341"/>
    <m/>
  </r>
  <r>
    <s v="KCC"/>
    <s v="Jeoneui"/>
    <s v="Hyundai"/>
    <s v="CE1 (IONIQ 6)"/>
    <s v="OEM"/>
    <x v="0"/>
    <s v="W2239AD"/>
    <s v="K"/>
    <s v="E2"/>
    <s v="Clear"/>
    <s v="Acoustic"/>
    <s v="BF011451"/>
    <s v="Y"/>
    <x v="0"/>
    <n v="0.39"/>
    <n v="113"/>
    <n v="25"/>
    <s v="N/A"/>
    <s v="N/A"/>
    <n v="0.8"/>
    <n v="355"/>
    <n v="755"/>
    <n v="400"/>
    <n v="125"/>
    <n v="355"/>
    <n v="755"/>
    <n v="400"/>
    <n v="125"/>
    <s v="N/A"/>
    <n v="88"/>
    <n v="1.1432"/>
    <m/>
    <n v="1.0095646017699114"/>
    <n v="1.0701384778761061"/>
    <n v="873.39102800000012"/>
    <n v="146.22612669686671"/>
    <n v="159.88698970502813"/>
    <n v="317.83226416712864"/>
    <n v="160"/>
    <n v="180.8"/>
    <n v="193.4810368"/>
    <n v="773.92414719999999"/>
    <d v="2022-12-01T00:00:00"/>
    <s v="2022_1744_02800"/>
    <m/>
    <m/>
    <m/>
    <m/>
    <s v="N/A"/>
    <m/>
    <n v="0.66814159292035402"/>
    <m/>
  </r>
  <r>
    <s v="KCC"/>
    <s v="Jeoneui"/>
    <s v="Hyundai"/>
    <s v="CE1 (IONIQ 6)"/>
    <s v="OEM"/>
    <x v="0"/>
    <s v="W2241AF"/>
    <s v="K"/>
    <s v="E2"/>
    <s v="Clear"/>
    <s v="Acoustic"/>
    <s v="BF011739"/>
    <s v="Y"/>
    <x v="0"/>
    <n v="0.41"/>
    <n v="113"/>
    <n v="25"/>
    <s v="N/A"/>
    <s v="N/A"/>
    <n v="0.8"/>
    <n v="355"/>
    <n v="755"/>
    <n v="400"/>
    <n v="125"/>
    <n v="355"/>
    <n v="755"/>
    <n v="400"/>
    <n v="125"/>
    <s v="N/A"/>
    <n v="88"/>
    <n v="1.1608000000000001"/>
    <m/>
    <n v="1.0203115044247788"/>
    <n v="1.0815301946902653"/>
    <n v="874.69313200000011"/>
    <n v="144.00905241200726"/>
    <n v="157.46278999895603"/>
    <n v="313.01330495852983"/>
    <n v="313"/>
    <n v="353.69"/>
    <n v="382.52641455999992"/>
    <n v="1530.1056582399997"/>
    <d v="2023-04-23T00:00:00"/>
    <s v="2023_1967_03024"/>
    <s v="W2241AF KE2 CLEAR r113x0313 CB2P"/>
    <s v="Angle offset correction"/>
    <m/>
    <m/>
    <s v="N/A"/>
    <m/>
    <n v="0.66814159292035402"/>
    <m/>
  </r>
  <r>
    <s v="KCC"/>
    <s v="Jeoneui"/>
    <s v="Hyundai"/>
    <s v="DN8 (Sonata, 2020-?)"/>
    <s v="OEM"/>
    <x v="1"/>
    <s v="W2043"/>
    <s v="K"/>
    <s v="E2"/>
    <s v="Clear"/>
    <s v="Standard"/>
    <s v="BF008936"/>
    <s v="Y"/>
    <x v="2"/>
    <n v="0.43"/>
    <n v="101"/>
    <n v="30"/>
    <s v="N/A"/>
    <s v="N/A"/>
    <n v="0.76"/>
    <n v="315"/>
    <n v="585"/>
    <n v="270"/>
    <n v="125"/>
    <n v="185"/>
    <n v="585"/>
    <n v="400"/>
    <n v="125"/>
    <s v="N/A"/>
    <n v="71"/>
    <n v="1.0653000000000001"/>
    <m/>
    <n v="0.9579915841584159"/>
    <n v="1.0202610371287129"/>
    <n v="837.527289"/>
    <n v="156.91890363264622"/>
    <n v="171.57871644681137"/>
    <n v="341.07372983747433"/>
    <n v="170"/>
    <n v="171.7"/>
    <n v="175.17882007499998"/>
    <n v="583.92940024999996"/>
    <d v="2020-01-01T00:00:00"/>
    <s v="2020_0064_01115"/>
    <s v="W2043 KE2 CLEAR r101x0.95x0170 CT4P"/>
    <s v="For embossed pattern (instead of W50xx)"/>
    <s v="4 _x000a_2 x 0,43mrad_x000a_2 x 0,46mrad "/>
    <s v="will be lamianted July 2020"/>
    <s v="N/A"/>
    <m/>
    <n v="0.57920792079207917"/>
    <m/>
  </r>
  <r>
    <s v="KCC"/>
    <s v="Jeoneui"/>
    <s v="Hyundai"/>
    <s v="DN8 (Sonata, 2020-?)"/>
    <s v="OEM"/>
    <x v="1"/>
    <s v="W2045AA"/>
    <s v="K"/>
    <s v="E2"/>
    <s v="Clear"/>
    <s v="Standard"/>
    <s v="BF009297"/>
    <s v="Y"/>
    <x v="2"/>
    <n v="0.45"/>
    <n v="101"/>
    <n v="30"/>
    <s v="N/A"/>
    <s v="N/A"/>
    <n v="0.76"/>
    <n v="315"/>
    <n v="585"/>
    <n v="270"/>
    <n v="125"/>
    <n v="185"/>
    <n v="585"/>
    <n v="400"/>
    <n v="125"/>
    <s v="N/A"/>
    <n v="71"/>
    <n v="1.0795000000000001"/>
    <m/>
    <n v="0.967200495049505"/>
    <n v="1.0300685272277228"/>
    <n v="838.83553499999994"/>
    <n v="154.85475501607968"/>
    <n v="169.32172916237903"/>
    <n v="336.58716479468399"/>
    <n v="165"/>
    <n v="166.65"/>
    <n v="171.6609200625"/>
    <n v="572.20306687499999"/>
    <s v="?"/>
    <s v="2020_0244_01296"/>
    <s v="W2045AA KE2 CLEAR r101x0165 CT4P"/>
    <s v="New, increased wedge angle. For embossed pattern (instead of W50xx)"/>
    <s v="Never produced?"/>
    <m/>
    <s v="N/A"/>
    <m/>
    <n v="0.57920792079207917"/>
    <m/>
  </r>
  <r>
    <s v="KCC"/>
    <s v="Jeoneui"/>
    <s v="Hyundai"/>
    <s v="HI (G90)"/>
    <s v="OEM"/>
    <x v="1"/>
    <s v="W1340AA"/>
    <s v="K"/>
    <s v="E2"/>
    <s v="Blue"/>
    <s v="Acoustic"/>
    <s v="BF008714"/>
    <s v="Y"/>
    <x v="2"/>
    <n v="0.4"/>
    <n v="102"/>
    <n v="30"/>
    <n v="14"/>
    <n v="88"/>
    <n v="0.8"/>
    <n v="325"/>
    <n v="595"/>
    <n v="270"/>
    <n v="125"/>
    <m/>
    <m/>
    <n v="0"/>
    <n v="720"/>
    <n v="160"/>
    <n v="72"/>
    <n v="1.0880000000000001"/>
    <m/>
    <n v="0.98635294117647065"/>
    <e v="#VALUE!"/>
    <e v="#VALUE!"/>
    <n v="153.64495224251655"/>
    <n v="167.99890315329793"/>
    <n v="333.95757756972563"/>
    <n v="165"/>
    <n v="168.3"/>
    <e v="#VALUE!"/>
    <e v="#VALUE!"/>
    <s v="TBD"/>
    <s v="2020_0064_01115"/>
    <s v="W1340AA KE2 BLU2 r102/14x0165 CT4P"/>
    <m/>
    <s v="Never produced"/>
    <m/>
    <s v="N/A"/>
    <m/>
    <n v="0.58333333333333337"/>
    <m/>
  </r>
  <r>
    <s v="KCC"/>
    <s v="Jeoneui"/>
    <s v="Hyundai"/>
    <s v="HI (G90)"/>
    <s v="OEM"/>
    <x v="1"/>
    <s v="W1342AA"/>
    <s v="K"/>
    <s v="E2"/>
    <s v="Blue"/>
    <s v="Acoustic"/>
    <s v="BF009293"/>
    <s v="Y"/>
    <x v="2"/>
    <n v="0.42"/>
    <n v="102"/>
    <n v="30"/>
    <n v="14"/>
    <n v="88"/>
    <n v="0.8"/>
    <n v="325"/>
    <n v="595"/>
    <n v="270"/>
    <n v="125"/>
    <m/>
    <m/>
    <n v="0"/>
    <n v="720"/>
    <n v="160"/>
    <n v="72"/>
    <n v="1.1024"/>
    <m/>
    <n v="0.9956705882352942"/>
    <e v="#VALUE!"/>
    <e v="#VALUE!"/>
    <n v="151.63797899116295"/>
    <n v="165.80443272023601"/>
    <n v="329.59528700640556"/>
    <n v="165"/>
    <n v="168.3"/>
    <e v="#VALUE!"/>
    <e v="#VALUE!"/>
    <s v="TBD"/>
    <s v="2020_0244_01296"/>
    <s v="W1342AA KE2 BLU2 r102/14x0165 CT4P"/>
    <s v="New, increased wedge angle"/>
    <s v="Never produced"/>
    <m/>
    <s v="N/A"/>
    <m/>
    <n v="0.58333333333333337"/>
    <m/>
  </r>
  <r>
    <s v="KCC"/>
    <s v="Jeoneui"/>
    <s v="Hyundai"/>
    <s v="IG F/L (Grandeur/Azera 2017-?)"/>
    <s v="OEM"/>
    <x v="1"/>
    <s v="W1353"/>
    <s v="K"/>
    <s v="E2"/>
    <s v="Blue"/>
    <s v="Acoustic"/>
    <s v="BF008929"/>
    <s v="Y"/>
    <x v="2"/>
    <n v="0.53"/>
    <n v="100"/>
    <n v="30"/>
    <n v="13"/>
    <n v="87"/>
    <n v="0.8"/>
    <n v="285"/>
    <n v="555"/>
    <n v="270"/>
    <n v="145"/>
    <m/>
    <m/>
    <n v="0"/>
    <n v="700"/>
    <n v="170"/>
    <n v="70"/>
    <n v="1.171"/>
    <m/>
    <n v="1.04115"/>
    <e v="#VALUE!"/>
    <e v="#VALUE!"/>
    <n v="142.75466100756449"/>
    <n v="156.09120976156117"/>
    <n v="310.28680136281929"/>
    <n v="155"/>
    <n v="155"/>
    <e v="#VALUE!"/>
    <e v="#VALUE!"/>
    <d v="2020-01-01T00:00:00"/>
    <s v="2020_0064_01115"/>
    <s v="W1353 KE2 BLU2 R100/13X0.95X0155 CT4P"/>
    <m/>
    <s v="4 (2x 0,53mrad, 2x 0,56mrad)"/>
    <s v="Image acceptable with 0.531 mrad but worse than competition"/>
    <s v="N/A"/>
    <m/>
    <n v="0.55500000000000005"/>
    <m/>
  </r>
  <r>
    <s v="KCC"/>
    <s v="Jeoneui"/>
    <s v="Hyundai"/>
    <s v="IG F/L (Grandeur/Azera 2017-?)"/>
    <s v="OEM"/>
    <x v="1"/>
    <s v="W1353AA"/>
    <s v="K"/>
    <s v="E2"/>
    <s v="Blue"/>
    <s v="Acoustic"/>
    <s v="BF009452"/>
    <s v="Y"/>
    <x v="2"/>
    <n v="0.53"/>
    <n v="104"/>
    <n v="30"/>
    <n v="14"/>
    <n v="90"/>
    <n v="0.8"/>
    <n v="300"/>
    <n v="620"/>
    <n v="320"/>
    <n v="120"/>
    <m/>
    <m/>
    <n v="0"/>
    <n v="740"/>
    <n v="160"/>
    <n v="74"/>
    <n v="1.1922000000000001"/>
    <m/>
    <n v="1.0526673076923079"/>
    <e v="#VALUE!"/>
    <e v="#VALUE!"/>
    <n v="140.21616175126491"/>
    <n v="153.31555664384175"/>
    <n v="304.76920348587601"/>
    <n v="150"/>
    <n v="156"/>
    <e v="#VALUE!"/>
    <e v="#VALUE!"/>
    <d v="2020-09-01T00:00:00"/>
    <s v="2020_0421_01473"/>
    <s v="W1353AA KE2 BLU2 r104/14x0150 CT4P"/>
    <s v="Wider band, wider roll, different HUD area"/>
    <s v="2 rolls?"/>
    <m/>
    <s v="N/A"/>
    <m/>
    <n v="0.59615384615384615"/>
    <m/>
  </r>
  <r>
    <s v="KCC"/>
    <s v="Jeoneui"/>
    <s v="Hyundai"/>
    <s v="IG F/L (Grandeur/Azera 2017-?)"/>
    <s v="OEM"/>
    <x v="1"/>
    <s v="W1355AA"/>
    <s v="K"/>
    <s v="E2"/>
    <s v="Blue"/>
    <s v="Acoustic"/>
    <s v="BF009292"/>
    <s v="Y"/>
    <x v="2"/>
    <n v="0.55000000000000004"/>
    <n v="100"/>
    <n v="30"/>
    <n v="13"/>
    <n v="87"/>
    <n v="0.8"/>
    <n v="285"/>
    <n v="555"/>
    <n v="270"/>
    <n v="145"/>
    <m/>
    <m/>
    <n v="0"/>
    <n v="700"/>
    <n v="170"/>
    <n v="70"/>
    <n v="1.1850000000000001"/>
    <m/>
    <n v="1.0502500000000001"/>
    <e v="#VALUE!"/>
    <e v="#VALUE!"/>
    <n v="141.0681080505131"/>
    <n v="154.24709420319675"/>
    <n v="306.62096573490419"/>
    <n v="150"/>
    <n v="150"/>
    <e v="#VALUE!"/>
    <e v="#VALUE!"/>
    <s v="TBD"/>
    <s v="2020_0244_01296"/>
    <s v="W1355AA KE2 BLU2 r100/13x0150 CT4P"/>
    <s v="New, increased wedge angle"/>
    <s v="Never produced"/>
    <m/>
    <s v="N/A"/>
    <m/>
    <n v="0.55500000000000005"/>
    <m/>
  </r>
  <r>
    <s v="KCC"/>
    <s v="Jeoneui"/>
    <s v="Hyundai"/>
    <s v="ME (IONIQ 7)"/>
    <s v="OEM"/>
    <x v="2"/>
    <s v="W2246AE"/>
    <s v="K"/>
    <s v="R"/>
    <s v="Clear"/>
    <s v="Acoustic"/>
    <s v="BF012305 (CB1P), BF012521 (CB2P), ___ (MB2P)"/>
    <s v="Y"/>
    <x v="0"/>
    <n v="0.46"/>
    <n v="122"/>
    <n v="30"/>
    <s v="N/A"/>
    <s v="N/A"/>
    <n v="0.8"/>
    <n v="360"/>
    <n v="650"/>
    <n v="290"/>
    <n v="270"/>
    <n v="305"/>
    <n v="705"/>
    <n v="400"/>
    <n v="215"/>
    <s v="N/A"/>
    <n v="92"/>
    <n v="1.2232000000000001"/>
    <m/>
    <n v="1.063632786885246"/>
    <n v="1.1274507540983607"/>
    <n v="877.94839200000001"/>
    <n v="136.66261285142087"/>
    <n v="149.43002504152074"/>
    <n v="297.0453273347461"/>
    <n v="295"/>
    <n v="359.9"/>
    <n v="405.76952640000002"/>
    <n v="1352.5650880000001"/>
    <d v="2024-04-01T00:00:00"/>
    <s v="2024_2519_03576, 2024_2752_03810, 2024_2987_04045, 2024_2996_04054"/>
    <s v="W2246AE KR CLEAR r122x0145 CB1P, W2246AES KR CLEAR r122x0295 CB2P"/>
    <m/>
    <m/>
    <m/>
    <m/>
    <m/>
    <n v="0.53278688524590168"/>
    <m/>
  </r>
  <r>
    <s v="KCC"/>
    <s v="Jeoneui"/>
    <s v="Hyundai"/>
    <s v="ME (IONIQ 7)"/>
    <s v="OEM"/>
    <x v="1"/>
    <s v="W2250AS"/>
    <s v="K"/>
    <s v="E2"/>
    <s v="Clear"/>
    <s v="Acoustic"/>
    <s v="BF012073"/>
    <s v="Y"/>
    <x v="0"/>
    <n v="0.5"/>
    <n v="119"/>
    <n v="30"/>
    <s v="N/A"/>
    <s v="N/A"/>
    <n v="0.8"/>
    <n v="330"/>
    <n v="620"/>
    <n v="290"/>
    <n v="270"/>
    <n v="275"/>
    <n v="675"/>
    <n v="400"/>
    <n v="215"/>
    <s v="N/A"/>
    <n v="89"/>
    <n v="1.2450000000000001"/>
    <m/>
    <n v="1.0785924369747899"/>
    <n v="1.1433079831932773"/>
    <n v="880.5526000000001"/>
    <n v="134.26964501193416"/>
    <n v="146.81349930183788"/>
    <n v="291.84405172358345"/>
    <n v="290"/>
    <n v="345.1"/>
    <n v="394.55558500000001"/>
    <n v="1315.1852833333335"/>
    <d v="2023-10-23T00:00:00"/>
    <s v="2023_2248_03305"/>
    <s v="W2250AS KR CLEAR r119x0290 CB2P"/>
    <m/>
    <m/>
    <m/>
    <s v="N/A"/>
    <m/>
    <n v="0.52100840336134457"/>
    <m/>
  </r>
  <r>
    <s v="KCC"/>
    <s v="Jeoneui"/>
    <s v="Hyundai"/>
    <s v="MX5 (new Santa Fe)"/>
    <s v="OEM"/>
    <x v="1"/>
    <s v="W2258AF"/>
    <s v="K"/>
    <s v="E2"/>
    <s v="Clear"/>
    <s v="Acoustic"/>
    <s v="BF011687"/>
    <s v="Y"/>
    <x v="0"/>
    <n v="0.57999999999999996"/>
    <n v="113"/>
    <n v="28"/>
    <s v="N/A"/>
    <s v="N/A"/>
    <n v="0.8"/>
    <n v="325"/>
    <n v="725"/>
    <n v="400"/>
    <n v="125"/>
    <n v="325"/>
    <n v="725"/>
    <n v="400"/>
    <n v="125"/>
    <s v="N/A"/>
    <n v="85"/>
    <n v="1.2930000000000001"/>
    <m/>
    <n v="1.1075796460176992"/>
    <n v="1.1740344247787611"/>
    <n v="885.76101600000004"/>
    <n v="129.2851570300526"/>
    <n v="141.36334619550513"/>
    <n v="281.00993379416968"/>
    <n v="141"/>
    <n v="159.33000000000001"/>
    <n v="187.05890490000002"/>
    <n v="668.06751750000001"/>
    <d v="2023-04-23T00:00:00"/>
    <s v="2023_1935_02992"/>
    <s v="W2258AF KE2 CLEAR r113x0141 CB1P"/>
    <s v="Sample was actually 0.597mrad"/>
    <m/>
    <m/>
    <s v="N/A"/>
    <m/>
    <n v="0.6415929203539823"/>
    <m/>
  </r>
  <r>
    <s v="KCC"/>
    <s v="Jeoneui"/>
    <s v="Hyundai"/>
    <s v="MX5 (new Santa Fe)"/>
    <s v="OEM"/>
    <x v="2"/>
    <s v="W2260AG"/>
    <s v="K"/>
    <s v="E2"/>
    <s v="Clear"/>
    <s v="Acoustic"/>
    <s v="BF011843 (277m), BF012442 (275m), ___ (MB2P)"/>
    <s v="Y"/>
    <x v="0"/>
    <n v="0.6"/>
    <n v="113"/>
    <n v="28"/>
    <s v="N/A"/>
    <s v="N/A"/>
    <n v="0.8"/>
    <n v="325"/>
    <n v="725"/>
    <n v="400"/>
    <n v="125"/>
    <n v="325"/>
    <n v="725"/>
    <n v="400"/>
    <n v="125"/>
    <s v="N/A"/>
    <n v="85"/>
    <n v="1.31"/>
    <m/>
    <n v="1.1181858407079648"/>
    <n v="1.1852769911504428"/>
    <n v="887.06312000000003"/>
    <n v="127.60741071744887"/>
    <n v="139.52886002350243"/>
    <n v="277.36323999684083"/>
    <n v="275"/>
    <n v="310.75"/>
    <n v="368.32482500000009"/>
    <n v="1315.4458035714288"/>
    <d v="2023-06-23T00:00:00"/>
    <s v="2023_2046_03103, 2024_2663_03721 (length change), 2024_2759_03817 (add S), 2024_2987_04045, 2024_2996_04054"/>
    <s v="W2260AG KE2 CLEAR r113x0277 CB2P"/>
    <s v="Original sample of W2258AF was actually 0.597mrad"/>
    <m/>
    <m/>
    <s v="N/A"/>
    <m/>
    <n v="0.6415929203539823"/>
    <m/>
  </r>
  <r>
    <s v="KCC"/>
    <s v="Jeoneui"/>
    <s v="Hyundai"/>
    <s v="NE (IONIQ 5 AR HUD)"/>
    <s v="OEM"/>
    <x v="2"/>
    <s v="W2217AB"/>
    <s v="K"/>
    <s v="E2"/>
    <s v="Clear"/>
    <s v="Acoustic"/>
    <s v="BF011459 (CB1P), BF012424 (CB4P)"/>
    <s v="Y"/>
    <x v="0"/>
    <n v="0.17"/>
    <n v="119"/>
    <n v="20"/>
    <s v="N/A"/>
    <s v="N/A"/>
    <n v="0.8"/>
    <n v="470"/>
    <n v="870"/>
    <n v="400"/>
    <n v="120"/>
    <n v="470"/>
    <n v="870"/>
    <n v="400"/>
    <n v="120"/>
    <s v="N/A"/>
    <n v="99"/>
    <n v="0.96830000000000005"/>
    <m/>
    <n v="0.89829285714285712"/>
    <n v="0.95219042857142855"/>
    <n v="859.06788400000005"/>
    <n v="172.63834352975115"/>
    <n v="188.7667113815844"/>
    <n v="375.24098357519512"/>
    <n v="189"/>
    <n v="224.91"/>
    <n v="214.15714928999998"/>
    <n v="1070.7857464499998"/>
    <d v="2022-12-01T00:00:00"/>
    <s v="2022_1748_02804, 2024_2666_03724"/>
    <s v="W2217AB KE2 CLEAR r119x0189 CB1P, W2217AB KE2 CLEAR r119x0189 CB4P"/>
    <s v="Said they would switch to melt fracture, but then didn't"/>
    <m/>
    <m/>
    <s v="N/A"/>
    <m/>
    <n v="0.73109243697478987"/>
    <m/>
  </r>
  <r>
    <s v="KCC"/>
    <s v="Jeoneui"/>
    <s v="Hyundai"/>
    <s v="NE (IONIQ 5 AR HUD)"/>
    <s v="OEM"/>
    <x v="2"/>
    <s v="W2217AC"/>
    <s v="K"/>
    <s v="R"/>
    <s v="Clear"/>
    <s v="Acoustic"/>
    <s v="BF011710, BF011969 (375m), ___ (MB2P)"/>
    <s v="Y"/>
    <x v="0"/>
    <n v="0.17"/>
    <n v="119"/>
    <n v="20"/>
    <s v="N/A"/>
    <s v="N/A"/>
    <n v="0.8"/>
    <n v="470"/>
    <n v="870"/>
    <n v="400"/>
    <n v="120"/>
    <n v="470"/>
    <n v="870"/>
    <n v="400"/>
    <n v="120"/>
    <s v="N/A"/>
    <n v="99"/>
    <n v="0.96830000000000005"/>
    <m/>
    <n v="0.89829285714285712"/>
    <n v="0.95219042857142855"/>
    <n v="859.06788400000005"/>
    <n v="172.63834352975115"/>
    <n v="188.7667113815844"/>
    <n v="375.24098357519512"/>
    <n v="375"/>
    <n v="446.25"/>
    <n v="424.91497874999999"/>
    <n v="2124.5748937499998"/>
    <d v="2023-04-01T00:00:00"/>
    <s v="2023_1952_03009, 2023_2171_03228, 2024_2759_03817, 2024_2987_04045, 2024_2996_04054"/>
    <s v="W2217AC KR CLEAR r119x0189 CB1P, W2217AC KR CLEAR r119x0375 CB2P"/>
    <s v="Nip roll version of W2217AB. We should have kept the same variant code."/>
    <m/>
    <m/>
    <s v="N/A"/>
    <m/>
    <n v="0.73109243697478987"/>
    <m/>
  </r>
  <r>
    <s v="KCC"/>
    <s v="Jeoneui"/>
    <s v="Hyundai"/>
    <s v="NE (IONIQ 5 std HUD)"/>
    <s v="OEM"/>
    <x v="2"/>
    <s v="W2241AG"/>
    <s v="K"/>
    <s v="E2"/>
    <s v="Clear"/>
    <s v="Acoustic"/>
    <s v="BF011844, ___"/>
    <s v="Y"/>
    <x v="0"/>
    <n v="0.41"/>
    <n v="119"/>
    <n v="28"/>
    <s v="N/A"/>
    <s v="N/A"/>
    <n v="0.8"/>
    <n v="380"/>
    <n v="790"/>
    <n v="410"/>
    <n v="120"/>
    <n v="380"/>
    <n v="790"/>
    <n v="410"/>
    <n v="120"/>
    <s v="N/A"/>
    <n v="91"/>
    <n v="1.1731"/>
    <m/>
    <n v="1.0304441176470589"/>
    <n v="1.0922707647058825"/>
    <n v="874.69313200000011"/>
    <n v="142.49911178915528"/>
    <n v="155.81178640421803"/>
    <n v="309.73134804864162"/>
    <n v="310"/>
    <n v="368.9"/>
    <n v="402.93868510000004"/>
    <n v="1439.0667324999999"/>
    <d v="2023-06-23T00:00:00"/>
    <s v="2023_2046_03103, 2023_2140_03197, 2024_2759_03817, 2024_2987_04045, 2024_2996_04054"/>
    <s v="W2241AG KE2 CLEAR r119x0310 CB2P, W2241AG KR CLEAR r119x0310 CB2P"/>
    <m/>
    <m/>
    <m/>
    <s v="N/A"/>
    <m/>
    <n v="0.66386554621848737"/>
    <m/>
  </r>
  <r>
    <s v="KCC"/>
    <s v="Jeoneui"/>
    <s v="Hyundai"/>
    <s v="NE (IONIQ 5)"/>
    <s v="OEM"/>
    <x v="1"/>
    <s v="W2212AB"/>
    <s v="K"/>
    <s v="E2"/>
    <s v="Clear"/>
    <s v="Acoustic"/>
    <s v="BF010630"/>
    <s v="Y"/>
    <x v="0"/>
    <n v="0.12"/>
    <n v="119"/>
    <n v="21"/>
    <s v="N/A"/>
    <s v="N/A"/>
    <n v="0.8"/>
    <n v="455"/>
    <n v="855"/>
    <n v="400"/>
    <n v="125"/>
    <n v="455"/>
    <n v="855"/>
    <n v="400"/>
    <n v="125"/>
    <s v="N/A"/>
    <n v="98"/>
    <n v="0.91760000000000008"/>
    <m/>
    <n v="0.86917647058823533"/>
    <n v="0.92132705882352939"/>
    <n v="855.81262400000003"/>
    <n v="182.1771011768287"/>
    <n v="199.19660705186155"/>
    <n v="395.97411115503644"/>
    <n v="150"/>
    <n v="178.5"/>
    <n v="164.45687999999998"/>
    <n v="783.12799999999993"/>
    <s v="Never"/>
    <s v="2022_1259_02314"/>
    <s v="W2212AB KE2 CLEAR r119x0150 CB1P"/>
    <m/>
    <m/>
    <m/>
    <s v="N/A"/>
    <m/>
    <n v="0.71848739495798319"/>
    <m/>
  </r>
  <r>
    <s v="KCC"/>
    <s v="Jeoneui"/>
    <s v="Hyundai"/>
    <s v="NE (IONIQ 5)"/>
    <s v="OEM"/>
    <x v="1"/>
    <s v="W2217AA"/>
    <s v="K"/>
    <s v="E2"/>
    <s v="Clear"/>
    <s v="Acoustic"/>
    <s v="BF010191 (CT4P), BF010270 (CB4P = L9)"/>
    <s v="Y"/>
    <x v="2"/>
    <n v="0.17"/>
    <n v="119"/>
    <n v="21"/>
    <s v="N/A"/>
    <s v="N/A"/>
    <n v="0.8"/>
    <n v="485"/>
    <n v="855"/>
    <n v="370"/>
    <n v="125"/>
    <n v="455"/>
    <n v="855"/>
    <n v="400"/>
    <n v="125"/>
    <s v="N/A"/>
    <n v="98"/>
    <n v="0.96660000000000013"/>
    <m/>
    <n v="0.89800000000000002"/>
    <n v="0.95188000000000006"/>
    <n v="859.06788400000005"/>
    <n v="172.94196983225535"/>
    <n v="189.09870332173406"/>
    <n v="375.90093564645292"/>
    <n v="189"/>
    <n v="224.91"/>
    <n v="214.08733080000002"/>
    <n v="1019.4634800000001"/>
    <d v="2021-11-01T00:00:00"/>
    <s v="2021_1050_02105"/>
    <s v="W2217AA KE2 CLEAR r119x0189 CT4P (error and originally set up CT4A), W2217AA KE2 CLEAR r119x0189 CB4P = L9"/>
    <s v="Moved to L9"/>
    <s v="4?"/>
    <m/>
    <s v="N/A"/>
    <m/>
    <n v="0.71848739495798319"/>
    <m/>
  </r>
  <r>
    <s v="KCC"/>
    <s v="Jeoneui"/>
    <s v="Hyundai"/>
    <s v="NX5 (Tucson)"/>
    <s v="OEM"/>
    <x v="0"/>
    <s v="W2245AF"/>
    <s v="K"/>
    <s v="E2"/>
    <s v="Clear"/>
    <s v="Acoustic"/>
    <m/>
    <s v="Y"/>
    <x v="0"/>
    <n v="0.45"/>
    <n v="107"/>
    <n v="30"/>
    <s v="N/A"/>
    <s v="N/A"/>
    <n v="0.8"/>
    <n v="240"/>
    <n v="640"/>
    <n v="400"/>
    <n v="130"/>
    <n v="240"/>
    <n v="640"/>
    <n v="400"/>
    <n v="130"/>
    <s v="N/A"/>
    <n v="77"/>
    <n v="1.1465000000000001"/>
    <m/>
    <n v="1.0218247663551403"/>
    <n v="1.0831342523364487"/>
    <n v="877.29733999999996"/>
    <n v="145.80524033131968"/>
    <n v="159.426782931346"/>
    <n v="316.91743950794722"/>
    <n v="315"/>
    <n v="337.05"/>
    <n v="365.07039975000004"/>
    <n v="1216.9013325000001"/>
    <m/>
    <s v="2025-0299-0445"/>
    <m/>
    <m/>
    <m/>
    <m/>
    <m/>
    <m/>
    <m/>
    <m/>
  </r>
  <r>
    <s v="KCC"/>
    <s v="Jeoneui"/>
    <s v="Hyundai"/>
    <s v="NE N"/>
    <s v="OEM"/>
    <x v="2"/>
    <s v="W2241AG"/>
    <s v="K"/>
    <s v="R"/>
    <s v="Clear"/>
    <s v="Acoustic"/>
    <s v="BF011950, ____"/>
    <s v="Y"/>
    <x v="0"/>
    <n v="0.41"/>
    <n v="119"/>
    <n v="28"/>
    <s v="N/A"/>
    <s v="N/A"/>
    <n v="0.8"/>
    <n v="380"/>
    <n v="790"/>
    <n v="410"/>
    <n v="120"/>
    <n v="380"/>
    <n v="790"/>
    <n v="410"/>
    <n v="120"/>
    <s v="N/A"/>
    <n v="91"/>
    <n v="1.1731"/>
    <m/>
    <n v="1.0304441176470589"/>
    <n v="1.0922707647058825"/>
    <n v="874.69313200000011"/>
    <n v="142.49911178915528"/>
    <n v="155.81178640421803"/>
    <n v="309.73134804864162"/>
    <n v="310"/>
    <n v="368.9"/>
    <n v="402.93868510000004"/>
    <n v="1439.0667324999999"/>
    <d v="2023-06-23T00:00:00"/>
    <s v="2023_2046_03103, 2023_2140_03197, 2024_2759_03817, 2024_2987_04045, 2024_2996_04054"/>
    <s v="W2241AG KE2 CLEAR r119x0310 CB2P, W2241AG KR CLEAR r119x0310 CB2P"/>
    <m/>
    <m/>
    <m/>
    <s v="N/A"/>
    <m/>
    <n v="0.66386554621848737"/>
    <m/>
  </r>
  <r>
    <s v="KCC"/>
    <s v="Jeoneui"/>
    <s v="Hyundai"/>
    <s v="NE N (IONIQ 5 N)"/>
    <s v="OEM"/>
    <x v="1"/>
    <s v="W2240AH"/>
    <s v="K"/>
    <s v="E2"/>
    <s v="Clear"/>
    <s v="Acoustic"/>
    <s v="BF011658 (L9, CB1P), BF012367 (CB4P)"/>
    <s v="Y"/>
    <x v="0"/>
    <n v="0.4"/>
    <n v="113"/>
    <n v="28"/>
    <s v="N/A"/>
    <s v="N/A"/>
    <n v="0.8"/>
    <n v="320"/>
    <n v="730"/>
    <n v="410"/>
    <n v="120"/>
    <n v="320"/>
    <n v="730"/>
    <n v="410"/>
    <n v="120"/>
    <s v="N/A"/>
    <n v="85"/>
    <n v="1.1400000000000001"/>
    <m/>
    <n v="1.0121238938053099"/>
    <n v="1.0728513274336284"/>
    <n v="874.04208000000006"/>
    <n v="146.63658599987545"/>
    <n v="160.33579529016504"/>
    <n v="318.72442490865035"/>
    <n v="148"/>
    <n v="167.24"/>
    <n v="179.42365600000002"/>
    <n v="640.7987714285714"/>
    <d v="2023-03-01T00:00:00"/>
    <s v="2023_1918_02975, 2024_2498_03555 (extension to China), 2024_2598_03656 (CB4P)"/>
    <s v="W2240AH KE2 CLEAR r113x0148 CB1P. No L8 set up? W2240AH KE2 CLEAR r113x0148 CB4P"/>
    <s v="Wanted for initial trial. Will be replaced by W2240AN. Later tested at SGS Meizhou."/>
    <m/>
    <m/>
    <s v="N/A"/>
    <m/>
    <n v="0.64601769911504425"/>
    <m/>
  </r>
  <r>
    <s v="KCC"/>
    <s v="Jeoneui"/>
    <s v="Hyundai"/>
    <s v="NE N (IONIQ 5 N)"/>
    <s v="OEM"/>
    <x v="1"/>
    <s v="W2240AN"/>
    <s v="K"/>
    <s v="E2"/>
    <s v="Clear"/>
    <s v="Acoustic"/>
    <s v="BF011725"/>
    <s v="Y"/>
    <x v="0"/>
    <n v="0.4"/>
    <n v="119"/>
    <n v="28"/>
    <s v="N/A"/>
    <s v="N/A"/>
    <n v="0.8"/>
    <n v="380"/>
    <n v="790"/>
    <n v="410"/>
    <n v="120"/>
    <n v="380"/>
    <n v="790"/>
    <n v="410"/>
    <n v="120"/>
    <s v="N/A"/>
    <n v="91"/>
    <n v="1.1640000000000001"/>
    <m/>
    <n v="1.0248235294117647"/>
    <n v="1.0863129411764705"/>
    <n v="874.04208000000006"/>
    <n v="143.61315123699143"/>
    <n v="157.02990260376987"/>
    <n v="312.15278728166788"/>
    <n v="145"/>
    <n v="172.55"/>
    <n v="187.443298"/>
    <n v="669.44034999999997"/>
    <s v="Never"/>
    <s v="2023_1955_03012"/>
    <s v="W2240AN KE2 CLEAR r119x0145 CB1P"/>
    <s v="Wider versions"/>
    <m/>
    <m/>
    <s v="N/A"/>
    <m/>
    <n v="0.66386554621848737"/>
    <m/>
  </r>
  <r>
    <s v="KCC"/>
    <s v="Jeoneui"/>
    <s v="Hyundai"/>
    <s v="NE N (IONIQ 5 N)"/>
    <s v="OEM"/>
    <x v="1"/>
    <s v="W2251AF"/>
    <s v="K"/>
    <s v="E2"/>
    <s v="Clear"/>
    <s v="Acoustic"/>
    <s v="BF011659 (L9)"/>
    <s v="Y"/>
    <x v="0"/>
    <n v="0.51"/>
    <n v="113"/>
    <n v="28"/>
    <s v="N/A"/>
    <s v="N/A"/>
    <n v="0.8"/>
    <n v="320"/>
    <n v="730"/>
    <n v="410"/>
    <n v="120"/>
    <n v="320"/>
    <n v="730"/>
    <n v="410"/>
    <n v="120"/>
    <s v="N/A"/>
    <n v="85"/>
    <n v="1.2335"/>
    <m/>
    <n v="1.0704579646017698"/>
    <n v="1.1346854424778758"/>
    <n v="881.20365200000003"/>
    <n v="135.52144956615973"/>
    <n v="148.18225101806905"/>
    <n v="294.56493262737047"/>
    <n v="148"/>
    <n v="167.24"/>
    <n v="189.76479339999997"/>
    <n v="677.73140499999988"/>
    <d v="2023-03-01T00:00:00"/>
    <s v="2023_1918_02975"/>
    <s v="W2251AF KE2 CLEAR r113x0148 CB1P. No L8 set up?"/>
    <s v="Wanted for initial trial. Will be replaced by W2251AG."/>
    <m/>
    <m/>
    <s v="N/A"/>
    <m/>
    <n v="0.64601769911504425"/>
    <m/>
  </r>
  <r>
    <s v="KCC"/>
    <s v="Jeoneui"/>
    <s v="Hyundai"/>
    <s v="NE N (IONIQ 5 N)"/>
    <s v="OEM"/>
    <x v="1"/>
    <s v="W2251AG"/>
    <s v="K"/>
    <s v="E2"/>
    <s v="Clear"/>
    <s v="Acoustic"/>
    <s v="BF011726"/>
    <s v="Y"/>
    <x v="0"/>
    <n v="0.51"/>
    <n v="119"/>
    <n v="28"/>
    <s v="N/A"/>
    <s v="N/A"/>
    <n v="0.8"/>
    <n v="380"/>
    <n v="790"/>
    <n v="410"/>
    <n v="120"/>
    <n v="380"/>
    <n v="790"/>
    <n v="410"/>
    <n v="120"/>
    <s v="N/A"/>
    <n v="91"/>
    <n v="1.2641"/>
    <m/>
    <n v="1.0866500000000001"/>
    <n v="1.1518490000000001"/>
    <n v="881.20365200000003"/>
    <n v="132.24088920169135"/>
    <n v="144.59521132093045"/>
    <n v="287.43441531197016"/>
    <n v="145"/>
    <n v="172.55"/>
    <n v="198.75154495000004"/>
    <n v="709.82694625000011"/>
    <s v="Never"/>
    <s v="2023_1955_03012"/>
    <s v="W2251AG KE2 CLEAR r119x0145 CB1P"/>
    <s v="Wider versions"/>
    <m/>
    <m/>
    <s v="N/A"/>
    <m/>
    <n v="0.66386554621848737"/>
    <m/>
  </r>
  <r>
    <s v="KCC"/>
    <s v="Jeoneui"/>
    <s v="Hyundai"/>
    <s v="Santa Fe"/>
    <s v="OEM"/>
    <x v="1"/>
    <s v="W1240AA"/>
    <s v="K"/>
    <s v="E2"/>
    <s v="Clear"/>
    <s v="Acoustic"/>
    <s v="BF007143, BF007142"/>
    <s v="Y"/>
    <x v="2"/>
    <n v="0.4"/>
    <n v="107"/>
    <m/>
    <s v="N/A"/>
    <s v="N/A"/>
    <n v="0.76"/>
    <m/>
    <m/>
    <n v="0"/>
    <n v="1070"/>
    <m/>
    <m/>
    <n v="0"/>
    <n v="1070"/>
    <s v="N/A"/>
    <n v="107"/>
    <n v="1.1879999999999999"/>
    <m/>
    <n v="0.97400000000000009"/>
    <n v="0"/>
    <n v="0"/>
    <n v="140.71187545442598"/>
    <n v="153.8575813390473"/>
    <n v="305.84667036688677"/>
    <s v="150, 300"/>
    <e v="#VALUE!"/>
    <e v="#VALUE!"/>
    <e v="#VALUE!"/>
    <d v="2018-09-01T00:00:00"/>
    <s v="Old"/>
    <s v="W1240AA KE2 CLEAR r107x0150 CT4P, W1240AA KE2 CLEAR r107x0300 CT2P"/>
    <s v="Old SKU"/>
    <m/>
    <m/>
    <s v="N/A"/>
    <m/>
    <m/>
    <m/>
  </r>
  <r>
    <s v="KCC"/>
    <s v="Jeoneui"/>
    <s v="Hyundai"/>
    <s v="Sonata"/>
    <s v="OEM"/>
    <x v="1"/>
    <s v="W5043"/>
    <s v="B"/>
    <s v="R3"/>
    <s v="Clear"/>
    <s v="Standard"/>
    <s v="BF007248"/>
    <m/>
    <x v="1"/>
    <n v="0.43"/>
    <n v="108"/>
    <n v="30"/>
    <s v="N/A"/>
    <s v="N/A"/>
    <n v="0.76"/>
    <m/>
    <m/>
    <n v="0"/>
    <n v="780"/>
    <m/>
    <m/>
    <n v="0"/>
    <n v="780"/>
    <s v="N/A"/>
    <n v="78"/>
    <n v="1.0953999999999999"/>
    <m/>
    <n v="0.97428333333333317"/>
    <n v="1.0376117499999999"/>
    <n v="837.527289"/>
    <n v="152.60700021896844"/>
    <n v="166.86398268284481"/>
    <n v="331.7015194411735"/>
    <n v="100"/>
    <n v="108"/>
    <n v="112.06206899999999"/>
    <n v="373.54023000000001"/>
    <d v="2018-11-18T00:00:00"/>
    <s v="Old"/>
    <s v="W5043 BR3 CLEAR r108x0.95x0100 CB1P"/>
    <m/>
    <m/>
    <m/>
    <s v="N/A"/>
    <m/>
    <m/>
    <m/>
  </r>
  <r>
    <s v="KCC"/>
    <s v="Jeoneui"/>
    <s v="Hyundai"/>
    <s v="TM (Korea market Santa Fe, 2018-?)"/>
    <s v="OEM"/>
    <x v="1"/>
    <s v="W1340AB"/>
    <s v="K"/>
    <s v="E2"/>
    <s v="Blue"/>
    <s v="Acoustic"/>
    <s v="BF008914"/>
    <s v="Y"/>
    <x v="2"/>
    <n v="0.4"/>
    <n v="105"/>
    <n v="25"/>
    <n v="14"/>
    <n v="91"/>
    <n v="0.8"/>
    <n v="325"/>
    <n v="675"/>
    <n v="350"/>
    <n v="125"/>
    <m/>
    <m/>
    <n v="0"/>
    <n v="800"/>
    <n v="110"/>
    <n v="80"/>
    <n v="1.1200000000000001"/>
    <m/>
    <n v="0.99809523809523826"/>
    <e v="#VALUE!"/>
    <e v="#VALUE!"/>
    <n v="149.25509646415895"/>
    <n v="163.19893449177513"/>
    <n v="324.41593249630483"/>
    <n v="160"/>
    <n v="168"/>
    <e v="#VALUE!"/>
    <e v="#VALUE!"/>
    <s v="TBD"/>
    <s v="2020_0064_01115"/>
    <s v="W1340AB KE2 BLU2 R105/14X0160 CT4P"/>
    <s v="New SKU for TM shadeband"/>
    <s v="Never produced"/>
    <m/>
    <s v="N/A"/>
    <m/>
    <n v="0.6428571428571429"/>
    <m/>
  </r>
  <r>
    <s v="KCC"/>
    <s v="Jeoneui"/>
    <s v="Hyundai"/>
    <s v="TM (Korea market Santa Fe, 2018-?)"/>
    <s v="OEM"/>
    <x v="1"/>
    <s v="W2340"/>
    <s v="K"/>
    <s v="E2"/>
    <s v="Blue"/>
    <s v="Acoustic"/>
    <s v="BF008932"/>
    <s v="Y"/>
    <x v="2"/>
    <n v="0.4"/>
    <n v="105"/>
    <n v="25"/>
    <n v="14"/>
    <n v="91"/>
    <n v="0.8"/>
    <n v="325"/>
    <n v="675"/>
    <n v="350"/>
    <n v="125"/>
    <m/>
    <m/>
    <n v="0"/>
    <n v="800"/>
    <n v="110"/>
    <n v="80"/>
    <n v="1.1200000000000001"/>
    <m/>
    <n v="0.99809523809523826"/>
    <n v="1.0579809523809525"/>
    <n v="874.04208000000006"/>
    <n v="149.25509646415895"/>
    <n v="163.19893449177513"/>
    <n v="324.41593249630483"/>
    <n v="150"/>
    <n v="157.5"/>
    <n v="166.63200000000001"/>
    <n v="666.52800000000002"/>
    <s v="TBD"/>
    <s v="2020_0018_01069"/>
    <s v="W2340 KE2 BLU2 R105/14X0.95X0150 CT4P"/>
    <s v="BPCM summary section was incorrect so this was created"/>
    <s v="Never produced"/>
    <m/>
    <s v="N/A"/>
    <m/>
    <n v="0.6428571428571429"/>
    <m/>
  </r>
  <r>
    <s v="KCC"/>
    <s v="Jeoneui"/>
    <s v="Hyundai"/>
    <s v="TM (Korea market Santa Fe, 2018-?)"/>
    <s v="OEM"/>
    <x v="1"/>
    <s v="W1342AB"/>
    <s v="K"/>
    <s v="E2"/>
    <s v="Blue"/>
    <s v="Acoustic"/>
    <s v="BF009295"/>
    <s v="Y"/>
    <x v="2"/>
    <n v="0.42"/>
    <n v="105"/>
    <n v="25"/>
    <n v="14"/>
    <n v="91"/>
    <n v="0.8"/>
    <n v="325"/>
    <n v="675"/>
    <n v="350"/>
    <n v="125"/>
    <m/>
    <m/>
    <n v="0"/>
    <n v="800"/>
    <n v="110"/>
    <n v="80"/>
    <n v="1.1360000000000001"/>
    <m/>
    <n v="1.0080000000000002"/>
    <e v="#VALUE!"/>
    <e v="#VALUE!"/>
    <n v="147.15291200691726"/>
    <n v="160.90035794963748"/>
    <n v="319.84669401044141"/>
    <n v="160"/>
    <n v="168"/>
    <e v="#VALUE!"/>
    <e v="#VALUE!"/>
    <s v="TBD"/>
    <s v="2020_0244_01296"/>
    <s v="W1342AB KE2 BLU2 r105/14x0160 CT4P"/>
    <s v="New, increased wedge angle"/>
    <s v="Never produced"/>
    <m/>
    <s v="N/A"/>
    <m/>
    <n v="0.6428571428571429"/>
    <m/>
  </r>
  <r>
    <s v="KCC"/>
    <s v="Jeoneui"/>
    <s v="Hyundai"/>
    <s v="TM [Korea market Santa Fe (old)]"/>
    <s v="OEM"/>
    <x v="1"/>
    <s v="W1340"/>
    <s v="K"/>
    <s v="E2"/>
    <s v="Blue"/>
    <s v="Acoustic"/>
    <s v="BF007129, BF008309, BF007128"/>
    <s v="Y"/>
    <x v="2"/>
    <n v="0.4"/>
    <n v="107"/>
    <n v="25"/>
    <n v="15"/>
    <n v="92"/>
    <n v="0.8"/>
    <n v="345"/>
    <n v="690"/>
    <n v="345"/>
    <n v="130"/>
    <m/>
    <m/>
    <n v="0"/>
    <n v="820"/>
    <n v="100"/>
    <n v="82"/>
    <n v="1.1280000000000001"/>
    <m/>
    <n v="1.0023177570093458"/>
    <e v="#VALUE!"/>
    <e v="#VALUE!"/>
    <n v="148.19654968072518"/>
    <n v="162.04149524006041"/>
    <n v="322.115110280019"/>
    <s v="150, 300"/>
    <e v="#VALUE!"/>
    <e v="#VALUE!"/>
    <e v="#VALUE!"/>
    <d v="2018-09-01T00:00:00"/>
    <s v="Old"/>
    <s v="W1340 KE2 BLU2 R107/15X0.95X0150 CT1P, W1340 KE2 BLU2 r107/15x0.95x0150 CT4P, W1340 KE2 BLU2 r107/15x0.95x0300 CT2P"/>
    <s v="Old SKU for TM shadeband. Being tested, but commercialization in this windshield would be the new clear version (W1240)."/>
    <s v="2x (Sept. 2018)_x000a_12 (Oct 2019)_x000a_4 (Jan 2020)2x 0,40mrad, 2x0,42mrad"/>
    <s v="??_x000a_??_x000a_ghosting with 0,42mrad ok"/>
    <s v="N/A"/>
    <m/>
    <n v="0.64485981308411211"/>
    <m/>
  </r>
  <r>
    <s v="KCC"/>
    <s v="Jeoneui"/>
    <s v="Hyundai"/>
    <s v="TMa (Export Santa Fe, 2018-?)"/>
    <s v="OEM"/>
    <x v="1"/>
    <s v="W2240AC"/>
    <s v="K"/>
    <s v="E2"/>
    <s v="Clear"/>
    <s v="Acoustic"/>
    <s v="BF009969"/>
    <s v="Y"/>
    <x v="0"/>
    <n v="0.4"/>
    <n v="108"/>
    <n v="25"/>
    <s v="N/A"/>
    <s v="N/A"/>
    <n v="0.8"/>
    <n v="355"/>
    <n v="705"/>
    <n v="350"/>
    <n v="125"/>
    <n v="305"/>
    <n v="705"/>
    <n v="400"/>
    <n v="125"/>
    <s v="N/A"/>
    <n v="83"/>
    <n v="1.1320000000000001"/>
    <m/>
    <n v="1.0044259259259261"/>
    <n v="1.0646914814814816"/>
    <n v="874.04208000000006"/>
    <n v="147.6728869610053"/>
    <n v="161.46891045122629"/>
    <n v="320.97689434263378"/>
    <n v="150"/>
    <n v="162"/>
    <n v="172.48002000000002"/>
    <n v="689.9200800000001"/>
    <d v="2021-06-01T00:00:00"/>
    <s v="2021_0795_01849"/>
    <m/>
    <s v="F5 version of W1240AB (Klopper). Single roll pallet set up initially at shorter roll length."/>
    <m/>
    <m/>
    <s v="N/A"/>
    <m/>
    <n v="0.65277777777777779"/>
    <m/>
  </r>
  <r>
    <s v="KCC"/>
    <s v="Jeoneui"/>
    <s v="Hyundai"/>
    <s v="TMa (Export Santa Fe, 2018-?)"/>
    <s v="OEM"/>
    <x v="1"/>
    <s v="W2240AD"/>
    <s v="K"/>
    <s v="E2"/>
    <s v="Clear"/>
    <s v="Acoustic"/>
    <s v="BF009971 (160m, L8), BF010584 (321m, L9)"/>
    <s v="Y"/>
    <x v="3"/>
    <n v="0.4"/>
    <n v="108"/>
    <n v="25"/>
    <s v="N/A"/>
    <s v="N/A"/>
    <n v="0.8"/>
    <n v="335"/>
    <n v="710"/>
    <n v="375"/>
    <n v="120"/>
    <n v="310"/>
    <n v="710"/>
    <n v="400"/>
    <n v="120"/>
    <s v="N/A"/>
    <n v="83"/>
    <n v="1.1320000000000001"/>
    <m/>
    <n v="1.0044259259259261"/>
    <n v="1.0646914814814816"/>
    <n v="874.04208000000006"/>
    <n v="147.6728869610053"/>
    <n v="161.46891045122629"/>
    <n v="320.97689434263378"/>
    <n v="321"/>
    <n v="346.68"/>
    <n v="369.10724280000005"/>
    <n v="1476.4289712000002"/>
    <d v="2021-08-01T00:00:00"/>
    <s v="2021_0906_01961 (L8), 2022_1219_02274 (L9)"/>
    <s v="W2240AD KE2 CLEAR r108x0160 CT4P (L8), W2240AD KE2 CLEAR r108x0321 CB2P (L9)"/>
    <s v="F5 version of W1240AD (new wider HUD area, Klopper). Initially only set up for L8. Replaced by W2242AB."/>
    <m/>
    <m/>
    <s v="N/A"/>
    <m/>
    <n v="0.65740740740740744"/>
    <m/>
  </r>
  <r>
    <s v="KCC"/>
    <s v="Jeoneui"/>
    <s v="Hyundai"/>
    <s v="TMa (Export Santa Fe, 2018-?)"/>
    <s v="OEM"/>
    <x v="1"/>
    <s v="W1240"/>
    <s v="K"/>
    <s v="E2"/>
    <s v="Clear"/>
    <s v="Acoustic"/>
    <s v="BF008928"/>
    <s v="Y"/>
    <x v="2"/>
    <n v="0.4"/>
    <n v="104"/>
    <n v="25"/>
    <s v="N/A"/>
    <s v="N/A"/>
    <n v="0.8"/>
    <n v="315"/>
    <n v="665"/>
    <n v="350"/>
    <n v="125"/>
    <m/>
    <m/>
    <n v="0"/>
    <n v="790"/>
    <s v="N/A"/>
    <n v="79"/>
    <n v="1.1160000000000001"/>
    <m/>
    <n v="0.99598076923076928"/>
    <n v="0"/>
    <n v="0"/>
    <n v="149.79006096761472"/>
    <n v="163.78387690930839"/>
    <n v="325.5787136163633"/>
    <n v="160"/>
    <n v="166.4"/>
    <n v="0"/>
    <n v="0"/>
    <d v="2018-09-01T00:00:00"/>
    <s v="2020_0064_01115, 2019_0904_01030"/>
    <s v="W1240 KE2 CLEAR R104X0.95X0160 CT4P"/>
    <s v="Was the new SKU for TMa clear. But then the angle was increased."/>
    <n v="2"/>
    <s v="??"/>
    <s v="N/A"/>
    <m/>
    <n v="0.63942307692307687"/>
    <m/>
  </r>
  <r>
    <s v="KCC"/>
    <s v="Jeoneui"/>
    <s v="Hyundai"/>
    <s v="TMa (Export Santa Fe, 2018-?)"/>
    <s v="OEM"/>
    <x v="1"/>
    <s v="W1240AB"/>
    <s v="K"/>
    <s v="E2"/>
    <s v="Clear"/>
    <s v="Acoustic"/>
    <s v="BF009411"/>
    <s v="Y"/>
    <x v="2"/>
    <n v="0.4"/>
    <n v="108"/>
    <n v="25"/>
    <s v="N/A"/>
    <s v="N/A"/>
    <n v="0.8"/>
    <n v="355"/>
    <n v="705"/>
    <n v="350"/>
    <n v="125"/>
    <m/>
    <m/>
    <n v="0"/>
    <n v="830"/>
    <s v="N/A"/>
    <n v="83"/>
    <n v="1.1320000000000001"/>
    <m/>
    <n v="1.0044259259259261"/>
    <n v="0"/>
    <n v="0"/>
    <n v="147.6728869610053"/>
    <n v="161.46891045122629"/>
    <n v="320.97689434263378"/>
    <n v="160"/>
    <n v="172.8"/>
    <n v="0"/>
    <n v="0"/>
    <d v="2020-09-01T00:00:00"/>
    <s v="2020_0341_01393"/>
    <m/>
    <s v="Reduced angle and increased width due to the move to shape on Klopper line"/>
    <m/>
    <m/>
    <s v="N/A"/>
    <m/>
    <n v="0.65277777777777779"/>
    <m/>
  </r>
  <r>
    <s v="KCC"/>
    <s v="Jeoneui"/>
    <s v="Hyundai"/>
    <s v="TMa (Export Santa Fe, 2018-?)"/>
    <s v="OEM"/>
    <x v="1"/>
    <s v="W1240AC"/>
    <s v="K"/>
    <s v="E2"/>
    <s v="Clear"/>
    <s v="Acoustic"/>
    <s v="BF009661"/>
    <s v="Y"/>
    <x v="2"/>
    <n v="0.4"/>
    <n v="106"/>
    <n v="25"/>
    <s v="N/A"/>
    <s v="N/A"/>
    <n v="0.8"/>
    <n v="335"/>
    <n v="685"/>
    <n v="350"/>
    <n v="125"/>
    <m/>
    <m/>
    <n v="0"/>
    <n v="810"/>
    <s v="N/A"/>
    <n v="81"/>
    <n v="1.1240000000000001"/>
    <m/>
    <n v="1.0002075471698115"/>
    <n v="0"/>
    <n v="0"/>
    <n v="148.72393953724023"/>
    <n v="162.61815536546987"/>
    <n v="323.26142739845324"/>
    <n v="160"/>
    <n v="169.6"/>
    <n v="0"/>
    <n v="0"/>
    <d v="2021-02-01T00:00:00"/>
    <s v="2020_0607_01659, 2021_0744_01798"/>
    <s v="W1240AC KE2 CLEAR r106x0150 CT4P"/>
    <s v="Ford Type B shaper"/>
    <n v="12"/>
    <m/>
    <s v="N/A"/>
    <m/>
    <n v="0.64622641509433965"/>
    <m/>
  </r>
  <r>
    <s v="KCC"/>
    <s v="Jeoneui"/>
    <s v="Hyundai"/>
    <s v="TMa (Export Santa Fe, 2018-?)"/>
    <s v="OEM"/>
    <x v="1"/>
    <s v="W1240AD"/>
    <s v="K"/>
    <s v="E2"/>
    <s v="Clear"/>
    <s v="Acoustic"/>
    <s v="BF009985"/>
    <s v="Y"/>
    <x v="2"/>
    <n v="0.4"/>
    <n v="108"/>
    <n v="25"/>
    <s v="N/A"/>
    <s v="N/A"/>
    <n v="0.8"/>
    <n v="335"/>
    <n v="710"/>
    <n v="375"/>
    <n v="120"/>
    <n v="310"/>
    <n v="710"/>
    <n v="400"/>
    <n v="120"/>
    <s v="N/A"/>
    <n v="83"/>
    <n v="1.1320000000000001"/>
    <m/>
    <n v="1.0044259259259261"/>
    <n v="0"/>
    <n v="0"/>
    <n v="147.6728869610053"/>
    <n v="161.46891045122629"/>
    <n v="320.97689434263378"/>
    <n v="160"/>
    <n v="172.8"/>
    <n v="0"/>
    <n v="0"/>
    <d v="2021-08-01T00:00:00"/>
    <s v="2021_0929_01984"/>
    <m/>
    <s v="Wider HUD area, for Klopper shaper"/>
    <m/>
    <m/>
    <s v="N/A"/>
    <m/>
    <n v="0.65740740740740744"/>
    <m/>
  </r>
  <r>
    <s v="KCC"/>
    <s v="Jeoneui"/>
    <s v="Hyundai"/>
    <s v="TMa (Export Santa Fe, 2018-?)"/>
    <s v="OEM"/>
    <x v="2"/>
    <s v="W2242AB"/>
    <s v="K"/>
    <s v="E2"/>
    <s v="Clear"/>
    <s v="Acoustic"/>
    <s v="BF011740, BF012440 (315m)"/>
    <s v="Y"/>
    <x v="0"/>
    <n v="0.42"/>
    <n v="108"/>
    <n v="25"/>
    <s v="N/A"/>
    <s v="N/A"/>
    <n v="0.8"/>
    <n v="335"/>
    <n v="710"/>
    <n v="375"/>
    <n v="120"/>
    <n v="320"/>
    <n v="720"/>
    <n v="400"/>
    <n v="110"/>
    <s v="N/A"/>
    <n v="83"/>
    <n v="1.1486000000000001"/>
    <m/>
    <n v="1.0146472222222223"/>
    <n v="1.0755260555555555"/>
    <n v="875.34418400000015"/>
    <n v="145.53866275453424"/>
    <n v="159.13530091484256"/>
    <n v="316.33801531939878"/>
    <n v="315"/>
    <n v="340.2"/>
    <n v="365.89396409999995"/>
    <n v="1463.5758563999998"/>
    <d v="2023-06-23T00:00:00"/>
    <s v="2023_1967_03024, 2024_2663_03721, 2024_2759_03817, 2024_2987_04045"/>
    <s v="W2242AB KE2 CLEAR r108x0316 CB2P"/>
    <s v="Angle offset correction. Replaced W2240AD"/>
    <m/>
    <m/>
    <s v="N/A"/>
    <m/>
    <n v="0.65740740740740744"/>
    <m/>
  </r>
  <r>
    <s v="KCC"/>
    <s v="Jeoneui"/>
    <s v="Hyundai"/>
    <s v="TMa (Export Santa Fe, 2018-?)"/>
    <s v="OEM"/>
    <x v="1"/>
    <s v="W1242AA"/>
    <s v="K"/>
    <s v="E2"/>
    <s v="Clear"/>
    <s v="Acoustic"/>
    <s v="BF009217"/>
    <s v="Y"/>
    <x v="2"/>
    <n v="0.42"/>
    <n v="104"/>
    <n v="25"/>
    <s v="N/A"/>
    <s v="N/A"/>
    <n v="0.8"/>
    <n v="315"/>
    <n v="665"/>
    <n v="350"/>
    <n v="125"/>
    <m/>
    <m/>
    <n v="0"/>
    <n v="790"/>
    <s v="N/A"/>
    <n v="79"/>
    <n v="1.1318000000000001"/>
    <m/>
    <n v="1.0057798076923077"/>
    <n v="0"/>
    <n v="0"/>
    <n v="147.6989821875402"/>
    <n v="161.49744356846452"/>
    <n v="321.03361406243278"/>
    <n v="160"/>
    <n v="166.4"/>
    <n v="0"/>
    <n v="0"/>
    <d v="2020-04-01T00:00:00"/>
    <s v="2020_0215_01267"/>
    <s v="W1242AA KE2 CLEAR r104x0160 CT4P"/>
    <s v="New, increased wedge angle. KAC changed process conditions so the increase was no longer needed."/>
    <n v="12"/>
    <s v="slippage at heating cone"/>
    <s v="N/A"/>
    <m/>
    <n v="0.63942307692307687"/>
    <m/>
  </r>
  <r>
    <s v="KCC"/>
    <s v="Jeoneui"/>
    <s v="Kia"/>
    <s v="CT1 (EV4)"/>
    <s v="OEM"/>
    <x v="2"/>
    <s v="W2245AC"/>
    <s v="K"/>
    <s v="E2"/>
    <s v="Clear"/>
    <s v="Acoustic"/>
    <s v="BF012208"/>
    <s v="Y"/>
    <x v="0"/>
    <n v="0.45"/>
    <n v="111"/>
    <n v="30"/>
    <s v="N/A"/>
    <s v="N/A"/>
    <n v="0.8"/>
    <n v="310"/>
    <n v="620"/>
    <n v="310"/>
    <n v="190"/>
    <n v="265"/>
    <n v="665"/>
    <n v="400"/>
    <n v="145"/>
    <s v="N/A"/>
    <n v="81"/>
    <n v="1.1645000000000001"/>
    <m/>
    <n v="1.0315067567567568"/>
    <n v="1.0933971621621623"/>
    <n v="877.29733999999996"/>
    <n v="143.55148822658481"/>
    <n v="156.96247885855573"/>
    <n v="312.01875860529105"/>
    <n v="145"/>
    <n v="160.94999999999999"/>
    <n v="175.98227325000002"/>
    <n v="586.60757750000005"/>
    <d v="2024-03-01T00:00:00"/>
    <s v="2024_2431_03488"/>
    <s v="W2245AC KE2 CLEAR r111x0145 CB1P"/>
    <m/>
    <m/>
    <m/>
    <m/>
    <m/>
    <n v="0.55855855855855852"/>
    <m/>
  </r>
  <r>
    <s v="KCC"/>
    <s v="Jeoneui"/>
    <s v="Kia"/>
    <s v="CT1 (EV4)"/>
    <s v="OEM"/>
    <x v="1"/>
    <s v="W2249AK"/>
    <s v="K"/>
    <s v="E2"/>
    <s v="Clear"/>
    <s v="Acoustic"/>
    <s v="BF012714 (CB1P), ____"/>
    <s v="Y"/>
    <x v="0"/>
    <n v="0.49"/>
    <n v="111"/>
    <n v="30"/>
    <s v="N/A"/>
    <s v="N/A"/>
    <n v="0.8"/>
    <n v="275"/>
    <n v="675"/>
    <n v="400"/>
    <n v="135"/>
    <n v="275"/>
    <n v="675"/>
    <n v="400"/>
    <n v="135"/>
    <s v="N/A"/>
    <n v="81"/>
    <n v="1.1969000000000001"/>
    <m/>
    <n v="1.0520851351351352"/>
    <n v="1.1152102432432434"/>
    <n v="879.90154800000005"/>
    <n v="139.66555939498539"/>
    <n v="152.71351544054488"/>
    <n v="303.57243244703938"/>
    <n v="300"/>
    <n v="333"/>
    <n v="371.36501100000004"/>
    <n v="1237.8833700000002"/>
    <d v="2025-01-01T00:00:00"/>
    <s v="2024_2912_03970, 2024_2992_04050"/>
    <s v="W2249AK KE2 CLEAR r111x0150 CB1P"/>
    <m/>
    <m/>
    <m/>
    <m/>
    <m/>
    <n v="0.60810810810810811"/>
    <m/>
  </r>
  <r>
    <s v="KCC"/>
    <s v="Jeoneui"/>
    <s v="Kia"/>
    <s v="CT1 (EV4)"/>
    <s v="OEM"/>
    <x v="1"/>
    <s v="W2251AI"/>
    <s v="K"/>
    <s v="E2"/>
    <s v="Clear"/>
    <s v="Acoustic"/>
    <s v="BF012209"/>
    <s v="Y"/>
    <x v="0"/>
    <n v="0.51"/>
    <n v="111"/>
    <n v="30"/>
    <s v="N/A"/>
    <s v="N/A"/>
    <n v="0.8"/>
    <n v="310"/>
    <n v="620"/>
    <n v="310"/>
    <n v="190"/>
    <n v="265"/>
    <n v="665"/>
    <n v="400"/>
    <n v="145"/>
    <s v="N/A"/>
    <n v="81"/>
    <n v="1.2131000000000001"/>
    <m/>
    <n v="1.0623743243243244"/>
    <n v="1.1261167837837838"/>
    <n v="881.20365200000003"/>
    <n v="137.80043528139313"/>
    <n v="150.67414609742656"/>
    <n v="299.51846046975641"/>
    <n v="145"/>
    <n v="160.94999999999999"/>
    <n v="181.24849634999998"/>
    <n v="604.16165449999994"/>
    <d v="2024-03-01T00:00:00"/>
    <s v="2024_2431_03488"/>
    <s v="W2251AI KE2 CLEAR r111x0145 CB1P"/>
    <m/>
    <m/>
    <m/>
    <m/>
    <m/>
    <n v="0.55855855855855852"/>
    <m/>
  </r>
  <r>
    <s v="KCC"/>
    <s v="Jeoneui"/>
    <s v="Kia"/>
    <s v="CT1 (EV4)"/>
    <s v="OEM"/>
    <x v="1"/>
    <s v="W2256AI"/>
    <s v="K"/>
    <s v="E2"/>
    <s v="Clear"/>
    <s v="Acoustic"/>
    <s v="BF012210"/>
    <s v="Y"/>
    <x v="0"/>
    <n v="0.56000000000000005"/>
    <n v="111"/>
    <n v="30"/>
    <s v="N/A"/>
    <s v="N/A"/>
    <n v="0.8"/>
    <n v="310"/>
    <n v="620"/>
    <n v="310"/>
    <n v="190"/>
    <n v="265"/>
    <n v="665"/>
    <n v="400"/>
    <n v="145"/>
    <s v="N/A"/>
    <n v="81"/>
    <n v="1.2536"/>
    <m/>
    <n v="1.0880972972972975"/>
    <n v="1.1533831351351354"/>
    <n v="884.45891200000005"/>
    <n v="133.34852268654916"/>
    <n v="145.80632309411948"/>
    <n v="289.84193075611159"/>
    <n v="145"/>
    <n v="160.94999999999999"/>
    <n v="185.63701560000001"/>
    <n v="618.79005200000006"/>
    <d v="2024-03-01T00:00:00"/>
    <s v="2024_2431_03488"/>
    <s v="W2256AI KE2 CLEAR r111x0145 CB1P"/>
    <m/>
    <m/>
    <m/>
    <m/>
    <m/>
    <n v="0.55855855855855852"/>
    <m/>
  </r>
  <r>
    <s v="KCC"/>
    <s v="Jeoneui"/>
    <s v="Kia"/>
    <s v="CVa (EV6)"/>
    <s v="OEM"/>
    <x v="2"/>
    <s v="W2233AH"/>
    <s v="K"/>
    <s v="E2"/>
    <s v="Clear"/>
    <s v="Acoustic"/>
    <s v="BF012527, ___ (MB2P)"/>
    <s v="Y"/>
    <x v="0"/>
    <n v="0.33"/>
    <n v="122"/>
    <n v="30"/>
    <s v="N/A"/>
    <s v="N/A"/>
    <n v="0.8"/>
    <n v="400"/>
    <n v="730"/>
    <n v="330"/>
    <n v="190"/>
    <n v="365"/>
    <n v="765"/>
    <n v="400"/>
    <n v="155"/>
    <s v="N/A"/>
    <n v="92"/>
    <n v="1.1036000000000001"/>
    <m/>
    <n v="0.98912786885245907"/>
    <n v="1.0484755409836064"/>
    <n v="869.48471600000005"/>
    <n v="151.47309536050926"/>
    <n v="165.62414518918823"/>
    <n v="329.23690140980557"/>
    <n v="325"/>
    <n v="396.5"/>
    <n v="415.72055199999994"/>
    <n v="1385.7351733333333"/>
    <d v="2024-10-01T00:00:00"/>
    <s v="2024_2761_03819, 2024_2987_04045, 2024_2996_04054"/>
    <m/>
    <m/>
    <m/>
    <m/>
    <m/>
    <m/>
    <n v="0.59836065573770492"/>
    <m/>
  </r>
  <r>
    <s v="KCC"/>
    <s v="Jeoneui"/>
    <s v="Kia"/>
    <s v="CVa (EV6)"/>
    <s v="OEM"/>
    <x v="1"/>
    <s v="W2233AG"/>
    <s v="K"/>
    <s v="E2"/>
    <s v="Clear"/>
    <s v="Acoustic"/>
    <s v="BF012306, BF012511 (CB2P)"/>
    <s v="Y"/>
    <x v="0"/>
    <n v="0.33"/>
    <n v="120"/>
    <n v="30"/>
    <s v="N/A"/>
    <s v="N/A"/>
    <n v="0.8"/>
    <n v="410"/>
    <n v="720"/>
    <n v="310"/>
    <n v="180"/>
    <n v="365"/>
    <n v="765"/>
    <n v="400"/>
    <n v="135"/>
    <s v="N/A"/>
    <n v="90"/>
    <n v="1.097"/>
    <m/>
    <n v="0.98562499999999997"/>
    <n v="1.0447625"/>
    <n v="869.48471600000005"/>
    <n v="152.38441936176667"/>
    <n v="166.62060768531282"/>
    <n v="331.2177250645957"/>
    <n v="330"/>
    <n v="396"/>
    <n v="413.72595000000001"/>
    <n v="1379.0865000000001"/>
    <d v="2024-04-01T00:00:00"/>
    <s v="2024_2519_03576, 2024_2741_03799 (CB2P), 2024_2759_03817 (xxS), 2024_2987_04045"/>
    <s v="W2233AG KE2 CLEAR r120x0165 CB1P, W2233AG KE2 CLEAR r120x0330 CB2P"/>
    <m/>
    <m/>
    <m/>
    <m/>
    <m/>
    <n v="0.6"/>
    <m/>
  </r>
  <r>
    <s v="KCC"/>
    <s v="Jeoneui"/>
    <s v="Kia"/>
    <s v="CVa (EV6)"/>
    <s v="OEM"/>
    <x v="1"/>
    <s v="W2233AE"/>
    <s v="K"/>
    <s v="E2"/>
    <s v="Clear"/>
    <s v="Acoustic"/>
    <s v="BF012141"/>
    <s v="Y"/>
    <x v="0"/>
    <n v="0.33"/>
    <n v="116"/>
    <n v="30"/>
    <s v="N/A"/>
    <s v="N/A"/>
    <n v="0.8"/>
    <n v="370"/>
    <n v="680"/>
    <n v="310"/>
    <n v="180"/>
    <n v="325"/>
    <n v="725"/>
    <n v="400"/>
    <n v="135"/>
    <s v="N/A"/>
    <n v="86"/>
    <n v="1.0838000000000001"/>
    <m/>
    <n v="0.97859827586206904"/>
    <n v="1.0373141724137933"/>
    <n v="869.48471600000005"/>
    <n v="154.24036541784281"/>
    <n v="168.64994153052976"/>
    <n v="335.25174792015264"/>
    <n v="155"/>
    <n v="179.8"/>
    <n v="186.50908820000004"/>
    <n v="621.69696066666677"/>
    <d v="2023-12-01T00:00:00"/>
    <s v="2023_2338_03395"/>
    <s v="W2233AE KE2 CLEAR r116x0155 CB1P"/>
    <s v="Nearly identical to W2233AF at Guangzhou"/>
    <m/>
    <m/>
    <m/>
    <m/>
    <n v="0.58620689655172409"/>
    <m/>
  </r>
  <r>
    <s v="KCC"/>
    <s v="Jeoneui"/>
    <s v="Kia"/>
    <s v="CVa (EV6)"/>
    <s v="OEM"/>
    <x v="1"/>
    <s v="W2238AA"/>
    <s v="K"/>
    <s v="E2"/>
    <s v="Clear"/>
    <s v="Acoustic"/>
    <s v="BF012142"/>
    <s v="Y"/>
    <x v="0"/>
    <n v="0.38"/>
    <n v="116"/>
    <n v="30"/>
    <s v="N/A"/>
    <s v="N/A"/>
    <n v="0.8"/>
    <n v="370"/>
    <n v="680"/>
    <n v="310"/>
    <n v="180"/>
    <n v="325"/>
    <n v="725"/>
    <n v="400"/>
    <n v="135"/>
    <s v="N/A"/>
    <n v="86"/>
    <n v="1.1268"/>
    <m/>
    <n v="1.0056586206896552"/>
    <n v="1.0659981379310346"/>
    <n v="872.73997600000007"/>
    <n v="148.35437348230212"/>
    <n v="162.21406339260577"/>
    <n v="322.45815086604676"/>
    <n v="155"/>
    <n v="179.8"/>
    <n v="191.66646520000003"/>
    <n v="638.8882173333335"/>
    <d v="2023-12-01T00:00:00"/>
    <s v="2023_2338_03395"/>
    <s v="W2238AA KE2 CLEAR r116x0155 CB1P"/>
    <m/>
    <m/>
    <m/>
    <m/>
    <m/>
    <n v="0.58620689655172409"/>
    <m/>
  </r>
  <r>
    <s v="KCC"/>
    <s v="Jeoneui"/>
    <s v="Kia"/>
    <s v="CVa (EV6)"/>
    <s v="OEM"/>
    <x v="1"/>
    <s v="W2243AB"/>
    <s v="K"/>
    <s v="E2"/>
    <s v="Clear"/>
    <s v="Acoustic"/>
    <s v="BF012143"/>
    <s v="Y"/>
    <x v="0"/>
    <n v="0.43"/>
    <n v="115"/>
    <n v="30"/>
    <s v="N/A"/>
    <s v="N/A"/>
    <n v="0.8"/>
    <n v="360"/>
    <n v="670"/>
    <n v="310"/>
    <n v="180"/>
    <n v="315"/>
    <n v="715"/>
    <n v="400"/>
    <n v="135"/>
    <s v="N/A"/>
    <n v="85"/>
    <n v="1.1655"/>
    <m/>
    <n v="1.0304239130434782"/>
    <n v="1.0922493478260868"/>
    <n v="875.99523599999998"/>
    <n v="143.42832092651912"/>
    <n v="156.82780491702115"/>
    <n v="311.75104624269539"/>
    <n v="155"/>
    <n v="178.25"/>
    <n v="194.69344624999999"/>
    <n v="648.97815416666663"/>
    <d v="2023-12-01T00:00:00"/>
    <s v="2023_2338_03395"/>
    <s v="W2243AB KE2 CLEAR r115x0155 CB1P"/>
    <m/>
    <m/>
    <m/>
    <m/>
    <m/>
    <n v="0.58260869565217388"/>
    <m/>
  </r>
  <r>
    <s v="KCC"/>
    <s v="Jeoneui"/>
    <s v="Kia"/>
    <s v="JX1, UM (Sorento III, 2015-2020)"/>
    <s v="OEM"/>
    <x v="1"/>
    <s v="W1338"/>
    <s v="K"/>
    <s v="E2"/>
    <s v="Blue"/>
    <s v="Acoustic"/>
    <s v="BF008930"/>
    <s v="Y"/>
    <x v="2"/>
    <n v="0.38"/>
    <n v="104"/>
    <n v="30"/>
    <n v="15"/>
    <n v="89"/>
    <n v="0.8"/>
    <n v="325"/>
    <n v="585"/>
    <n v="260"/>
    <n v="155"/>
    <m/>
    <m/>
    <n v="0"/>
    <n v="740"/>
    <n v="150"/>
    <n v="74"/>
    <n v="1.0811999999999999"/>
    <m/>
    <n v="0.98115769230769234"/>
    <e v="#VALUE!"/>
    <e v="#VALUE!"/>
    <n v="154.61127269687205"/>
    <n v="169.05550002847593"/>
    <n v="336.05793969280569"/>
    <n v="165"/>
    <n v="171.6"/>
    <e v="#VALUE!"/>
    <e v="#VALUE!"/>
    <s v="TBD"/>
    <s v="2020_0064_01115"/>
    <s v="W1338 KE2 BLU2 R104/15X0.95X0165 CT4P"/>
    <m/>
    <s v="Never produced"/>
    <m/>
    <s v="N/A"/>
    <m/>
    <n v="0.5625"/>
    <m/>
  </r>
  <r>
    <s v="KCC"/>
    <s v="Jeoneui"/>
    <s v="Kia"/>
    <s v="JX1, UM (Sorento III, 2015-2020)"/>
    <s v="OEM"/>
    <x v="1"/>
    <s v="W1340AC"/>
    <s v="K"/>
    <s v="E2"/>
    <s v="Blue"/>
    <s v="Acoustic"/>
    <s v="BF009294"/>
    <s v="Y"/>
    <x v="2"/>
    <n v="0.4"/>
    <n v="104"/>
    <n v="30"/>
    <n v="15"/>
    <n v="89"/>
    <n v="0.8"/>
    <n v="325"/>
    <n v="585"/>
    <n v="260"/>
    <n v="155"/>
    <m/>
    <m/>
    <n v="0"/>
    <n v="740"/>
    <n v="150"/>
    <n v="74"/>
    <n v="1.0960000000000001"/>
    <m/>
    <n v="0.99069230769230776"/>
    <e v="#VALUE!"/>
    <e v="#VALUE!"/>
    <n v="152.52345624074638"/>
    <n v="166.77263378721548"/>
    <n v="331.51993101812178"/>
    <n v="165"/>
    <n v="171.6"/>
    <e v="#VALUE!"/>
    <e v="#VALUE!"/>
    <s v="TBD"/>
    <s v="2020_0244_01296"/>
    <s v="W1340AC KE2 BLU2 r104/15x0165 CT4P"/>
    <s v="New, increased wedge angle"/>
    <s v="Never produced"/>
    <m/>
    <s v="N/A"/>
    <m/>
    <n v="0.5625"/>
    <m/>
  </r>
  <r>
    <s v="KCC"/>
    <s v="Jeoneui"/>
    <s v="Kia"/>
    <s v="KA4 PE (Grand Carnival)"/>
    <s v="OEM"/>
    <x v="2"/>
    <s v="W2252AL"/>
    <s v="K"/>
    <s v="E2"/>
    <s v="Clear"/>
    <s v="Acoustic"/>
    <s v="BF011660 (L9), BF012029 (285m), ___(MB2P)"/>
    <s v="Y"/>
    <x v="0"/>
    <n v="0.52"/>
    <n v="119"/>
    <n v="30"/>
    <s v="N/A"/>
    <s v="N/A"/>
    <n v="0.8"/>
    <n v="365"/>
    <n v="765"/>
    <n v="400"/>
    <n v="125"/>
    <n v="365"/>
    <n v="765"/>
    <n v="400"/>
    <n v="125"/>
    <s v="N/A"/>
    <n v="89"/>
    <n v="1.2627999999999999"/>
    <m/>
    <n v="1.0897361344537817"/>
    <n v="1.1551203025210086"/>
    <n v="881.85470400000008"/>
    <n v="132.37702568883279"/>
    <n v="144.74406606809325"/>
    <n v="287.73031706989349"/>
    <n v="285"/>
    <n v="339.15"/>
    <n v="391.75905060000002"/>
    <n v="1305.8635020000002"/>
    <d v="2023-03-01T00:00:00"/>
    <s v="2023_1918_02975 (short), 2023_2194_03251 (long), 2024_2663_03721 (length change), 2024_2759_03817 (add S), 2024_2987_04045 (remove S), 2024_2996_04054"/>
    <s v="W2252AL KE2 CLEAR r119x0134 CB1P, W2252AL KE2 CLEAR r119x0288 CB2P. No L8 set up."/>
    <m/>
    <m/>
    <m/>
    <s v="N/A"/>
    <m/>
    <n v="0.6428571428571429"/>
    <m/>
  </r>
  <r>
    <s v="KCC"/>
    <s v="Jeoneui"/>
    <s v="Kia"/>
    <s v="KA4 PE (Grand Carnival)"/>
    <s v="OEM"/>
    <x v="1"/>
    <s v="W2254AG"/>
    <s v="K"/>
    <s v="E2"/>
    <s v="Clear"/>
    <s v="Acoustic"/>
    <s v="BF011918"/>
    <s v="Y"/>
    <x v="0"/>
    <n v="0.54"/>
    <n v="119"/>
    <n v="30"/>
    <s v="N/A"/>
    <s v="N/A"/>
    <n v="0.8"/>
    <n v="365"/>
    <n v="765"/>
    <n v="400"/>
    <n v="125"/>
    <n v="365"/>
    <n v="765"/>
    <n v="400"/>
    <n v="125"/>
    <s v="N/A"/>
    <n v="89"/>
    <n v="1.2806000000000002"/>
    <m/>
    <n v="1.1008798319327733"/>
    <n v="1.1669326218487397"/>
    <n v="883.15680800000007"/>
    <n v="130.53702017793069"/>
    <n v="142.73216197937541"/>
    <n v="283.73094205517839"/>
    <n v="134"/>
    <n v="159.46"/>
    <n v="186.07907588000003"/>
    <n v="620.26358626666683"/>
    <s v="Never"/>
    <s v="2023_2091_03148"/>
    <s v="W2254AG KE2 CLEAR r119x0134 CB1P"/>
    <s v="Decided to stay with W2252AL"/>
    <m/>
    <m/>
    <m/>
    <m/>
    <n v="0.6428571428571429"/>
    <m/>
  </r>
  <r>
    <s v="KCC"/>
    <s v="Jeoneui"/>
    <s v="Kia"/>
    <s v="KA4 PE (Grand Carnival)"/>
    <s v="OEM"/>
    <x v="1"/>
    <s v="W2263AA"/>
    <s v="K"/>
    <s v="E2"/>
    <s v="Clear"/>
    <s v="Acoustic"/>
    <s v="BF011661 (L9)"/>
    <s v="Y"/>
    <x v="0"/>
    <n v="0.63"/>
    <n v="119"/>
    <n v="30"/>
    <s v="N/A"/>
    <s v="N/A"/>
    <n v="0.8"/>
    <n v="365"/>
    <n v="765"/>
    <n v="400"/>
    <n v="125"/>
    <n v="365"/>
    <n v="765"/>
    <n v="400"/>
    <n v="125"/>
    <s v="N/A"/>
    <n v="89"/>
    <n v="1.3607"/>
    <m/>
    <n v="1.1510264705882354"/>
    <n v="1.2200880588235294"/>
    <n v="889.01627600000006"/>
    <n v="122.85272877185128"/>
    <n v="134.32998209067992"/>
    <n v="267.02862085387039"/>
    <n v="134"/>
    <n v="159.46"/>
    <n v="194.55524186000002"/>
    <n v="648.51747286666682"/>
    <d v="2023-03-01T00:00:00"/>
    <s v="2023_1918_02975"/>
    <s v="W2263AA KE2 CLEAR r119x0134 CB1P. No L8 set up?"/>
    <s v="Will shape"/>
    <m/>
    <m/>
    <s v="N/A"/>
    <m/>
    <n v="0.6428571428571429"/>
    <m/>
  </r>
  <r>
    <s v="KCC"/>
    <s v="Jeoneui"/>
    <s v="Kia"/>
    <s v="LQ2 (Telluride)"/>
    <s v="OEM"/>
    <x v="0"/>
    <s v="W2257AF"/>
    <s v="K"/>
    <s v="E2"/>
    <s v="Clear"/>
    <s v="Acoustic"/>
    <s v="BF012199"/>
    <s v="Y"/>
    <x v="0"/>
    <n v="0.56999999999999995"/>
    <n v="107"/>
    <n v="30"/>
    <s v="N/A"/>
    <s v="N/A"/>
    <n v="0.8"/>
    <n v="360"/>
    <n v="560"/>
    <n v="200"/>
    <n v="210"/>
    <n v="260"/>
    <n v="660"/>
    <n v="400"/>
    <n v="110"/>
    <s v="N/A"/>
    <n v="77"/>
    <n v="1.2389000000000001"/>
    <m/>
    <n v="1.0809780373831774"/>
    <n v="1.1458367196261681"/>
    <n v="885.10996399999999"/>
    <n v="134.93075150525306"/>
    <n v="147.53636825473257"/>
    <n v="293.28101089342272"/>
    <n v="140"/>
    <n v="149.80000000000001"/>
    <n v="171.6463406"/>
    <n v="572.15446866666673"/>
    <d v="2023-03-01T00:00:00"/>
    <s v="2024_2424_03481"/>
    <s v="W2257AF KE2 CLEAR r107x0140 CB1P"/>
    <m/>
    <m/>
    <m/>
    <m/>
    <m/>
    <n v="0.52336448598130836"/>
    <m/>
  </r>
  <r>
    <s v="KCC"/>
    <s v="Jeoneui"/>
    <s v="Kia"/>
    <s v="LQ2 (Telluride)"/>
    <s v="OEM"/>
    <x v="0"/>
    <s v="W2260AL"/>
    <s v="K"/>
    <s v="R &amp; E2"/>
    <s v="Clear"/>
    <s v="Acoustic"/>
    <s v="BF012719 (LR), BF012816 (KE2 140m), _______ (KE2 285m)"/>
    <s v="Y"/>
    <x v="0"/>
    <n v="0.6"/>
    <n v="107"/>
    <n v="28"/>
    <s v="N/A"/>
    <s v="N/A"/>
    <n v="0.8"/>
    <n v="260"/>
    <n v="660"/>
    <n v="400"/>
    <n v="130"/>
    <n v="260"/>
    <n v="660"/>
    <n v="400"/>
    <n v="130"/>
    <s v="N/A"/>
    <n v="79"/>
    <n v="1.274"/>
    <m/>
    <n v="1.099018691588785"/>
    <n v="1.1649598130841121"/>
    <n v="887.06312000000003"/>
    <n v="131.21327161684303"/>
    <n v="143.47159076200012"/>
    <n v="285.20081977697129"/>
    <n v="140"/>
    <n v="149.80000000000001"/>
    <n v="174.51098000000002"/>
    <n v="623.25350000000003"/>
    <d v="2023-02-01T00:00:00"/>
    <s v="2024_2916_03974 (KR), 2024_2916_03975 (KE2), 2025-0255-0400 (285 m). 2025-0284-0430 (285 m KR)"/>
    <s v="W2260AL KR CLEAR r107x0140 CB1P, W2260AL KE2 CLEAR r107x0140 CB1P"/>
    <m/>
    <m/>
    <m/>
    <m/>
    <m/>
    <n v="0.61682242990654201"/>
    <m/>
  </r>
  <r>
    <s v="KCC"/>
    <s v="Jeoneui"/>
    <s v="Kia"/>
    <s v="LQ2 (Telluride)"/>
    <s v="OEM"/>
    <x v="0"/>
    <s v="W2263AB"/>
    <s v="K"/>
    <s v="E2"/>
    <s v="Clear"/>
    <s v="Acoustic"/>
    <s v="BF012200"/>
    <s v="Y"/>
    <x v="0"/>
    <n v="0.63"/>
    <n v="107"/>
    <n v="30"/>
    <s v="N/A"/>
    <s v="N/A"/>
    <n v="0.8"/>
    <n v="360"/>
    <n v="560"/>
    <n v="200"/>
    <n v="210"/>
    <n v="260"/>
    <n v="660"/>
    <n v="400"/>
    <n v="110"/>
    <s v="N/A"/>
    <n v="77"/>
    <n v="1.2850999999999999"/>
    <m/>
    <n v="1.1105546728971962"/>
    <n v="1.1771879532710281"/>
    <n v="889.01627600000006"/>
    <n v="130.07992221605949"/>
    <n v="142.23236061846407"/>
    <n v="282.73740907000354"/>
    <n v="140"/>
    <n v="149.80000000000001"/>
    <n v="176.34275540000002"/>
    <n v="587.80918466666674"/>
    <d v="2023-03-01T00:00:00"/>
    <s v="2024_2424_03481"/>
    <s v="W2263AB KE2 CLEAR r107x0140 CB1P"/>
    <m/>
    <m/>
    <m/>
    <m/>
    <m/>
    <n v="0.52336448598130836"/>
    <m/>
  </r>
  <r>
    <s v="KCC"/>
    <s v="Jeoneui"/>
    <s v="Kia"/>
    <s v="MQ4 (Sorento)"/>
    <s v="OEM"/>
    <x v="1"/>
    <s v="W2249AA"/>
    <s v="K"/>
    <s v="E2"/>
    <s v="Clear"/>
    <s v="Acoustic"/>
    <s v="BF010192 (CT4P), BF010439"/>
    <s v="Y"/>
    <x v="2"/>
    <n v="0.49"/>
    <n v="109"/>
    <n v="30"/>
    <s v="N/A"/>
    <s v="N/A"/>
    <n v="0.8"/>
    <n v="315"/>
    <n v="605"/>
    <n v="290"/>
    <n v="185"/>
    <n v="205"/>
    <n v="605"/>
    <n v="400"/>
    <n v="185"/>
    <s v="N/A"/>
    <n v="79"/>
    <n v="1.1871"/>
    <m/>
    <n v="1.0468206422018349"/>
    <n v="1.1096298807339449"/>
    <n v="879.90154800000005"/>
    <n v="140.81855617880382"/>
    <n v="153.97422848183655"/>
    <n v="306.07854805480702"/>
    <n v="154"/>
    <n v="167.86"/>
    <n v="186.26247178"/>
    <n v="620.87490593333337"/>
    <s v="TBD"/>
    <s v="2021_1050_02105"/>
    <s v="W2249AA KE2 CLEAR r109x0154 CT4P, W2249AA KE2 CLEAR r109x0154 CB4P"/>
    <m/>
    <m/>
    <m/>
    <s v="N/A"/>
    <m/>
    <n v="0.55504587155963303"/>
    <m/>
  </r>
  <r>
    <s v="KCC"/>
    <s v="Jeoneui"/>
    <s v="Kia"/>
    <s v="MVa (EV7)"/>
    <s v="OEM"/>
    <x v="2"/>
    <s v="W2255AB"/>
    <s v="K"/>
    <s v="E2"/>
    <s v="Clear"/>
    <s v="Acoustic"/>
    <s v="BF012072, ____"/>
    <s v="Y"/>
    <x v="0"/>
    <n v="0.55000000000000004"/>
    <n v="104"/>
    <n v="30"/>
    <s v="N/A"/>
    <s v="N/A"/>
    <n v="0.8"/>
    <n v="280"/>
    <n v="620"/>
    <n v="340"/>
    <n v="120"/>
    <n v="250"/>
    <n v="650"/>
    <n v="400"/>
    <n v="90"/>
    <s v="N/A"/>
    <n v="74"/>
    <n v="1.2070000000000001"/>
    <m/>
    <n v="1.0622019230769231"/>
    <n v="1.1259340384615384"/>
    <n v="883.80786000000012"/>
    <n v="138.49685835945155"/>
    <n v="151.43563101142351"/>
    <n v="301.03218259806255"/>
    <n v="300"/>
    <n v="312"/>
    <n v="351.29141999999996"/>
    <n v="1170.9713999999999"/>
    <d v="2023-10-23T00:00:00"/>
    <s v="2023_2248_03305, 2024_2759_03817, 2024_2987_04045, 2024_2996_04054"/>
    <s v="W2255AB KE2 CLEAR r104x0300 CB2P"/>
    <m/>
    <m/>
    <m/>
    <s v="N/A"/>
    <m/>
    <n v="0.59615384615384615"/>
    <m/>
  </r>
  <r>
    <s v="KCC"/>
    <s v="Jeoneui"/>
    <s v="Kia"/>
    <s v="MVa (EV7)"/>
    <s v="OEM"/>
    <x v="1"/>
    <s v="W2257AE"/>
    <s v="K"/>
    <s v="E2"/>
    <s v="Clear"/>
    <s v="Acoustic"/>
    <s v="BF011780"/>
    <s v="Y"/>
    <x v="0"/>
    <n v="0.56999999999999995"/>
    <n v="104"/>
    <n v="30"/>
    <s v="N/A"/>
    <s v="N/A"/>
    <n v="0.8"/>
    <n v="280"/>
    <n v="620"/>
    <n v="340"/>
    <n v="120"/>
    <n v="250"/>
    <n v="650"/>
    <n v="400"/>
    <n v="90"/>
    <s v="N/A"/>
    <n v="74"/>
    <n v="1.2218"/>
    <m/>
    <n v="1.0717365384615383"/>
    <n v="1.1360407307692304"/>
    <n v="885.10996399999999"/>
    <n v="136.81920775892783"/>
    <n v="149.60124949319706"/>
    <n v="297.38569683733954"/>
    <n v="140"/>
    <n v="145.6"/>
    <n v="165.40753039999993"/>
    <n v="551.35843466666643"/>
    <d v="2023-05-01T00:00:00"/>
    <s v="2023_1983_03040"/>
    <s v="W2257AE KE2 CLEAR r104x0140 CB1P"/>
    <m/>
    <m/>
    <m/>
    <s v="N/A"/>
    <m/>
    <n v="0.59615384615384615"/>
    <m/>
  </r>
  <r>
    <s v="KCC"/>
    <s v="Jeoneui"/>
    <s v="Kia"/>
    <s v="MVa (EV7)"/>
    <s v="OEM"/>
    <x v="1"/>
    <s v="W2262AG"/>
    <s v="K"/>
    <s v="E2"/>
    <s v="Clear"/>
    <s v="Acoustic"/>
    <s v="BF011781"/>
    <s v="Y"/>
    <x v="0"/>
    <n v="0.62"/>
    <n v="104"/>
    <n v="30"/>
    <s v="N/A"/>
    <s v="N/A"/>
    <n v="0.8"/>
    <n v="280"/>
    <n v="620"/>
    <n v="340"/>
    <n v="120"/>
    <n v="250"/>
    <n v="650"/>
    <n v="400"/>
    <n v="90"/>
    <s v="N/A"/>
    <n v="74"/>
    <n v="1.2587999999999999"/>
    <m/>
    <n v="1.0955730769230767"/>
    <n v="1.1613074615384613"/>
    <n v="888.36522400000001"/>
    <n v="132.79767082924852"/>
    <n v="145.20400908070241"/>
    <n v="288.64461741012195"/>
    <n v="140"/>
    <n v="145.6"/>
    <n v="169.08636639999997"/>
    <n v="563.62122133333332"/>
    <d v="2023-05-01T00:00:00"/>
    <s v="2023_1983_03040"/>
    <s v="W2262AG KE2 CLEAR r104x0140 CB1P"/>
    <m/>
    <m/>
    <m/>
    <s v="N/A"/>
    <m/>
    <n v="0.59615384615384615"/>
    <m/>
  </r>
  <r>
    <s v="KCC"/>
    <s v="Jeoneui"/>
    <s v="Kia"/>
    <s v="MVa (EV7)"/>
    <s v="OEM"/>
    <x v="1"/>
    <s v="W2267AB"/>
    <s v="K"/>
    <s v="E2"/>
    <s v="Clear"/>
    <s v="Acoustic"/>
    <s v="BF011782"/>
    <s v="Y"/>
    <x v="0"/>
    <n v="0.67"/>
    <n v="104"/>
    <n v="30"/>
    <s v="N/A"/>
    <s v="N/A"/>
    <n v="0.8"/>
    <n v="280"/>
    <n v="620"/>
    <n v="340"/>
    <n v="120"/>
    <n v="250"/>
    <n v="650"/>
    <n v="400"/>
    <n v="90"/>
    <s v="N/A"/>
    <n v="74"/>
    <n v="1.2958000000000001"/>
    <m/>
    <n v="1.1194096153846154"/>
    <n v="1.1865741923076922"/>
    <n v="891.62048400000003"/>
    <n v="129.00579413478781"/>
    <n v="141.05788441950006"/>
    <n v="280.40271986098276"/>
    <n v="140"/>
    <n v="145.6"/>
    <n v="172.76520239999999"/>
    <n v="575.88400799999999"/>
    <d v="2023-05-01T00:00:00"/>
    <s v="2023_1983_03040"/>
    <s v="W2267AB KE2 CLEAR r104x0140 CB1P"/>
    <m/>
    <m/>
    <m/>
    <s v="N/A"/>
    <m/>
    <n v="0.59615384615384615"/>
    <m/>
  </r>
  <r>
    <s v="KCC"/>
    <s v="Jeoneui"/>
    <s v="Kia"/>
    <s v="NQ5 (Sportage)"/>
    <s v="OEM"/>
    <x v="0"/>
    <s v="W2255AG"/>
    <s v="K"/>
    <s v="E2"/>
    <s v="Clear"/>
    <s v="Acoustic"/>
    <s v="tbd"/>
    <s v="Y"/>
    <x v="0"/>
    <n v="0.55000000000000004"/>
    <n v="115"/>
    <n v="30"/>
    <s v="N/A"/>
    <s v="N/A"/>
    <n v="0.8"/>
    <n v="440"/>
    <n v="680"/>
    <n v="240"/>
    <n v="170"/>
    <n v="360"/>
    <n v="760"/>
    <n v="400"/>
    <n v="90"/>
    <s v="N/A"/>
    <n v="85"/>
    <n v="1.2675000000000001"/>
    <m/>
    <n v="1.0947282608695652"/>
    <n v="1.160411956521739"/>
    <n v="883.80786000000012"/>
    <n v="131.8861601892371"/>
    <n v="144.20734250949758"/>
    <n v="286.66338808351992"/>
    <n v="285"/>
    <n v="327.75"/>
    <n v="380.32501874999997"/>
    <n v="1267.7500625"/>
    <d v="2025-07-01T00:00:00"/>
    <s v="2025-0213-0358"/>
    <s v="W2255 KE2 CLEAR r115x0285 MB2P"/>
    <m/>
    <m/>
    <m/>
    <m/>
    <m/>
    <m/>
    <m/>
  </r>
  <r>
    <s v="KCC"/>
    <s v="Jeoneui"/>
    <s v="Kia"/>
    <s v="ON (Telluride)"/>
    <s v="OEM"/>
    <x v="1"/>
    <s v="W2243AA"/>
    <s v="K"/>
    <s v="E2"/>
    <s v="Clear"/>
    <s v="Acoustic"/>
    <s v="BF010193 (CT4P), BF010440"/>
    <s v="Y"/>
    <x v="2"/>
    <n v="0.43"/>
    <n v="109"/>
    <n v="30"/>
    <s v="N/A"/>
    <s v="N/A"/>
    <n v="0.8"/>
    <n v="400"/>
    <n v="630"/>
    <n v="230"/>
    <n v="160"/>
    <n v="230"/>
    <n v="630"/>
    <n v="400"/>
    <n v="160"/>
    <s v="N/A"/>
    <n v="79"/>
    <n v="1.1396999999999999"/>
    <m/>
    <n v="1.0165977064220182"/>
    <n v="1.0775935688073393"/>
    <n v="875.99523599999998"/>
    <n v="146.67518473269988"/>
    <n v="160.37800002701431"/>
    <n v="318.80832183544925"/>
    <n v="160"/>
    <n v="174.4"/>
    <n v="187.93231839999999"/>
    <n v="626.44106133333332"/>
    <s v="Never"/>
    <s v="2021_1050_02105"/>
    <s v="W2243AA KE2 CLEAR r109x0160 CT4P, W2243AA KE2 CLEAR r109x0160 CB4P"/>
    <s v="F5 version of W1243AB. Never produced on L8. Stopped usage after W1243AB."/>
    <m/>
    <m/>
    <s v="N/A"/>
    <m/>
    <n v="0.57798165137614677"/>
    <m/>
  </r>
  <r>
    <s v="KCC"/>
    <s v="Jeoneui"/>
    <s v="Kia"/>
    <s v="ON (Telluride)"/>
    <s v="OEM"/>
    <x v="1"/>
    <s v="W1243AB"/>
    <s v="K"/>
    <s v="E2"/>
    <s v="Clear"/>
    <s v="Acoustic"/>
    <s v="BF009986"/>
    <s v="Y"/>
    <x v="2"/>
    <n v="0.43"/>
    <n v="109"/>
    <n v="30"/>
    <s v="N/A"/>
    <s v="N/A"/>
    <n v="0.8"/>
    <n v="400"/>
    <n v="630"/>
    <n v="230"/>
    <n v="160"/>
    <n v="230"/>
    <n v="630"/>
    <n v="400"/>
    <n v="160"/>
    <s v="N/A"/>
    <n v="79"/>
    <n v="1.1396999999999999"/>
    <m/>
    <n v="1.0165977064220182"/>
    <n v="0"/>
    <n v="0"/>
    <n v="146.67518473269988"/>
    <n v="160.37800002701431"/>
    <n v="318.80832183544925"/>
    <n v="160"/>
    <n v="174.4"/>
    <n v="0"/>
    <n v="0"/>
    <d v="2021-08-01T00:00:00"/>
    <s v="2021_0929_01984"/>
    <m/>
    <s v="Wider HUD area, wider roll for Klopper shaper"/>
    <m/>
    <m/>
    <s v="N/A"/>
    <m/>
    <n v="0.57798165137614677"/>
    <m/>
  </r>
  <r>
    <s v="KCC"/>
    <s v="Jeoneui"/>
    <s v="Kia"/>
    <s v="ON (Telluride)"/>
    <s v="OEM"/>
    <x v="1"/>
    <s v="W1243"/>
    <s v="K"/>
    <s v="E2"/>
    <s v="Clear"/>
    <s v="Acoustic"/>
    <s v="BF008931"/>
    <s v="Y"/>
    <x v="2"/>
    <n v="0.43"/>
    <n v="105"/>
    <n v="30"/>
    <s v="N/A"/>
    <s v="N/A"/>
    <n v="0.8"/>
    <n v="375"/>
    <n v="575"/>
    <n v="200"/>
    <n v="175"/>
    <m/>
    <m/>
    <n v="0"/>
    <n v="750"/>
    <s v="N/A"/>
    <n v="75"/>
    <n v="1.1225000000000001"/>
    <m/>
    <n v="1.0073214285714287"/>
    <n v="0"/>
    <n v="0"/>
    <n v="148.92267976824769"/>
    <n v="162.83546247731684"/>
    <n v="323.69340257983202"/>
    <n v="160"/>
    <n v="168"/>
    <n v="0"/>
    <n v="0"/>
    <s v="TBD"/>
    <s v="2020_0064_01115"/>
    <s v="W1243 KE2 CLEAR R105X0.95X0160 CT4P"/>
    <m/>
    <s v="Never produced"/>
    <m/>
    <s v="N/A"/>
    <m/>
    <n v="0.54761904761904767"/>
    <m/>
  </r>
  <r>
    <s v="KCC"/>
    <s v="Jeoneui"/>
    <s v="Kia"/>
    <s v="ON (Telluride)"/>
    <s v="OEM"/>
    <x v="1"/>
    <s v="W1243AA"/>
    <s v="K"/>
    <s v="E2"/>
    <s v="Clear"/>
    <s v="Acoustic"/>
    <s v="BF009673"/>
    <s v="Y"/>
    <x v="2"/>
    <n v="0.43"/>
    <n v="107"/>
    <n v="30"/>
    <s v="N/A"/>
    <s v="N/A"/>
    <n v="0.8"/>
    <n v="395"/>
    <n v="595"/>
    <n v="200"/>
    <n v="175"/>
    <m/>
    <m/>
    <n v="0"/>
    <n v="770"/>
    <s v="N/A"/>
    <n v="77"/>
    <n v="1.1311"/>
    <m/>
    <n v="1.0119658878504674"/>
    <n v="0"/>
    <n v="0"/>
    <n v="147.79038815299975"/>
    <n v="161.59738894066675"/>
    <n v="321.23229104045748"/>
    <n v="160"/>
    <n v="171.2"/>
    <n v="0"/>
    <n v="0"/>
    <d v="2021-02-01T00:00:00"/>
    <s v="2021_0613_01665"/>
    <m/>
    <s v="Wider width. Back to original angle."/>
    <n v="4"/>
    <m/>
    <s v="N/A"/>
    <m/>
    <n v="0.55607476635514019"/>
    <m/>
  </r>
  <r>
    <s v="KCC"/>
    <s v="Jeoneui"/>
    <s v="Kia"/>
    <s v="ON (Telluride)"/>
    <s v="OEM"/>
    <x v="1"/>
    <s v="W1245AA"/>
    <s v="K"/>
    <s v="E2"/>
    <s v="Clear"/>
    <s v="Acoustic"/>
    <s v="BF009296"/>
    <s v="Y"/>
    <x v="2"/>
    <n v="0.45"/>
    <n v="105"/>
    <n v="30"/>
    <s v="N/A"/>
    <s v="N/A"/>
    <n v="0.8"/>
    <n v="375"/>
    <n v="575"/>
    <n v="200"/>
    <n v="175"/>
    <m/>
    <m/>
    <n v="0"/>
    <n v="750"/>
    <s v="N/A"/>
    <n v="75"/>
    <n v="1.1375000000000002"/>
    <m/>
    <n v="1.016964285714286"/>
    <n v="0"/>
    <n v="0"/>
    <n v="146.95886421086416"/>
    <n v="160.68818165344013"/>
    <n v="319.42491815020787"/>
    <n v="160"/>
    <n v="168"/>
    <n v="0"/>
    <n v="0"/>
    <s v="Never"/>
    <s v="2020_0244_01296"/>
    <s v="W1245AA KE2 CLEAR r105x0160 CT4P"/>
    <s v="New, increased wedge angle"/>
    <s v="Never produced?"/>
    <m/>
    <s v="N/A"/>
    <m/>
    <n v="0.54761904761904767"/>
    <m/>
  </r>
  <r>
    <s v="KCC"/>
    <s v="Jeoneui"/>
    <s v="Kia"/>
    <s v="SV1 (EV3)"/>
    <s v="OEM"/>
    <x v="0"/>
    <s v="W2249AI"/>
    <s v="K"/>
    <s v="E2"/>
    <s v="Clear"/>
    <s v="Acoustic"/>
    <s v="BF012302"/>
    <s v="Y"/>
    <x v="0"/>
    <n v="0.49"/>
    <n v="106"/>
    <n v="29"/>
    <s v="N/A"/>
    <s v="N/A"/>
    <n v="0.8"/>
    <n v="350"/>
    <n v="620"/>
    <n v="270"/>
    <n v="150"/>
    <n v="285"/>
    <n v="685"/>
    <n v="400"/>
    <n v="85"/>
    <s v="N/A"/>
    <n v="77"/>
    <n v="1.1773"/>
    <m/>
    <n v="1.0402617924528303"/>
    <n v="1.1026775000000002"/>
    <n v="879.90154800000005"/>
    <n v="141.99074835628815"/>
    <n v="155.25593020537517"/>
    <n v="308.62638613425759"/>
    <n v="150"/>
    <n v="159"/>
    <n v="175.32572250000004"/>
    <n v="604.57145689655192"/>
    <d v="2024-03-01T00:00:00"/>
    <s v="2024_2510_03567"/>
    <s v="W2249AI KE2 CLEAR r106x0150 CB1P"/>
    <m/>
    <m/>
    <m/>
    <m/>
    <m/>
    <n v="0.58490566037735847"/>
    <m/>
  </r>
  <r>
    <s v="NSG"/>
    <s v="Chmielow"/>
    <s v="Audi"/>
    <s v="Q3"/>
    <s v="OEM"/>
    <x v="1"/>
    <s v="W2248AC"/>
    <s v="K"/>
    <s v="E2"/>
    <s v="Clear"/>
    <s v="Acoustic"/>
    <s v="BF011557"/>
    <s v="Y"/>
    <x v="2"/>
    <n v="0.48"/>
    <n v="106"/>
    <n v="25"/>
    <s v="N/A"/>
    <s v="N/A"/>
    <n v="0.8"/>
    <n v="200"/>
    <n v="600"/>
    <n v="400"/>
    <n v="210"/>
    <n v="200"/>
    <n v="600"/>
    <n v="400"/>
    <n v="210"/>
    <s v="N/A"/>
    <n v="81"/>
    <n v="1.1888000000000001"/>
    <m/>
    <n v="1.0402490566037736"/>
    <n v="1.1026640000000001"/>
    <n v="879.250496"/>
    <n v="140.61718374819819"/>
    <n v="153.75404326277604"/>
    <n v="305.64085161159272"/>
    <n v="154"/>
    <n v="163.24"/>
    <n v="179.99887136000004"/>
    <n v="719.99548544000015"/>
    <d v="2023-01-23T00:00:00"/>
    <s v="2022_1819_02875"/>
    <s v="W2248AC KE2 CLEAR r106x0154 CT1P"/>
    <m/>
    <m/>
    <m/>
    <s v="N/A"/>
    <m/>
    <n v="0.56603773584905659"/>
    <m/>
  </r>
  <r>
    <s v="NSG"/>
    <s v="Chmielow"/>
    <s v="Audi"/>
    <s v="Q3 (or A3?)"/>
    <s v="OEM"/>
    <x v="2"/>
    <s v="W2248AI"/>
    <s v="K"/>
    <s v="E2"/>
    <s v="Clear"/>
    <s v="Acoustic"/>
    <s v="BF012076"/>
    <s v="Y"/>
    <x v="3"/>
    <n v="0.48"/>
    <n v="108"/>
    <n v="25"/>
    <s v="N/A"/>
    <s v="N/A"/>
    <n v="0.8"/>
    <n v="200"/>
    <n v="600"/>
    <n v="400"/>
    <n v="230"/>
    <n v="200"/>
    <n v="600"/>
    <n v="400"/>
    <n v="230"/>
    <s v="N/A"/>
    <n v="83"/>
    <n v="1.1983999999999999"/>
    <m/>
    <n v="1.0453111111111111"/>
    <n v="1.1080297777777779"/>
    <n v="879.250496"/>
    <n v="139.49074435902708"/>
    <n v="152.52236868390202"/>
    <n v="303.19246027692049"/>
    <n v="303"/>
    <n v="327.24"/>
    <n v="362.59166448000002"/>
    <n v="1450.3666579200001"/>
    <d v="2023-12-01T00:00:00"/>
    <s v="2023_2249_03306"/>
    <s v="W2248AI KE2 CLEAR r108x0303 MT2P"/>
    <m/>
    <m/>
    <m/>
    <m/>
    <m/>
    <n v="0.55555555555555558"/>
    <m/>
  </r>
  <r>
    <s v="NSG"/>
    <s v="Collingwood"/>
    <s v="Toyota"/>
    <s v="Highlander (220D)"/>
    <s v="OEM"/>
    <x v="1"/>
    <s v="W2257AB"/>
    <s v="L"/>
    <s v="E2"/>
    <s v="Clear"/>
    <s v="Acoustic"/>
    <s v="BF011512"/>
    <s v="Y"/>
    <x v="0"/>
    <n v="0.56999999999999995"/>
    <n v="111"/>
    <n v="30"/>
    <s v="N/A"/>
    <s v="N/A"/>
    <n v="0.8"/>
    <n v="273"/>
    <n v="491"/>
    <n v="218"/>
    <n v="319"/>
    <n v="273"/>
    <n v="673"/>
    <n v="400"/>
    <n v="137"/>
    <s v="N/A"/>
    <n v="81"/>
    <n v="1.2617"/>
    <m/>
    <n v="1.093241891891892"/>
    <n v="1.1588364054054054"/>
    <n v="885.10996399999999"/>
    <n v="132.4924372195118"/>
    <n v="144.87025967408113"/>
    <n v="287.98117174911744"/>
    <n v="145"/>
    <n v="160.94999999999999"/>
    <n v="186.51471945"/>
    <n v="621.71573150000006"/>
    <d v="2023-01-01T00:00:00"/>
    <s v="2022_1793_02849"/>
    <s v="W2257AB LE2 CLEAR r111x0145 CB1P"/>
    <m/>
    <m/>
    <m/>
    <s v="N/A"/>
    <m/>
    <n v="0.44234234234234238"/>
    <m/>
  </r>
  <r>
    <s v="NSG"/>
    <s v="Collingwood"/>
    <s v="Toyota"/>
    <s v="Highlander (ZZ03-200D)"/>
    <s v="OEM"/>
    <x v="1"/>
    <s v="W2254AC"/>
    <s v="L"/>
    <s v="E2"/>
    <s v="Clear"/>
    <s v="Acoustic"/>
    <s v="BF011507"/>
    <s v="Y"/>
    <x v="0"/>
    <n v="0.54"/>
    <n v="111"/>
    <n v="30"/>
    <s v="N/A"/>
    <s v="N/A"/>
    <n v="0.8"/>
    <n v="273"/>
    <n v="491"/>
    <n v="218"/>
    <n v="319"/>
    <n v="273"/>
    <n v="673"/>
    <n v="400"/>
    <n v="137"/>
    <s v="N/A"/>
    <n v="81"/>
    <n v="1.2374000000000001"/>
    <m/>
    <n v="1.0778081081081081"/>
    <n v="1.1424765945945947"/>
    <n v="883.15680800000007"/>
    <n v="135.09431714874577"/>
    <n v="147.7152146684889"/>
    <n v="293.63653175679769"/>
    <n v="148"/>
    <n v="164.28"/>
    <n v="187.68605496000004"/>
    <n v="625.62018320000016"/>
    <d v="2023-01-01T00:00:00"/>
    <s v="2022_1790_02846"/>
    <s v="W2254AC LE2 CLEAR r111x0148 CB1P"/>
    <m/>
    <m/>
    <m/>
    <s v="N/A"/>
    <m/>
    <n v="0.44234234234234238"/>
    <m/>
  </r>
  <r>
    <s v="NSG"/>
    <s v="Collingwood"/>
    <s v="Honda"/>
    <s v="CRV 34A"/>
    <s v="OEM"/>
    <x v="0"/>
    <s v="W2220AF"/>
    <s v="L"/>
    <s v="E2"/>
    <s v="Clear"/>
    <s v="Acoustic"/>
    <m/>
    <m/>
    <x v="0"/>
    <n v="0.2"/>
    <n v="110"/>
    <n v="30"/>
    <s v="N/A"/>
    <s v="N/A"/>
    <n v="0.8"/>
    <n v="100"/>
    <n v="600"/>
    <n v="500"/>
    <n v="200"/>
    <n v="100"/>
    <n v="600"/>
    <n v="500"/>
    <n v="200"/>
    <s v="N/A"/>
    <n v="80"/>
    <n v="0.96000000000000008"/>
    <m/>
    <n v="0.90181818181818185"/>
    <n v="0.95592727272727274"/>
    <n v="861.02103999999997"/>
    <n v="174.1309458748521"/>
    <n v="190.398756907071"/>
    <n v="378.48525457902235"/>
    <n v="190"/>
    <n v="209"/>
    <n v="199.78880000000001"/>
    <n v="665.96266666666668"/>
    <m/>
    <m/>
    <s v="W2220AF LE2 CLEAR r110x0190 CB1P"/>
    <m/>
    <m/>
    <m/>
    <m/>
    <m/>
    <m/>
    <m/>
  </r>
  <r>
    <s v="NSG"/>
    <s v="Collingwood"/>
    <s v="Toyota/Lexus"/>
    <s v="Grand Highlander/TX (220/220D)"/>
    <s v="OEM"/>
    <x v="0"/>
    <s v="W2248AF"/>
    <s v="L"/>
    <s v="E2"/>
    <s v="Clear"/>
    <s v="Acoustic"/>
    <s v="BF011812"/>
    <s v="Y"/>
    <x v="0"/>
    <n v="0.48"/>
    <n v="111"/>
    <n v="30"/>
    <s v="N/A"/>
    <s v="N/A"/>
    <n v="0.8"/>
    <n v="273"/>
    <n v="491"/>
    <n v="218"/>
    <n v="319"/>
    <n v="273"/>
    <n v="673"/>
    <n v="400"/>
    <n v="137"/>
    <s v="N/A"/>
    <n v="81"/>
    <n v="1.1888000000000001"/>
    <m/>
    <n v="1.0469405405405405"/>
    <n v="1.109756972972973"/>
    <n v="879.250496"/>
    <n v="140.61718374819819"/>
    <n v="153.75404326277604"/>
    <n v="305.64085161159272"/>
    <n v="120"/>
    <n v="133.19999999999999"/>
    <n v="147.8196288"/>
    <n v="492.73209600000001"/>
    <d v="2023-06-23T00:00:00"/>
    <s v="2023_2028_03085"/>
    <s v="W2248AF LE2 CLEAR r111x0120 C01P"/>
    <m/>
    <m/>
    <m/>
    <m/>
    <m/>
    <n v="0.44234234234234238"/>
    <m/>
  </r>
  <r>
    <s v="NSG"/>
    <s v="Maizuru"/>
    <s v="Mazda"/>
    <s v="6 (J69)"/>
    <s v="OEM"/>
    <x v="0"/>
    <s v="W2239AF"/>
    <s v="L"/>
    <s v="E2"/>
    <s v="Clear"/>
    <s v="Acoustic"/>
    <s v="BF012392 (50m), BF012393 (163m)"/>
    <s v="Y"/>
    <x v="0"/>
    <n v="0.39"/>
    <n v="112"/>
    <n v="30"/>
    <s v="N/A"/>
    <s v="N/A"/>
    <n v="0.8"/>
    <n v="200"/>
    <n v="600"/>
    <n v="400"/>
    <n v="220"/>
    <n v="200"/>
    <n v="600"/>
    <n v="400"/>
    <n v="220"/>
    <s v="N/A"/>
    <n v="82"/>
    <n v="1.1198000000000001"/>
    <m/>
    <n v="1.0027303571428572"/>
    <n v="1.0628941785714288"/>
    <n v="873.39102800000012"/>
    <n v="149.28175392021612"/>
    <n v="163.22808236362579"/>
    <n v="324.47387425956549"/>
    <n v="163"/>
    <n v="182.56"/>
    <n v="194.04196124000003"/>
    <n v="646.80653746666678"/>
    <d v="2024-06-01T00:00:00"/>
    <s v="2024_2621_03679"/>
    <s v="W2239AF LE2 CLEAR r112x0050 CB1P, W2239AF LE2 CLEAR r112x0163 CB1P"/>
    <m/>
    <m/>
    <m/>
    <m/>
    <m/>
    <n v="0.5357142857142857"/>
    <m/>
  </r>
  <r>
    <s v="NSG"/>
    <s v="Maizuru"/>
    <s v="Mazda"/>
    <s v="6 (J69P)"/>
    <s v="OEM"/>
    <x v="0"/>
    <s v="W2238AC"/>
    <s v="L"/>
    <s v="R &amp; E2"/>
    <s v="Clear"/>
    <s v="Acoustic"/>
    <s v="BF012814 (120 m), ___ (300 m)"/>
    <s v="Y"/>
    <x v="0"/>
    <n v="0.38"/>
    <n v="112"/>
    <n v="30"/>
    <s v="N/A"/>
    <s v="N/A"/>
    <n v="0.8"/>
    <n v="200"/>
    <n v="600"/>
    <n v="400"/>
    <n v="220"/>
    <n v="200"/>
    <n v="600"/>
    <n v="400"/>
    <n v="220"/>
    <s v="N/A"/>
    <n v="82"/>
    <n v="1.1116000000000001"/>
    <m/>
    <n v="0.99753214285714287"/>
    <n v="1.0573840714285716"/>
    <n v="872.73997600000007"/>
    <n v="150.38296872963119"/>
    <n v="164.43217581035279"/>
    <n v="326.8674382834306"/>
    <n v="300"/>
    <n v="336"/>
    <n v="355.28104800000006"/>
    <n v="1184.2701600000003"/>
    <s v="?"/>
    <s v="2025-0064-0201, 2025-0214-0359"/>
    <s v="W2238AC LE2 CLEAR r112x0120 CB1P"/>
    <m/>
    <m/>
    <m/>
    <m/>
    <m/>
    <m/>
    <m/>
  </r>
  <r>
    <s v="NSG"/>
    <s v="Maizuru"/>
    <s v="Mazda"/>
    <s v="CX-5, CX-8, M6"/>
    <s v="OEM"/>
    <x v="2"/>
    <s v="W2243AC"/>
    <s v="L"/>
    <s v="R &amp; E2"/>
    <s v="Clear"/>
    <s v="Acoustic"/>
    <s v="BF012191 (E2), BF012617 (LR)"/>
    <s v="Y"/>
    <x v="0"/>
    <n v="0.43"/>
    <n v="112"/>
    <n v="20"/>
    <s v="N/A"/>
    <s v="N/A"/>
    <n v="0.8"/>
    <n v="150"/>
    <n v="550"/>
    <n v="400"/>
    <n v="370"/>
    <n v="150"/>
    <n v="550"/>
    <n v="400"/>
    <n v="370"/>
    <s v="N/A"/>
    <n v="92"/>
    <n v="1.1956"/>
    <m/>
    <n v="1.0331214285714285"/>
    <n v="1.0951087142857141"/>
    <n v="875.99523599999998"/>
    <n v="139.81742057532455"/>
    <n v="152.87956392672146"/>
    <n v="303.90251287710061"/>
    <s v="300, 120"/>
    <e v="#VALUE!"/>
    <e v="#VALUE!"/>
    <e v="#VALUE!"/>
    <d v="2024-01-01T00:00:00"/>
    <s v="2024_2405_03462, 2024_2829_03887"/>
    <s v="W2243AC LE2 CLEAR r112x0300 CB2P, W2243AC LR CLEAR r112x0120 CB1P"/>
    <s v="Eliminated the &quot;H&quot;"/>
    <m/>
    <m/>
    <m/>
    <m/>
    <n v="0.49107142857142855"/>
    <m/>
  </r>
  <r>
    <s v="NSG"/>
    <s v="Maizuru"/>
    <s v="Mazda"/>
    <s v="CX-5, CX-8, M7"/>
    <s v="OEM"/>
    <x v="1"/>
    <s v="W2243ACH"/>
    <s v="L"/>
    <s v="E2"/>
    <s v="Clear"/>
    <s v="Acoustic"/>
    <s v="BF012173"/>
    <s v="Y"/>
    <x v="0"/>
    <n v="0.43"/>
    <n v="112"/>
    <n v="20"/>
    <s v="N/A"/>
    <s v="N/A"/>
    <n v="0.8"/>
    <n v="150"/>
    <n v="550"/>
    <n v="400"/>
    <n v="370"/>
    <n v="150"/>
    <n v="550"/>
    <n v="400"/>
    <n v="370"/>
    <s v="N/A"/>
    <n v="92"/>
    <n v="1.1956"/>
    <m/>
    <n v="1.0331214285714285"/>
    <n v="1.0951087142857141"/>
    <n v="875.99523599999998"/>
    <n v="139.81742057532455"/>
    <n v="152.87956392672146"/>
    <n v="303.90251287710061"/>
    <n v="300"/>
    <n v="336"/>
    <n v="367.95652799999993"/>
    <n v="1839.7826399999997"/>
    <s v="Never"/>
    <s v="2024_2389_03446"/>
    <s v="W2243AC-H LE2 CLEAR r112x0300 CB2P"/>
    <s v="Extra &quot;H&quot; on code for winding direction"/>
    <m/>
    <m/>
    <m/>
    <m/>
    <n v="0.49107142857142855"/>
    <m/>
  </r>
  <r>
    <s v="NSG"/>
    <s v="Maizuru"/>
    <s v="Mazda"/>
    <s v="CX-60 (J30)"/>
    <s v="OEM"/>
    <x v="1"/>
    <s v="W2248AHH"/>
    <s v="L"/>
    <s v="E2"/>
    <s v="Clear"/>
    <s v="Acoustic"/>
    <s v="BF011951"/>
    <s v="Y"/>
    <x v="0"/>
    <n v="0.48"/>
    <n v="112"/>
    <n v="25"/>
    <s v="N/A"/>
    <s v="N/A"/>
    <n v="0.8"/>
    <n v="200"/>
    <n v="600"/>
    <n v="400"/>
    <n v="270"/>
    <n v="200"/>
    <n v="600"/>
    <n v="400"/>
    <n v="270"/>
    <s v="N/A"/>
    <n v="87"/>
    <n v="1.2176"/>
    <m/>
    <n v="1.0554071428571428"/>
    <n v="1.1187315714285713"/>
    <n v="879.250496"/>
    <n v="137.29115312077695"/>
    <n v="150.11728534066046"/>
    <n v="298.41150163917661"/>
    <n v="150"/>
    <n v="168"/>
    <n v="187.94690399999996"/>
    <n v="751.78761599999984"/>
    <d v="2023-09-01T00:00:00"/>
    <s v="2023_2146_03203"/>
    <s v="W2248AH-H LE2 CLEAR r112x0150 CB2P"/>
    <s v="Extra &quot;H&quot; on code for winding direction"/>
    <m/>
    <m/>
    <m/>
    <m/>
    <n v="0.5357142857142857"/>
    <m/>
  </r>
  <r>
    <s v="NSG"/>
    <s v="Maizuru"/>
    <s v="Toyota"/>
    <s v="Alphard"/>
    <s v="OEM"/>
    <x v="1"/>
    <s v="W2237AF"/>
    <s v="L"/>
    <s v="E2"/>
    <s v="Clear"/>
    <s v="Acoustic"/>
    <s v="BF012217"/>
    <s v="Y"/>
    <x v="0"/>
    <n v="0.37"/>
    <n v="136"/>
    <n v="15"/>
    <s v="N/A"/>
    <s v="N/A"/>
    <n v="0.85"/>
    <n v="350"/>
    <n v="800"/>
    <n v="450"/>
    <n v="410"/>
    <n v="350"/>
    <n v="800"/>
    <n v="450"/>
    <n v="410"/>
    <s v="N/A"/>
    <n v="121"/>
    <n v="1.2977000000000001"/>
    <m/>
    <n v="1.0985393382352939"/>
    <n v="1.1644516985294115"/>
    <n v="925.08892400000002"/>
    <n v="128.81691303063732"/>
    <n v="140.85135750234119"/>
    <n v="279.99217415108382"/>
    <n v="141"/>
    <n v="191.76"/>
    <n v="223.29525770999996"/>
    <n v="1488.6350513999998"/>
    <d v="2024-02-01T00:00:00"/>
    <s v="2024_2444_03501"/>
    <s v="W2237AF LE2 CLEAR r136x0141 CB2P"/>
    <s v="Why short rolls in a 2-roll package?"/>
    <s v="Increased thin edge caliper"/>
    <m/>
    <m/>
    <m/>
    <n v="0.58823529411764708"/>
    <m/>
  </r>
  <r>
    <s v="NSG"/>
    <s v="Maizuru"/>
    <s v="Toyota"/>
    <s v="Alphard"/>
    <s v="OEM"/>
    <x v="2"/>
    <s v="W2237AG"/>
    <s v="L"/>
    <s v="R &amp; E2"/>
    <s v="Clear"/>
    <s v="Acoustic"/>
    <s v="BF012505"/>
    <s v="Y"/>
    <x v="0"/>
    <n v="0.37"/>
    <n v="136"/>
    <n v="15"/>
    <s v="N/A"/>
    <s v="N/A"/>
    <n v="0.87"/>
    <n v="350"/>
    <n v="800"/>
    <n v="450"/>
    <n v="410"/>
    <n v="350"/>
    <n v="800"/>
    <n v="450"/>
    <n v="410"/>
    <s v="N/A"/>
    <n v="121"/>
    <n v="1.3177000000000001"/>
    <m/>
    <n v="1.1185393382352942"/>
    <n v="1.1856516985294119"/>
    <n v="946.28892399999995"/>
    <n v="126.86173487125903"/>
    <n v="138.713521006897"/>
    <n v="275.74246368358615"/>
    <n v="120"/>
    <n v="163.19999999999999"/>
    <n v="193.49835720000002"/>
    <n v="1289.9890480000001"/>
    <d v="2024-10-01T00:00:00"/>
    <s v="2024_2730_03788"/>
    <s v="W2237AG LE2 CLEAR r136x0120 CB1P"/>
    <m/>
    <m/>
    <m/>
    <m/>
    <m/>
    <m/>
    <m/>
  </r>
  <r>
    <s v="NSG"/>
    <s v="Maizuru"/>
    <s v="Toyota"/>
    <s v="Alphard"/>
    <s v="OEM"/>
    <x v="1"/>
    <s v="W2237ADH"/>
    <s v="L"/>
    <s v="E2"/>
    <s v="Clear"/>
    <s v="Acoustic"/>
    <s v="BF011968"/>
    <s v="Y"/>
    <x v="0"/>
    <n v="0.37"/>
    <n v="136"/>
    <n v="20"/>
    <s v="N/A"/>
    <s v="N/A"/>
    <n v="0.8"/>
    <n v="350"/>
    <n v="800"/>
    <n v="450"/>
    <n v="360"/>
    <n v="350"/>
    <n v="800"/>
    <n v="450"/>
    <n v="360"/>
    <s v="N/A"/>
    <n v="116"/>
    <n v="1.2292000000000001"/>
    <m/>
    <n v="1.0461588235294119"/>
    <n v="1.1089283529411766"/>
    <n v="872.08892400000002"/>
    <n v="135.99553208579403"/>
    <n v="148.70062368271084"/>
    <n v="295.59538268456026"/>
    <n v="149"/>
    <n v="202.64"/>
    <n v="224.71324144000002"/>
    <n v="1123.5662072"/>
    <d v="2023-09-01T00:00:00"/>
    <s v="2023_2159_03216"/>
    <s v="W2237ADH LE2 CLEAR r136x0149 CB1P"/>
    <m/>
    <m/>
    <m/>
    <m/>
    <m/>
    <n v="0.58823529411764708"/>
    <m/>
  </r>
  <r>
    <s v="NSG"/>
    <s v="Maizuru"/>
    <s v="Toyota"/>
    <s v="Alphard"/>
    <s v="OEM"/>
    <x v="1"/>
    <s v="W2237AAH"/>
    <s v="L"/>
    <s v="E2"/>
    <s v="Clear"/>
    <s v="Acoustic"/>
    <s v="BF011335"/>
    <s v="Y"/>
    <x v="0"/>
    <n v="0.37"/>
    <n v="139"/>
    <n v="30"/>
    <s v="N/A"/>
    <s v="N/A"/>
    <n v="0.8"/>
    <n v="350"/>
    <n v="800"/>
    <n v="450"/>
    <n v="290"/>
    <n v="350"/>
    <n v="800"/>
    <n v="450"/>
    <n v="290"/>
    <s v="N/A"/>
    <n v="109"/>
    <n v="1.2033"/>
    <m/>
    <n v="1.0451715827338133"/>
    <n v="1.1078818776978421"/>
    <n v="872.08892400000002"/>
    <n v="138.92271922202113"/>
    <n v="151.90127701386865"/>
    <n v="301.95781965915523"/>
    <n v="50"/>
    <n v="69.5"/>
    <n v="76.997790500000022"/>
    <n v="256.65930166666675"/>
    <s v="Never"/>
    <s v="2022_1650_02706"/>
    <s v="W2237AAH r139x0050 CB1P"/>
    <s v="Extra &quot;H&quot; on code for winding direction"/>
    <m/>
    <m/>
    <s v="N/A"/>
    <m/>
    <n v="0.57553956834532372"/>
    <m/>
  </r>
  <r>
    <s v="NSG"/>
    <s v="Maizuru"/>
    <s v="Toyota"/>
    <s v="Alphard"/>
    <s v="OEM"/>
    <x v="1"/>
    <s v="W2237ACH"/>
    <s v="L"/>
    <s v="E2"/>
    <s v="Clear"/>
    <s v="Acoustic"/>
    <s v="BF011586"/>
    <s v="Y"/>
    <x v="0"/>
    <n v="0.37"/>
    <n v="136"/>
    <n v="30"/>
    <s v="N/A"/>
    <s v="N/A"/>
    <n v="0.8"/>
    <n v="320"/>
    <n v="770"/>
    <n v="450"/>
    <n v="290"/>
    <n v="320"/>
    <n v="770"/>
    <n v="450"/>
    <n v="290"/>
    <s v="N/A"/>
    <n v="106"/>
    <n v="1.1922000000000001"/>
    <m/>
    <n v="1.0393573529411764"/>
    <n v="1.1017187941176469"/>
    <n v="872.08892400000002"/>
    <n v="140.21616175126491"/>
    <n v="153.31555664384175"/>
    <n v="304.76920348587601"/>
    <n v="153"/>
    <n v="208.08"/>
    <n v="229.24564667999999"/>
    <n v="764.15215560000001"/>
    <d v="2023-02-23T00:00:00"/>
    <s v="2023_1863_02920"/>
    <s v="W2237ACH LE2 CLEAR r136x0153 CB4P"/>
    <s v="Extra &quot;H&quot; on code for winding direction"/>
    <m/>
    <m/>
    <s v="N/A"/>
    <m/>
    <n v="0.56617647058823528"/>
    <m/>
  </r>
  <r>
    <s v="NSG"/>
    <s v="Maizuru"/>
    <s v="Toyota"/>
    <s v="Alphard"/>
    <s v="OEM"/>
    <x v="1"/>
    <s v="W2237AEH"/>
    <s v="L"/>
    <s v="E2"/>
    <s v="Clear"/>
    <s v="Acoustic"/>
    <s v="BF012188 (142m), BF012189 (283m)"/>
    <s v="Y"/>
    <x v="0"/>
    <n v="0.37"/>
    <n v="136"/>
    <n v="5"/>
    <s v="N/A"/>
    <s v="N/A"/>
    <n v="0.8"/>
    <n v="350"/>
    <n v="800"/>
    <n v="450"/>
    <n v="510"/>
    <n v="350"/>
    <n v="800"/>
    <n v="450"/>
    <n v="510"/>
    <s v="N/A"/>
    <n v="131"/>
    <n v="1.2847"/>
    <m/>
    <n v="1.051259926470588"/>
    <n v="1.1143355220588231"/>
    <n v="872.08892400000002"/>
    <n v="130.12042347618745"/>
    <n v="142.27664562215941"/>
    <n v="282.82544126711406"/>
    <s v="142, 283"/>
    <e v="#VALUE!"/>
    <e v="#VALUE!"/>
    <e v="#VALUE!"/>
    <d v="2024-01-01T00:00:00"/>
    <s v="2024_2401_03458"/>
    <s v="W2237AEH LE2 CLEAR r136x0142 CB1P, W2237AEH LE2 CLEAR r136x0283 CB2P"/>
    <s v="Too much slippage to be packed vertically"/>
    <m/>
    <m/>
    <m/>
    <m/>
    <n v="0.58823529411764708"/>
    <m/>
  </r>
  <r>
    <s v="NSG"/>
    <s v="Mexicali"/>
    <s v="?"/>
    <s v="?"/>
    <s v="ARG"/>
    <x v="1"/>
    <s v="W2256AH"/>
    <s v="L"/>
    <s v="R"/>
    <s v="Clear"/>
    <s v="Acoustic"/>
    <s v="BF012248"/>
    <s v="Y"/>
    <x v="2"/>
    <n v="0.56000000000000005"/>
    <n v="105"/>
    <n v="13"/>
    <s v="N/A"/>
    <s v="N/A"/>
    <n v="0.8"/>
    <n v="200"/>
    <n v="800"/>
    <n v="600"/>
    <n v="120"/>
    <n v="200"/>
    <n v="800"/>
    <n v="600"/>
    <n v="120"/>
    <s v="N/A"/>
    <n v="92"/>
    <n v="1.3152000000000001"/>
    <m/>
    <n v="1.0894933333333334"/>
    <n v="1.1548629333333333"/>
    <n v="884.45891200000005"/>
    <n v="127.10288020062197"/>
    <n v="138.97719482267954"/>
    <n v="276.2666091817681"/>
    <n v="139"/>
    <n v="145.94999999999999"/>
    <n v="168.55224511999998"/>
    <n v="1296.5557316923075"/>
    <d v="2024-03-01T00:00:00"/>
    <s v="2024_2462_03519"/>
    <s v="W2256AH LR CLEAR r105x0139 CT1P"/>
    <s v="Replacing W2256AD. But being replaced with W2252AN"/>
    <m/>
    <m/>
    <m/>
    <m/>
    <n v="0.76190476190476186"/>
    <m/>
  </r>
  <r>
    <s v="NSG"/>
    <s v="Mexicali"/>
    <s v="?"/>
    <s v="?"/>
    <s v="ARG"/>
    <x v="2"/>
    <s v="W2265AC"/>
    <s v="L"/>
    <s v="R"/>
    <s v="Clear"/>
    <s v="Acoustic"/>
    <s v="BF012345 (WT4P), _____ (L8 i)"/>
    <s v="Y"/>
    <x v="2"/>
    <n v="0.65"/>
    <n v="118"/>
    <n v="25"/>
    <s v="N/A"/>
    <s v="N/A"/>
    <n v="0.8"/>
    <n v="200"/>
    <n v="800"/>
    <n v="600"/>
    <n v="130"/>
    <n v="200"/>
    <n v="800"/>
    <n v="600"/>
    <n v="130"/>
    <s v="N/A"/>
    <n v="93"/>
    <n v="1.4045000000000001"/>
    <m/>
    <n v="1.1662860169491527"/>
    <n v="1.2362631779661017"/>
    <n v="890.31838000000005"/>
    <n v="119.02150803834675"/>
    <n v="130.14083775777013"/>
    <n v="258.70120640502768"/>
    <n v="130"/>
    <n v="153.4"/>
    <n v="189.64277150000001"/>
    <n v="758.57108600000004"/>
    <d v="2024-05-01T00:00:00"/>
    <s v="2024_2564_03622, 2024_2827_03885 (L8 i)"/>
    <s v="W2265AC LR CLEAR r118x0130 CT1P, W2265AC LR CLEAR r118x0130 WT4P"/>
    <m/>
    <m/>
    <m/>
    <m/>
    <m/>
    <n v="0.67796610169491522"/>
    <m/>
  </r>
  <r>
    <s v="NSG"/>
    <s v="Mexicali"/>
    <s v="Buick"/>
    <s v="Envision (2016-2017)"/>
    <s v="ARG"/>
    <x v="2"/>
    <s v="W2240AM"/>
    <s v="L"/>
    <s v="R"/>
    <s v="Clear"/>
    <s v="Acoustic"/>
    <s v="BF011653 (L9), BF012355 (L8 WT4P), _____ (L8 i)"/>
    <s v="Y"/>
    <x v="3"/>
    <n v="0.4"/>
    <n v="115"/>
    <n v="23"/>
    <s v="N/A"/>
    <s v="N/A"/>
    <n v="0.8"/>
    <n v="200"/>
    <n v="800"/>
    <n v="600"/>
    <n v="120"/>
    <n v="200"/>
    <n v="800"/>
    <n v="600"/>
    <n v="120"/>
    <s v="N/A"/>
    <n v="92"/>
    <n v="1.1680000000000001"/>
    <m/>
    <n v="1.0208000000000002"/>
    <n v="1.0820480000000001"/>
    <n v="874.04208000000006"/>
    <n v="143.12132537659076"/>
    <n v="156.49212896471587"/>
    <n v="311.08377088686763"/>
    <n v="156"/>
    <n v="179.4"/>
    <n v="194.11941120000003"/>
    <n v="843.9974400000001"/>
    <s v="May 2024 (L8)"/>
    <s v="2023_1916_02973 (L9), 2024_2577_03635 (L8, deleted??), 2024_2581_03639 (L8 WT4P), 2024_2827_03885 (L8 i)"/>
    <s v="W2240AM LR CLEAR r115x0156 CB1P (L9), W2240AM LR CLEAR r115x0156 CT1P (L8), W2240AM LR CLEAR r115x0156WT4P (L8)"/>
    <s v="Allowed 120 mm on move to L8 since the restriction is L9"/>
    <m/>
    <m/>
    <s v="N/A"/>
    <m/>
    <n v="0.69565217391304346"/>
    <m/>
  </r>
  <r>
    <s v="NSG"/>
    <s v="Mexicali"/>
    <s v="Buick"/>
    <s v="Envision (2016-2017)"/>
    <s v="ARG"/>
    <x v="2"/>
    <s v="W2240AV"/>
    <s v="L"/>
    <s v="R"/>
    <s v="Clear"/>
    <s v="Acoustic"/>
    <m/>
    <m/>
    <x v="0"/>
    <n v="0.4"/>
    <n v="115"/>
    <n v="22"/>
    <s v="N/A"/>
    <s v="N/A"/>
    <n v="0.8"/>
    <n v="200"/>
    <n v="800"/>
    <n v="600"/>
    <n v="130"/>
    <n v="200"/>
    <n v="800"/>
    <n v="600"/>
    <n v="130"/>
    <s v="N/A"/>
    <n v="93"/>
    <n v="1.1720000000000002"/>
    <m/>
    <n v="1.0215826086956523"/>
    <n v="1.0828775652173914"/>
    <n v="874.04208000000006"/>
    <n v="142.63285668929865"/>
    <n v="155.95802613548477"/>
    <n v="310.022051532305"/>
    <n v="156"/>
    <n v="179.4"/>
    <n v="194.26823520000002"/>
    <n v="883.03743272727286"/>
    <m/>
    <m/>
    <m/>
    <m/>
    <m/>
    <m/>
    <m/>
    <m/>
    <m/>
    <m/>
  </r>
  <r>
    <s v="NSG"/>
    <s v="Mexicali"/>
    <s v="Buick"/>
    <s v="Lacrosse (2010-2014)"/>
    <s v="ARG"/>
    <x v="2"/>
    <s v="W2256AD"/>
    <s v="L"/>
    <s v="R"/>
    <s v="Clear"/>
    <s v="Acoustic"/>
    <s v="BF011655 (L9), BF012350 (L8 CT1P), BF012388 (L8 WT4P), ________ (L8 i)"/>
    <s v="Y"/>
    <x v="3"/>
    <n v="0.56000000000000005"/>
    <n v="115"/>
    <n v="23"/>
    <s v="N/A"/>
    <s v="N/A"/>
    <n v="0.8"/>
    <n v="200"/>
    <n v="800"/>
    <n v="600"/>
    <n v="120"/>
    <n v="200"/>
    <n v="800"/>
    <n v="600"/>
    <n v="120"/>
    <s v="N/A"/>
    <n v="92"/>
    <n v="1.3152000000000001"/>
    <m/>
    <n v="1.1091200000000001"/>
    <n v="1.1756672000000001"/>
    <n v="884.45891200000005"/>
    <n v="127.10288020062197"/>
    <n v="138.97719482267954"/>
    <n v="276.2666091817681"/>
    <n v="139"/>
    <n v="159.85"/>
    <n v="187.93040192000001"/>
    <n v="817.08870400000001"/>
    <d v="2023-04-23T00:00:00"/>
    <s v="2023_1916_02973, 2024_2573_03631 (L8), 2024_2827_03885 (L8 i)"/>
    <s v="W2256AD LR CLEAR r115x0139 CB1P (L9), W2256AD LR CLEAR r115x0139 CT1P (L8)"/>
    <m/>
    <m/>
    <m/>
    <s v="N/A"/>
    <m/>
    <n v="0.69565217391304346"/>
    <m/>
  </r>
  <r>
    <s v="NSG"/>
    <s v="Mexicali"/>
    <s v="Buick"/>
    <s v="Lacrosse (2010-2014)"/>
    <s v="ARG"/>
    <x v="2"/>
    <s v="W2256AK"/>
    <s v="L"/>
    <s v="R"/>
    <s v="Clear"/>
    <s v="Acoustic"/>
    <m/>
    <s v="Y"/>
    <x v="0"/>
    <n v="0.56000000000000005"/>
    <n v="115"/>
    <n v="22"/>
    <s v="N/A"/>
    <s v="N/A"/>
    <n v="0.8"/>
    <n v="200"/>
    <n v="800"/>
    <n v="600"/>
    <n v="130"/>
    <n v="200"/>
    <n v="800"/>
    <n v="600"/>
    <n v="130"/>
    <s v="N/A"/>
    <n v="93"/>
    <n v="1.3208000000000002"/>
    <m/>
    <n v="1.110215652173913"/>
    <n v="1.1768285913043479"/>
    <n v="884.45891200000005"/>
    <n v="126.56398246506511"/>
    <n v="138.38795171925207"/>
    <n v="275.09527891873211"/>
    <n v="138"/>
    <n v="158.69999999999999"/>
    <n v="186.76269744000001"/>
    <n v="848.92135200000007"/>
    <m/>
    <m/>
    <m/>
    <m/>
    <m/>
    <m/>
    <m/>
    <m/>
    <m/>
    <m/>
  </r>
  <r>
    <s v="NSG"/>
    <s v="Mexicali"/>
    <s v="Cadillac"/>
    <s v="CT6 (2016-2017)"/>
    <s v="ARG"/>
    <x v="2"/>
    <s v="W2244AI"/>
    <s v="L"/>
    <s v="R"/>
    <s v="Clear"/>
    <s v="Acoustic"/>
    <s v="BF011654 (L9), BF012349 (L8, CT1P), BF012499 (L8 WT4P), ____ (L8 i)"/>
    <s v="Y"/>
    <x v="3"/>
    <n v="0.44"/>
    <n v="115"/>
    <n v="23"/>
    <s v="N/A"/>
    <s v="N/A"/>
    <n v="0.8"/>
    <n v="200"/>
    <n v="800"/>
    <n v="600"/>
    <n v="120"/>
    <n v="200"/>
    <n v="800"/>
    <n v="600"/>
    <n v="120"/>
    <s v="N/A"/>
    <n v="92"/>
    <n v="1.2048000000000001"/>
    <m/>
    <n v="1.0428800000000003"/>
    <n v="1.1054528000000001"/>
    <n v="876.64628800000003"/>
    <n v="138.74975766920485"/>
    <n v="151.71215689806456"/>
    <n v="301.58187615858355"/>
    <n v="152"/>
    <n v="174.8"/>
    <n v="193.23314944000003"/>
    <n v="840.14412800000014"/>
    <d v="2023-04-23T00:00:00"/>
    <s v="2023_1916_02973, 2024_2573_03631 (L8), 2024_2722_03780 (WT4P), 2024_2827_03885 (L8 i)"/>
    <s v="W2244AI LR CLEAR r115x0152 CB1P (L9), W2244AI LR CLEAR r115x0152 CT1P (L8), W2244AI LR CLEAR r115x0152 WT4P, W2244AI LR CLEAR r115x0152 WT4P"/>
    <m/>
    <m/>
    <m/>
    <s v="N/A"/>
    <m/>
    <n v="0.69565217391304346"/>
    <m/>
  </r>
  <r>
    <s v="NSG"/>
    <s v="Mexicali"/>
    <s v="Cadillac"/>
    <s v="CT6 (2016-2017)"/>
    <s v="ARG"/>
    <x v="2"/>
    <s v="W2244AO"/>
    <s v="L"/>
    <s v="R"/>
    <s v="Clear"/>
    <s v="Acoustic"/>
    <m/>
    <s v="Y"/>
    <x v="0"/>
    <n v="0.44"/>
    <n v="115"/>
    <n v="22"/>
    <s v="N/A"/>
    <s v="N/A"/>
    <n v="0.8"/>
    <n v="200"/>
    <n v="800"/>
    <n v="600"/>
    <n v="130"/>
    <n v="200"/>
    <n v="800"/>
    <n v="600"/>
    <n v="130"/>
    <s v="N/A"/>
    <n v="93"/>
    <n v="1.2092000000000001"/>
    <m/>
    <n v="1.0437408695652173"/>
    <n v="1.1063653217391303"/>
    <n v="876.64628800000003"/>
    <n v="138.24487929197653"/>
    <n v="151.16011133872655"/>
    <n v="300.48448924566776"/>
    <n v="151"/>
    <n v="173.65"/>
    <n v="192.12033811999999"/>
    <n v="873.27426418181813"/>
    <m/>
    <m/>
    <m/>
    <m/>
    <m/>
    <m/>
    <m/>
    <m/>
    <m/>
    <m/>
  </r>
  <r>
    <s v="NSG"/>
    <s v="Mexicali"/>
    <s v="Cadillac"/>
    <s v="XT5 (2017)"/>
    <s v="ARG"/>
    <x v="1"/>
    <s v="W2248AE"/>
    <s v="L"/>
    <s v="R"/>
    <s v="Clear"/>
    <s v="Acoustic"/>
    <s v="BF011656"/>
    <s v="Y"/>
    <x v="0"/>
    <n v="0.48"/>
    <n v="115"/>
    <n v="23"/>
    <s v="N/A"/>
    <s v="N/A"/>
    <n v="0.8"/>
    <n v="200"/>
    <n v="800"/>
    <n v="600"/>
    <n v="120"/>
    <n v="200"/>
    <n v="800"/>
    <n v="600"/>
    <n v="120"/>
    <s v="N/A"/>
    <n v="92"/>
    <n v="1.2416"/>
    <m/>
    <n v="1.0649599999999999"/>
    <n v="1.1288575999999999"/>
    <n v="879.250496"/>
    <n v="134.63732928467948"/>
    <n v="147.2155336910343"/>
    <n v="292.6432380765637"/>
    <n v="147"/>
    <n v="169.05"/>
    <n v="190.83337728000001"/>
    <n v="829.71033599999998"/>
    <s v="Never"/>
    <s v="2023_1916_02973"/>
    <s v="W2248AE LR CLEAR r115x0147 CB1P"/>
    <s v="Replaced by W2248AJ"/>
    <m/>
    <m/>
    <s v="N/A"/>
    <m/>
    <n v="0.69565217391304346"/>
    <m/>
  </r>
  <r>
    <s v="NSG"/>
    <s v="Mexicali"/>
    <s v="Cadillac"/>
    <s v="XT5 (2017)"/>
    <s v="ARG"/>
    <x v="2"/>
    <s v="W2248AJ"/>
    <s v="L"/>
    <s v="R"/>
    <s v="Clear"/>
    <s v="Acoustic"/>
    <s v="BF012249 (CT1P), BF012377 (WT4P), _____ (L8 i)"/>
    <s v="Y"/>
    <x v="2"/>
    <n v="0.48"/>
    <n v="117"/>
    <n v="25"/>
    <s v="N/A"/>
    <s v="N/A"/>
    <n v="0.8"/>
    <n v="200"/>
    <n v="800"/>
    <n v="600"/>
    <n v="120"/>
    <n v="200"/>
    <n v="800"/>
    <n v="600"/>
    <n v="120"/>
    <s v="N/A"/>
    <n v="92"/>
    <n v="1.2416"/>
    <m/>
    <n v="1.0679794871794872"/>
    <n v="1.1320582564102564"/>
    <n v="879.250496"/>
    <n v="134.63732928467948"/>
    <n v="147.2155336910343"/>
    <n v="292.6432380765637"/>
    <n v="152"/>
    <n v="177.84"/>
    <n v="201.32524032000001"/>
    <n v="805.30096128000002"/>
    <d v="2024-03-01T00:00:00"/>
    <s v="2024_2462_03519, 2024_2827_03885 (L8 i)"/>
    <s v="W2248AJ LR CLEAR r117x0152 CT1P, W2248AJ LR CLEAR r117x0152 WT4P"/>
    <s v="Replacing W2248AE, which was never extruded"/>
    <m/>
    <m/>
    <m/>
    <m/>
    <n v="0.68376068376068377"/>
    <m/>
  </r>
  <r>
    <s v="NSG"/>
    <s v="Mexicali"/>
    <s v="Cadillac"/>
    <s v="XT5 (2017)"/>
    <s v="ARG"/>
    <x v="2"/>
    <s v="W2248AL"/>
    <s v="L"/>
    <s v="R"/>
    <s v="Clear"/>
    <s v="Acoustic"/>
    <m/>
    <m/>
    <x v="0"/>
    <n v="0.48"/>
    <n v="117"/>
    <n v="24"/>
    <s v="N/A"/>
    <s v="N/A"/>
    <n v="0.8"/>
    <n v="200"/>
    <n v="800"/>
    <n v="600"/>
    <n v="130"/>
    <n v="200"/>
    <n v="800"/>
    <n v="600"/>
    <n v="130"/>
    <s v="N/A"/>
    <n v="93"/>
    <n v="1.2464"/>
    <m/>
    <n v="1.0689846153846156"/>
    <n v="1.1331236923076926"/>
    <n v="879.250496"/>
    <n v="134.11882865842267"/>
    <n v="146.64859325319975"/>
    <n v="291.51624229449732"/>
    <n v="147"/>
    <n v="171.99"/>
    <n v="194.88594384000007"/>
    <n v="812.02476600000034"/>
    <m/>
    <m/>
    <m/>
    <m/>
    <m/>
    <m/>
    <m/>
    <m/>
    <m/>
    <m/>
  </r>
  <r>
    <s v="NSG"/>
    <s v="Mexicali"/>
    <m/>
    <m/>
    <s v="ARG"/>
    <x v="0"/>
    <s v="W2248AM"/>
    <s v="L"/>
    <s v="R"/>
    <s v="Clear"/>
    <s v="Acoustic"/>
    <m/>
    <m/>
    <x v="0"/>
    <n v="0.48"/>
    <n v="118"/>
    <n v="30"/>
    <s v="N/A"/>
    <s v="N/A"/>
    <n v="0.8"/>
    <n v="200"/>
    <n v="600"/>
    <n v="400"/>
    <n v="280"/>
    <n v="200"/>
    <n v="600"/>
    <n v="400"/>
    <n v="280"/>
    <s v="N/A"/>
    <n v="88"/>
    <n v="1.2223999999999999"/>
    <m/>
    <n v="1.0648949152542373"/>
    <n v="1.1287886101694915"/>
    <n v="879.250496"/>
    <n v="136.75205173417709"/>
    <n v="149.52781956052698"/>
    <n v="297.23972872698096"/>
    <n v="150"/>
    <n v="177"/>
    <n v="199.79558399999999"/>
    <n v="665.98527999999999"/>
    <m/>
    <m/>
    <s v="W2348AA LR BLU2 i118/12x0150 CB1P"/>
    <m/>
    <m/>
    <m/>
    <m/>
    <m/>
    <m/>
    <m/>
  </r>
  <r>
    <s v="NSG"/>
    <s v="Mexicali"/>
    <m/>
    <m/>
    <s v="ARG"/>
    <x v="0"/>
    <s v="W2348AA"/>
    <s v="L"/>
    <s v="R"/>
    <s v="Clear"/>
    <s v="Acoustic"/>
    <m/>
    <m/>
    <x v="0"/>
    <n v="0.48"/>
    <n v="118"/>
    <n v="30"/>
    <n v="12"/>
    <n v="106"/>
    <n v="0.8"/>
    <n v="200"/>
    <n v="600"/>
    <n v="400"/>
    <n v="280"/>
    <n v="200"/>
    <n v="600"/>
    <n v="400"/>
    <n v="280"/>
    <s v="N/A"/>
    <n v="88"/>
    <n v="1.2223999999999999"/>
    <m/>
    <n v="1.0648949152542373"/>
    <n v="1.1287886101694915"/>
    <n v="879.250496"/>
    <n v="136.75205173417709"/>
    <n v="149.52781956052698"/>
    <n v="297.23972872698096"/>
    <n v="150"/>
    <n v="177"/>
    <n v="199.79558399999999"/>
    <n v="665.98527999999999"/>
    <m/>
    <m/>
    <s v="W2248AM LR CLEAR i118x0150 CB1P"/>
    <m/>
    <m/>
    <m/>
    <m/>
    <m/>
    <m/>
    <m/>
  </r>
  <r>
    <s v="NSG"/>
    <s v="Mexicali"/>
    <s v="GMC"/>
    <s v="Yukon (2015-2018)"/>
    <s v="ARG"/>
    <x v="0"/>
    <s v="W2362AA"/>
    <s v="L"/>
    <s v="R"/>
    <s v="Blue"/>
    <s v="Acoustic"/>
    <s v="BF010269 (L8), BF010571 (CB1A), BF012030 (CB2P)"/>
    <s v="Y"/>
    <x v="0"/>
    <n v="0.62"/>
    <n v="92"/>
    <n v="24"/>
    <n v="18"/>
    <n v="74"/>
    <n v="0.8"/>
    <n v="160"/>
    <n v="560"/>
    <n v="400"/>
    <n v="120"/>
    <n v="160"/>
    <n v="560"/>
    <n v="400"/>
    <n v="120"/>
    <n v="60"/>
    <n v="68"/>
    <n v="1.2216"/>
    <m/>
    <n v="1.0657913043478262"/>
    <n v="1.1297387826086958"/>
    <n v="888.36522400000001"/>
    <n v="136.84160776019814"/>
    <n v="149.62574216665698"/>
    <n v="297.43438473793503"/>
    <n v="250"/>
    <n v="230"/>
    <n v="259.83992000000001"/>
    <n v="1082.6663333333333"/>
    <d v="2022-01-01T00:00:00"/>
    <s v="2021_1090_02145, 2022_1198_02253, 2023_2210_03267"/>
    <s v="W2362AA LR BLU2 r092/18X0150 CB1A from Ulsan, W2362AA LR BLU2 r092/18x0250 CB2P, W2362AA LR BLU2 r092/18x0150 WT2A from Troisdorf but never made"/>
    <m/>
    <m/>
    <m/>
    <s v="N/A"/>
    <m/>
    <n v="0.60869565217391308"/>
    <m/>
  </r>
  <r>
    <s v="NSG"/>
    <s v="Mexicali"/>
    <s v="Lincoln"/>
    <s v="Navigator (2020-2021)"/>
    <s v="ARG"/>
    <x v="1"/>
    <s v="W2264AH"/>
    <s v="L"/>
    <s v="R"/>
    <s v="Clear"/>
    <s v="Acoustic"/>
    <s v="BF011657"/>
    <s v="Y"/>
    <x v="0"/>
    <n v="0.64"/>
    <n v="115"/>
    <n v="23"/>
    <s v="N/A"/>
    <s v="N/A"/>
    <n v="0.8"/>
    <n v="200"/>
    <n v="800"/>
    <n v="600"/>
    <n v="120"/>
    <n v="200"/>
    <n v="800"/>
    <n v="600"/>
    <n v="120"/>
    <s v="N/A"/>
    <n v="92"/>
    <n v="1.3888"/>
    <m/>
    <n v="1.1532800000000001"/>
    <n v="1.2224767999999999"/>
    <n v="889.66732800000011"/>
    <n v="120.36701327754754"/>
    <n v="131.61204394497997"/>
    <n v="261.62575201314911"/>
    <n v="132"/>
    <n v="151.80000000000001"/>
    <n v="185.57197823999999"/>
    <n v="806.83468799999991"/>
    <s v="Never"/>
    <s v="2023_1916_02973"/>
    <s v="W2264AH LR CLEAR r115x0132 CB1P"/>
    <m/>
    <m/>
    <m/>
    <s v="N/A"/>
    <m/>
    <n v="0.69565217391304346"/>
    <m/>
  </r>
  <r>
    <s v="NSG"/>
    <s v="Mexicali"/>
    <s v="Multiple"/>
    <s v="Multiple ARG"/>
    <s v="ARG"/>
    <x v="1"/>
    <s v="W2252AF"/>
    <s v="L"/>
    <s v="R"/>
    <s v="Clear"/>
    <s v="Acoustic"/>
    <s v="BF011442"/>
    <s v="Y"/>
    <x v="0"/>
    <n v="0.52"/>
    <n v="113"/>
    <n v="21"/>
    <s v="N/A"/>
    <s v="N/A"/>
    <n v="0.8"/>
    <n v="200"/>
    <n v="800"/>
    <n v="600"/>
    <n v="120"/>
    <n v="200"/>
    <n v="800"/>
    <n v="600"/>
    <n v="120"/>
    <s v="N/A"/>
    <n v="92"/>
    <n v="1.2784"/>
    <m/>
    <n v="1.0836530973451328"/>
    <n v="1.1486722831858407"/>
    <n v="881.85470400000008"/>
    <n v="130.76166148299282"/>
    <n v="142.97778991770036"/>
    <n v="284.21921495295794"/>
    <n v="143"/>
    <n v="161.59"/>
    <n v="185.61395424"/>
    <n v="883.87597257142863"/>
    <d v="2023-01-23T00:00:00"/>
    <s v="2022_1703_02759"/>
    <s v="W2252AF LR CLEAR r113x0143 CB1A"/>
    <s v="Changed width, so replaced with W2252AN"/>
    <n v="4"/>
    <m/>
    <s v="N/A"/>
    <m/>
    <n v="0.70796460176991149"/>
    <m/>
  </r>
  <r>
    <s v="NSG"/>
    <s v="Mexicali"/>
    <s v="Multiple"/>
    <s v="Multiple ARG"/>
    <s v="ARG"/>
    <x v="2"/>
    <s v="W2252AN"/>
    <s v="L"/>
    <s v="R"/>
    <s v="Clear"/>
    <s v="Acoustic"/>
    <s v="BF011652 (L9), BF012348 (L8, CT1P), BF012498 (L8 WT4P), _________ (L8 i)"/>
    <s v="Y"/>
    <x v="3"/>
    <n v="0.52"/>
    <n v="115"/>
    <n v="23"/>
    <s v="N/A"/>
    <s v="N/A"/>
    <n v="0.8"/>
    <n v="200"/>
    <n v="800"/>
    <n v="600"/>
    <n v="120"/>
    <n v="200"/>
    <n v="800"/>
    <n v="600"/>
    <n v="120"/>
    <s v="N/A"/>
    <n v="92"/>
    <n v="1.2784"/>
    <m/>
    <n v="1.08704"/>
    <n v="1.1522624000000001"/>
    <n v="881.85470400000008"/>
    <n v="130.76166148299282"/>
    <n v="142.97778991770036"/>
    <n v="284.21921495295794"/>
    <n v="143"/>
    <n v="164.45"/>
    <n v="189.48955168000001"/>
    <n v="823.867616"/>
    <d v="2023-04-23T00:00:00"/>
    <s v="2023_1916_02973, 2024_2573_03631 (L8), 2024_2722_03780 (WT4P), 2024_2827_03885 (L8 i)"/>
    <s v="W2252AN LR CLEAR r115x0143 CB1P (L9), W2252AN LR CLEAR r115x0143 CT1P (L8), W2252AN LR CLEAR r115x0143 WT4P, ____________"/>
    <s v="Replacing W2256AH, also"/>
    <m/>
    <m/>
    <s v="N/A"/>
    <m/>
    <n v="0.69565217391304346"/>
    <m/>
  </r>
  <r>
    <s v="NSG"/>
    <s v="Mexicali"/>
    <s v="Multiple"/>
    <s v="Multiple ARG"/>
    <s v="ARG"/>
    <x v="2"/>
    <s v="W2252AS"/>
    <s v="L"/>
    <s v="R"/>
    <s v="Clear"/>
    <s v="Acoustic"/>
    <m/>
    <s v="Y"/>
    <x v="0"/>
    <n v="0.52"/>
    <n v="115"/>
    <n v="22"/>
    <s v="N/A"/>
    <s v="N/A"/>
    <n v="0.8"/>
    <n v="200"/>
    <n v="800"/>
    <n v="600"/>
    <n v="130"/>
    <n v="200"/>
    <n v="800"/>
    <n v="600"/>
    <n v="130"/>
    <s v="N/A"/>
    <n v="93"/>
    <n v="1.2836000000000001"/>
    <m/>
    <n v="1.0880573913043479"/>
    <n v="1.1533408347826086"/>
    <n v="881.85470400000008"/>
    <n v="130.23193209711596"/>
    <n v="142.39857169740432"/>
    <n v="283.06781271101704"/>
    <n v="142"/>
    <n v="163.30000000000001"/>
    <n v="188.34055832000001"/>
    <n v="856.09344690909097"/>
    <m/>
    <m/>
    <m/>
    <m/>
    <m/>
    <m/>
    <m/>
    <m/>
    <m/>
    <m/>
  </r>
  <r>
    <s v="NSG"/>
    <s v="Mexicali"/>
    <m/>
    <s v="FW3152"/>
    <s v="ARG"/>
    <x v="0"/>
    <s v="W2342AB"/>
    <s v="L"/>
    <s v="R"/>
    <s v="Blue"/>
    <s v="Acoustic"/>
    <m/>
    <s v="Y"/>
    <x v="0"/>
    <n v="0.42"/>
    <n v="115"/>
    <n v="30"/>
    <n v="18"/>
    <n v="97"/>
    <n v="0.8"/>
    <n v="200"/>
    <n v="600"/>
    <n v="400"/>
    <n v="250"/>
    <n v="200"/>
    <n v="600"/>
    <n v="400"/>
    <n v="250"/>
    <n v="120"/>
    <n v="85"/>
    <n v="1.157"/>
    <m/>
    <n v="1.0250652173913042"/>
    <n v="1.0865691304347824"/>
    <n v="875.34418400000015"/>
    <n v="144.48202942079345"/>
    <n v="157.97995387276421"/>
    <n v="314.0413521139684"/>
    <n v="158"/>
    <n v="181.7"/>
    <n v="197.42961099999997"/>
    <n v="658.09870333333322"/>
    <d v="2025-07-01T00:00:00"/>
    <s v="2025-0155-0295"/>
    <m/>
    <m/>
    <m/>
    <m/>
    <m/>
    <m/>
    <m/>
    <m/>
  </r>
  <r>
    <s v="NSG"/>
    <s v="Mexicali"/>
    <m/>
    <m/>
    <s v="ARG"/>
    <x v="0"/>
    <s v="W2344AA"/>
    <s v="L"/>
    <s v="R"/>
    <s v="Blue"/>
    <s v="Acoustic"/>
    <m/>
    <s v="Y"/>
    <x v="0"/>
    <n v="0.44"/>
    <n v="97"/>
    <n v="20"/>
    <n v="17"/>
    <n v="80"/>
    <n v="0.8"/>
    <n v="200"/>
    <n v="640"/>
    <n v="440"/>
    <n v="130"/>
    <n v="200"/>
    <n v="640"/>
    <n v="440"/>
    <n v="130"/>
    <n v="30"/>
    <n v="77"/>
    <n v="1.1388"/>
    <m/>
    <n v="1.0043278350515463"/>
    <n v="1.0645875051546392"/>
    <n v="876.64628800000003"/>
    <n v="146.79110295034951"/>
    <n v="160.50474765611887"/>
    <n v="319.06027783268479"/>
    <n v="161"/>
    <n v="156.16999999999999"/>
    <n v="166.25663068"/>
    <n v="831.28315339999995"/>
    <d v="2025-07-01T00:00:00"/>
    <s v="2025-0114-0253"/>
    <m/>
    <m/>
    <m/>
    <m/>
    <m/>
    <m/>
    <m/>
    <m/>
  </r>
  <r>
    <s v="NSG"/>
    <s v="San Salvo"/>
    <s v="?"/>
    <s v="?"/>
    <s v="?"/>
    <x v="1"/>
    <s v="W2050AA"/>
    <s v="L"/>
    <s v="E2"/>
    <s v="Clear"/>
    <s v="Standard"/>
    <s v="BF010865"/>
    <s v="Y"/>
    <x v="2"/>
    <n v="0.5"/>
    <n v="110"/>
    <n v="25"/>
    <s v="N/A"/>
    <s v="N/A"/>
    <n v="0.76"/>
    <n v="300"/>
    <n v="600"/>
    <n v="300"/>
    <n v="250"/>
    <n v="250"/>
    <n v="650"/>
    <n v="400"/>
    <n v="200"/>
    <s v="N/A"/>
    <n v="85"/>
    <n v="1.1850000000000001"/>
    <m/>
    <n v="1.0207954545454547"/>
    <n v="1.0871471590909094"/>
    <n v="842.10615000000007"/>
    <n v="141.0681080505131"/>
    <n v="154.24709420319675"/>
    <n v="306.62096573490419"/>
    <n v="305"/>
    <n v="335.5"/>
    <n v="364.73787187500011"/>
    <n v="1458.9514875000004"/>
    <d v="2022-06-01T00:00:00"/>
    <s v="2022_1436_02492"/>
    <s v="W2050AA LE2 CLEAR r110x0305 MT2P"/>
    <s v="Incorrectly specified by San Salvo. Replaced by W2045AC."/>
    <m/>
    <m/>
    <s v="N/A"/>
    <m/>
    <n v="0.54545454545454541"/>
    <m/>
  </r>
  <r>
    <s v="NSG"/>
    <s v="San Salvo"/>
    <s v="Ford"/>
    <s v="C-Hatch"/>
    <s v="OEM"/>
    <x v="2"/>
    <s v="W2045AC"/>
    <s v="L"/>
    <s v="E2"/>
    <s v="Clear"/>
    <s v="Standard"/>
    <s v="BF010905"/>
    <s v="Y"/>
    <x v="2"/>
    <n v="0.45"/>
    <n v="110"/>
    <n v="25"/>
    <s v="N/A"/>
    <s v="N/A"/>
    <n v="0.76"/>
    <n v="300"/>
    <n v="600"/>
    <n v="300"/>
    <n v="250"/>
    <n v="250"/>
    <n v="650"/>
    <n v="400"/>
    <n v="200"/>
    <s v="N/A"/>
    <n v="85"/>
    <n v="1.1425000000000001"/>
    <m/>
    <n v="0.99471590909090912"/>
    <n v="1.0593724431818181"/>
    <n v="838.83553499999994"/>
    <n v="146.31571819681227"/>
    <n v="159.98495109915814"/>
    <n v="318.02699728302969"/>
    <s v="318, 160"/>
    <e v="#VALUE!"/>
    <e v="#VALUE!"/>
    <e v="#VALUE!"/>
    <d v="2022-07-01T00:00:00"/>
    <s v="2022_1509_02565, 2024_2414_03471"/>
    <s v="W2045AC LE2 CLEAR r110x0318 LE2 MT2P, W2045AC LE2 CLEAR r110x0160 LE2 MT4P"/>
    <m/>
    <m/>
    <m/>
    <s v="N/A"/>
    <m/>
    <n v="0.54545454545454541"/>
    <m/>
  </r>
  <r>
    <s v="NSG"/>
    <s v="San Salvo"/>
    <s v="Ford"/>
    <s v="Explorer"/>
    <s v="OEM"/>
    <x v="0"/>
    <s v="W2045AD"/>
    <s v="L"/>
    <s v="E2"/>
    <s v="Clear"/>
    <s v="Standard"/>
    <m/>
    <s v="Y"/>
    <x v="2"/>
    <n v="0.45"/>
    <n v="104"/>
    <n v="26"/>
    <s v="N/A"/>
    <s v="N/A"/>
    <n v="0.76"/>
    <n v="250"/>
    <n v="650"/>
    <n v="400"/>
    <n v="130"/>
    <n v="250"/>
    <n v="650"/>
    <n v="400"/>
    <n v="130"/>
    <s v="N/A"/>
    <n v="78"/>
    <n v="1.111"/>
    <m/>
    <n v="0.97937499999999988"/>
    <n v="1.0430343749999997"/>
    <n v="838.83553499999994"/>
    <n v="150.46418365423764"/>
    <n v="164.52097806551589"/>
    <n v="327.04396435271059"/>
    <n v="326"/>
    <n v="339.04"/>
    <n v="353.63037449999996"/>
    <n v="1360.1168249999998"/>
    <m/>
    <m/>
    <m/>
    <m/>
    <m/>
    <m/>
    <m/>
    <m/>
    <m/>
    <m/>
  </r>
  <r>
    <s v="NSG"/>
    <s v="Versailles"/>
    <s v="Chevy, GMC"/>
    <s v="Silverado, Sierra (T1XX-2PU)"/>
    <s v="OEM"/>
    <x v="0"/>
    <s v="W2241AI"/>
    <s v="L"/>
    <s v="R"/>
    <s v="Clear"/>
    <s v="Acoustic"/>
    <s v="BF012526"/>
    <s v="Y"/>
    <x v="0"/>
    <n v="0.41"/>
    <n v="110"/>
    <n v="30"/>
    <s v="N/A"/>
    <s v="N/A"/>
    <n v="0.8"/>
    <n v="279"/>
    <n v="650"/>
    <n v="371"/>
    <n v="150"/>
    <n v="250"/>
    <n v="650"/>
    <n v="400"/>
    <n v="150"/>
    <s v="N/A"/>
    <n v="80"/>
    <n v="1.1280000000000001"/>
    <m/>
    <n v="1.0087272727272727"/>
    <n v="1.069250909090909"/>
    <n v="874.69313200000011"/>
    <n v="148.19654968072518"/>
    <n v="162.04149524006041"/>
    <n v="322.115110280019"/>
    <n v="162"/>
    <n v="178.2"/>
    <n v="190.54051199999998"/>
    <n v="635.13504"/>
    <d v="2024-10-01T00:00:00"/>
    <s v="2024_2755_03813"/>
    <m/>
    <m/>
    <m/>
    <m/>
    <m/>
    <m/>
    <m/>
    <m/>
  </r>
  <r>
    <s v="NSG"/>
    <s v="Versailles"/>
    <s v="Toyota"/>
    <s v="Highlander"/>
    <s v="OEM"/>
    <x v="0"/>
    <s v="W2249AJ"/>
    <s v="L"/>
    <s v="R"/>
    <s v="Clear"/>
    <s v="Acoustic"/>
    <s v="BF012339 (CB2A), BF012384 (CB1A)"/>
    <s v="Y"/>
    <x v="0"/>
    <n v="0.49"/>
    <n v="110"/>
    <n v="30"/>
    <s v="N/A"/>
    <s v="N/A"/>
    <n v="0.8"/>
    <n v="180"/>
    <n v="440"/>
    <n v="260"/>
    <n v="360"/>
    <n v="180"/>
    <n v="580"/>
    <n v="400"/>
    <n v="220"/>
    <s v="N/A"/>
    <n v="80"/>
    <n v="1.1920000000000002"/>
    <m/>
    <n v="1.0494545454545456"/>
    <n v="1.1124218181818184"/>
    <n v="879.90154800000005"/>
    <n v="140.23968795290102"/>
    <n v="153.34128073052699"/>
    <n v="304.82033925827301"/>
    <n v="305"/>
    <n v="335.5"/>
    <n v="373.21752000000009"/>
    <n v="1244.0584000000003"/>
    <d v="2024-06-01T00:00:00"/>
    <s v="2024_2556_03613, 2024_2617_03675"/>
    <s v="W2249AJ LR CLEAR r110x0305 CB2A, W2249AJ LR CLEAR r110x0130 CB1A"/>
    <m/>
    <m/>
    <m/>
    <m/>
    <m/>
    <n v="0.4"/>
    <m/>
  </r>
  <r>
    <s v="NSG"/>
    <s v="Witten"/>
    <s v="Audi"/>
    <s v="Q7"/>
    <s v="OEM"/>
    <x v="1"/>
    <s v="W2241AB"/>
    <s v="L"/>
    <s v="R"/>
    <s v="Clear"/>
    <s v="Acoustic"/>
    <s v="BF010389 (332m), BF010390 (167m)"/>
    <s v="Y"/>
    <x v="2"/>
    <n v="0.41"/>
    <n v="102"/>
    <n v="30"/>
    <s v="N/A"/>
    <s v="N/A"/>
    <n v="0.8"/>
    <n v="200"/>
    <n v="600"/>
    <n v="400"/>
    <n v="120"/>
    <n v="200"/>
    <n v="600"/>
    <n v="400"/>
    <n v="120"/>
    <s v="N/A"/>
    <n v="72"/>
    <n v="1.0952"/>
    <m/>
    <n v="0.99101176470588237"/>
    <n v="1.0504724705882353"/>
    <n v="874.69313200000011"/>
    <n v="152.63486855355922"/>
    <n v="166.89445455696512"/>
    <n v="331.76209312989545"/>
    <n v="167"/>
    <n v="170.34"/>
    <n v="178.93748064000002"/>
    <n v="596.45826880000004"/>
    <d v="2022-02-01T00:00:00"/>
    <s v="2021_1127_02182"/>
    <s v="W2241AB LR CLEAR r102x0167 CT1P, W2241AB LR CLEAR r102x0332 MT2P"/>
    <m/>
    <m/>
    <m/>
    <s v="N/A"/>
    <m/>
    <n v="0.58823529411764708"/>
    <m/>
  </r>
  <r>
    <s v="NSG"/>
    <s v="Witten"/>
    <s v="BMW"/>
    <s v="4-series Gran Coupe (G26)"/>
    <s v="OEM"/>
    <x v="2"/>
    <s v="W2245AD"/>
    <s v="L"/>
    <s v="R"/>
    <s v="Clear"/>
    <s v="Acoustic"/>
    <s v="BF012438"/>
    <s v="Y"/>
    <x v="2"/>
    <n v="0.45"/>
    <n v="92"/>
    <n v="30"/>
    <s v="N/A"/>
    <s v="N/A"/>
    <n v="0.8"/>
    <n v="150"/>
    <n v="450"/>
    <n v="300"/>
    <n v="170"/>
    <n v="100"/>
    <n v="500"/>
    <n v="400"/>
    <n v="120"/>
    <s v="N/A"/>
    <n v="62"/>
    <n v="1.0790000000000002"/>
    <m/>
    <n v="0.98498913043478276"/>
    <n v="1.0440884782608697"/>
    <n v="877.29733999999996"/>
    <n v="154.92651347530861"/>
    <n v="169.40019150212061"/>
    <n v="336.7431366041348"/>
    <n v="337"/>
    <n v="310.04000000000002"/>
    <n v="323.70919180000004"/>
    <n v="1079.0306393333335"/>
    <d v="2024-06-01T00:00:00"/>
    <s v="2024_2673_03731"/>
    <s v="W2245AD LR CLEAR r092x0337 MT2P"/>
    <m/>
    <m/>
    <m/>
    <m/>
    <m/>
    <n v="0.4891304347826087"/>
    <m/>
  </r>
  <r>
    <s v="NSG"/>
    <s v="Witten"/>
    <s v="BMW"/>
    <s v="F10 (5 Series)"/>
    <s v="ARG"/>
    <x v="2"/>
    <s v="W2034AA"/>
    <s v="L"/>
    <s v="R"/>
    <s v="Clear"/>
    <s v="Standard"/>
    <s v="BF009716, BF011572 (MT2P)"/>
    <s v="Y"/>
    <x v="2"/>
    <n v="0.34"/>
    <n v="98"/>
    <n v="26"/>
    <s v="N/A"/>
    <s v="N/A"/>
    <n v="0.76"/>
    <n v="200"/>
    <n v="600"/>
    <n v="400"/>
    <n v="120"/>
    <n v="200"/>
    <n v="600"/>
    <n v="400"/>
    <n v="120"/>
    <s v="N/A"/>
    <n v="72"/>
    <n v="1.0047999999999999"/>
    <m/>
    <n v="0.91487346938775493"/>
    <n v="0.97434024489795901"/>
    <n v="831.64018199999998"/>
    <n v="166.36714574030458"/>
    <n v="181.90964035707424"/>
    <n v="361.61011583983031"/>
    <n v="362"/>
    <n v="354.76"/>
    <n v="345.65694527999995"/>
    <n v="1329.4497895384613"/>
    <d v="2021-03-01T00:00:00"/>
    <s v="2021_0688_01741, 2023_1861_02918"/>
    <s v="W2034AA LR CLEAR r098x0362 MT2P"/>
    <s v="F5 version of W1034AA (with some slight modifications)"/>
    <m/>
    <s v="qualified"/>
    <s v="N/A"/>
    <m/>
    <n v="0.61224489795918369"/>
    <m/>
  </r>
  <r>
    <s v="NSG"/>
    <s v="Witten"/>
    <s v="BMW"/>
    <s v="F10 (5 Series)"/>
    <s v="ARG"/>
    <x v="1"/>
    <s v="W1034AA"/>
    <s v="L"/>
    <s v="R"/>
    <s v="Clear"/>
    <s v="Standard"/>
    <s v="BF009487"/>
    <s v="Y"/>
    <x v="2"/>
    <n v="0.34"/>
    <n v="98"/>
    <n v="25"/>
    <s v="N/A"/>
    <s v="N/A"/>
    <n v="0.76"/>
    <n v="200"/>
    <n v="600"/>
    <n v="400"/>
    <n v="130"/>
    <m/>
    <m/>
    <n v="0"/>
    <n v="730"/>
    <s v="N/A"/>
    <n v="73"/>
    <n v="1.0082"/>
    <m/>
    <n v="0.91575816326530612"/>
    <n v="0"/>
    <n v="0"/>
    <n v="165.80609803596315"/>
    <n v="181.29617797142251"/>
    <n v="360.39064113852561"/>
    <n v="181"/>
    <n v="177.38"/>
    <n v="0"/>
    <n v="0"/>
    <d v="2020-10-01T00:00:00"/>
    <s v="2020_0457_01509"/>
    <s v="W1034AA LR CLEAR R098X0181 MT4P"/>
    <s v="2010-2017 5 Series (F10, 6th gen)"/>
    <n v="4"/>
    <s v="qualified"/>
    <s v="N/A"/>
    <s v="Nov 2020?"/>
    <n v="0.61224489795918369"/>
    <s v="29M kg"/>
  </r>
  <r>
    <s v="NSG"/>
    <s v="Witten"/>
    <s v="BMW"/>
    <s v="F12 6-series Conv. Coupe"/>
    <s v="ARG"/>
    <x v="2"/>
    <s v="W2030AA"/>
    <s v="L"/>
    <s v="R"/>
    <s v="Clear"/>
    <s v="Standard"/>
    <s v="BF009724, BF011571 (MT2P)"/>
    <s v="Y"/>
    <x v="2"/>
    <n v="0.3"/>
    <n v="98"/>
    <n v="26"/>
    <s v="N/A"/>
    <s v="N/A"/>
    <n v="0.76"/>
    <n v="200"/>
    <n v="600"/>
    <n v="400"/>
    <n v="120"/>
    <n v="200"/>
    <n v="600"/>
    <n v="400"/>
    <n v="120"/>
    <s v="N/A"/>
    <n v="72"/>
    <n v="0.97599999999999998"/>
    <m/>
    <n v="0.89665306122448984"/>
    <n v="0.95493551020408174"/>
    <n v="829.0236900000001"/>
    <n v="171.27634020477259"/>
    <n v="187.27746581023382"/>
    <n v="372.28057827444826"/>
    <n v="372"/>
    <n v="364.56"/>
    <n v="348.13128960000006"/>
    <n v="1338.9664984615385"/>
    <d v="2021-03-01T00:00:00"/>
    <s v="2021_0702_01756, 2023_1861_02918"/>
    <s v="W2030AA LR CLEAR r098x0372 MT2P"/>
    <m/>
    <n v="6"/>
    <m/>
    <s v="N/A"/>
    <d v="2021-03-01T00:00:00"/>
    <n v="0.61224489795918369"/>
    <n v="9375"/>
  </r>
  <r>
    <s v="NSG"/>
    <s v="Witten"/>
    <s v="BMW"/>
    <s v="F30 (3 Series, F32 Limo Coupe)"/>
    <s v="ARG"/>
    <x v="2"/>
    <s v="W2040AA"/>
    <s v="L"/>
    <s v="R"/>
    <s v="Clear"/>
    <s v="Standard"/>
    <s v="BF009717, BF011574 (MT2P)"/>
    <s v="Y"/>
    <x v="2"/>
    <n v="0.4"/>
    <n v="92"/>
    <n v="24"/>
    <s v="N/A"/>
    <s v="N/A"/>
    <n v="0.76"/>
    <n v="200"/>
    <n v="560"/>
    <n v="360"/>
    <n v="120"/>
    <n v="160"/>
    <n v="560"/>
    <n v="400"/>
    <n v="120"/>
    <s v="N/A"/>
    <n v="68"/>
    <n v="1.032"/>
    <m/>
    <n v="0.9314782608695652"/>
    <n v="0.99202434782608695"/>
    <n v="835.56492000000003"/>
    <n v="161.98227523242059"/>
    <n v="177.11512270425209"/>
    <n v="352.07930658513709"/>
    <n v="352"/>
    <n v="323.83999999999997"/>
    <n v="321.2571648"/>
    <n v="1338.57152"/>
    <d v="2021-03-01T00:00:00"/>
    <s v="2021_0688_01741, 2023_1861_02918"/>
    <s v="W2040AA LR CLEAR r092x0352 MT2P"/>
    <s v="F5 version of W1040AA (with some slight modifications)"/>
    <m/>
    <s v="qualified"/>
    <s v="N/A"/>
    <d v="2021-03-01T00:00:00"/>
    <n v="0.60869565217391308"/>
    <m/>
  </r>
  <r>
    <s v="NSG"/>
    <s v="Witten"/>
    <s v="BMW"/>
    <s v="F30 (3 Series, F32 Limo Coupe)"/>
    <s v="ARG"/>
    <x v="1"/>
    <s v="W1040AA"/>
    <s v="L"/>
    <s v="R"/>
    <s v="Clear"/>
    <s v="Standard"/>
    <s v="BF009103, BF009104"/>
    <s v="Y"/>
    <x v="2"/>
    <n v="0.4"/>
    <n v="92"/>
    <n v="20"/>
    <s v="N/A"/>
    <s v="N/A"/>
    <n v="0.76"/>
    <n v="200"/>
    <n v="600"/>
    <n v="400"/>
    <n v="120"/>
    <m/>
    <m/>
    <n v="0"/>
    <n v="720"/>
    <s v="N/A"/>
    <n v="72"/>
    <n v="1.048"/>
    <m/>
    <n v="0.93530434782608696"/>
    <n v="0"/>
    <n v="0"/>
    <n v="159.50926339681109"/>
    <n v="174.411075029378"/>
    <n v="346.70404999605103"/>
    <n v="174"/>
    <n v="160.08000000000001"/>
    <n v="0"/>
    <n v="0"/>
    <d v="2020-03-01T00:00:00"/>
    <s v="2020_0041_01092"/>
    <m/>
    <s v="2011-2019 3 Series (F30, 6th gen)"/>
    <n v="4"/>
    <s v="qualified"/>
    <s v="N/A"/>
    <d v="2020-09-01T00:00:00"/>
    <n v="0.65217391304347827"/>
    <s v="50M kg"/>
  </r>
  <r>
    <s v="NSG"/>
    <s v="Witten"/>
    <s v="BMW"/>
    <s v="F33, F34 3-series Conv. GT"/>
    <s v="ARG"/>
    <x v="2"/>
    <s v="W2040AB"/>
    <s v="L"/>
    <s v="R"/>
    <s v="Clear"/>
    <s v="Standard"/>
    <s v="BF009718, BF011570 (MT2P)"/>
    <s v="Y"/>
    <x v="2"/>
    <n v="0.4"/>
    <n v="98"/>
    <n v="26"/>
    <s v="N/A"/>
    <s v="N/A"/>
    <n v="0.76"/>
    <n v="200"/>
    <n v="600"/>
    <n v="400"/>
    <n v="120"/>
    <n v="200"/>
    <n v="600"/>
    <n v="400"/>
    <n v="120"/>
    <s v="N/A"/>
    <n v="72"/>
    <n v="1.048"/>
    <m/>
    <n v="0.94220408163265323"/>
    <n v="1.0034473469387757"/>
    <n v="835.56492000000003"/>
    <n v="159.50926339681109"/>
    <n v="174.411075029378"/>
    <n v="346.70404999605103"/>
    <n v="347"/>
    <n v="340.06"/>
    <n v="341.23230480000007"/>
    <n v="1312.4319415384618"/>
    <d v="2021-03-01T00:00:00"/>
    <s v="2021_0688_01741, 2023_1861_02918"/>
    <s v="W2040AB LR CLEAR r098x0347 MT2P"/>
    <m/>
    <n v="16"/>
    <m/>
    <s v="N/A"/>
    <d v="2021-03-01T00:00:00"/>
    <n v="0.61224489795918369"/>
    <m/>
  </r>
  <r>
    <s v="NSG"/>
    <s v="Witten"/>
    <s v="BMW"/>
    <s v="F39 X2"/>
    <s v="OEM"/>
    <x v="1"/>
    <s v="W2240AQ"/>
    <s v="L"/>
    <s v="R"/>
    <s v="Clear"/>
    <s v="Acoustic"/>
    <s v="BF011924"/>
    <s v="Y"/>
    <x v="2"/>
    <n v="0.4"/>
    <n v="90"/>
    <n v="22"/>
    <s v="N/A"/>
    <s v="N/A"/>
    <n v="0.8"/>
    <n v="200"/>
    <n v="560"/>
    <n v="360"/>
    <n v="120"/>
    <n v="180"/>
    <n v="580"/>
    <n v="400"/>
    <n v="100"/>
    <s v="N/A"/>
    <n v="68"/>
    <n v="1.0720000000000001"/>
    <m/>
    <n v="0.96924444444444446"/>
    <n v="1.0273991111111112"/>
    <n v="874.04208000000006"/>
    <n v="155.93816048494219"/>
    <n v="170.50634946901883"/>
    <n v="338.94201902599013"/>
    <n v="339"/>
    <n v="305.10000000000002"/>
    <n v="313.45946880000002"/>
    <n v="1424.8157672727273"/>
    <d v="2023-08-01T00:00:00"/>
    <s v="2023_2104_03161"/>
    <s v="W2240AQ LR CLEAR r090x0339 MT2P"/>
    <s v="Replaced W2240AB. But never bought any. Fuyao took this windshield."/>
    <m/>
    <m/>
    <m/>
    <m/>
    <n v="0.62222222222222223"/>
    <m/>
  </r>
  <r>
    <s v="NSG"/>
    <s v="Witten"/>
    <s v="BMW"/>
    <s v="F39 X2"/>
    <s v="OEM"/>
    <x v="1"/>
    <s v="W2240AB"/>
    <s v="L"/>
    <s v="R"/>
    <s v="Clear"/>
    <s v="Acoustic"/>
    <s v="BF009713, BF011577 (MT2P)"/>
    <s v="Y"/>
    <x v="2"/>
    <n v="0.4"/>
    <n v="92"/>
    <n v="24"/>
    <s v="N/A"/>
    <s v="N/A"/>
    <n v="0.8"/>
    <n v="200"/>
    <n v="560"/>
    <n v="360"/>
    <n v="120"/>
    <n v="160"/>
    <n v="560"/>
    <n v="400"/>
    <n v="120"/>
    <s v="N/A"/>
    <n v="68"/>
    <n v="1.0720000000000001"/>
    <m/>
    <n v="0.97147826086956524"/>
    <n v="1.0297669565217391"/>
    <n v="874.04208000000006"/>
    <n v="155.93816048494219"/>
    <n v="170.50634946901883"/>
    <n v="338.94201902599013"/>
    <n v="339"/>
    <n v="311.88"/>
    <n v="321.16371839999999"/>
    <n v="1338.1821600000001"/>
    <d v="2021-04-01T00:00:00"/>
    <s v="2021_0688_01741"/>
    <s v="W2240AB LR CLEAR r092x0339 MT2P"/>
    <s v="Switched to W2240AQ"/>
    <n v="4"/>
    <m/>
    <s v="N/A"/>
    <d v="2021-04-01T00:00:00"/>
    <n v="0.60869565217391308"/>
    <m/>
  </r>
  <r>
    <s v="NSG"/>
    <s v="Witten"/>
    <s v="BMW"/>
    <s v="G11 7-series"/>
    <s v="OEM"/>
    <x v="2"/>
    <s v="W2240AA"/>
    <s v="L"/>
    <s v="R"/>
    <s v="Clear"/>
    <s v="Acoustic"/>
    <s v="BF009714 (171m), BF010190 (339m), BF010216 (300m)"/>
    <s v="Y"/>
    <x v="2"/>
    <n v="0.4"/>
    <n v="96"/>
    <n v="28"/>
    <s v="N/A"/>
    <s v="N/A"/>
    <n v="0.8"/>
    <n v="200"/>
    <n v="560"/>
    <n v="360"/>
    <n v="120"/>
    <n v="160"/>
    <n v="560"/>
    <n v="400"/>
    <n v="120"/>
    <s v="N/A"/>
    <n v="68"/>
    <n v="1.0720000000000001"/>
    <m/>
    <n v="0.97566666666666668"/>
    <n v="1.0342066666666667"/>
    <n v="874.04208000000006"/>
    <n v="155.93816048494219"/>
    <n v="170.50634946901883"/>
    <n v="338.94201902599013"/>
    <n v="300"/>
    <n v="288"/>
    <n v="297.85151999999999"/>
    <n v="1063.7554285714284"/>
    <d v="2021-04-01T00:00:00"/>
    <s v="2021_0688_01741, 2021_1041_02096, 2021_1081_02136"/>
    <s v="_02096 set up long rolls thick end up (MT2Y)"/>
    <m/>
    <n v="4"/>
    <m/>
    <s v="N/A"/>
    <d v="2021-04-01T00:00:00"/>
    <n v="0.58333333333333337"/>
    <m/>
  </r>
  <r>
    <s v="NSG"/>
    <s v="Witten"/>
    <s v="BMW"/>
    <s v="G14-15-16 8-series Grande Coupe"/>
    <s v="OEM"/>
    <x v="2"/>
    <s v="W2232AB"/>
    <s v="L"/>
    <s v="R"/>
    <s v="Clear"/>
    <s v="Acoustic"/>
    <s v="BF009715, BF011575 (MT2P)"/>
    <s v="Y"/>
    <x v="2"/>
    <n v="0.32"/>
    <n v="92"/>
    <n v="24"/>
    <s v="N/A"/>
    <s v="N/A"/>
    <n v="0.8"/>
    <n v="200"/>
    <n v="560"/>
    <n v="360"/>
    <n v="120"/>
    <n v="160"/>
    <n v="560"/>
    <n v="400"/>
    <n v="120"/>
    <s v="N/A"/>
    <n v="68"/>
    <n v="1.0176000000000001"/>
    <m/>
    <n v="0.93718260869565218"/>
    <n v="0.99341356521739133"/>
    <n v="868.833664"/>
    <n v="164.27447724042653"/>
    <n v="179.62146878025567"/>
    <n v="357.06156092360601"/>
    <n v="357"/>
    <n v="328.44"/>
    <n v="326.27675135999999"/>
    <n v="1359.4864640000001"/>
    <d v="2021-04-01T00:00:00"/>
    <s v="2021_0688_01741"/>
    <s v="W2232AB LR CLEAR r092x0357 MT2P"/>
    <m/>
    <n v="4"/>
    <m/>
    <s v="N/A"/>
    <d v="2021-04-01T00:00:00"/>
    <n v="0.60869565217391308"/>
    <m/>
  </r>
  <r>
    <s v="NSG"/>
    <s v="Witten"/>
    <s v="BMW/Toyota"/>
    <s v="G29 Z4, Toyota Supra"/>
    <s v="OEM"/>
    <x v="2"/>
    <s v="W2038AA"/>
    <s v="L"/>
    <s v="R"/>
    <s v="Clear"/>
    <s v="Standard"/>
    <s v="BF009725, BF011576 (MT2P)"/>
    <s v="Y"/>
    <x v="2"/>
    <n v="0.38"/>
    <n v="86"/>
    <n v="24"/>
    <s v="N/A"/>
    <s v="N/A"/>
    <n v="0.76"/>
    <n v="200"/>
    <n v="500"/>
    <n v="300"/>
    <n v="120"/>
    <n v="100"/>
    <n v="500"/>
    <n v="400"/>
    <n v="120"/>
    <s v="N/A"/>
    <n v="62"/>
    <n v="0.99560000000000004"/>
    <m/>
    <n v="0.91067441860465115"/>
    <n v="0.96986825581395353"/>
    <n v="834.25667399999998"/>
    <n v="167.9044877861169"/>
    <n v="183.59060529408214"/>
    <n v="364.9516315747905"/>
    <n v="365"/>
    <n v="313.89999999999998"/>
    <n v="304.44164549999999"/>
    <n v="1268.5068562500001"/>
    <d v="2021-03-01T00:00:00"/>
    <s v="2021_0702_01756, 2023_1861_02918"/>
    <s v="W2038AA LR CLEAR r086x0365 MT2P"/>
    <m/>
    <n v="2"/>
    <m/>
    <s v="N/A"/>
    <d v="2021-03-01T00:00:00"/>
    <n v="0.58139534883720934"/>
    <n v="9375"/>
  </r>
  <r>
    <s v="NSG"/>
    <s v="Witten"/>
    <s v="Mercedes"/>
    <s v="R323SL Roadster, C192 AMG GT"/>
    <s v="OEM"/>
    <x v="2"/>
    <s v="W2248AA"/>
    <s v="L"/>
    <s v="R"/>
    <s v="Clear"/>
    <s v="Acoustic"/>
    <s v="BF009261 (CT1P), BF009262 (MT4P), BF011573 (MT2P)"/>
    <s v="Y"/>
    <x v="2"/>
    <n v="0.48"/>
    <n v="82"/>
    <n v="15"/>
    <s v="N/A"/>
    <s v="N/A"/>
    <n v="0.8"/>
    <n v="150"/>
    <n v="550"/>
    <n v="400"/>
    <n v="120"/>
    <n v="150"/>
    <n v="550"/>
    <n v="400"/>
    <n v="120"/>
    <s v="N/A"/>
    <n v="67"/>
    <n v="1.1215999999999999"/>
    <m/>
    <n v="0.99021463414634137"/>
    <n v="1.049627512195122"/>
    <n v="879.250496"/>
    <n v="149.04217906549397"/>
    <n v="162.96612574071699"/>
    <n v="323.95314229302915"/>
    <n v="324"/>
    <n v="265.68"/>
    <n v="278.86503744000004"/>
    <n v="1859.1002496000003"/>
    <d v="2020-09-01T00:00:00"/>
    <s v="2020_0294_01346, 2023_1861_02918"/>
    <s v="W2248AA LR CLEAR r82x0163 CT1P, W2248AA LR CLEAR r82x0163 MT4P, W2248AA LR CLEAR r082x0324 MT2P"/>
    <s v="Should run 2x or even 1x per year since very small volume"/>
    <s v="4 from Sept '20, plus 4 more from Feb '21"/>
    <m/>
    <s v="N/A"/>
    <d v="2020-08-01T00:00:00"/>
    <n v="0.67073170731707321"/>
    <n v="10"/>
  </r>
  <r>
    <s v="NSG"/>
    <s v="Witten"/>
    <s v="Toyota"/>
    <s v="Yaris"/>
    <s v="OEM"/>
    <x v="1"/>
    <s v="W5036"/>
    <s v="F"/>
    <s v="R1"/>
    <s v="Clear"/>
    <s v="Standard"/>
    <s v="BF007714"/>
    <s v="N"/>
    <x v="1"/>
    <n v="0.36"/>
    <n v="96"/>
    <n v="33"/>
    <s v="N/A"/>
    <s v="N/A"/>
    <n v="0.78"/>
    <n v="200"/>
    <n v="550"/>
    <n v="350"/>
    <n v="80"/>
    <m/>
    <m/>
    <n v="0"/>
    <n v="630"/>
    <s v="N/A"/>
    <n v="63"/>
    <n v="1.0068000000000001"/>
    <m/>
    <n v="0.93238125000000005"/>
    <n v="0.99298603124999996"/>
    <n v="854.24842799999999"/>
    <n v="166.03665876028805"/>
    <n v="181.54827833808915"/>
    <n v="360.89178028989016"/>
    <n v="150"/>
    <n v="144"/>
    <n v="142.98998849999998"/>
    <n v="433.3029954545454"/>
    <d v="2018-04-01T00:00:00"/>
    <s v="Old"/>
    <s v="W5036 FR1 CLEAR r096x0.95x0150 CB1P"/>
    <s v="Development work was done with this W-code"/>
    <m/>
    <s v="went with different roll width"/>
    <s v="N/A"/>
    <m/>
    <n v="0.57291666666666663"/>
    <m/>
  </r>
  <r>
    <s v="NSG"/>
    <s v="Witten"/>
    <s v="Toyota"/>
    <s v="Yaris"/>
    <s v="OEM"/>
    <x v="1"/>
    <s v="W5036AB"/>
    <s v="F"/>
    <s v="R1"/>
    <s v="Clear"/>
    <s v="Standard"/>
    <s v="?"/>
    <s v="N"/>
    <x v="1"/>
    <n v="0.36"/>
    <n v="98"/>
    <n v="30"/>
    <s v="N/A"/>
    <s v="N/A"/>
    <n v="0.76"/>
    <n v="200"/>
    <n v="550"/>
    <n v="350"/>
    <n v="130"/>
    <m/>
    <m/>
    <n v="0"/>
    <n v="680"/>
    <s v="N/A"/>
    <n v="68"/>
    <n v="1.0047999999999999"/>
    <m/>
    <n v="0.91986938775510207"/>
    <n v="0.97966089795918365"/>
    <n v="832.94842800000004"/>
    <n v="166.36714574030458"/>
    <n v="181.90964035707424"/>
    <n v="361.61011583983031"/>
    <n v="150"/>
    <n v="147"/>
    <n v="144.01015200000001"/>
    <n v="480.03384000000005"/>
    <s v="Oct '20?"/>
    <s v="2020_0389_01441"/>
    <s v="W5036AB FR1 CLEAR R098X0150 CB1P"/>
    <s v="Commercial purchases needed to be 2cm wider"/>
    <m/>
    <s v="qualified"/>
    <s v="N/A"/>
    <m/>
    <n v="0.56122448979591832"/>
    <m/>
  </r>
  <r>
    <s v="NSG"/>
    <s v="Witten"/>
    <s v="Toyota"/>
    <s v="Yaris Cross TSS3 (369D)"/>
    <s v="OEM"/>
    <x v="2"/>
    <s v="W2260AE"/>
    <s v="L"/>
    <s v="R"/>
    <s v="Clear"/>
    <s v="Acoustic"/>
    <s v="BF011558 (CT1P), BF012192 (MT2P)"/>
    <s v="Y"/>
    <x v="2"/>
    <n v="0.6"/>
    <n v="98"/>
    <n v="25"/>
    <s v="N/A"/>
    <s v="N/A"/>
    <n v="0.8"/>
    <n v="200"/>
    <n v="600"/>
    <n v="400"/>
    <n v="130"/>
    <n v="200"/>
    <n v="600"/>
    <n v="400"/>
    <n v="130"/>
    <s v="N/A"/>
    <n v="73"/>
    <n v="1.238"/>
    <m/>
    <n v="1.0748673469387757"/>
    <n v="1.1393593877551023"/>
    <n v="887.06312000000003"/>
    <n v="135.02884332783364"/>
    <n v="147.64362409595168"/>
    <n v="293.49422002896728"/>
    <n v="295"/>
    <n v="289.10000000000002"/>
    <n v="329.38879900000006"/>
    <n v="1317.5551960000003"/>
    <d v="2023-01-23T00:00:00"/>
    <s v="2022_1824_02880, 2024_2406_03463"/>
    <s v="W2260AE LR CLEAR r098x0148 CT1P, MT2P"/>
    <m/>
    <m/>
    <m/>
    <s v="N/A"/>
    <m/>
    <n v="0.61224489795918369"/>
    <m/>
  </r>
  <r>
    <s v="NSG"/>
    <s v="Witten"/>
    <s v="Toyota"/>
    <s v="Yaris TW402"/>
    <s v="OEM"/>
    <x v="2"/>
    <s v="W2036AA"/>
    <s v="L"/>
    <s v="R"/>
    <s v="Clear"/>
    <s v="Standard"/>
    <s v="BF009727, BF011578 (MT2P)"/>
    <s v="Y"/>
    <x v="2"/>
    <n v="0.36"/>
    <n v="98"/>
    <n v="30"/>
    <s v="N/A"/>
    <s v="N/A"/>
    <n v="0.76"/>
    <n v="200"/>
    <n v="550"/>
    <n v="350"/>
    <n v="130"/>
    <n v="150"/>
    <n v="550"/>
    <n v="400"/>
    <n v="130"/>
    <s v="N/A"/>
    <n v="68"/>
    <n v="1.0047999999999999"/>
    <m/>
    <n v="0.91986938775510207"/>
    <n v="0.97966089795918365"/>
    <n v="832.94842800000004"/>
    <n v="166.36714574030458"/>
    <n v="181.90964035707424"/>
    <n v="361.61011583983031"/>
    <n v="362"/>
    <n v="354.76"/>
    <n v="347.54450015999998"/>
    <n v="1158.4816671999999"/>
    <d v="2021-03-01T00:00:00"/>
    <s v="2021_0702_01756, 2023_1861_02918"/>
    <s v="W2036AA LR CLEAR r098x0362 MT2P"/>
    <m/>
    <n v="6"/>
    <m/>
    <s v="N/A"/>
    <m/>
    <n v="0.56122448979591832"/>
    <n v="625"/>
  </r>
  <r>
    <s v="NSG"/>
    <s v="Witten"/>
    <s v="Toyota"/>
    <s v="Yaris TW402"/>
    <s v="OEM"/>
    <x v="0"/>
    <s v="W2236AA"/>
    <s v="L"/>
    <s v="R"/>
    <s v="Clear"/>
    <s v="Acoustic"/>
    <s v="BF010178"/>
    <s v="Y"/>
    <x v="2"/>
    <n v="0.36"/>
    <n v="98"/>
    <n v="30"/>
    <s v="N/A"/>
    <s v="N/A"/>
    <n v="0.8"/>
    <n v="200"/>
    <n v="550"/>
    <n v="350"/>
    <n v="130"/>
    <n v="150"/>
    <n v="550"/>
    <n v="400"/>
    <n v="130"/>
    <s v="N/A"/>
    <n v="68"/>
    <n v="1.0448"/>
    <m/>
    <n v="0.959869387755102"/>
    <n v="1.0174615510204081"/>
    <n v="871.43787200000008"/>
    <n v="159.99780631686261"/>
    <n v="174.94525902640521"/>
    <n v="347.76593070048"/>
    <n v="175"/>
    <n v="171.5"/>
    <n v="174.49465599999999"/>
    <n v="581.64885333333336"/>
    <d v="2021-11-01T00:00:00"/>
    <s v="2021_1019_02074"/>
    <s v="MT4Y"/>
    <s v="Acoustic version of W2036AA LR"/>
    <n v="4"/>
    <m/>
    <s v="N/A"/>
    <m/>
    <n v="0.56122448979591832"/>
    <m/>
  </r>
  <r>
    <s v="NSG"/>
    <s v="Witten"/>
    <s v="Toyota"/>
    <s v="Yaris TW412 Cross"/>
    <s v="OEM"/>
    <x v="1"/>
    <s v="W2252AB"/>
    <s v="L"/>
    <s v="R"/>
    <s v="Clear"/>
    <s v="Acoustic"/>
    <s v="BF009801"/>
    <s v="Y"/>
    <x v="2"/>
    <n v="0.52"/>
    <n v="98"/>
    <n v="26"/>
    <s v="N/A"/>
    <s v="N/A"/>
    <n v="0.8"/>
    <n v="200"/>
    <n v="600"/>
    <n v="400"/>
    <n v="120"/>
    <n v="200"/>
    <n v="600"/>
    <n v="400"/>
    <n v="120"/>
    <s v="N/A"/>
    <n v="72"/>
    <n v="1.1743999999999999"/>
    <m/>
    <n v="1.0368653061224489"/>
    <n v="1.0990772244897957"/>
    <n v="881.85470400000008"/>
    <n v="142.34137264974288"/>
    <n v="155.63931082321881"/>
    <n v="309.38849148148967"/>
    <n v="155"/>
    <n v="151.9"/>
    <n v="166.94983039999997"/>
    <n v="642.11473230769218"/>
    <d v="2021-04-01T00:00:00"/>
    <s v="2021_0736_01790"/>
    <m/>
    <m/>
    <n v="4"/>
    <m/>
    <s v="N/A"/>
    <m/>
    <n v="0.61224489795918369"/>
    <m/>
  </r>
  <r>
    <s v="NSG"/>
    <s v="Witten &amp; Maizuru"/>
    <s v="N/A"/>
    <s v="N/A"/>
    <s v="N/A"/>
    <x v="1"/>
    <s v="W5045AA"/>
    <s v="F"/>
    <s v="R1"/>
    <s v="Clear"/>
    <s v="Standard"/>
    <s v="BF007094, BF007095"/>
    <m/>
    <x v="1"/>
    <n v="0.45"/>
    <n v="98"/>
    <m/>
    <s v="N/A"/>
    <s v="N/A"/>
    <m/>
    <m/>
    <m/>
    <n v="0"/>
    <n v="980"/>
    <m/>
    <m/>
    <n v="0"/>
    <n v="980"/>
    <s v="N/A"/>
    <n v="98"/>
    <n v="0.44100000000000006"/>
    <m/>
    <n v="0.22050000000000003"/>
    <n v="0.23483250000000003"/>
    <n v="29.435535000000002"/>
    <n v="379.06056244865761"/>
    <n v="414.47348442355587"/>
    <n v="823.9134793556949"/>
    <s v="30, 150"/>
    <e v="#VALUE!"/>
    <e v="#VALUE!"/>
    <e v="#VALUE!"/>
    <d v="2018-08-01T00:00:00"/>
    <s v="Old"/>
    <m/>
    <s v="Was only for initial testing. Not for a specific vehicle. Same code as SGS"/>
    <m/>
    <m/>
    <s v="N/A"/>
    <m/>
    <m/>
    <m/>
  </r>
  <r>
    <s v="SGS"/>
    <s v="Cuautla"/>
    <s v="?"/>
    <s v="?"/>
    <s v="OEM"/>
    <x v="1"/>
    <s v="W5022AB"/>
    <s v="D"/>
    <s v="E2"/>
    <s v="Clear"/>
    <s v="Standard"/>
    <s v="N/A"/>
    <m/>
    <x v="1"/>
    <n v="0.22"/>
    <n v="183"/>
    <n v="60"/>
    <s v="N/A"/>
    <s v="N/A"/>
    <n v="0.38"/>
    <n v="240"/>
    <n v="740"/>
    <n v="500"/>
    <n v="490"/>
    <n v="240"/>
    <n v="740"/>
    <n v="500"/>
    <n v="490"/>
    <s v="N/A"/>
    <n v="123"/>
    <n v="0.65060000000000007"/>
    <m/>
    <n v="0.55966065573770496"/>
    <n v="0.59603859836065576"/>
    <n v="419.09070600000001"/>
    <n v="256.94083621250849"/>
    <n v="280.94498406207833"/>
    <n v="558.47808852730009"/>
    <n v="281"/>
    <n v="514.23"/>
    <n v="306.50092843500005"/>
    <n v="510.83488072500012"/>
    <s v="Never"/>
    <s v="2023_2090_03147"/>
    <m/>
    <s v="BPCM was canceled"/>
    <m/>
    <m/>
    <m/>
    <m/>
    <n v="0.40437158469945356"/>
    <m/>
  </r>
  <r>
    <s v="SGS"/>
    <s v="Cuautla"/>
    <s v="?"/>
    <s v="?"/>
    <m/>
    <x v="1"/>
    <s v="W2272AD"/>
    <s v="K"/>
    <s v="E2"/>
    <s v="Clear"/>
    <s v="Acoustic"/>
    <s v="BF012148"/>
    <s v="Y"/>
    <x v="2"/>
    <n v="0.72"/>
    <n v="118"/>
    <n v="30"/>
    <s v="N/A"/>
    <s v="N/A"/>
    <n v="0.8"/>
    <n v="240"/>
    <n v="630"/>
    <n v="390"/>
    <n v="250"/>
    <n v="240"/>
    <n v="640"/>
    <n v="400"/>
    <n v="240"/>
    <s v="N/A"/>
    <n v="88"/>
    <n v="1.4336"/>
    <m/>
    <n v="1.1973423728813561"/>
    <n v="1.2691829152542375"/>
    <n v="894.87574400000005"/>
    <n v="116.60554411262419"/>
    <n v="127.49916757169935"/>
    <n v="253.44994726273819"/>
    <n v="253"/>
    <n v="298.54000000000002"/>
    <n v="378.90186752000011"/>
    <n v="1263.0062250666672"/>
    <s v="Never"/>
    <s v="2023_2348_03405"/>
    <s v="W2272AD KE2 CLEAR r118x0253 WT2A"/>
    <s v="Opportunity was canceled before we could extrude a sample"/>
    <m/>
    <m/>
    <m/>
    <m/>
    <n v="0.53389830508474578"/>
    <m/>
  </r>
  <r>
    <s v="SGS"/>
    <s v="Cuautla"/>
    <s v="BMW"/>
    <s v="2-series (G42)"/>
    <s v="OEM"/>
    <x v="0"/>
    <s v="W2244AM"/>
    <s v="K"/>
    <s v="E2"/>
    <s v="Clear"/>
    <s v="Acoustic"/>
    <s v="BF012405"/>
    <s v="Y"/>
    <x v="2"/>
    <n v="0.44"/>
    <n v="92"/>
    <n v="22"/>
    <s v="N/A"/>
    <s v="N/A"/>
    <n v="0.8"/>
    <n v="220"/>
    <n v="570"/>
    <n v="350"/>
    <n v="130"/>
    <n v="200"/>
    <n v="600"/>
    <n v="400"/>
    <n v="100"/>
    <s v="N/A"/>
    <n v="70"/>
    <n v="1.1080000000000001"/>
    <m/>
    <n v="0.99082608695652186"/>
    <n v="1.0502756521739132"/>
    <n v="876.64628800000003"/>
    <n v="150.87157765330147"/>
    <n v="164.96643197724563"/>
    <n v="327.92946245113848"/>
    <n v="163"/>
    <n v="149.96"/>
    <n v="157.49933680000004"/>
    <n v="715.90607636363654"/>
    <d v="2024-06-01T00:00:00"/>
    <s v="2024_2643_03701"/>
    <s v="W2244AM KE2 CLEAR r092x0163 CT1P"/>
    <m/>
    <m/>
    <m/>
    <m/>
    <m/>
    <n v="0.61956521739130432"/>
    <m/>
  </r>
  <r>
    <s v="SGS"/>
    <s v="Cuautla"/>
    <s v="BMW"/>
    <s v="2-series (G42)"/>
    <s v="OEM"/>
    <x v="0"/>
    <s v="W2250AV"/>
    <s v="K"/>
    <s v="E2"/>
    <s v="Clear"/>
    <s v="Acoustic"/>
    <s v="BF012381"/>
    <s v="Y"/>
    <x v="2"/>
    <n v="0.5"/>
    <n v="87"/>
    <n v="17"/>
    <s v="N/A"/>
    <s v="N/A"/>
    <n v="0.8"/>
    <n v="220"/>
    <n v="570"/>
    <n v="350"/>
    <n v="130"/>
    <n v="200"/>
    <n v="600"/>
    <n v="400"/>
    <n v="100"/>
    <s v="N/A"/>
    <n v="70"/>
    <n v="1.1500000000000001"/>
    <m/>
    <n v="1.0091954022988505"/>
    <n v="1.0697471264367815"/>
    <n v="880.5526000000001"/>
    <n v="145.36148525205044"/>
    <n v="158.94157098329404"/>
    <n v="315.95290817031423"/>
    <n v="157"/>
    <n v="136.59"/>
    <n v="146.11676"/>
    <n v="859.51035294117639"/>
    <d v="2024-06-01T00:00:00"/>
    <s v="2024_2643_03701"/>
    <s v="W2250AV KE2 CLEAR r087x0157 CT1P"/>
    <m/>
    <m/>
    <m/>
    <m/>
    <m/>
    <n v="0.65517241379310343"/>
    <m/>
  </r>
  <r>
    <s v="SGS"/>
    <s v="Cuautla"/>
    <s v="BMW"/>
    <s v="2-series (G42) &amp; 3-series (G20)"/>
    <s v="OEM"/>
    <x v="0"/>
    <s v="W2241AK"/>
    <s v="K"/>
    <s v="E2"/>
    <s v="Clear"/>
    <s v="Acoustic"/>
    <m/>
    <s v="Y"/>
    <x v="3"/>
    <n v="0.41"/>
    <n v="92"/>
    <n v="22"/>
    <s v="N/A"/>
    <s v="N/A"/>
    <n v="0.8"/>
    <n v="210"/>
    <n v="560"/>
    <n v="350"/>
    <n v="140"/>
    <n v="210"/>
    <n v="610"/>
    <n v="400"/>
    <n v="90"/>
    <s v="N/A"/>
    <n v="70"/>
    <n v="1.087"/>
    <m/>
    <n v="0.97781521739130439"/>
    <n v="1.0364841304347825"/>
    <n v="874.69313200000011"/>
    <n v="153.78629994467161"/>
    <n v="168.15345596208667"/>
    <n v="334.2648062519425"/>
    <n v="168"/>
    <n v="154.56"/>
    <n v="160.19898719999998"/>
    <n v="728.17721454545449"/>
    <s v="?"/>
    <s v="2025-0078-0215"/>
    <m/>
    <m/>
    <m/>
    <m/>
    <m/>
    <m/>
    <n v="0.60869565217391308"/>
    <m/>
  </r>
  <r>
    <s v="SGS"/>
    <s v="Cuautla"/>
    <s v="BMW"/>
    <s v="2-series (G42)"/>
    <s v="OEM"/>
    <x v="0"/>
    <s v="W2245AG"/>
    <s v="K"/>
    <s v="E2"/>
    <s v="Clear"/>
    <s v="Acoustic"/>
    <m/>
    <s v="Y"/>
    <x v="0"/>
    <n v="0.45"/>
    <n v="110"/>
    <n v="30"/>
    <s v="N/A"/>
    <s v="N/A"/>
    <n v="0.8"/>
    <n v="235"/>
    <n v="635"/>
    <n v="400"/>
    <n v="165"/>
    <n v="235"/>
    <n v="635"/>
    <n v="400"/>
    <n v="165"/>
    <s v="N/A"/>
    <n v="80"/>
    <n v="1.1600000000000001"/>
    <m/>
    <n v="1.0290909090909093"/>
    <n v="1.0908363636363638"/>
    <n v="877.29733999999996"/>
    <n v="144.1083689998776"/>
    <n v="157.57138502654149"/>
    <n v="313.22917620332879"/>
    <n v="158"/>
    <n v="173.8"/>
    <n v="189.58736000000005"/>
    <n v="631.95786666666686"/>
    <m/>
    <m/>
    <m/>
    <m/>
    <m/>
    <m/>
    <m/>
    <m/>
    <m/>
    <m/>
  </r>
  <r>
    <s v="SGS"/>
    <s v="Cuautla"/>
    <s v="Nissan/Infinity"/>
    <s v="Pathfinder/QX60 (P42R? R53?)"/>
    <s v="OEM"/>
    <x v="2"/>
    <s v="W2264AA"/>
    <s v="K"/>
    <s v="E2"/>
    <s v="Clear"/>
    <s v="Acoustic"/>
    <s v="BF009451 (269m), BF010781 (135m)"/>
    <s v="Y"/>
    <x v="2"/>
    <n v="0.64"/>
    <n v="116"/>
    <n v="30"/>
    <s v="N/A"/>
    <s v="N/A"/>
    <n v="0.8"/>
    <n v="240"/>
    <n v="630"/>
    <n v="390"/>
    <n v="230"/>
    <n v="230"/>
    <n v="630"/>
    <n v="400"/>
    <n v="230"/>
    <s v="N/A"/>
    <n v="86"/>
    <n v="1.3504"/>
    <m/>
    <n v="1.1463724137931037"/>
    <n v="1.2151547586206901"/>
    <n v="889.66732800000011"/>
    <n v="123.78977194894701"/>
    <n v="135.35456652161446"/>
    <n v="269.06534685712495"/>
    <n v="269"/>
    <n v="312.04000000000002"/>
    <n v="379.17689088000014"/>
    <n v="1263.9229696000004"/>
    <d v="2020-09-01T00:00:00"/>
    <s v="2020_0406_01458 (269m), 2022_1358_02414 (135m)"/>
    <s v="W2264AA KE2 CLEAR r116x0269 WT2A, W2264AA KE2 CLEAR r116x0135 CT4P"/>
    <m/>
    <s v="6 from Sept '20, plus 6 from Nov '20"/>
    <s v="qualified"/>
    <s v="N/A"/>
    <m/>
    <n v="0.5431034482758621"/>
    <n v="50"/>
  </r>
  <r>
    <s v="SGS"/>
    <s v="Cuautla"/>
    <s v="Nissan/Infinity"/>
    <s v="Pathfinder/QX60 (P42R? R53?)"/>
    <s v="OEM"/>
    <x v="1"/>
    <s v="W2267AA"/>
    <s v="K"/>
    <s v="E2"/>
    <s v="Clear"/>
    <s v="Acoustic"/>
    <s v="BF010875"/>
    <s v="Y"/>
    <x v="2"/>
    <n v="0.67"/>
    <n v="116"/>
    <n v="30"/>
    <s v="N/A"/>
    <s v="N/A"/>
    <n v="0.8"/>
    <n v="240"/>
    <n v="630"/>
    <n v="390"/>
    <n v="230"/>
    <n v="230"/>
    <n v="630"/>
    <n v="400"/>
    <n v="230"/>
    <s v="N/A"/>
    <n v="86"/>
    <n v="1.3762000000000001"/>
    <m/>
    <n v="1.1626086206896551"/>
    <n v="1.2323651379310345"/>
    <n v="891.62048400000003"/>
    <n v="121.46905103898999"/>
    <n v="132.81703722626665"/>
    <n v="264.02110477827455"/>
    <n v="133"/>
    <n v="154.28"/>
    <n v="190.12929348"/>
    <n v="633.76431160000004"/>
    <d v="2022-06-01T00:00:00"/>
    <s v="2022_1455_02511"/>
    <s v="W2267AA KE2 CLEAR r116x0133 CT4P"/>
    <s v="Increased wedge angle due to ghosting, but never tested"/>
    <m/>
    <m/>
    <s v="N/A"/>
    <m/>
    <n v="0.5431034482758621"/>
    <m/>
  </r>
  <r>
    <s v="SGS"/>
    <s v="Cuautla"/>
    <s v="VW"/>
    <s v="Atlas (P416PA)"/>
    <s v="OEM"/>
    <x v="1"/>
    <s v="W2262AC"/>
    <s v="K"/>
    <s v="E2"/>
    <s v="Clear"/>
    <s v="Acoustic"/>
    <s v="Wasted W-code. Canceled before it was ever extruded."/>
    <s v="Y"/>
    <x v="0"/>
    <n v="0.62"/>
    <n v="93"/>
    <n v="30"/>
    <s v="N/A"/>
    <s v="N/A"/>
    <n v="0.8"/>
    <n v="250"/>
    <n v="480"/>
    <n v="230"/>
    <n v="150"/>
    <n v="110"/>
    <n v="510"/>
    <n v="400"/>
    <n v="120"/>
    <s v="N/A"/>
    <n v="63"/>
    <n v="1.1906000000000001"/>
    <m/>
    <n v="1.0583"/>
    <n v="1.1217980000000001"/>
    <n v="888.36522400000001"/>
    <n v="140.40459267584245"/>
    <n v="153.52159132436429"/>
    <n v="305.17877070037076"/>
    <n v="250"/>
    <n v="232.5"/>
    <n v="260.81803500000001"/>
    <n v="869.39345000000003"/>
    <s v="Never"/>
    <s v="2022_1656_02712, 2022_1668_02724, 2022_1707_02763"/>
    <s v=", Thick down"/>
    <m/>
    <m/>
    <m/>
    <s v="N/A"/>
    <m/>
    <n v="0.5161290322580645"/>
    <m/>
  </r>
  <r>
    <s v="SGS"/>
    <s v="Cuautla"/>
    <s v="VW"/>
    <s v="Atlas (P416PA)"/>
    <s v="OEM"/>
    <x v="1"/>
    <s v="W2264AD"/>
    <s v="K"/>
    <s v="E2"/>
    <s v="Clear"/>
    <s v="Acoustic"/>
    <s v="BF011508 (single), BF011686 (4-roll)"/>
    <s v="Y"/>
    <x v="0"/>
    <n v="0.64"/>
    <n v="96"/>
    <n v="30"/>
    <s v="N/A"/>
    <s v="N/A"/>
    <n v="0.8"/>
    <n v="262"/>
    <n v="502"/>
    <n v="240"/>
    <n v="158"/>
    <n v="120"/>
    <n v="580"/>
    <n v="460"/>
    <n v="80"/>
    <s v="N/A"/>
    <n v="66"/>
    <n v="1.2223999999999999"/>
    <m/>
    <n v="1.0772000000000002"/>
    <n v="1.1418320000000002"/>
    <n v="889.66732800000011"/>
    <n v="136.75205173417709"/>
    <n v="149.52781956052698"/>
    <n v="297.23972872698096"/>
    <n v="150"/>
    <n v="144"/>
    <n v="164.42380800000004"/>
    <n v="548.07936000000018"/>
    <d v="2023-01-01T00:00:00"/>
    <s v="2022_1789_02845, 2023_1929_02986"/>
    <s v="W2264AD KE2 CLEAR r096x0150 CB1P, W2264AD KE2 CLEAR r096x0150 CB4P"/>
    <s v="Went with 0.72mrad"/>
    <m/>
    <m/>
    <s v="N/A"/>
    <m/>
    <n v="0.5229166666666667"/>
    <m/>
  </r>
  <r>
    <s v="SGS"/>
    <s v="Cuautla"/>
    <s v="VW"/>
    <s v="Atlas (P416PA)"/>
    <s v="OEM"/>
    <x v="1"/>
    <s v="W2272AB"/>
    <s v="K"/>
    <s v="E2"/>
    <s v="Clear"/>
    <s v="Acoustic"/>
    <s v="BF011509 (L9)"/>
    <s v="Y"/>
    <x v="0"/>
    <n v="0.72"/>
    <n v="96"/>
    <n v="30"/>
    <s v="N/A"/>
    <s v="N/A"/>
    <n v="0.8"/>
    <n v="267"/>
    <n v="494"/>
    <n v="227"/>
    <n v="166"/>
    <n v="120"/>
    <n v="580"/>
    <n v="460"/>
    <n v="80"/>
    <s v="N/A"/>
    <n v="66"/>
    <n v="1.2752000000000001"/>
    <m/>
    <n v="1.11185"/>
    <n v="1.178561"/>
    <n v="894.87574400000005"/>
    <n v="131.08979614167032"/>
    <n v="143.33657985475858"/>
    <n v="284.93243757517359"/>
    <n v="143"/>
    <n v="137.28"/>
    <n v="161.79285407999998"/>
    <n v="539.30951359999995"/>
    <s v="Never"/>
    <s v="2022_1789_02845 (L9)"/>
    <s v="W2272AB KE2 CLEAR R096X0143 CB1P"/>
    <s v="Not made on L9 due to steep wedge angle"/>
    <m/>
    <m/>
    <s v="N/A"/>
    <m/>
    <n v="0.51458333333333328"/>
    <m/>
  </r>
  <r>
    <s v="SGS"/>
    <s v="Cuautla"/>
    <s v="VW"/>
    <s v="Atlas (P416PA)"/>
    <s v="OEM"/>
    <x v="2"/>
    <s v="W2272AC"/>
    <s v="K"/>
    <s v="E2"/>
    <s v="Clear"/>
    <s v="Acoustic"/>
    <s v="BF011560 (single), BF011685 (4-roll), BF012715 (CT2A)"/>
    <s v="Y"/>
    <x v="2"/>
    <n v="0.72"/>
    <n v="96"/>
    <n v="30"/>
    <s v="N/A"/>
    <s v="N/A"/>
    <n v="0.8"/>
    <n v="267"/>
    <n v="494"/>
    <n v="227"/>
    <n v="166"/>
    <n v="120"/>
    <n v="580"/>
    <n v="460"/>
    <n v="80"/>
    <s v="N/A"/>
    <n v="66"/>
    <n v="1.2752000000000001"/>
    <m/>
    <n v="1.11185"/>
    <n v="1.178561"/>
    <n v="894.87574400000005"/>
    <n v="131.08979614167032"/>
    <n v="143.33657985475858"/>
    <n v="284.93243757517359"/>
    <n v="143"/>
    <n v="137.28"/>
    <n v="161.79285407999998"/>
    <n v="539.30951359999995"/>
    <d v="2023-01-23T00:00:00"/>
    <s v="2022_1810_02866, 2023_1928_02985, 2024_2920_03978"/>
    <s v="W2272AC KE2 CLEAR r096x0143 CT1P, W2272AC KE2 CLEAR r096x0143 WT4A, W2272AC KE2 CLEAR r096x0285 CT2A"/>
    <s v="New W-code since difficult to extend codes from Ulsan to TDF"/>
    <m/>
    <m/>
    <s v="N/A"/>
    <m/>
    <n v="0.51458333333333328"/>
    <m/>
  </r>
  <r>
    <s v="SGS"/>
    <s v="Cuautla"/>
    <s v="VW"/>
    <s v="Atlas (P416PA)"/>
    <s v="OEM"/>
    <x v="2"/>
    <s v="W2272AE"/>
    <s v="K"/>
    <s v="E2"/>
    <s v="Clear"/>
    <s v="Acoustic"/>
    <m/>
    <s v="Y"/>
    <x v="0"/>
    <n v="0.72"/>
    <n v="96"/>
    <n v="30"/>
    <s v="N/A"/>
    <s v="N/A"/>
    <n v="0.8"/>
    <n v="267"/>
    <n v="494"/>
    <n v="227"/>
    <n v="166"/>
    <n v="120"/>
    <n v="570"/>
    <n v="450"/>
    <n v="90"/>
    <s v="N/A"/>
    <n v="66"/>
    <n v="1.2752000000000001"/>
    <m/>
    <n v="1.11185"/>
    <n v="1.178561"/>
    <n v="894.87574400000005"/>
    <n v="131.08979614167032"/>
    <n v="143.33657985475858"/>
    <n v="284.93243757517359"/>
    <n v="285"/>
    <n v="273.60000000000002"/>
    <n v="322.45428960000004"/>
    <n v="1074.8476320000002"/>
    <m/>
    <m/>
    <m/>
    <m/>
    <m/>
    <m/>
    <m/>
    <m/>
    <m/>
    <m/>
  </r>
  <r>
    <s v="SGS"/>
    <s v="Cuautla"/>
    <s v="VW"/>
    <s v="Tayron (VW336)"/>
    <s v="OEM"/>
    <x v="2"/>
    <s v="W2254AF"/>
    <s v="K"/>
    <s v="E2"/>
    <s v="Clear"/>
    <s v="Acoustic"/>
    <s v="BF01179 (CT1P)7, BF012196 (WT4A)"/>
    <s v="Y"/>
    <x v="2"/>
    <n v="0.54"/>
    <n v="99"/>
    <n v="28"/>
    <s v="N/A"/>
    <s v="N/A"/>
    <n v="0.8"/>
    <n v="325"/>
    <n v="585"/>
    <n v="260"/>
    <n v="125"/>
    <n v="185"/>
    <n v="585"/>
    <n v="400"/>
    <n v="125"/>
    <s v="N/A"/>
    <n v="71"/>
    <n v="1.1834"/>
    <m/>
    <n v="1.0459181818181817"/>
    <n v="1.1086732727272726"/>
    <n v="883.15680800000007"/>
    <n v="141.25883728228666"/>
    <n v="154.45564190534745"/>
    <n v="307.03552847377176"/>
    <n v="154"/>
    <n v="152.46"/>
    <n v="169.02832715999998"/>
    <n v="603.67259699999988"/>
    <d v="2023-06-01T00:00:00"/>
    <s v="2023_2016_03073, 2024_2413_03470"/>
    <s v="W2254AF KE2 CLEAR r099x0154 CT1P, W2254AF KE2 CLEAR r099x0154 WT4A"/>
    <m/>
    <m/>
    <m/>
    <s v="N/A"/>
    <m/>
    <n v="0.59090909090909094"/>
    <m/>
  </r>
  <r>
    <s v="SGS"/>
    <s v="Cuautla"/>
    <s v="VW"/>
    <s v="Tayron (VW336)"/>
    <s v="OEM"/>
    <x v="2"/>
    <s v="W2254AK"/>
    <s v="K"/>
    <s v="E2"/>
    <s v="Clear"/>
    <s v="Acoustic"/>
    <m/>
    <s v="Y"/>
    <x v="0"/>
    <n v="0.54"/>
    <n v="99"/>
    <n v="27"/>
    <s v="N/A"/>
    <s v="N/A"/>
    <n v="0.8"/>
    <n v="325"/>
    <n v="585"/>
    <n v="260"/>
    <n v="135"/>
    <n v="185"/>
    <n v="585"/>
    <n v="400"/>
    <n v="135"/>
    <s v="N/A"/>
    <n v="72"/>
    <n v="1.1888000000000001"/>
    <m/>
    <n v="1.0474181818181818"/>
    <n v="1.1102632727272728"/>
    <n v="883.15680800000007"/>
    <n v="140.61718374819819"/>
    <n v="153.75404326277604"/>
    <n v="305.64085161159272"/>
    <n v="154"/>
    <n v="152.46"/>
    <n v="169.27073856000001"/>
    <n v="626.92866133333337"/>
    <m/>
    <m/>
    <m/>
    <m/>
    <m/>
    <m/>
    <m/>
    <m/>
    <m/>
    <m/>
  </r>
  <r>
    <s v="SGS"/>
    <s v="Herzogenrath"/>
    <s v="Porsche"/>
    <s v="EV (PO426)"/>
    <s v="OEM"/>
    <x v="0"/>
    <s v="W2220AE"/>
    <s v="K"/>
    <s v="E2"/>
    <s v="Clear"/>
    <s v="Acoustic"/>
    <s v="BF012681"/>
    <s v="Y"/>
    <x v="2"/>
    <n v="0.2"/>
    <n v="103"/>
    <n v="20"/>
    <s v="N/A"/>
    <s v="N/A"/>
    <n v="0.8"/>
    <n v="270"/>
    <n v="660"/>
    <n v="390"/>
    <n v="170"/>
    <n v="260"/>
    <n v="660"/>
    <n v="400"/>
    <n v="170"/>
    <s v="N/A"/>
    <n v="83"/>
    <n v="0.96600000000000008"/>
    <m/>
    <n v="0.899116504854369"/>
    <n v="0.95306349514563116"/>
    <n v="861.02103999999997"/>
    <n v="173.04938720482198"/>
    <n v="189.21615593249291"/>
    <n v="376.13441448846942"/>
    <n v="376"/>
    <n v="387.28"/>
    <n v="369.1024304"/>
    <n v="1845.512152"/>
    <d v="2024-12-01T00:00:00"/>
    <s v="2024_2876_03934"/>
    <m/>
    <m/>
    <m/>
    <m/>
    <m/>
    <m/>
    <m/>
    <m/>
  </r>
  <r>
    <s v="SGS"/>
    <s v="Herzogenrath"/>
    <s v="n/a"/>
    <s v="lab validation"/>
    <s v="OEM"/>
    <x v="0"/>
    <s v="W2222AF"/>
    <s v="K"/>
    <s v="R"/>
    <s v="Clear"/>
    <s v="Acoustic"/>
    <s v="tbd"/>
    <s v="Y"/>
    <x v="2"/>
    <n v="0.22"/>
    <n v="121"/>
    <n v="20"/>
    <s v="N/A"/>
    <s v="N/A"/>
    <n v="0.8"/>
    <n v="230"/>
    <n v="860"/>
    <n v="630"/>
    <n v="150"/>
    <n v="230"/>
    <n v="860"/>
    <n v="630"/>
    <n v="150"/>
    <s v="N/A"/>
    <n v="101"/>
    <n v="1.0222"/>
    <m/>
    <n v="0.92946363636363638"/>
    <n v="0.98523145454545458"/>
    <n v="862.32314400000007"/>
    <n v="163.53522602216594"/>
    <n v="178.81315459869708"/>
    <n v="355.4547489687551"/>
    <n v="179"/>
    <n v="216.59"/>
    <n v="213.39128074000001"/>
    <n v="1066.9564037"/>
    <s v="?"/>
    <s v="2025-0178-0319"/>
    <m/>
    <m/>
    <m/>
    <m/>
    <m/>
    <m/>
    <m/>
    <m/>
  </r>
  <r>
    <s v="SGS"/>
    <s v="Herzogenrath"/>
    <s v="VW"/>
    <s v="Idx (VW413)"/>
    <s v="OEM"/>
    <x v="0"/>
    <s v="W2225AG"/>
    <s v="K"/>
    <s v="E2"/>
    <s v="Clear"/>
    <s v="Acoustic"/>
    <s v="BF012680"/>
    <s v="Y"/>
    <x v="3"/>
    <n v="0.25"/>
    <n v="119"/>
    <n v="20"/>
    <s v="N/A"/>
    <s v="N/A"/>
    <n v="0.8"/>
    <n v="238"/>
    <n v="854"/>
    <n v="616"/>
    <n v="136"/>
    <n v="230"/>
    <n v="860"/>
    <n v="630"/>
    <n v="130"/>
    <s v="N/A"/>
    <n v="99"/>
    <n v="1.0475000000000001"/>
    <m/>
    <n v="0.94454831932773109"/>
    <n v="1.001221218487395"/>
    <n v="864.27630000000011"/>
    <n v="159.58540147003151"/>
    <n v="174.49432613917725"/>
    <n v="346.86954118936649"/>
    <n v="347"/>
    <n v="412.93"/>
    <n v="413.43427775000004"/>
    <n v="2067.17138875"/>
    <d v="2024-12-01T00:00:00"/>
    <s v="2024_2876_03934"/>
    <m/>
    <m/>
    <m/>
    <m/>
    <m/>
    <m/>
    <m/>
    <m/>
  </r>
  <r>
    <s v="SGS"/>
    <s v="Herzogenrath"/>
    <s v="VW"/>
    <s v="Tiguan (VW336)"/>
    <s v="OEM"/>
    <x v="0"/>
    <s v="W2254AJ"/>
    <s v="K"/>
    <s v="E2"/>
    <s v="Clear"/>
    <s v="Acoustic"/>
    <s v="BF012679"/>
    <s v="Y"/>
    <x v="3"/>
    <n v="0.54"/>
    <n v="104"/>
    <n v="30"/>
    <s v="N/A"/>
    <s v="N/A"/>
    <n v="0.8"/>
    <n v="300"/>
    <n v="580"/>
    <n v="280"/>
    <n v="160"/>
    <n v="250"/>
    <n v="650"/>
    <n v="400"/>
    <n v="90"/>
    <s v="N/A"/>
    <n v="74"/>
    <n v="1.1996"/>
    <m/>
    <n v="1.0574346153846155"/>
    <n v="1.1208806923076924"/>
    <n v="883.15680800000007"/>
    <n v="139.35120710224911"/>
    <n v="152.36979545747599"/>
    <n v="302.88916671879082"/>
    <n v="303"/>
    <n v="315.12"/>
    <n v="353.21192376000005"/>
    <n v="1177.3730792000001"/>
    <d v="2024-12-01T00:00:00"/>
    <s v="2024_2876_03934"/>
    <m/>
    <m/>
    <m/>
    <m/>
    <m/>
    <m/>
    <m/>
    <m/>
  </r>
  <r>
    <s v="SGS"/>
    <s v="Horovice"/>
    <s v="Audi"/>
    <s v="e-tron (513-2)"/>
    <s v="OEM"/>
    <x v="0"/>
    <s v="W2240AE"/>
    <s v="K"/>
    <s v="E2"/>
    <s v="Clear"/>
    <s v="Acoustic"/>
    <s v="BF010388"/>
    <s v="Y"/>
    <x v="2"/>
    <n v="0.4"/>
    <n v="98"/>
    <n v="26"/>
    <s v="N/A"/>
    <s v="N/A"/>
    <n v="0.8"/>
    <n v="215"/>
    <n v="596"/>
    <n v="381"/>
    <n v="124"/>
    <n v="196"/>
    <n v="596"/>
    <n v="400"/>
    <n v="124"/>
    <s v="N/A"/>
    <n v="72"/>
    <n v="1.0880000000000001"/>
    <m/>
    <n v="0.98220408163265305"/>
    <n v="1.0411363265306122"/>
    <n v="874.04208000000006"/>
    <n v="153.64495224251655"/>
    <n v="167.99890315329793"/>
    <n v="333.95757756972563"/>
    <n v="168"/>
    <n v="164.64"/>
    <n v="171.41268479999997"/>
    <n v="659.27955692307671"/>
    <d v="2022-02-01T00:00:00"/>
    <s v="2021_1128_02183"/>
    <m/>
    <s v="For comparison with Sekisui"/>
    <m/>
    <m/>
    <s v="N/A"/>
    <m/>
    <n v="0.60816326530612241"/>
    <m/>
  </r>
  <r>
    <s v="SGS"/>
    <s v="Horovice"/>
    <s v="BMW"/>
    <s v="F01(7-er 2008-2015) &amp; E70 (X5 2007-2010)"/>
    <s v="ARG"/>
    <x v="0"/>
    <s v="W2041AA"/>
    <s v="K"/>
    <s v="E2"/>
    <s v="Clear"/>
    <s v="Standard"/>
    <m/>
    <s v="Y"/>
    <x v="2"/>
    <n v="0.41"/>
    <n v="105"/>
    <n v="25"/>
    <s v="N/A"/>
    <s v="N/A"/>
    <n v="0.76"/>
    <n v="235"/>
    <n v="615"/>
    <n v="380"/>
    <n v="185"/>
    <n v="220"/>
    <n v="620"/>
    <n v="400"/>
    <n v="180"/>
    <s v="N/A"/>
    <n v="80"/>
    <n v="1.0880000000000001"/>
    <m/>
    <n v="0.96304761904761904"/>
    <n v="1.0256457142857143"/>
    <n v="836.21904300000006"/>
    <n v="153.64495224251655"/>
    <n v="167.99890315329793"/>
    <n v="333.95757756972563"/>
    <n v="334"/>
    <n v="350.7"/>
    <n v="359.69395199999997"/>
    <n v="1438.7758079999999"/>
    <s v="?"/>
    <s v="2025-0102-0239"/>
    <m/>
    <m/>
    <m/>
    <m/>
    <m/>
    <m/>
    <n v="0.58571428571428574"/>
    <m/>
  </r>
  <r>
    <s v="SGS"/>
    <s v="Horovice"/>
    <s v="Land Rover"/>
    <s v="Range Rover (L460)"/>
    <s v="OEM"/>
    <x v="2"/>
    <s v="W2267AC"/>
    <s v="K"/>
    <s v="E2"/>
    <s v="Clear"/>
    <s v="Acoustic"/>
    <s v="BF012121"/>
    <s v="Y"/>
    <x v="3"/>
    <n v="0.67"/>
    <n v="110"/>
    <n v="30"/>
    <s v="N/A"/>
    <s v="N/A"/>
    <n v="0.8"/>
    <n v="280"/>
    <n v="600"/>
    <n v="320"/>
    <n v="200"/>
    <n v="200"/>
    <n v="600"/>
    <n v="400"/>
    <n v="200"/>
    <s v="N/A"/>
    <n v="80"/>
    <n v="1.3360000000000001"/>
    <m/>
    <n v="1.1410909090909092"/>
    <n v="1.2095563636363635"/>
    <n v="891.62048400000003"/>
    <n v="125.1240329639656"/>
    <n v="136.81347801705704"/>
    <n v="271.9654523921119"/>
    <n v="272"/>
    <n v="299.2"/>
    <n v="361.89926399999996"/>
    <n v="1206.33088"/>
    <d v="2023-12-01T00:00:00"/>
    <s v="2023_2314_03371"/>
    <s v="W2267AC KE2 CLEAR r110x0272 MT2P"/>
    <m/>
    <m/>
    <m/>
    <m/>
    <m/>
    <n v="0.54545454545454541"/>
    <m/>
  </r>
  <r>
    <s v="SGS"/>
    <s v="Horovice"/>
    <s v="Land Rover"/>
    <s v="Range Rover Sport (L461)"/>
    <s v="OEM"/>
    <x v="2"/>
    <s v="W2260AJ"/>
    <s v="K"/>
    <s v="E2"/>
    <s v="Clear"/>
    <s v="Acoustic"/>
    <s v="BF012120"/>
    <s v="Y"/>
    <x v="3"/>
    <n v="0.6"/>
    <n v="110"/>
    <n v="30"/>
    <s v="N/A"/>
    <s v="N/A"/>
    <n v="0.8"/>
    <n v="280"/>
    <n v="600"/>
    <n v="320"/>
    <n v="200"/>
    <n v="200"/>
    <n v="600"/>
    <n v="400"/>
    <n v="200"/>
    <s v="N/A"/>
    <n v="80"/>
    <n v="1.28"/>
    <m/>
    <n v="1.1054545454545455"/>
    <n v="1.1717818181818183"/>
    <n v="887.06312000000003"/>
    <n v="130.59820940613909"/>
    <n v="142.79906768030324"/>
    <n v="283.86394093426674"/>
    <n v="284"/>
    <n v="312.39999999999998"/>
    <n v="366.06464"/>
    <n v="1220.2154666666668"/>
    <d v="2023-12-01T00:00:00"/>
    <s v="2023_2314_03371"/>
    <s v="W2260AJ KE2 CLEAR r110x0284 MT2P"/>
    <m/>
    <m/>
    <m/>
    <m/>
    <m/>
    <n v="0.54545454545454541"/>
    <m/>
  </r>
  <r>
    <s v="SGS"/>
    <s v="Horovice"/>
    <s v="Porsche"/>
    <s v="Cayenne (536)"/>
    <s v="OEM"/>
    <x v="1"/>
    <s v="W2235AA"/>
    <s v="K"/>
    <s v="E2"/>
    <s v="Clear"/>
    <s v="Acoustic"/>
    <s v="BF010217"/>
    <s v="Y"/>
    <x v="2"/>
    <n v="0.35"/>
    <n v="98"/>
    <n v="28"/>
    <s v="N/A"/>
    <s v="N/A"/>
    <n v="0.8"/>
    <n v="260"/>
    <n v="570"/>
    <n v="310"/>
    <n v="130"/>
    <n v="170"/>
    <n v="570"/>
    <n v="400"/>
    <n v="130"/>
    <s v="N/A"/>
    <n v="70"/>
    <n v="1.0449999999999999"/>
    <m/>
    <n v="0.95750000000000013"/>
    <n v="1.0149500000000002"/>
    <n v="870.78682000000003"/>
    <n v="159.9671847271369"/>
    <n v="174.91177668018008"/>
    <n v="347.69937262761863"/>
    <n v="175"/>
    <n v="171.5"/>
    <n v="174.06392500000004"/>
    <n v="621.65687500000013"/>
    <s v="Never"/>
    <s v="2021_1082_02137"/>
    <m/>
    <s v="To compare with Sekisui's straight-line wedge, but we never produced this SKU"/>
    <s v="Never produced"/>
    <m/>
    <s v="N/A"/>
    <m/>
    <n v="0.58163265306122447"/>
    <m/>
  </r>
  <r>
    <s v="SGS"/>
    <s v="Horovice"/>
    <s v="Skoda"/>
    <s v="Octavia (SK381)"/>
    <s v="OEM"/>
    <x v="2"/>
    <s v="W2251AE"/>
    <s v="K"/>
    <s v="E2"/>
    <s v="Clear"/>
    <s v="Acoustic"/>
    <s v="BF011589"/>
    <s v="Y"/>
    <x v="3"/>
    <n v="0.51"/>
    <n v="101"/>
    <n v="25"/>
    <s v="N/A"/>
    <s v="N/A"/>
    <n v="0.8"/>
    <n v="200"/>
    <n v="600"/>
    <n v="400"/>
    <n v="160"/>
    <n v="200"/>
    <n v="600"/>
    <n v="400"/>
    <n v="160"/>
    <s v="N/A"/>
    <n v="76"/>
    <n v="1.1876000000000002"/>
    <m/>
    <n v="1.0417702970297031"/>
    <n v="1.1042765148514853"/>
    <n v="881.20365200000003"/>
    <n v="140.75926914774166"/>
    <n v="153.90940268675322"/>
    <n v="305.94968372841146"/>
    <n v="306"/>
    <n v="309.06"/>
    <n v="341.28769968000006"/>
    <n v="1365.1507987200002"/>
    <d v="2023-03-01T00:00:00"/>
    <s v="2023_1873_02930"/>
    <m/>
    <m/>
    <m/>
    <m/>
    <s v="N/A"/>
    <m/>
    <n v="0.59405940594059403"/>
    <m/>
  </r>
  <r>
    <s v="SGS"/>
    <s v="Horovice"/>
    <s v="Volvo"/>
    <s v="XC60 (V426)"/>
    <s v="OEM"/>
    <x v="2"/>
    <s v="W2241AA"/>
    <s v="K"/>
    <s v="E2"/>
    <s v="Clear"/>
    <s v="Acoustic"/>
    <s v="BF009793 (164m), BF011210 (326m)"/>
    <s v="Y"/>
    <x v="3"/>
    <n v="0.41"/>
    <n v="111"/>
    <n v="34"/>
    <s v="N/A"/>
    <s v="N/A"/>
    <n v="0.8"/>
    <n v="280"/>
    <n v="600"/>
    <n v="320"/>
    <n v="170"/>
    <n v="200"/>
    <n v="600"/>
    <n v="400"/>
    <n v="170"/>
    <s v="N/A"/>
    <n v="77"/>
    <n v="1.1156999999999999"/>
    <m/>
    <n v="1.0062004504504503"/>
    <n v="1.0665724774774772"/>
    <n v="874.69313200000011"/>
    <n v="149.83033794017931"/>
    <n v="163.82791667185461"/>
    <n v="325.66625830945731"/>
    <n v="326"/>
    <n v="361.86"/>
    <n v="385.9499166999999"/>
    <n v="1135.1468138235291"/>
    <d v="2021-03-01T00:00:00"/>
    <s v="2021_0745_01799, 2022_1628_02684"/>
    <s v="W2241AA KE2 CLEAR r111x0164 MT4, W2241AA KE2 CLEAR r111x0326 MT2P"/>
    <s v="F5 version of W1241AC"/>
    <m/>
    <m/>
    <s v="N/A"/>
    <d v="2021-03-01T00:00:00"/>
    <n v="0.54054054054054057"/>
    <m/>
  </r>
  <r>
    <s v="SGS"/>
    <s v="Horovice"/>
    <s v="Volvo"/>
    <s v="XC60 (V426)"/>
    <s v="OEM"/>
    <x v="1"/>
    <s v="W1241"/>
    <s v="K"/>
    <s v="E2"/>
    <s v="Clear"/>
    <s v="Acoustic"/>
    <s v="BF007855, BF009161"/>
    <s v="Y"/>
    <x v="2"/>
    <n v="0.41"/>
    <n v="107"/>
    <n v="30"/>
    <s v="N/A"/>
    <s v="N/A"/>
    <n v="0.8"/>
    <n v="280"/>
    <n v="600"/>
    <n v="320"/>
    <n v="170"/>
    <m/>
    <m/>
    <n v="0"/>
    <n v="770"/>
    <s v="N/A"/>
    <n v="77"/>
    <n v="1.1156999999999999"/>
    <m/>
    <n v="1.0021070093457944"/>
    <n v="0"/>
    <n v="0"/>
    <n v="149.83033794017931"/>
    <n v="163.82791667185461"/>
    <n v="325.66625830945731"/>
    <n v="164"/>
    <n v="175.48"/>
    <n v="0"/>
    <n v="0"/>
    <d v="2019-07-01T00:00:00"/>
    <s v="2020_0153_01205"/>
    <s v="W1241 KE2 Clear r107x0.95x0164 MT4P, W1241 KE2 CLEAR r107x0.95x0150 MT4P"/>
    <m/>
    <n v="12"/>
    <s v="qualified"/>
    <s v="N/A"/>
    <s v="June 2020?"/>
    <n v="0.56074766355140182"/>
    <m/>
  </r>
  <r>
    <s v="SGS"/>
    <s v="Horovice"/>
    <s v="Volvo"/>
    <s v="XC60 (V426)"/>
    <s v="OEM"/>
    <x v="1"/>
    <s v="W1241AC"/>
    <s v="K"/>
    <s v="E2"/>
    <s v="Clear"/>
    <s v="Acoustic"/>
    <s v="BF009488"/>
    <s v="Y"/>
    <x v="2"/>
    <n v="0.41"/>
    <n v="111"/>
    <n v="34"/>
    <s v="N/A"/>
    <s v="N/A"/>
    <n v="0.8"/>
    <n v="280"/>
    <n v="600"/>
    <n v="320"/>
    <n v="170"/>
    <m/>
    <m/>
    <n v="0"/>
    <n v="770"/>
    <s v="N/A"/>
    <n v="77"/>
    <n v="1.1156999999999999"/>
    <m/>
    <n v="1.0062004504504503"/>
    <n v="0"/>
    <n v="0"/>
    <n v="149.83033794017931"/>
    <n v="163.82791667185461"/>
    <n v="325.66625830945731"/>
    <n v="164"/>
    <n v="182.04"/>
    <n v="0"/>
    <n v="0"/>
    <d v="2020-11-01T00:00:00"/>
    <s v="2020_0458_01510"/>
    <s v="W1241AC KE2 r111x0164 MT4P"/>
    <m/>
    <s v="None.  Went straight to commercial production."/>
    <s v="qualified"/>
    <s v="N/A"/>
    <s v="Nov 2020?"/>
    <n v="0.54054054054054057"/>
    <m/>
  </r>
  <r>
    <s v="SGS"/>
    <s v="Horovice"/>
    <s v="VW"/>
    <s v="Tiguan? (VW316)"/>
    <s v="OEM"/>
    <x v="2"/>
    <s v="W2231AA"/>
    <s v="K"/>
    <s v="E2"/>
    <s v="Clear"/>
    <s v="Acoustic"/>
    <s v="BF012662 (CT1P), BF012663 (MT2P)"/>
    <s v="Y"/>
    <x v="3"/>
    <n v="0.31"/>
    <n v="110"/>
    <n v="16"/>
    <s v="N/A"/>
    <s v="N/A"/>
    <n v="0.8"/>
    <n v="195"/>
    <n v="810"/>
    <n v="615"/>
    <n v="130"/>
    <n v="195"/>
    <n v="810"/>
    <n v="615"/>
    <n v="130"/>
    <s v="N/A"/>
    <n v="94"/>
    <n v="1.0914000000000001"/>
    <m/>
    <n v="0.96689272727272735"/>
    <n v="1.0249062909090909"/>
    <n v="868.18261199999995"/>
    <n v="153.16630753148067"/>
    <n v="167.47554208428454"/>
    <n v="332.91721128446159"/>
    <s v="167, 333"/>
    <e v="#VALUE!"/>
    <e v="#VALUE!"/>
    <e v="#VALUE!"/>
    <d v="2024-11-01T00:00:00"/>
    <s v="2024_2856_03914"/>
    <s v="W2231AA KE2 CLEAR r110x0167 CT1P, W2231AA KE2 CLEAR r110x0333 MT2P"/>
    <m/>
    <m/>
    <m/>
    <m/>
    <m/>
    <n v="0.73636363636363633"/>
    <m/>
  </r>
  <r>
    <s v="SGS"/>
    <s v="HRDC"/>
    <s v="None"/>
    <s v="None"/>
    <m/>
    <x v="1"/>
    <s v="W5045"/>
    <s v="B"/>
    <s v="R1"/>
    <s v="Clear"/>
    <s v="Standard"/>
    <s v="BF007093"/>
    <m/>
    <x v="1"/>
    <n v="0.45"/>
    <n v="98"/>
    <m/>
    <s v="N/A"/>
    <s v="N/A"/>
    <m/>
    <n v="200"/>
    <n v="600"/>
    <n v="400"/>
    <n v="380"/>
    <m/>
    <m/>
    <n v="0"/>
    <n v="980"/>
    <s v="N/A"/>
    <n v="98"/>
    <n v="0.44100000000000006"/>
    <m/>
    <n v="0.22050000000000003"/>
    <n v="0.23483250000000003"/>
    <n v="29.435535000000002"/>
    <n v="379.06056244865761"/>
    <n v="414.47348442355587"/>
    <n v="823.9134793556949"/>
    <n v="30"/>
    <n v="29.4"/>
    <n v="6.9040755000000003"/>
    <e v="#DIV/0!"/>
    <s v="Produced"/>
    <s v="Old"/>
    <s v="W5045 BR1 CLEAR i098x0.95x0030 CB1P"/>
    <s v="For initial testing only"/>
    <m/>
    <m/>
    <s v="N/A"/>
    <m/>
    <n v="0.61224489795918369"/>
    <m/>
  </r>
  <r>
    <s v="SGS"/>
    <s v="HRDC"/>
    <m/>
    <m/>
    <m/>
    <x v="1"/>
    <s v="W2340AB"/>
    <s v="K"/>
    <s v="E2"/>
    <s v="Blue"/>
    <s v="Acoustic"/>
    <s v="BF008373"/>
    <s v="Y"/>
    <x v="2"/>
    <n v="0.4"/>
    <n v="107"/>
    <n v="25"/>
    <n v="15"/>
    <n v="92"/>
    <n v="0.8"/>
    <n v="200"/>
    <n v="500"/>
    <n v="300"/>
    <n v="320"/>
    <m/>
    <m/>
    <n v="0"/>
    <n v="820"/>
    <n v="100"/>
    <n v="82"/>
    <n v="1.1280000000000001"/>
    <m/>
    <n v="1.0023177570093458"/>
    <n v="1.0624568224299065"/>
    <n v="874.04208000000006"/>
    <n v="148.19654968072518"/>
    <n v="162.04149524006041"/>
    <n v="322.115110280019"/>
    <n v="15"/>
    <n v="16.05"/>
    <n v="17.052432"/>
    <n v="68.209727999999998"/>
    <d v="2019-10-01T00:00:00"/>
    <s v="Old"/>
    <s v="W2340AB KE2 BLU2 R107/15X0015 CT1P"/>
    <s v="Initial F5 validation testing. Extruded in 2019 as W2340 KR?"/>
    <n v="2"/>
    <m/>
    <s v="N/A"/>
    <m/>
    <n v="0.46728971962616822"/>
    <m/>
  </r>
  <r>
    <s v="SGS"/>
    <s v="HRDC &amp; Horovice"/>
    <s v="Volvo"/>
    <s v="XC60 (V426)"/>
    <s v="OEM"/>
    <x v="1"/>
    <s v="W2241"/>
    <s v="K"/>
    <s v="E2"/>
    <s v="Clear"/>
    <s v="Acoustic"/>
    <s v="BF008311, BF008707"/>
    <s v="Y"/>
    <x v="2"/>
    <n v="0.41"/>
    <n v="107"/>
    <n v="30"/>
    <s v="N/A"/>
    <s v="N/A"/>
    <n v="0.8"/>
    <n v="280"/>
    <n v="600"/>
    <n v="320"/>
    <n v="170"/>
    <m/>
    <m/>
    <n v="0"/>
    <n v="770"/>
    <s v="N/A"/>
    <n v="77"/>
    <n v="1.1156999999999999"/>
    <m/>
    <n v="1.0021070093457944"/>
    <n v="1.0622334299065421"/>
    <n v="874.69313200000011"/>
    <n v="149.83033794017931"/>
    <n v="163.82791667185461"/>
    <n v="325.66625830945731"/>
    <n v="150"/>
    <n v="160.5"/>
    <n v="170.48846550000002"/>
    <n v="568.29488500000014"/>
    <d v="2019-10-01T00:00:00"/>
    <s v="Old"/>
    <s v="W2241 KE2 CLEAR r107x0.95x0150 CT1P, W2241 KE2 CLEAR R107X0.95X0150 CT4P"/>
    <s v="Initial F5 validation testing"/>
    <n v="3"/>
    <s v="Never tested?"/>
    <s v="N/A"/>
    <m/>
    <n v="0.56074766355140182"/>
    <m/>
  </r>
  <r>
    <s v="SGS"/>
    <s v="HRDC &amp; Stolberg"/>
    <s v="Mini (or Mercedes?)"/>
    <s v="Mercedes C-Class"/>
    <m/>
    <x v="1"/>
    <s v="W1264"/>
    <s v="L"/>
    <s v="E2"/>
    <s v="Clear"/>
    <s v="Acoustic"/>
    <s v="BF007147, BF007146"/>
    <s v="Y"/>
    <x v="2"/>
    <n v="0.64"/>
    <n v="100"/>
    <n v="35"/>
    <s v="N/A"/>
    <s v="N/A"/>
    <n v="0.8"/>
    <n v="280"/>
    <n v="510"/>
    <n v="230"/>
    <n v="140"/>
    <m/>
    <m/>
    <n v="0"/>
    <n v="290"/>
    <s v="N/A"/>
    <n v="79"/>
    <n v="1.0133000000000001"/>
    <m/>
    <n v="0.93600321100917439"/>
    <n v="0.99216340366972477"/>
    <n v="0"/>
    <n v="164.97158594676603"/>
    <n v="180.38370337588884"/>
    <n v="358.57677331082749"/>
    <s v="150, 300"/>
    <e v="#VALUE!"/>
    <n v="129.77497320000001"/>
    <n v="432.58324400000004"/>
    <d v="2018-09-01T00:00:00"/>
    <s v="Old"/>
    <s v="W1264 KE2 CLEAR r100x0.95x0150 MT4P, W1264 KE2 CLEAR R100X0.95X0300 CT2P"/>
    <s v="With MgNeo, delivered week 44. Just scouting. Won't change vinyl supply in mid-stream."/>
    <s v="1_x000a_(four more rolls from Feb '19 were still in our inventory in May '21)"/>
    <s v="good results comparable to competition"/>
    <s v="N/A"/>
    <m/>
    <n v="0.51"/>
    <m/>
  </r>
  <r>
    <s v="SGS"/>
    <s v="Kenitra"/>
    <s v="Nissan"/>
    <s v="P33"/>
    <s v="OEM"/>
    <x v="0"/>
    <s v="W2253AD"/>
    <s v="K"/>
    <s v="E2"/>
    <s v="Clear"/>
    <s v="Acoustic"/>
    <m/>
    <s v="Y"/>
    <x v="2"/>
    <n v="0.53"/>
    <n v="115"/>
    <n v="30"/>
    <s v="N/A"/>
    <s v="N/A"/>
    <n v="0.8"/>
    <n v="250"/>
    <n v="650"/>
    <n v="400"/>
    <n v="200"/>
    <n v="250"/>
    <n v="650"/>
    <n v="400"/>
    <n v="200"/>
    <s v="N/A"/>
    <n v="85"/>
    <n v="1.2505000000000002"/>
    <m/>
    <n v="1.0840108695652175"/>
    <n v="1.1490515217391306"/>
    <n v="882.50575600000013"/>
    <n v="133.67909479396883"/>
    <n v="146.16777819335317"/>
    <n v="290.56045133615464"/>
    <n v="146"/>
    <n v="167.9"/>
    <n v="192.92575050000005"/>
    <n v="643.0858350000002"/>
    <s v="?"/>
    <m/>
    <s v="W2253AD KE2 CLEAR r115x0146 CT1P"/>
    <m/>
    <m/>
    <m/>
    <m/>
    <m/>
    <m/>
    <m/>
  </r>
  <r>
    <s v="SGS"/>
    <s v="Kunsan"/>
    <s v="Hyundai"/>
    <s v="Genesis G80 (RG3 PE)"/>
    <s v="OEM"/>
    <x v="1"/>
    <s v="W2339AA"/>
    <s v="K"/>
    <s v="R"/>
    <s v="Blue"/>
    <s v="Acoustic"/>
    <s v="BF012318"/>
    <s v="Y"/>
    <x v="0"/>
    <n v="0.39"/>
    <n v="99"/>
    <n v="30"/>
    <n v="12"/>
    <n v="87"/>
    <n v="0.8"/>
    <n v="236"/>
    <n v="543"/>
    <n v="307"/>
    <n v="147"/>
    <n v="190"/>
    <n v="590"/>
    <n v="400"/>
    <n v="100"/>
    <n v="180"/>
    <n v="69"/>
    <n v="1.0691000000000002"/>
    <m/>
    <n v="0.9753227272727274"/>
    <n v="1.0338420909090911"/>
    <n v="873.39102800000012"/>
    <n v="156.36115240843515"/>
    <n v="170.96885850789278"/>
    <n v="339.86142025616073"/>
    <n v="150"/>
    <n v="148.5"/>
    <n v="153.52555050000004"/>
    <n v="511.75183500000014"/>
    <d v="2023-04-01T00:00:00"/>
    <s v="2024_2538_03595"/>
    <s v="W2339AA KR BLU2 r099/12x0150 CB1P"/>
    <m/>
    <m/>
    <m/>
    <m/>
    <m/>
    <n v="0.54848484848484846"/>
    <m/>
  </r>
  <r>
    <s v="SGS"/>
    <s v="Kunsan"/>
    <s v="Hyundai"/>
    <s v="Nexo (NH2)"/>
    <s v="OEM"/>
    <x v="0"/>
    <s v="W2241AJ"/>
    <s v="K"/>
    <s v="R"/>
    <s v="Clear"/>
    <s v="Acoustic"/>
    <s v="BF012811, ____, _____"/>
    <s v="Y"/>
    <x v="0"/>
    <n v="0.41"/>
    <n v="112"/>
    <n v="30"/>
    <s v="N/A"/>
    <s v="N/A"/>
    <n v="0.8"/>
    <n v="190"/>
    <n v="670"/>
    <n v="480"/>
    <n v="150"/>
    <n v="190"/>
    <n v="670"/>
    <n v="480"/>
    <n v="150"/>
    <s v="N/A"/>
    <n v="82"/>
    <n v="1.1362000000000001"/>
    <m/>
    <n v="1.0131267857142858"/>
    <n v="1.0739143928571429"/>
    <n v="874.69313200000011"/>
    <n v="147.12700936442351"/>
    <n v="160.87203540819235"/>
    <n v="319.79039288493351"/>
    <n v="250"/>
    <n v="280"/>
    <n v="300.69603000000001"/>
    <n v="1002.3201"/>
    <d v="2025-03-01T00:00:00"/>
    <s v="2025-0068-0205, 2025-0141-0281"/>
    <s v="W2241AJ KR CLEAR r112x0150 CB1P, W2241AJ KR CLEAR r112x0250 CB2P, W2241AJ KR CLEAR r112x0250 MB2P"/>
    <m/>
    <m/>
    <m/>
    <m/>
    <m/>
    <m/>
    <m/>
  </r>
  <r>
    <s v="SGS"/>
    <s v="Kunsan"/>
    <s v="Hyundai"/>
    <s v="Nexo (NH2)"/>
    <s v="OEM"/>
    <x v="0"/>
    <s v="W2241AL"/>
    <s v="K"/>
    <s v="R"/>
    <s v="Clear"/>
    <s v="Acoustic"/>
    <s v="BF012917"/>
    <s v="Y"/>
    <x v="0"/>
    <n v="0.41"/>
    <n v="114"/>
    <n v="30"/>
    <s v="N/A"/>
    <s v="N/A"/>
    <n v="0.8"/>
    <n v="180"/>
    <n v="680"/>
    <n v="500"/>
    <n v="160"/>
    <n v="180"/>
    <n v="680"/>
    <n v="500"/>
    <n v="160"/>
    <s v="N/A"/>
    <n v="84"/>
    <n v="1.1444000000000001"/>
    <m/>
    <n v="1.0175157894736844"/>
    <n v="1.0785667368421055"/>
    <n v="874.69313200000011"/>
    <n v="146.07279625992484"/>
    <n v="159.71933470009449"/>
    <n v="317.49899020959577"/>
    <n v="250"/>
    <n v="285"/>
    <n v="307.39152000000007"/>
    <n v="1024.6384000000003"/>
    <d v="2025-07-01T00:00:00"/>
    <s v="2025-0215-0360, 2025-0312-0459"/>
    <s v="W2241AL KR CLEAR r114x0150 CB1P"/>
    <s v="Width and HUZ zone changes, considering more sheet stretching (SOP: 2025/05)"/>
    <m/>
    <m/>
    <m/>
    <m/>
    <m/>
    <m/>
  </r>
  <r>
    <s v="SGS"/>
    <s v="Kunsan"/>
    <s v="Hyundai"/>
    <s v="Nexo (NH2)"/>
    <s v="OEM"/>
    <x v="0"/>
    <s v="W2241AM"/>
    <s v="K"/>
    <s v="R"/>
    <s v="Clear"/>
    <s v="Acoustic"/>
    <s v="BF012918 (CB2P), BF012919 (MB2P)"/>
    <s v="Y"/>
    <x v="0"/>
    <n v="0.41"/>
    <n v="113"/>
    <n v="30"/>
    <s v="N/A"/>
    <s v="N/A"/>
    <n v="0.8"/>
    <n v="180"/>
    <n v="680"/>
    <n v="500"/>
    <n v="150"/>
    <n v="180"/>
    <n v="680"/>
    <n v="500"/>
    <n v="150"/>
    <s v="N/A"/>
    <n v="83"/>
    <n v="1.1402999999999999"/>
    <m/>
    <n v="1.0153225663716814"/>
    <n v="1.0762419203539824"/>
    <n v="874.69313200000011"/>
    <n v="146.59800757682896"/>
    <n v="160.29361276049127"/>
    <n v="318.64057212651187"/>
    <n v="250"/>
    <n v="282.5"/>
    <n v="304.0383425"/>
    <n v="1013.4611416666667"/>
    <d v="2025-07-01T00:00:00"/>
    <s v="2025-0221-0366"/>
    <s v="W2241AM KR CLEAR r113x0250 CB2P, W2241AM KR CLEAR r113x0250 MB2P"/>
    <m/>
    <m/>
    <m/>
    <m/>
    <m/>
    <m/>
    <m/>
  </r>
  <r>
    <s v="SGS"/>
    <s v="Kunsan"/>
    <s v="Hyundai"/>
    <s v="Nexo (NH2)"/>
    <s v="OEM"/>
    <x v="0"/>
    <s v="W2243AD"/>
    <s v="K"/>
    <s v="R"/>
    <s v="Clear"/>
    <s v="Acoustic"/>
    <s v="BF012735"/>
    <s v="Y"/>
    <x v="0"/>
    <n v="0.43"/>
    <n v="113"/>
    <n v="30"/>
    <s v="N/A"/>
    <s v="N/A"/>
    <n v="0.8"/>
    <n v="190"/>
    <n v="670"/>
    <n v="480"/>
    <n v="160"/>
    <n v="190"/>
    <n v="670"/>
    <n v="480"/>
    <n v="160"/>
    <s v="N/A"/>
    <n v="83"/>
    <n v="1.1569"/>
    <m/>
    <n v="1.0258261061946903"/>
    <n v="1.0873756725663717"/>
    <n v="875.99523599999998"/>
    <n v="144.4945181431913"/>
    <n v="157.99360932733009"/>
    <n v="314.06849718719116"/>
    <n v="150"/>
    <n v="169.5"/>
    <n v="184.31017650000001"/>
    <n v="614.36725500000011"/>
    <d v="2025-02-01T00:00:00"/>
    <s v="2024_2937_03995"/>
    <s v="W2243AD KR CLEAR r113x0150 CB1P"/>
    <m/>
    <m/>
    <m/>
    <m/>
    <m/>
    <m/>
    <m/>
  </r>
  <r>
    <s v="SGS"/>
    <s v="Kunsan"/>
    <s v="Hyundai"/>
    <s v="Nexo (NH2)"/>
    <s v="OEM"/>
    <x v="1"/>
    <s v="W2244AN"/>
    <s v="K"/>
    <s v="R"/>
    <s v="Clear"/>
    <s v="Acoustic"/>
    <m/>
    <s v="Y"/>
    <x v="0"/>
    <n v="0.44"/>
    <n v="112"/>
    <n v="30"/>
    <s v="N/A"/>
    <s v="N/A"/>
    <n v="0.8"/>
    <n v="235"/>
    <n v="635"/>
    <n v="400"/>
    <n v="185"/>
    <n v="235"/>
    <n v="635"/>
    <n v="400"/>
    <n v="185"/>
    <s v="N/A"/>
    <n v="82"/>
    <n v="1.1608000000000001"/>
    <m/>
    <n v="1.0287214285714286"/>
    <n v="1.0904447142857143"/>
    <n v="876.64628800000003"/>
    <n v="144.00905241200726"/>
    <n v="157.46278999895603"/>
    <n v="313.01330495852983"/>
    <n v="150"/>
    <n v="168"/>
    <n v="183.19471200000001"/>
    <n v="610.64904000000001"/>
    <d v="2025-01-01T00:00:00"/>
    <s v="2024_2900_03958, 2024_2987_04045"/>
    <m/>
    <m/>
    <m/>
    <m/>
    <m/>
    <m/>
    <m/>
    <m/>
  </r>
  <r>
    <s v="SGS"/>
    <s v="Kunsan"/>
    <s v="Hyundai"/>
    <s v="Palisade (LX2 PE)"/>
    <s v="OEM"/>
    <x v="2"/>
    <s v="W2265AD"/>
    <s v="K"/>
    <s v="R"/>
    <s v="Clear"/>
    <s v="Acoustic"/>
    <s v="BF012734"/>
    <s v="Y"/>
    <x v="0"/>
    <n v="0.65"/>
    <n v="99"/>
    <n v="30"/>
    <s v="N/A"/>
    <s v="N/A"/>
    <n v="0.8"/>
    <n v="216"/>
    <n v="492"/>
    <n v="276"/>
    <n v="198"/>
    <n v="154"/>
    <n v="554"/>
    <n v="400"/>
    <n v="136"/>
    <s v="N/A"/>
    <n v="69"/>
    <n v="1.2485000000000002"/>
    <m/>
    <n v="1.0922045454545455"/>
    <n v="1.1577368181818182"/>
    <n v="890.31838000000005"/>
    <n v="133.89323831786785"/>
    <n v="146.40192761777186"/>
    <n v="291.0259066046147"/>
    <n v="145"/>
    <n v="143.55000000000001"/>
    <n v="166.19312025000002"/>
    <n v="553.97706750000009"/>
    <d v="2025-02-01T00:00:00"/>
    <s v="2024_2936_03994"/>
    <s v="W2265AD KR CLEAR r099x0145 CB1P"/>
    <m/>
    <m/>
    <m/>
    <m/>
    <m/>
    <m/>
    <m/>
  </r>
  <r>
    <s v="SGS"/>
    <s v="Kunsan"/>
    <s v="Hyundai"/>
    <s v="Palisade (LX2 PE)"/>
    <s v="OEM"/>
    <x v="1"/>
    <s v="W2261AA"/>
    <s v="K"/>
    <s v="R"/>
    <s v="Clear"/>
    <s v="Acoustic"/>
    <s v="BF012317, ___ (MB2P)"/>
    <s v="Y"/>
    <x v="0"/>
    <n v="0.61"/>
    <n v="99"/>
    <n v="30"/>
    <s v="N/A"/>
    <s v="N/A"/>
    <n v="0.8"/>
    <n v="216"/>
    <n v="492"/>
    <n v="276"/>
    <n v="198"/>
    <n v="154"/>
    <n v="554"/>
    <n v="400"/>
    <n v="136"/>
    <s v="N/A"/>
    <n v="69"/>
    <n v="1.2208999999999999"/>
    <m/>
    <n v="1.0742227272727274"/>
    <n v="1.1386760909090909"/>
    <n v="887.71417200000008"/>
    <n v="136.92006555807851"/>
    <n v="149.71152971642903"/>
    <n v="297.60491800791345"/>
    <n v="290"/>
    <n v="287.10000000000002"/>
    <n v="326.91390570000004"/>
    <n v="1089.7130190000003"/>
    <d v="2023-04-01T00:00:00"/>
    <s v="2024_2538_03595, 2024_2678_03736, 2024_2759_03817, 2024_2987_04045, 2024_2996_04054"/>
    <s v="W2261AA KR CLEAR r099x0150 CB1P, W2261AA KR CLEAR r099x0290 CB2P"/>
    <m/>
    <m/>
    <m/>
    <m/>
    <m/>
    <n v="0.49696969696969701"/>
    <m/>
  </r>
  <r>
    <s v="SGS"/>
    <s v="Kunsan"/>
    <s v="Hyundai"/>
    <s v="Palisade (LX2-W PE)"/>
    <s v="OEM"/>
    <x v="1"/>
    <s v="W2351AA"/>
    <s v="K"/>
    <s v="R"/>
    <s v="Blue"/>
    <s v="Acoustic"/>
    <s v="BF010040"/>
    <s v="Y"/>
    <x v="2"/>
    <n v="0.51"/>
    <n v="98"/>
    <n v="30"/>
    <n v="12"/>
    <n v="86"/>
    <n v="0.8"/>
    <n v="194"/>
    <n v="481"/>
    <n v="287"/>
    <n v="199"/>
    <n v="130"/>
    <n v="530"/>
    <n v="400"/>
    <n v="150"/>
    <n v="180"/>
    <n v="68"/>
    <n v="1.1468"/>
    <m/>
    <n v="1.0264816326530612"/>
    <n v="1.0880705306122449"/>
    <n v="881.20365200000003"/>
    <n v="145.76709804661496"/>
    <n v="159.38507728530533"/>
    <n v="316.83453470165807"/>
    <n v="159"/>
    <n v="155.82"/>
    <n v="169.54315008"/>
    <n v="565.14383359999999"/>
    <d v="2021-08-01T00:00:00"/>
    <s v="2021_0963_02018"/>
    <s v="W2351AA KR BLU2 r098/12x0159 CT1P"/>
    <s v="Sekisui's angle"/>
    <m/>
    <m/>
    <s v="N/A"/>
    <m/>
    <n v="0.49081632653061225"/>
    <m/>
  </r>
  <r>
    <s v="SGS"/>
    <s v="Kunsan"/>
    <s v="Hyundai"/>
    <s v="Palisade (LX2-W PE)"/>
    <s v="OEM"/>
    <x v="1"/>
    <s v="W2354AA"/>
    <s v="K"/>
    <s v="R"/>
    <s v="Blue"/>
    <s v="Acoustic"/>
    <s v="BF010775"/>
    <s v="Y"/>
    <x v="0"/>
    <n v="0.54"/>
    <n v="98"/>
    <n v="30"/>
    <n v="12"/>
    <n v="86"/>
    <n v="0.8"/>
    <n v="140"/>
    <n v="540"/>
    <n v="400"/>
    <n v="140"/>
    <n v="140"/>
    <n v="540"/>
    <n v="400"/>
    <n v="140"/>
    <n v="180"/>
    <n v="68"/>
    <n v="1.1672"/>
    <m/>
    <n v="1.039804081632653"/>
    <n v="1.1021923265306122"/>
    <n v="883.15680800000007"/>
    <n v="143.21942087033759"/>
    <n v="156.59938882007211"/>
    <n v="311.29698800193751"/>
    <n v="150"/>
    <n v="147"/>
    <n v="162.02227199999999"/>
    <n v="540.07424000000003"/>
    <d v="2022-04-01T00:00:00"/>
    <s v="2022_1345_02401"/>
    <s v="W2354AA KR BLU2 r098/12x0150 CB1P"/>
    <s v="Our higher angle"/>
    <m/>
    <m/>
    <s v="N/A"/>
    <m/>
    <n v="0.55102040816326525"/>
    <m/>
  </r>
  <r>
    <s v="SGS"/>
    <s v="Kunsan"/>
    <s v="Hyundai"/>
    <s v="Palisade (LX2-W PE)"/>
    <s v="OEM"/>
    <x v="1"/>
    <s v="W2354AB"/>
    <s v="K"/>
    <s v="R"/>
    <s v="Blue"/>
    <s v="Acoustic"/>
    <s v="BF010925 (310m),"/>
    <s v="Y"/>
    <x v="0"/>
    <n v="0.54"/>
    <n v="99"/>
    <n v="30"/>
    <n v="12"/>
    <n v="87"/>
    <n v="0.8"/>
    <n v="140"/>
    <n v="540"/>
    <n v="400"/>
    <n v="150"/>
    <n v="140"/>
    <n v="540"/>
    <n v="400"/>
    <n v="150"/>
    <n v="180"/>
    <n v="69"/>
    <n v="1.1726000000000001"/>
    <m/>
    <n v="1.0427545454545457"/>
    <n v="1.1053198181818185"/>
    <n v="883.15680800000007"/>
    <n v="142.55987381874297"/>
    <n v="155.87822499640811"/>
    <n v="309.86341838296221"/>
    <s v="310, 156"/>
    <e v="#VALUE!"/>
    <e v="#VALUE!"/>
    <e v="#VALUE!"/>
    <d v="2022-07-01T00:00:00"/>
    <s v="2022_1512_02568, 2022_1799_02855"/>
    <s v="W2354AB KR BLU2 r099x0310 CB2P, W2354AB KR BLU2 r099/12x0156 CB4P"/>
    <s v="Wanted 1 cm wider"/>
    <m/>
    <m/>
    <s v="N/A"/>
    <m/>
    <n v="0.54545454545454541"/>
    <m/>
  </r>
  <r>
    <s v="SGS"/>
    <s v="Kunsan"/>
    <s v="Hyundai"/>
    <s v="Palisade (LX2-W PE)"/>
    <s v="OEM"/>
    <x v="1"/>
    <s v="W2254AB"/>
    <s v="K"/>
    <s v="R"/>
    <s v="Clear"/>
    <s v="Acoustic"/>
    <s v="BF011425"/>
    <s v="Y"/>
    <x v="0"/>
    <n v="0.54"/>
    <n v="99"/>
    <n v="30"/>
    <s v="N/A"/>
    <s v="N/A"/>
    <n v="0.8"/>
    <n v="140"/>
    <n v="540"/>
    <n v="400"/>
    <n v="150"/>
    <n v="140"/>
    <n v="540"/>
    <n v="400"/>
    <n v="150"/>
    <s v="N/A"/>
    <n v="69"/>
    <n v="1.1726000000000001"/>
    <m/>
    <n v="1.0427545454545457"/>
    <n v="1.1053198181818185"/>
    <n v="883.15680800000007"/>
    <n v="142.55987381874297"/>
    <n v="155.87822499640811"/>
    <n v="309.86341838296221"/>
    <n v="150"/>
    <n v="148.5"/>
    <n v="164.13999300000003"/>
    <n v="547.13331000000017"/>
    <d v="2022-11-01T00:00:00"/>
    <s v="2022_1689_02745"/>
    <s v="Clear version of previous SKUs for this w/s"/>
    <m/>
    <m/>
    <m/>
    <s v="N/A"/>
    <m/>
    <n v="0.54545454545454541"/>
    <m/>
  </r>
  <r>
    <s v="SGS"/>
    <s v="Kunsan"/>
    <s v="Hyundai"/>
    <s v="Palisade (LX2-W PE)"/>
    <s v="OEM"/>
    <x v="1"/>
    <s v="W2357AA"/>
    <s v="K"/>
    <s v="R"/>
    <s v="Blue"/>
    <s v="Acoustic"/>
    <s v="BF011607 (153m), BF011608 (304m)"/>
    <s v="Y"/>
    <x v="0"/>
    <n v="0.56999999999999995"/>
    <n v="99"/>
    <n v="30"/>
    <n v="12"/>
    <n v="87"/>
    <n v="0.8"/>
    <n v="140"/>
    <n v="540"/>
    <n v="400"/>
    <n v="150"/>
    <n v="140"/>
    <n v="540"/>
    <n v="400"/>
    <n v="150"/>
    <n v="180"/>
    <n v="69"/>
    <n v="1.1933"/>
    <m/>
    <n v="1.0562409090909091"/>
    <n v="1.1196153636363637"/>
    <n v="885.10996399999999"/>
    <n v="140.08690860626669"/>
    <n v="153.17422830033368"/>
    <n v="304.48826313237362"/>
    <s v="153, 304, 300"/>
    <e v="#VALUE!"/>
    <e v="#VALUE!"/>
    <e v="#VALUE!"/>
    <d v="2023-03-01T00:00:00"/>
    <s v="2023_1892_02949, 2023_1961_03018"/>
    <s v="W2357AA KR BLU2 r099/12x0153 CB4P, W2357AA KR BLU2 r099/12x0304 CB2P"/>
    <m/>
    <m/>
    <m/>
    <s v="N/A"/>
    <m/>
    <n v="0.54545454545454541"/>
    <m/>
  </r>
  <r>
    <s v="SGS"/>
    <s v="Kunsan"/>
    <s v="Hyundai"/>
    <s v="Palisade (LX2-W PE)"/>
    <s v="OEM"/>
    <x v="1"/>
    <s v="W2257AC"/>
    <s v="K"/>
    <s v="R"/>
    <s v="Clear"/>
    <s v="Acoustic"/>
    <s v="BF011609 (153m), BF011610 (304m), BF011729 (300m)"/>
    <s v="Y"/>
    <x v="0"/>
    <n v="0.56999999999999995"/>
    <n v="99"/>
    <n v="30"/>
    <s v="N/A"/>
    <s v="N/A"/>
    <n v="0.8"/>
    <n v="140"/>
    <n v="540"/>
    <n v="400"/>
    <n v="150"/>
    <n v="140"/>
    <n v="540"/>
    <n v="400"/>
    <n v="150"/>
    <s v="N/A"/>
    <n v="69"/>
    <n v="1.1933"/>
    <m/>
    <n v="1.0562409090909091"/>
    <n v="1.1196153636363637"/>
    <n v="885.10996399999999"/>
    <n v="140.08690860626669"/>
    <n v="153.17422830033368"/>
    <n v="304.48826313237362"/>
    <s v="153, 304,300"/>
    <e v="#VALUE!"/>
    <e v="#VALUE!"/>
    <e v="#VALUE!"/>
    <d v="2023-03-01T00:00:00"/>
    <s v="2023_1892_02949, 2023_1961_03018"/>
    <s v="W2257AC KR CLEAR r099x0153 CB4P, W2257AC KR CLEAR r099x0304 CB2P"/>
    <s v="Switched to W2258AI"/>
    <m/>
    <m/>
    <s v="N/A"/>
    <m/>
    <n v="0.54545454545454541"/>
    <m/>
  </r>
  <r>
    <s v="SGS"/>
    <s v="Kunsan"/>
    <s v="Hyundai"/>
    <s v="Palisade (LX2-W PE)"/>
    <s v="OEM"/>
    <x v="1"/>
    <s v="W2358AA"/>
    <s v="K"/>
    <s v="R"/>
    <s v="Blue"/>
    <s v="Acoustic"/>
    <s v="BF011827"/>
    <s v="Y"/>
    <x v="0"/>
    <n v="0.57999999999999996"/>
    <n v="99"/>
    <n v="30"/>
    <n v="12"/>
    <n v="87"/>
    <n v="0.8"/>
    <n v="140"/>
    <n v="540"/>
    <n v="400"/>
    <n v="150"/>
    <n v="140"/>
    <n v="540"/>
    <n v="400"/>
    <n v="150"/>
    <n v="180"/>
    <n v="69"/>
    <n v="1.2002000000000002"/>
    <m/>
    <n v="1.060736363636364"/>
    <n v="1.1243805454545459"/>
    <n v="885.76101600000004"/>
    <n v="139.28154310936344"/>
    <n v="152.29362325511428"/>
    <n v="302.73774737198914"/>
    <n v="300"/>
    <n v="297"/>
    <n v="333.94102200000015"/>
    <n v="1113.1367400000006"/>
    <d v="2023-06-23T00:00:00"/>
    <s v="2023_2040_03097"/>
    <s v="W2358AA KR BLU2 r099/12x0300 CB2P"/>
    <m/>
    <m/>
    <m/>
    <m/>
    <m/>
    <n v="0.54545454545454541"/>
    <m/>
  </r>
  <r>
    <s v="SGS"/>
    <s v="Kunsan"/>
    <s v="Hyundai"/>
    <s v="Palisade (LX2-W PE)"/>
    <s v="OEM"/>
    <x v="1"/>
    <s v="W2258AI"/>
    <s v="K"/>
    <s v="R"/>
    <s v="Clear"/>
    <s v="Acoustic"/>
    <s v="BF011828"/>
    <s v="Y"/>
    <x v="0"/>
    <n v="0.57999999999999996"/>
    <n v="99"/>
    <n v="30"/>
    <s v="N/A"/>
    <s v="N/A"/>
    <n v="0.8"/>
    <n v="140"/>
    <n v="540"/>
    <n v="400"/>
    <n v="150"/>
    <n v="140"/>
    <n v="540"/>
    <n v="400"/>
    <n v="150"/>
    <s v="N/A"/>
    <n v="69"/>
    <n v="1.2002000000000002"/>
    <m/>
    <n v="1.060736363636364"/>
    <n v="1.1243805454545459"/>
    <n v="885.76101600000004"/>
    <n v="139.28154310936344"/>
    <n v="152.29362325511428"/>
    <n v="302.73774737198914"/>
    <n v="300"/>
    <n v="297"/>
    <n v="333.94102200000015"/>
    <n v="1113.1367400000006"/>
    <d v="2023-07-23T00:00:00"/>
    <s v="2023_2040_03097"/>
    <s v="W2258AI KR CLEAR r099x0300 CB2P"/>
    <m/>
    <m/>
    <m/>
    <m/>
    <m/>
    <n v="0.54545454545454541"/>
    <m/>
  </r>
  <r>
    <s v="SGS"/>
    <s v="Kunsan"/>
    <s v="Hyundai"/>
    <s v="Palisade (LX2-W)"/>
    <s v="OEM"/>
    <x v="1"/>
    <s v="W2346AA"/>
    <s v="K"/>
    <s v="R"/>
    <s v="Blue"/>
    <s v="Acoustic"/>
    <s v="BF009672, BF009901"/>
    <s v="Y"/>
    <x v="2"/>
    <n v="0.46"/>
    <n v="98"/>
    <n v="30"/>
    <n v="12"/>
    <n v="86"/>
    <n v="0.8"/>
    <n v="194"/>
    <n v="481"/>
    <n v="287"/>
    <n v="199"/>
    <n v="130"/>
    <n v="530"/>
    <n v="400"/>
    <n v="150"/>
    <n v="180"/>
    <n v="68"/>
    <n v="1.1128"/>
    <m/>
    <n v="1.0042775510204083"/>
    <n v="1.0645342040816328"/>
    <n v="877.94839200000001"/>
    <n v="150.22080161741377"/>
    <n v="164.2548585826637"/>
    <n v="326.51495722129891"/>
    <n v="164"/>
    <n v="160.72"/>
    <n v="171.09193728000002"/>
    <n v="570.30645760000016"/>
    <d v="2021-02-01T00:00:00"/>
    <s v="2021_0635_01687, 2021_0815_01869, 2021_0861_01915"/>
    <s v="W2346AA KR BLU2 r098/12x0164 CT4P, W2346AA KR BLU2 R98/12X0164 CT1P"/>
    <s v="L8 inventory used up in late 2023"/>
    <n v="4"/>
    <m/>
    <s v="N/A"/>
    <m/>
    <n v="0.49081632653061225"/>
    <m/>
  </r>
  <r>
    <s v="SGS"/>
    <s v="Kunsan"/>
    <s v="Hyundai"/>
    <s v="Palisade (LX3)"/>
    <s v="OEM"/>
    <x v="1"/>
    <s v="W2255AE"/>
    <s v="K"/>
    <s v="R"/>
    <s v="Clear"/>
    <s v="Acoustic"/>
    <s v="BF012422"/>
    <s v="Y"/>
    <x v="0"/>
    <n v="0.55000000000000004"/>
    <n v="104"/>
    <n v="30"/>
    <s v="N/A"/>
    <s v="N/A"/>
    <n v="0.8"/>
    <n v="194"/>
    <n v="564"/>
    <n v="370"/>
    <n v="176"/>
    <n v="175"/>
    <n v="585"/>
    <n v="410"/>
    <n v="155"/>
    <s v="N/A"/>
    <n v="74"/>
    <n v="1.2070000000000001"/>
    <m/>
    <n v="1.0622019230769231"/>
    <n v="1.1259340384615384"/>
    <n v="883.80786000000012"/>
    <n v="138.49685835945155"/>
    <n v="151.43563101142351"/>
    <n v="301.03218259806255"/>
    <n v="150"/>
    <n v="156"/>
    <n v="175.64570999999998"/>
    <n v="585.48569999999995"/>
    <d v="2024-06-01T00:00:00"/>
    <s v="2024_2652_03710"/>
    <s v="W2255AE KR CLEAR r104x0150 CB1P"/>
    <m/>
    <m/>
    <m/>
    <m/>
    <m/>
    <m/>
    <m/>
  </r>
  <r>
    <s v="SGS"/>
    <s v="Kunsan"/>
    <s v="Kia"/>
    <s v="EV6 (CV)"/>
    <s v="OEM"/>
    <x v="1"/>
    <s v="W2212AA"/>
    <s v="K"/>
    <s v="R"/>
    <s v="Clear"/>
    <s v="Acoustic"/>
    <s v="BF010240 (L8, 100m), BF010774 (L9, 150m), BF010822? (L8 201m), BF010924 (CB2P)"/>
    <s v="Y"/>
    <x v="3"/>
    <n v="0.12"/>
    <n v="122"/>
    <n v="30"/>
    <s v="N/A"/>
    <s v="N/A"/>
    <n v="0.8"/>
    <n v="200"/>
    <n v="600"/>
    <n v="400"/>
    <n v="320"/>
    <n v="200"/>
    <n v="600"/>
    <n v="400"/>
    <n v="320"/>
    <s v="N/A"/>
    <n v="92"/>
    <n v="0.91039999999999999"/>
    <m/>
    <n v="0.86877377049180327"/>
    <n v="0.92090019672131151"/>
    <n v="855.81262400000003"/>
    <n v="183.61786911232213"/>
    <n v="200.77197564893254"/>
    <n v="399.10571660353855"/>
    <n v="399"/>
    <n v="486.78"/>
    <n v="448.27579775999999"/>
    <n v="1494.2526591999999"/>
    <s v="Nov-2021 on L8. Jun-2022 on L9."/>
    <s v="2021_1076_02131 (L8), 2022_1345_02401 (L9), 2022_1407_02463 (L8 commercial), 2022_1511_02567 (L9 longer)"/>
    <s v="W2212AA KR CLEAR r122x0100 CT1P (L8), W2212AA KR CLEAR r122x0150 CB1P (L9)"/>
    <s v="Originally only set up for one 100m roll"/>
    <n v="1"/>
    <m/>
    <s v="N/A"/>
    <m/>
    <n v="0.49180327868852458"/>
    <m/>
  </r>
  <r>
    <s v="SGS"/>
    <s v="Kunsan"/>
    <s v="Kia"/>
    <s v="EV7 (MV)"/>
    <s v="OEM"/>
    <x v="1"/>
    <s v="W2249AD"/>
    <s v="K"/>
    <s v="R"/>
    <s v="Clear"/>
    <s v="Acoustic"/>
    <s v="BF011001"/>
    <s v="Y"/>
    <x v="0"/>
    <n v="0.49"/>
    <n v="112"/>
    <n v="30"/>
    <s v="N/A"/>
    <s v="N/A"/>
    <n v="0.8"/>
    <n v="190"/>
    <n v="680"/>
    <n v="490"/>
    <n v="140"/>
    <n v="190"/>
    <n v="680"/>
    <n v="490"/>
    <n v="140"/>
    <s v="N/A"/>
    <n v="82"/>
    <n v="1.2018"/>
    <m/>
    <n v="1.0547125000000002"/>
    <n v="1.1179952500000001"/>
    <n v="879.90154800000005"/>
    <n v="139.09611253108508"/>
    <n v="152.09086922182408"/>
    <n v="302.33470161080169"/>
    <n v="150"/>
    <n v="168"/>
    <n v="187.82320200000001"/>
    <n v="626.07734000000005"/>
    <d v="2022-09-01T00:00:00"/>
    <s v="2022_1557_02613"/>
    <m/>
    <m/>
    <m/>
    <m/>
    <s v="N/A"/>
    <m/>
    <n v="0.6071428571428571"/>
    <m/>
  </r>
  <r>
    <s v="SGS"/>
    <s v="Kunsan"/>
    <s v="Kia"/>
    <s v="EV7 (MV)"/>
    <s v="OEM"/>
    <x v="1"/>
    <s v="W2253AA"/>
    <s v="K"/>
    <s v="R"/>
    <s v="Clear"/>
    <s v="Acoustic"/>
    <s v="BF011551"/>
    <s v="Y"/>
    <x v="0"/>
    <n v="0.53"/>
    <n v="102"/>
    <n v="30"/>
    <s v="N/A"/>
    <s v="N/A"/>
    <n v="0.8"/>
    <n v="190"/>
    <n v="590"/>
    <n v="400"/>
    <n v="130"/>
    <n v="190"/>
    <n v="590"/>
    <n v="400"/>
    <n v="130"/>
    <s v="N/A"/>
    <n v="72"/>
    <n v="1.1816"/>
    <m/>
    <n v="1.0469176470588235"/>
    <n v="1.109732705882353"/>
    <n v="882.50575600000013"/>
    <n v="141.47402508451086"/>
    <n v="154.69093316755936"/>
    <n v="307.50325355099989"/>
    <n v="155"/>
    <n v="158.1"/>
    <n v="175.4487408"/>
    <n v="584.82913600000006"/>
    <d v="2023-01-23T00:00:00"/>
    <s v="2022_1815_02871"/>
    <s v="W2253AA KR CLEAR r102x0155 CB1P"/>
    <m/>
    <m/>
    <m/>
    <s v="N/A"/>
    <m/>
    <n v="0.57843137254901966"/>
    <m/>
  </r>
  <r>
    <s v="SGS"/>
    <s v="Kunsan"/>
    <s v="Kia"/>
    <s v="K9 sedan (RJ PE)"/>
    <s v="OEM"/>
    <x v="1"/>
    <s v="W2343AA"/>
    <s v="K"/>
    <s v="R"/>
    <s v="Blue"/>
    <s v="Acoustic"/>
    <s v="BF011424"/>
    <s v="Y"/>
    <x v="0"/>
    <n v="0.43"/>
    <n v="100"/>
    <n v="30"/>
    <n v="16"/>
    <n v="84"/>
    <n v="0.8"/>
    <n v="160"/>
    <n v="580"/>
    <n v="420"/>
    <n v="120"/>
    <n v="160"/>
    <n v="580"/>
    <n v="420"/>
    <n v="120"/>
    <n v="140"/>
    <n v="70"/>
    <n v="1.101"/>
    <m/>
    <n v="0.99564999999999992"/>
    <n v="1.0553889999999999"/>
    <n v="875.99523599999998"/>
    <n v="151.83079749305907"/>
    <n v="166.01526487810006"/>
    <n v="330.01439091358895"/>
    <n v="150"/>
    <n v="150"/>
    <n v="158.30834999999999"/>
    <n v="527.69449999999995"/>
    <d v="2022-11-01T00:00:00"/>
    <s v="2022_1689_02745"/>
    <m/>
    <m/>
    <m/>
    <m/>
    <s v="N/A"/>
    <m/>
    <n v="0.57999999999999996"/>
    <m/>
  </r>
  <r>
    <s v="SGS"/>
    <s v="Kunsan"/>
    <s v="Kia"/>
    <s v="K9 sedan (RJ PE)"/>
    <s v="OEM"/>
    <x v="1"/>
    <s v="W2349AA"/>
    <s v="K"/>
    <s v="R"/>
    <s v="Blue"/>
    <s v="Acoustic"/>
    <s v="BF011494"/>
    <s v="Y"/>
    <x v="0"/>
    <n v="0.49"/>
    <n v="101"/>
    <n v="30"/>
    <n v="16"/>
    <n v="85"/>
    <n v="0.8"/>
    <n v="160"/>
    <n v="580"/>
    <n v="420"/>
    <n v="130"/>
    <n v="160"/>
    <n v="580"/>
    <n v="420"/>
    <n v="130"/>
    <n v="140"/>
    <n v="71"/>
    <n v="1.1478999999999999"/>
    <m/>
    <n v="1.025618316831683"/>
    <n v="1.0871554158415841"/>
    <n v="879.90154800000005"/>
    <n v="145.62741357248717"/>
    <n v="159.2323430880636"/>
    <n v="316.53092115677453"/>
    <n v="150"/>
    <n v="151.5"/>
    <n v="164.70404550000001"/>
    <n v="549.01348500000006"/>
    <d v="2023-01-01T00:00:00"/>
    <s v="2022_1780_02836"/>
    <s v="W2349AA KR BLU2 r101/16x0150 CB1P"/>
    <m/>
    <m/>
    <m/>
    <s v="N/A"/>
    <m/>
    <n v="0.57425742574257421"/>
    <m/>
  </r>
  <r>
    <s v="SGS"/>
    <s v="Kunsan"/>
    <s v="Kia"/>
    <s v="Niro HEV SUV (SG2)"/>
    <s v="OEM"/>
    <x v="1"/>
    <s v="W2241AE"/>
    <s v="K"/>
    <s v="R"/>
    <s v="Clear"/>
    <s v="Acoustic"/>
    <s v="BF011426"/>
    <s v="Y"/>
    <x v="0"/>
    <n v="0.41"/>
    <n v="104"/>
    <n v="30"/>
    <s v="N/A"/>
    <s v="N/A"/>
    <n v="0.8"/>
    <n v="180"/>
    <n v="590"/>
    <n v="410"/>
    <n v="150"/>
    <n v="180"/>
    <n v="590"/>
    <n v="410"/>
    <n v="150"/>
    <s v="N/A"/>
    <n v="74"/>
    <n v="1.1033999999999999"/>
    <m/>
    <n v="0.99545961538461525"/>
    <n v="1.0551871923076921"/>
    <n v="874.69313200000011"/>
    <n v="151.50055106023024"/>
    <n v="165.654165878909"/>
    <n v="329.29657820904612"/>
    <n v="150"/>
    <n v="156"/>
    <n v="164.60920199999995"/>
    <n v="548.69733999999983"/>
    <d v="2022-11-01T00:00:00"/>
    <s v="2022_1689_02745"/>
    <m/>
    <m/>
    <m/>
    <m/>
    <s v="N/A"/>
    <m/>
    <n v="0.56730769230769229"/>
    <m/>
  </r>
  <r>
    <s v="SGS"/>
    <s v="Kunsan"/>
    <s v="Kia"/>
    <s v="Stinger (CK)"/>
    <s v="OEM"/>
    <x v="1"/>
    <s v="W2338"/>
    <s v="K"/>
    <s v="R"/>
    <s v="Blue"/>
    <s v="Acoustic"/>
    <s v="BF008534"/>
    <s v="Y"/>
    <x v="2"/>
    <n v="0.38"/>
    <n v="104"/>
    <n v="30"/>
    <n v="16"/>
    <n v="88"/>
    <n v="0.8"/>
    <n v="275"/>
    <n v="538"/>
    <n v="263"/>
    <n v="202"/>
    <n v="138"/>
    <n v="538"/>
    <n v="400"/>
    <n v="202"/>
    <n v="140"/>
    <n v="74"/>
    <n v="1.0811999999999999"/>
    <m/>
    <n v="0.98115769230769234"/>
    <n v="1.0400271538461539"/>
    <n v="872.73997600000007"/>
    <n v="154.61127269687205"/>
    <n v="169.05550002847593"/>
    <n v="336.05793969280569"/>
    <n v="168"/>
    <n v="174.72"/>
    <n v="181.71354432000001"/>
    <n v="605.71181440000009"/>
    <d v="2020-01-01T00:00:00"/>
    <s v="Old"/>
    <s v="W2338 KR BLU2 R104/16X0.95X0168 CT1P"/>
    <m/>
    <n v="4"/>
    <s v="ghosting mostly high"/>
    <s v="N/A"/>
    <m/>
    <n v="0.51730769230769225"/>
    <m/>
  </r>
  <r>
    <s v="SGS"/>
    <s v="Kunsan"/>
    <s v="Kia"/>
    <s v="Stinger (CK)"/>
    <s v="OEM"/>
    <x v="1"/>
    <s v="W2341AA"/>
    <s v="K"/>
    <s v="R"/>
    <s v="Blue"/>
    <s v="Acoustic"/>
    <s v="BF009415"/>
    <s v="Y"/>
    <x v="2"/>
    <n v="0.41"/>
    <n v="104"/>
    <n v="30"/>
    <n v="16"/>
    <n v="88"/>
    <n v="0.8"/>
    <n v="275"/>
    <n v="528"/>
    <n v="253"/>
    <n v="212"/>
    <n v="128"/>
    <n v="528"/>
    <n v="400"/>
    <n v="212"/>
    <n v="140"/>
    <n v="74"/>
    <n v="1.1033999999999999"/>
    <m/>
    <n v="0.99545961538461525"/>
    <n v="1.0551871923076921"/>
    <n v="874.69313200000011"/>
    <n v="151.50055106023024"/>
    <n v="165.654165878909"/>
    <n v="329.29657820904612"/>
    <n v="166"/>
    <n v="172.64"/>
    <n v="182.16751687999994"/>
    <n v="607.22505626666646"/>
    <d v="2020-09-01T00:00:00"/>
    <s v="2020_0340_01392"/>
    <m/>
    <s v="Increased wedge angle due to ghosting being high"/>
    <s v="2-4 rolls"/>
    <m/>
    <s v="N/A"/>
    <m/>
    <n v="0.50769230769230766"/>
    <m/>
  </r>
  <r>
    <s v="SGS"/>
    <s v="Meizhou"/>
    <s v="Mahindra"/>
    <s v="M110"/>
    <s v="OEM"/>
    <x v="0"/>
    <s v="W2216AA"/>
    <s v="K"/>
    <s v="E2"/>
    <s v="Clear"/>
    <s v="Acoustic"/>
    <s v="BF012459"/>
    <s v="Y"/>
    <x v="0"/>
    <n v="0.16"/>
    <n v="138"/>
    <n v="30"/>
    <s v="N/A"/>
    <s v="N/A"/>
    <n v="0.8"/>
    <n v="160"/>
    <n v="760"/>
    <n v="600"/>
    <n v="320"/>
    <n v="160"/>
    <n v="760"/>
    <n v="600"/>
    <n v="320"/>
    <s v="N/A"/>
    <n v="108"/>
    <n v="0.97280000000000011"/>
    <m/>
    <n v="0.90518260869565215"/>
    <n v="0.95949356521739126"/>
    <n v="858.41683200000011"/>
    <n v="171.83974921860406"/>
    <n v="187.89351010566216"/>
    <n v="373.50518543982469"/>
    <n v="186"/>
    <n v="256.68"/>
    <n v="246.28280831999999"/>
    <n v="820.94269439999994"/>
    <d v="2024-06-01T00:00:00"/>
    <s v="2024_2704_03762"/>
    <s v="W2216AA KE2 CLEAR r138x0188 CB1P"/>
    <s v="Shaped"/>
    <m/>
    <m/>
    <m/>
    <m/>
    <m/>
    <m/>
  </r>
  <r>
    <s v="SGS"/>
    <s v="Meizhou"/>
    <s v="Mahindra"/>
    <s v="M310"/>
    <s v="OEM"/>
    <x v="0"/>
    <s v="W2227AJ"/>
    <s v="K"/>
    <s v="E2"/>
    <s v="Clear"/>
    <s v="Acoustic"/>
    <m/>
    <s v="Y"/>
    <x v="0"/>
    <n v="0.27"/>
    <n v="105"/>
    <n v="15"/>
    <s v="N/A"/>
    <s v="N/A"/>
    <n v="0.8"/>
    <n v="200"/>
    <n v="700"/>
    <n v="500"/>
    <n v="200"/>
    <n v="200"/>
    <n v="800"/>
    <n v="600"/>
    <n v="100"/>
    <s v="N/A"/>
    <n v="90"/>
    <n v="1.0430000000000001"/>
    <m/>
    <n v="0.93885714285714295"/>
    <n v="0.99518857142857153"/>
    <n v="865.57840400000009"/>
    <n v="160.27392908902974"/>
    <n v="175.24717797774508"/>
    <n v="348.36610200945483"/>
    <n v="175"/>
    <n v="183.75"/>
    <n v="182.86590000000001"/>
    <n v="1219.1060000000002"/>
    <d v="2024-12-01T00:00:00"/>
    <s v="2024_2890_03948"/>
    <m/>
    <m/>
    <m/>
    <m/>
    <m/>
    <m/>
    <m/>
    <m/>
  </r>
  <r>
    <s v="SGS"/>
    <s v="Meizhou"/>
    <s v="Mahindra"/>
    <s v="M310"/>
    <s v="OEM"/>
    <x v="1"/>
    <s v="W2227AG"/>
    <s v="K"/>
    <s v="E2"/>
    <s v="Clear"/>
    <s v="Acoustic"/>
    <s v="BF012460"/>
    <s v="Y"/>
    <x v="0"/>
    <n v="0.27"/>
    <n v="111"/>
    <n v="20"/>
    <s v="N/A"/>
    <s v="N/A"/>
    <n v="0.8"/>
    <n v="200"/>
    <n v="700"/>
    <n v="500"/>
    <n v="210"/>
    <n v="200"/>
    <n v="820"/>
    <n v="620"/>
    <n v="90"/>
    <s v="N/A"/>
    <n v="91"/>
    <n v="1.0457000000000001"/>
    <m/>
    <n v="0.94498513513513527"/>
    <n v="1.0016842432432433"/>
    <n v="865.57840400000009"/>
    <n v="159.86010140562112"/>
    <n v="174.79468932847678"/>
    <n v="347.46661986789849"/>
    <n v="177"/>
    <n v="196.47"/>
    <n v="196.80090327000002"/>
    <n v="984.00451635000002"/>
    <d v="2024-06-01T00:00:00"/>
    <s v="2024_2704_03762"/>
    <s v="W2227AG KE2 CLEAR r111x0175 CB1P"/>
    <m/>
    <m/>
    <m/>
    <m/>
    <m/>
    <m/>
    <m/>
  </r>
  <r>
    <s v="SGS"/>
    <s v="Meizhou"/>
    <s v="Mahindra"/>
    <s v="M310"/>
    <s v="OEM"/>
    <x v="1"/>
    <s v="W2227AI"/>
    <s v="K"/>
    <s v="E2"/>
    <s v="Clear"/>
    <s v="Acoustic"/>
    <s v="BF012551"/>
    <s v="Y"/>
    <x v="0"/>
    <n v="0.27"/>
    <n v="109"/>
    <n v="15"/>
    <s v="N/A"/>
    <s v="N/A"/>
    <n v="0.8"/>
    <n v="200"/>
    <n v="700"/>
    <n v="500"/>
    <n v="240"/>
    <n v="200"/>
    <n v="820"/>
    <n v="620"/>
    <n v="120"/>
    <s v="N/A"/>
    <n v="94"/>
    <n v="1.0538000000000001"/>
    <m/>
    <n v="0.94436330275229363"/>
    <n v="1.0010251009174314"/>
    <n v="865.57840400000009"/>
    <n v="158.6313418484134"/>
    <n v="173.45113553880071"/>
    <n v="344.79582880609365"/>
    <n v="173"/>
    <n v="188.57"/>
    <n v="188.76330328000003"/>
    <n v="1258.4220218666669"/>
    <d v="2024-09-01T00:00:00"/>
    <s v="2024_2789_03847"/>
    <s v="W2227AI KE2 CLEAR r109x0173 CB1P"/>
    <m/>
    <m/>
    <m/>
    <m/>
    <m/>
    <m/>
    <m/>
  </r>
  <r>
    <s v="SGS"/>
    <s v="Meizhou"/>
    <s v="Mahindra"/>
    <m/>
    <s v="OEM"/>
    <x v="0"/>
    <s v="W2216AE"/>
    <s v="K"/>
    <s v="E2"/>
    <s v="Clear"/>
    <s v="Acoustic"/>
    <m/>
    <s v="Y"/>
    <x v="0"/>
    <n v="0.16"/>
    <n v="105"/>
    <n v="20"/>
    <s v="N/A"/>
    <s v="N/A"/>
    <n v="0.8"/>
    <n v="250"/>
    <n v="650"/>
    <n v="400"/>
    <n v="200"/>
    <n v="250"/>
    <n v="650"/>
    <n v="400"/>
    <n v="200"/>
    <s v="N/A"/>
    <n v="85"/>
    <n v="0.93600000000000005"/>
    <m/>
    <n v="0.88095238095238104"/>
    <n v="0.93380952380952387"/>
    <n v="858.41683200000011"/>
    <n v="178.59584192292525"/>
    <n v="195.28077631494463"/>
    <n v="388.19000469643316"/>
    <n v="195"/>
    <n v="204.75"/>
    <n v="191.19750000000002"/>
    <n v="955.98750000000007"/>
    <d v="2024-12-01T00:00:00"/>
    <s v="2024_2890_03948"/>
    <m/>
    <m/>
    <m/>
    <m/>
    <m/>
    <m/>
    <m/>
    <m/>
  </r>
  <r>
    <s v="SGS"/>
    <s v="Meizhou"/>
    <s v="Mahindra"/>
    <s v="M610"/>
    <s v="OEM"/>
    <x v="1"/>
    <s v="W2216AB"/>
    <s v="K"/>
    <s v="E2"/>
    <s v="Clear"/>
    <s v="Acoustic"/>
    <s v="BF012461"/>
    <s v="Y"/>
    <x v="0"/>
    <n v="0.16"/>
    <n v="111"/>
    <n v="20"/>
    <s v="N/A"/>
    <s v="N/A"/>
    <n v="0.8"/>
    <n v="250"/>
    <n v="650"/>
    <n v="400"/>
    <n v="260"/>
    <n v="250"/>
    <n v="650"/>
    <n v="400"/>
    <n v="260"/>
    <s v="N/A"/>
    <n v="91"/>
    <n v="0.9456"/>
    <m/>
    <n v="0.88591711711711718"/>
    <n v="0.93907214414414419"/>
    <n v="858.41683200000011"/>
    <n v="176.78268616736256"/>
    <n v="193.29823036250863"/>
    <n v="384.24898942032729"/>
    <n v="195"/>
    <n v="216.45"/>
    <n v="203.2621656"/>
    <n v="1016.310828"/>
    <d v="2024-06-01T00:00:00"/>
    <s v="2024_2704_03762"/>
    <s v="W2216AB KE2 CLEAR r111x0193 CB1P"/>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6">
  <r>
    <x v="0"/>
    <s v="Aichi"/>
    <m/>
    <m/>
    <s v="OEM"/>
    <x v="0"/>
    <s v="W2227AEH"/>
    <s v="L"/>
    <s v="R"/>
    <s v="Clear"/>
    <x v="0"/>
    <s v="BF012338"/>
    <s v="Y"/>
    <x v="0"/>
    <n v="0.27"/>
    <n v="109"/>
    <n v="30"/>
    <s v="N/A"/>
  </r>
  <r>
    <x v="0"/>
    <s v="Aichi"/>
    <s v="Mitsubishi"/>
    <m/>
    <s v="OEM"/>
    <x v="0"/>
    <s v="W2251ALH"/>
    <s v="L"/>
    <s v="R"/>
    <s v="Clear"/>
    <x v="0"/>
    <m/>
    <s v="Y"/>
    <x v="0"/>
    <n v="0.51"/>
    <n v="109"/>
    <n v="20"/>
    <s v="N/A"/>
  </r>
  <r>
    <x v="0"/>
    <s v="Aichi"/>
    <s v="Mitsubishi"/>
    <m/>
    <s v="OEM"/>
    <x v="0"/>
    <s v="W2251AMH"/>
    <s v="L"/>
    <s v="R"/>
    <s v="Clear"/>
    <x v="0"/>
    <m/>
    <s v="Y"/>
    <x v="0"/>
    <n v="0.51"/>
    <n v="108"/>
    <n v="20"/>
    <s v="N/A"/>
  </r>
  <r>
    <x v="0"/>
    <s v="Brazil"/>
    <s v="Great Wall"/>
    <s v="Haval"/>
    <s v="ARG"/>
    <x v="0"/>
    <s v="W5062AA"/>
    <s v="D"/>
    <s v="R3"/>
    <s v="Clear"/>
    <x v="1"/>
    <s v="BF011484"/>
    <m/>
    <x v="1"/>
    <n v="0.62"/>
    <n v="100"/>
    <n v="30"/>
    <s v="N/A"/>
  </r>
  <r>
    <x v="0"/>
    <s v="Brazil"/>
    <s v="Great Wall"/>
    <s v="Haval"/>
    <s v="ARG"/>
    <x v="0"/>
    <s v="W2262AE"/>
    <s v="K"/>
    <s v="E2"/>
    <s v="Clear"/>
    <x v="0"/>
    <s v="BF011445"/>
    <s v="Y"/>
    <x v="0"/>
    <n v="0.62"/>
    <n v="100"/>
    <n v="30"/>
    <s v="N/A"/>
  </r>
  <r>
    <x v="0"/>
    <s v="Chuderice"/>
    <s v="BMW"/>
    <s v="3-series (F30)"/>
    <s v="ARG"/>
    <x v="0"/>
    <s v="W2045AB"/>
    <s v="K"/>
    <s v="E2"/>
    <s v="Clear"/>
    <x v="1"/>
    <s v="BF010777"/>
    <s v="Y"/>
    <x v="2"/>
    <n v="0.45"/>
    <n v="92"/>
    <n v="25"/>
    <s v="N/A"/>
  </r>
  <r>
    <x v="0"/>
    <s v="Chuderice"/>
    <s v="BMW"/>
    <s v="3-series (G50), 5-series (G60, 2023-)"/>
    <s v="OEM"/>
    <x v="0"/>
    <s v="W2218AB"/>
    <s v="K"/>
    <s v="E2"/>
    <s v="Clear"/>
    <x v="0"/>
    <s v="BF012221"/>
    <s v="Y"/>
    <x v="2"/>
    <n v="0.18"/>
    <n v="100"/>
    <n v="20"/>
    <s v="N/A"/>
  </r>
  <r>
    <x v="0"/>
    <s v="Chuderice"/>
    <s v="BMW"/>
    <s v="5-series (G60, 2023-)"/>
    <s v="OEM"/>
    <x v="0"/>
    <s v="W2227AL"/>
    <s v="K"/>
    <s v="E2"/>
    <s v="Clear"/>
    <x v="0"/>
    <s v="BF012858"/>
    <s v="Y"/>
    <x v="2"/>
    <n v="0.27"/>
    <n v="98"/>
    <n v="27"/>
    <s v="N/A"/>
  </r>
  <r>
    <x v="0"/>
    <s v="Chuderice"/>
    <s v="BMW"/>
    <s v="5-series (G60, 2023-)"/>
    <s v="OEM"/>
    <x v="1"/>
    <s v="W2218AC"/>
    <s v="K"/>
    <s v="E2"/>
    <s v="Clear"/>
    <x v="0"/>
    <s v="BF012222"/>
    <s v="Y"/>
    <x v="2"/>
    <n v="0.18"/>
    <n v="100"/>
    <n v="20"/>
    <s v="N/A"/>
  </r>
  <r>
    <x v="0"/>
    <s v="Chuderice"/>
    <s v="BMW"/>
    <s v="i3 (NA0)"/>
    <s v="OEM"/>
    <x v="0"/>
    <s v="W2214AB"/>
    <s v="K"/>
    <s v="E2"/>
    <s v="Clear"/>
    <x v="0"/>
    <s v="BF012223"/>
    <s v="Y"/>
    <x v="2"/>
    <n v="0.14000000000000001"/>
    <n v="111"/>
    <n v="20"/>
    <s v="N/A"/>
  </r>
  <r>
    <x v="0"/>
    <s v="Chuderice"/>
    <s v="BMW"/>
    <s v="iX3 (NA5)"/>
    <s v="OEM"/>
    <x v="0"/>
    <s v="W2211AA"/>
    <s v="K"/>
    <s v="E2"/>
    <s v="Clear"/>
    <x v="0"/>
    <m/>
    <m/>
    <x v="2"/>
    <n v="0.11"/>
    <n v="113"/>
    <n v="29"/>
    <s v="N/A"/>
  </r>
  <r>
    <x v="0"/>
    <s v="Chuderice"/>
    <s v="BMW"/>
    <s v="iX4 (NA7)"/>
    <s v="OEM"/>
    <x v="0"/>
    <s v="W2235AH"/>
    <s v="K"/>
    <s v="E2"/>
    <s v="Clear"/>
    <x v="0"/>
    <s v="BF012773"/>
    <s v="Y"/>
    <x v="2"/>
    <n v="0.35"/>
    <n v="116"/>
    <n v="28"/>
    <s v="N/A"/>
  </r>
  <r>
    <x v="0"/>
    <s v="Chuderice"/>
    <s v="BMW"/>
    <s v="NA5 (2025 3-series electric sedan)"/>
    <s v="OEM"/>
    <x v="2"/>
    <s v="W2214AA"/>
    <s v="K"/>
    <s v="E2"/>
    <s v="Clear"/>
    <x v="0"/>
    <s v="BF011588 (CT1P), BF012379 (CT4P)"/>
    <s v="Y"/>
    <x v="2"/>
    <n v="0.14000000000000001"/>
    <n v="116"/>
    <n v="30"/>
    <s v="N/A"/>
  </r>
  <r>
    <x v="0"/>
    <s v="Chuderice"/>
    <s v="BMW"/>
    <s v="NA5 (2025 3-series electric sedan)"/>
    <s v="OEM"/>
    <x v="0"/>
    <s v="W2214AC"/>
    <s v="K"/>
    <s v="E2"/>
    <s v="Clear"/>
    <x v="0"/>
    <m/>
    <s v="Y"/>
    <x v="0"/>
    <n v="0.14000000000000001"/>
    <n v="116"/>
    <n v="29"/>
    <s v="N/A"/>
  </r>
  <r>
    <x v="0"/>
    <s v="Chuderice"/>
    <s v="BMW"/>
    <s v="NA5 (2025 3-series electric sedan)"/>
    <s v="OEM"/>
    <x v="1"/>
    <s v="W2219AD"/>
    <s v="K"/>
    <s v="E2"/>
    <s v="Clear"/>
    <x v="0"/>
    <s v="BF012134"/>
    <s v="Y"/>
    <x v="2"/>
    <n v="0.19"/>
    <n v="116"/>
    <n v="30"/>
    <s v="N/A"/>
  </r>
  <r>
    <x v="0"/>
    <s v="Chuderice"/>
    <s v="BMW"/>
    <s v="NA5 (2025 3-series electric sedan)"/>
    <s v="OEM"/>
    <x v="1"/>
    <s v="W2223AA"/>
    <s v="K"/>
    <s v="E2"/>
    <s v="Clear"/>
    <x v="0"/>
    <s v="BF012133"/>
    <s v="Y"/>
    <x v="2"/>
    <n v="0.23"/>
    <n v="116"/>
    <n v="30"/>
    <s v="N/A"/>
  </r>
  <r>
    <x v="0"/>
    <s v="Chuderice"/>
    <s v="BMW"/>
    <s v="NA5 (2025 3-series electric sedan)"/>
    <s v="OEM"/>
    <x v="1"/>
    <s v="W2227AD"/>
    <s v="K"/>
    <s v="E2"/>
    <s v="Clear"/>
    <x v="0"/>
    <s v="BF012135"/>
    <s v="Y"/>
    <x v="2"/>
    <n v="0.27"/>
    <n v="116"/>
    <n v="30"/>
    <s v="N/A"/>
  </r>
  <r>
    <x v="0"/>
    <s v="Chuderice"/>
    <s v="Mazda"/>
    <n v="3"/>
    <s v="ARG"/>
    <x v="0"/>
    <s v="W2245AA"/>
    <s v="K"/>
    <s v="E2"/>
    <s v="Clear"/>
    <x v="0"/>
    <s v="BF010776"/>
    <s v="Y"/>
    <x v="2"/>
    <n v="0.45"/>
    <n v="104"/>
    <n v="27"/>
    <s v="N/A"/>
  </r>
  <r>
    <x v="0"/>
    <s v="Chuderice"/>
    <s v="Mercedes"/>
    <s v="B-Class (W247)"/>
    <s v="OEM"/>
    <x v="2"/>
    <s v="W2239AC"/>
    <s v="K"/>
    <s v="E2"/>
    <s v="Clear"/>
    <x v="0"/>
    <s v="BF009649"/>
    <s v="Y"/>
    <x v="2"/>
    <n v="0.39"/>
    <n v="108"/>
    <n v="25"/>
    <s v="N/A"/>
  </r>
  <r>
    <x v="0"/>
    <s v="Chuderice"/>
    <s v="Mercedes"/>
    <s v="B-Class (W247)"/>
    <s v="OEM"/>
    <x v="0"/>
    <s v="W2239AG"/>
    <s v="K"/>
    <s v="E2"/>
    <s v="Clear"/>
    <x v="0"/>
    <m/>
    <s v="Y"/>
    <x v="0"/>
    <n v="0.39"/>
    <n v="108"/>
    <n v="24"/>
    <s v="N/A"/>
  </r>
  <r>
    <x v="0"/>
    <s v="Chuderice"/>
    <s v="Mercedes"/>
    <s v="C-Class (W206)"/>
    <s v="ARG"/>
    <x v="1"/>
    <s v="W2264AB"/>
    <s v="K"/>
    <s v="E2"/>
    <s v="Clear"/>
    <x v="0"/>
    <s v="BF009565"/>
    <s v="Y"/>
    <x v="2"/>
    <n v="0.64"/>
    <n v="100"/>
    <n v="30"/>
    <s v="N/A"/>
  </r>
  <r>
    <x v="0"/>
    <s v="Chuderice"/>
    <s v="Mercedes"/>
    <s v="C-Class (W520)"/>
    <s v="OEM"/>
    <x v="0"/>
    <s v="W2219AB"/>
    <s v="K"/>
    <s v="E2"/>
    <s v="Clear"/>
    <x v="0"/>
    <s v="BF012100"/>
    <s v="Y"/>
    <x v="2"/>
    <n v="0.19"/>
    <n v="105"/>
    <n v="30"/>
    <s v="N/A"/>
  </r>
  <r>
    <x v="0"/>
    <s v="Chuderice"/>
    <s v="Mercedes"/>
    <s v="C-Class (W520)"/>
    <s v="OEM"/>
    <x v="0"/>
    <s v="W2219AF"/>
    <s v="K"/>
    <s v="E2"/>
    <s v="Clear"/>
    <x v="0"/>
    <s v="tbd"/>
    <s v="Y"/>
    <x v="2"/>
    <n v="0.19"/>
    <n v="113"/>
    <n v="30"/>
    <s v="N/A"/>
  </r>
  <r>
    <x v="0"/>
    <s v="Chuderice"/>
    <s v="Mercedes"/>
    <s v="C-Class (W520)"/>
    <s v="OEM"/>
    <x v="1"/>
    <s v="W2209AA"/>
    <s v="K"/>
    <s v="E2"/>
    <s v="Clear"/>
    <x v="0"/>
    <s v="BF011829"/>
    <s v="Y"/>
    <x v="2"/>
    <n v="0.09"/>
    <n v="110"/>
    <n v="30"/>
    <s v="N/A"/>
  </r>
  <r>
    <x v="0"/>
    <s v="Chuderice"/>
    <s v="Mercedes"/>
    <s v="GLC (X254)"/>
    <s v="OEM"/>
    <x v="1"/>
    <s v="W2220"/>
    <s v="K"/>
    <s v="E2"/>
    <s v="Clear"/>
    <x v="0"/>
    <s v="BF008708, BF008535"/>
    <s v="Y"/>
    <x v="2"/>
    <n v="0.2"/>
    <n v="97"/>
    <n v="27"/>
    <s v="N/A"/>
  </r>
  <r>
    <x v="0"/>
    <s v="Chuderice"/>
    <s v="Mercedes"/>
    <s v="GLC (X254)"/>
    <s v="OEM"/>
    <x v="1"/>
    <s v="W2230"/>
    <s v="K"/>
    <s v="E2"/>
    <s v="Clear"/>
    <x v="0"/>
    <s v="BF008709, BF008710"/>
    <s v="Y"/>
    <x v="2"/>
    <n v="0.3"/>
    <n v="88"/>
    <n v="18"/>
    <s v="N/A"/>
  </r>
  <r>
    <x v="0"/>
    <s v="Chuderice"/>
    <s v="Renault"/>
    <s v="Kadjar (HHN)"/>
    <s v="OEM"/>
    <x v="2"/>
    <s v="W2239AB"/>
    <s v="K"/>
    <s v="E2"/>
    <s v="Clear"/>
    <x v="0"/>
    <s v="BF009475 (L8), ________"/>
    <s v="Y"/>
    <x v="3"/>
    <n v="0.39"/>
    <n v="115"/>
    <n v="35"/>
    <s v="N/A"/>
  </r>
  <r>
    <x v="0"/>
    <s v="Chuderice"/>
    <s v="Renault"/>
    <s v="Kadjar (HHN)"/>
    <s v="OEM"/>
    <x v="1"/>
    <s v="W2239AA"/>
    <s v="K"/>
    <s v="E2"/>
    <s v="Clear"/>
    <x v="0"/>
    <s v="BF009228, BF009229"/>
    <s v="Y"/>
    <x v="2"/>
    <n v="0.39"/>
    <n v="110"/>
    <n v="30"/>
    <s v="N/A"/>
  </r>
  <r>
    <x v="0"/>
    <s v="Foshang"/>
    <s v="BYD"/>
    <s v="BAO 7"/>
    <s v="OEM"/>
    <x v="0"/>
    <s v="W2236AF"/>
    <s v="L"/>
    <s v="E2"/>
    <s v="Clear"/>
    <x v="0"/>
    <m/>
    <m/>
    <x v="0"/>
    <n v="0.36"/>
    <n v="115"/>
    <n v="30"/>
    <s v="N/A"/>
  </r>
  <r>
    <x v="0"/>
    <s v="Kentucky"/>
    <s v="?"/>
    <s v="? (A2LL)"/>
    <m/>
    <x v="0"/>
    <s v="W2244AK"/>
    <s v="K"/>
    <s v="E2"/>
    <s v="Clear"/>
    <x v="0"/>
    <s v="BF011809"/>
    <s v="Y"/>
    <x v="0"/>
    <n v="0.44"/>
    <n v="97"/>
    <n v="30"/>
    <s v="N/A"/>
  </r>
  <r>
    <x v="0"/>
    <s v="Kentucky"/>
    <s v="Buick"/>
    <s v="Park Ave (GC10)"/>
    <s v="ARG"/>
    <x v="2"/>
    <s v="W5149"/>
    <s v="B"/>
    <s v="R4"/>
    <s v="Blue"/>
    <x v="1"/>
    <s v="BF005525"/>
    <s v="N"/>
    <x v="1"/>
    <n v="0.49"/>
    <n v="104"/>
    <n v="38"/>
    <n v="20"/>
  </r>
  <r>
    <x v="0"/>
    <s v="Kentucky"/>
    <s v="Cadillac"/>
    <s v="XLR"/>
    <s v="ARG"/>
    <x v="1"/>
    <s v="W5142"/>
    <s v="B"/>
    <s v="R3"/>
    <s v="Blue"/>
    <x v="1"/>
    <s v="BF008672"/>
    <s v="N"/>
    <x v="1"/>
    <n v="0.42"/>
    <n v="104"/>
    <n v="37"/>
    <n v="17"/>
  </r>
  <r>
    <x v="0"/>
    <s v="Kentucky"/>
    <s v="Chevrolet"/>
    <s v="C5 Corvette (GY15)"/>
    <s v="ARG"/>
    <x v="2"/>
    <s v="W5124"/>
    <s v="B"/>
    <s v="R2"/>
    <s v="Blue"/>
    <x v="1"/>
    <s v="BF005571"/>
    <s v="N"/>
    <x v="1"/>
    <n v="0.24"/>
    <n v="111"/>
    <n v="37"/>
    <n v="25"/>
  </r>
  <r>
    <x v="0"/>
    <s v="Kentucky"/>
    <s v="Chevrolet"/>
    <s v="C6 Corvette (2005-2013)"/>
    <s v="ARG"/>
    <x v="2"/>
    <s v="W5121"/>
    <s v="B"/>
    <s v="R3"/>
    <s v="Blue"/>
    <x v="1"/>
    <s v="BF005522"/>
    <s v="N"/>
    <x v="1"/>
    <n v="0.21"/>
    <n v="108"/>
    <n v="37"/>
    <n v="17"/>
  </r>
  <r>
    <x v="0"/>
    <s v="Mexico"/>
    <s v="Mercedes"/>
    <s v="GLC"/>
    <s v="OEM"/>
    <x v="1"/>
    <s v="W2260AI"/>
    <s v="L"/>
    <s v="R"/>
    <s v="Clear"/>
    <x v="0"/>
    <s v="BF011948"/>
    <s v="Y"/>
    <x v="0"/>
    <n v="0.6"/>
    <n v="93"/>
    <n v="29"/>
    <s v="N/A"/>
  </r>
  <r>
    <x v="0"/>
    <s v="Mexico"/>
    <s v="Mercedes"/>
    <s v="GLC"/>
    <s v="OEM"/>
    <x v="0"/>
    <s v="W2263AC"/>
    <s v="L"/>
    <s v="R"/>
    <s v="Clear"/>
    <x v="0"/>
    <m/>
    <s v="Y"/>
    <x v="2"/>
    <n v="0.63"/>
    <n v="93"/>
    <n v="29"/>
    <s v="N/A"/>
  </r>
  <r>
    <x v="0"/>
    <s v="NordGlass"/>
    <s v="Skoda"/>
    <s v="Octavia"/>
    <s v="ARG"/>
    <x v="0"/>
    <s v="W2255AC"/>
    <s v="L"/>
    <s v="R &amp; E2"/>
    <s v="Clear"/>
    <x v="0"/>
    <s v="BF012206 (LR), BF012207 (LE2)"/>
    <s v="Y"/>
    <x v="2"/>
    <n v="0.55000000000000004"/>
    <n v="100"/>
    <n v="20"/>
    <s v="N/A"/>
  </r>
  <r>
    <x v="0"/>
    <s v="NordGlass"/>
    <s v="BMW"/>
    <s v="5-series"/>
    <s v="ARG"/>
    <x v="1"/>
    <s v="W1030AA"/>
    <s v="L"/>
    <s v="R"/>
    <s v="Clear"/>
    <x v="1"/>
    <s v="BF009154, BF009155"/>
    <s v="Y"/>
    <x v="2"/>
    <n v="0.3"/>
    <n v="98"/>
    <n v="30"/>
    <s v="N/A"/>
  </r>
  <r>
    <x v="0"/>
    <s v="NordGlass"/>
    <s v="Opel"/>
    <s v="Insignia"/>
    <s v="ARG"/>
    <x v="1"/>
    <s v="W1235"/>
    <s v="L"/>
    <s v="E2"/>
    <s v="Clear"/>
    <x v="0"/>
    <s v="BF007396"/>
    <s v="Y"/>
    <x v="2"/>
    <n v="0.35"/>
    <n v="102"/>
    <n v="32"/>
    <s v="N/A"/>
  </r>
  <r>
    <x v="0"/>
    <s v="NordGlass"/>
    <s v="Opel"/>
    <s v="Insignia"/>
    <s v="ARG"/>
    <x v="1"/>
    <s v="W1241AA"/>
    <s v="L"/>
    <s v="E2"/>
    <s v="Clear"/>
    <x v="0"/>
    <s v="BF007395, BF007652"/>
    <s v="Y"/>
    <x v="2"/>
    <n v="0.41"/>
    <n v="102"/>
    <n v="32"/>
    <s v="N/A"/>
  </r>
  <r>
    <x v="0"/>
    <s v="NordGlass"/>
    <s v="Opel"/>
    <s v="Insignia"/>
    <s v="ARG"/>
    <x v="1"/>
    <s v="W1247"/>
    <s v="L"/>
    <s v="E2"/>
    <s v="Clear"/>
    <x v="0"/>
    <s v="BF007397, BF007654"/>
    <s v="Y"/>
    <x v="2"/>
    <n v="0.47"/>
    <n v="102"/>
    <n v="32"/>
    <s v="N/A"/>
  </r>
  <r>
    <x v="0"/>
    <s v="HQ - Suzhou"/>
    <s v="BMW"/>
    <s v="G68 2027"/>
    <s v="OEM"/>
    <x v="0"/>
    <s v="W2228AH"/>
    <s v="L"/>
    <s v="E2"/>
    <s v="Clear"/>
    <x v="0"/>
    <s v="BF012981"/>
    <s v="Y"/>
    <x v="0"/>
    <n v="0.28000000000000003"/>
    <n v="98"/>
    <n v="15"/>
    <s v="N/A"/>
  </r>
  <r>
    <x v="0"/>
    <s v="Qinhuangdao"/>
    <s v="BMW"/>
    <s v="NA0 2027"/>
    <s v="OEM"/>
    <x v="0"/>
    <s v="W2214AD"/>
    <s v="L"/>
    <s v="E2"/>
    <s v="Clear"/>
    <x v="0"/>
    <m/>
    <s v="Y"/>
    <x v="0"/>
    <n v="0.14000000000000001"/>
    <n v="111"/>
    <n v="22"/>
    <s v="N/A"/>
  </r>
  <r>
    <x v="0"/>
    <s v="Qinhuangdao"/>
    <s v="?"/>
    <s v="?"/>
    <s v="N/A"/>
    <x v="0"/>
    <s v="W2218AD"/>
    <s v="L"/>
    <s v="E2"/>
    <s v="Clear"/>
    <x v="0"/>
    <m/>
    <m/>
    <x v="0"/>
    <n v="0.18"/>
    <n v="115"/>
    <n v="27"/>
    <s v="N/A"/>
  </r>
  <r>
    <x v="0"/>
    <s v="Qinhuangdao"/>
    <s v="?"/>
    <s v="?"/>
    <s v="N/A"/>
    <x v="0"/>
    <s v="W2224AD"/>
    <s v="L"/>
    <s v="E2"/>
    <s v="Clear"/>
    <x v="0"/>
    <m/>
    <s v="Y"/>
    <x v="0"/>
    <n v="0.24"/>
    <n v="105"/>
    <n v="17"/>
    <s v="N/A"/>
  </r>
  <r>
    <x v="0"/>
    <s v="Qinhuangdao"/>
    <s v="BYD"/>
    <s v="SVHA"/>
    <s v="OEM"/>
    <x v="0"/>
    <s v="W2233AC"/>
    <s v="L"/>
    <s v="E2"/>
    <s v="Clear"/>
    <x v="0"/>
    <m/>
    <s v="Y"/>
    <x v="0"/>
    <n v="0.33"/>
    <n v="103"/>
    <n v="30"/>
    <s v="N/A"/>
  </r>
  <r>
    <x v="0"/>
    <s v="Qinhuangdao"/>
    <s v="Geely"/>
    <s v="SV"/>
    <s v="OEM"/>
    <x v="0"/>
    <s v="W2233AK"/>
    <s v="L"/>
    <s v="E2"/>
    <s v="Clear"/>
    <x v="0"/>
    <m/>
    <s v="Y"/>
    <x v="0"/>
    <n v="0.33"/>
    <n v="113"/>
    <n v="25"/>
    <s v="N/A"/>
  </r>
  <r>
    <x v="0"/>
    <s v="Qinhuangdao"/>
    <s v="?"/>
    <s v="?"/>
    <s v="?"/>
    <x v="0"/>
    <s v="W2239AEH"/>
    <s v="L"/>
    <s v="E2"/>
    <s v="Clear"/>
    <x v="0"/>
    <s v="BF012347"/>
    <s v="Y"/>
    <x v="0"/>
    <n v="0.39"/>
    <n v="113"/>
    <n v="30"/>
    <s v="N/A"/>
  </r>
  <r>
    <x v="1"/>
    <s v="Germany R&amp;D"/>
    <s v="None"/>
    <s v="None"/>
    <s v="N/A"/>
    <x v="1"/>
    <s v="W2252AA"/>
    <s v="K"/>
    <s v="E2"/>
    <s v="Clear"/>
    <x v="0"/>
    <s v="BF009418"/>
    <s v="Y"/>
    <x v="2"/>
    <n v="0.52"/>
    <n v="115"/>
    <n v="30"/>
    <s v="N/A"/>
  </r>
  <r>
    <x v="1"/>
    <s v="Ghent R&amp;D"/>
    <s v="None"/>
    <s v="None"/>
    <s v="N/A"/>
    <x v="1"/>
    <s v="W2250"/>
    <s v="K"/>
    <s v="E2"/>
    <s v="Clear"/>
    <x v="0"/>
    <s v="BF008712"/>
    <s v="Y"/>
    <x v="2"/>
    <n v="0.5"/>
    <n v="120"/>
    <n v="30"/>
    <s v="N/A"/>
  </r>
  <r>
    <x v="1"/>
    <s v="Peru"/>
    <s v="Canoo"/>
    <s v="Lifestyle"/>
    <s v="OEM"/>
    <x v="1"/>
    <s v="W2264AC"/>
    <s v="L"/>
    <s v="E2"/>
    <s v="Clear"/>
    <x v="0"/>
    <s v="BF009974"/>
    <s v="Y"/>
    <x v="0"/>
    <n v="0.64"/>
    <n v="130"/>
    <n v="30"/>
    <s v="N/A"/>
  </r>
  <r>
    <x v="1"/>
    <s v="Peru"/>
    <s v="Lucid"/>
    <s v="Air"/>
    <s v="OEM"/>
    <x v="0"/>
    <s v="W5025AC"/>
    <s v="F"/>
    <s v="R3"/>
    <s v="Clear"/>
    <x v="1"/>
    <s v="BF011862"/>
    <s v="N"/>
    <x v="4"/>
    <n v="0.25"/>
    <n v="181"/>
    <n v="68"/>
    <s v="N/A"/>
  </r>
  <r>
    <x v="1"/>
    <s v="Peru"/>
    <s v="Lucid"/>
    <s v="Air"/>
    <s v="OEM"/>
    <x v="1"/>
    <s v="W2225AA"/>
    <s v="L"/>
    <s v="E2"/>
    <s v="Clear"/>
    <x v="0"/>
    <s v="BF011511"/>
    <s v="Y"/>
    <x v="0"/>
    <n v="0.25"/>
    <n v="194"/>
    <n v="86"/>
    <s v="N/A"/>
  </r>
  <r>
    <x v="1"/>
    <s v="Peru"/>
    <s v="Tesla"/>
    <s v="Model X"/>
    <s v="OEM"/>
    <x v="1"/>
    <s v="W1260AA"/>
    <s v="L"/>
    <s v="R"/>
    <s v="Clear"/>
    <x v="0"/>
    <s v="BF009010, BF009033"/>
    <s v="Not at the start, but yes for last campaigns"/>
    <x v="0"/>
    <n v="0.6"/>
    <n v="183"/>
    <n v="65"/>
    <s v="N/A"/>
  </r>
  <r>
    <x v="1"/>
    <s v="Peru"/>
    <s v="Lucid"/>
    <s v="Air"/>
    <s v="OEM"/>
    <x v="1"/>
    <s v="W5025AA"/>
    <s v="F"/>
    <s v="R3"/>
    <s v="Clear"/>
    <x v="1"/>
    <s v="BF011510"/>
    <s v="N"/>
    <x v="4"/>
    <n v="0.25"/>
    <n v="194"/>
    <n v="86"/>
    <s v="N/A"/>
  </r>
  <r>
    <x v="1"/>
    <s v="Peru"/>
    <s v="Tesla"/>
    <s v="Model X"/>
    <s v="ARG"/>
    <x v="2"/>
    <s v="W5060"/>
    <s v="F"/>
    <s v="R3"/>
    <s v="Clear"/>
    <x v="1"/>
    <s v="BF006923"/>
    <s v="N"/>
    <x v="4"/>
    <n v="0.6"/>
    <n v="183"/>
    <n v="65"/>
    <s v="N/A"/>
  </r>
  <r>
    <x v="1"/>
    <s v="Peru"/>
    <s v="Tesla"/>
    <s v="Model X"/>
    <s v="OEM"/>
    <x v="2"/>
    <s v="W2260AA"/>
    <s v="L"/>
    <s v="E2"/>
    <s v="Clear"/>
    <x v="0"/>
    <s v="BF009011, BF009034 (50m), __ (refrig)"/>
    <s v="Y"/>
    <x v="0"/>
    <n v="0.6"/>
    <n v="183"/>
    <n v="65"/>
    <s v="N/A"/>
  </r>
  <r>
    <x v="2"/>
    <s v="Chennai"/>
    <m/>
    <m/>
    <s v="OEM"/>
    <x v="0"/>
    <s v="W2237AH"/>
    <s v="K"/>
    <s v="E2"/>
    <s v="Clear"/>
    <x v="0"/>
    <s v="BF012882"/>
    <s v="Y"/>
    <x v="0"/>
    <n v="0.37"/>
    <n v="110"/>
    <n v="30"/>
    <s v="N/A"/>
  </r>
  <r>
    <x v="2"/>
    <s v="Chennai"/>
    <m/>
    <m/>
    <s v="OEM"/>
    <x v="0"/>
    <s v="W2228AF"/>
    <s v="K"/>
    <s v="E2"/>
    <s v="Clear"/>
    <x v="0"/>
    <s v="BF012884"/>
    <s v="Y"/>
    <x v="0"/>
    <n v="0.28000000000000003"/>
    <n v="107"/>
    <n v="30"/>
    <s v="N/A"/>
  </r>
  <r>
    <x v="3"/>
    <s v="Grevenmacher"/>
    <s v="Audi"/>
    <s v="A6C8"/>
    <s v="OEM"/>
    <x v="1"/>
    <s v="W1244"/>
    <s v="L"/>
    <s v="E2"/>
    <s v="Clear"/>
    <x v="0"/>
    <s v="BF007886"/>
    <s v="Y"/>
    <x v="2"/>
    <n v="0.44"/>
    <n v="99"/>
    <n v="34"/>
    <s v="N/A"/>
  </r>
  <r>
    <x v="3"/>
    <s v="Grevenmacher"/>
    <s v="Audi"/>
    <s v="A6C8"/>
    <s v="OEM"/>
    <x v="1"/>
    <s v="W2244"/>
    <s v="K"/>
    <s v="E2"/>
    <s v="Clear"/>
    <x v="0"/>
    <s v="BF008312, BF008706"/>
    <s v="Y"/>
    <x v="2"/>
    <n v="0.44"/>
    <n v="99"/>
    <n v="33"/>
    <s v="N/A"/>
  </r>
  <r>
    <x v="3"/>
    <s v="Grevenmacher"/>
    <s v="Audi"/>
    <s v="A6C8"/>
    <s v="OEM"/>
    <x v="1"/>
    <s v="W2244AB"/>
    <s v="K"/>
    <s v="R"/>
    <s v="Clear"/>
    <x v="0"/>
    <s v="BF009864"/>
    <s v="Y"/>
    <x v="2"/>
    <n v="0.44"/>
    <n v="99"/>
    <n v="28"/>
    <s v="N/A"/>
  </r>
  <r>
    <x v="3"/>
    <s v="Ligonier"/>
    <s v="Jeep"/>
    <s v="Grand Cherokee (WL)"/>
    <s v="OEM"/>
    <x v="0"/>
    <s v="W2262AA"/>
    <s v="L"/>
    <s v="R"/>
    <s v="Clear"/>
    <x v="0"/>
    <s v="BF010966"/>
    <s v="Y"/>
    <x v="2"/>
    <n v="0.62"/>
    <n v="99"/>
    <n v="28"/>
    <s v="N/A"/>
  </r>
  <r>
    <x v="3"/>
    <s v="Ligonier"/>
    <s v="Jeep"/>
    <s v="Wagoneer (WS)"/>
    <s v="OEM"/>
    <x v="1"/>
    <s v="W2272AA"/>
    <s v="L"/>
    <s v="R"/>
    <s v="Clear"/>
    <x v="0"/>
    <s v="BF010967"/>
    <s v="Y"/>
    <x v="2"/>
    <n v="0.72"/>
    <n v="99"/>
    <n v="30"/>
    <s v="N/A"/>
  </r>
  <r>
    <x v="4"/>
    <s v="Egypt"/>
    <s v="Jeep"/>
    <s v="Grand Cherokee (W4)"/>
    <s v="OEM"/>
    <x v="0"/>
    <s v="W2264AJ"/>
    <s v="L"/>
    <s v="E2"/>
    <s v="Clear"/>
    <x v="0"/>
    <s v="tbd"/>
    <s v="Y"/>
    <x v="2"/>
    <n v="0.64"/>
    <n v="100"/>
    <n v="27"/>
    <s v="N/A"/>
  </r>
  <r>
    <x v="4"/>
    <s v="Egypt"/>
    <s v="n/a"/>
    <s v="n/a"/>
    <s v="N/A"/>
    <x v="0"/>
    <s v="W2268AE"/>
    <s v="L"/>
    <s v="E2"/>
    <s v="Clear"/>
    <x v="0"/>
    <s v="tbd"/>
    <s v="Y"/>
    <x v="2"/>
    <n v="0.68"/>
    <n v="100"/>
    <n v="27"/>
    <s v="N/A"/>
  </r>
  <r>
    <x v="5"/>
    <s v="America"/>
    <s v="BMW"/>
    <s v="X5 / X7"/>
    <s v="OEM"/>
    <x v="0"/>
    <s v="W2229AL"/>
    <s v="K"/>
    <s v="E2"/>
    <s v="Clear"/>
    <x v="0"/>
    <s v="tbd"/>
    <s v="Y"/>
    <x v="0"/>
    <n v="0.28999999999999998"/>
    <n v="110"/>
    <n v="30"/>
    <s v="N/A"/>
  </r>
  <r>
    <x v="5"/>
    <s v="America"/>
    <s v="Chevrolet"/>
    <s v="Silverado 1500"/>
    <s v="ARG"/>
    <x v="0"/>
    <s v="W2251AA"/>
    <s v="K"/>
    <s v="E2"/>
    <s v="Clear"/>
    <x v="0"/>
    <s v="BF010856 (4 roll), BF010894 (1 roll), BF012113 (2 roll)"/>
    <s v="Y"/>
    <x v="2"/>
    <n v="0.51"/>
    <n v="109"/>
    <n v="30"/>
    <s v="N/A"/>
  </r>
  <r>
    <x v="5"/>
    <s v="America"/>
    <s v="Chevrolet"/>
    <s v="Silverado 1500"/>
    <s v="ARG"/>
    <x v="0"/>
    <s v="W2253AC"/>
    <s v="K"/>
    <s v="E2"/>
    <s v="Clear"/>
    <x v="0"/>
    <s v="BF012431"/>
    <s v="Y"/>
    <x v="2"/>
    <n v="0.53"/>
    <n v="109"/>
    <n v="30"/>
    <s v="N/A"/>
  </r>
  <r>
    <x v="5"/>
    <s v="Changchun"/>
    <s v="Audi"/>
    <s v="EQ5L"/>
    <s v="OEM"/>
    <x v="0"/>
    <s v="W2227AM"/>
    <s v="L"/>
    <s v="E2"/>
    <s v="Clear"/>
    <x v="0"/>
    <s v="tbd"/>
    <s v="Y"/>
    <x v="0"/>
    <n v="0.27"/>
    <n v="98"/>
    <n v="5"/>
    <s v="N/A"/>
  </r>
  <r>
    <x v="5"/>
    <s v="Changchun"/>
    <s v="Audi"/>
    <s v="EQ5L"/>
    <s v="OEM"/>
    <x v="0"/>
    <s v="W2227AOT"/>
    <s v="L"/>
    <s v="E2"/>
    <s v="Clear"/>
    <x v="0"/>
    <m/>
    <s v="Y"/>
    <x v="0"/>
    <n v="0.27"/>
    <n v="108"/>
    <n v="10"/>
    <s v="N/A"/>
  </r>
  <r>
    <x v="5"/>
    <s v="Changchun"/>
    <s v="Audi"/>
    <s v="EQ6L"/>
    <s v="OEM"/>
    <x v="0"/>
    <s v="W2227AN"/>
    <s v="L"/>
    <s v="E2"/>
    <s v="Clear"/>
    <x v="0"/>
    <s v="tbd"/>
    <s v="Y"/>
    <x v="0"/>
    <n v="0.27"/>
    <n v="103"/>
    <n v="5"/>
    <s v="N/A"/>
  </r>
  <r>
    <x v="5"/>
    <s v="Changchun"/>
    <s v="Audi"/>
    <s v="EQ6L"/>
    <s v="OEM"/>
    <x v="0"/>
    <s v="W2227APT"/>
    <s v="L"/>
    <s v="E2"/>
    <s v="Clear"/>
    <x v="0"/>
    <m/>
    <s v="Y"/>
    <x v="0"/>
    <n v="0.27"/>
    <n v="112"/>
    <n v="10"/>
    <s v="N/A"/>
  </r>
  <r>
    <x v="5"/>
    <s v="Changchun"/>
    <s v="Ben Teng"/>
    <s v="D511"/>
    <s v="OEM"/>
    <x v="1"/>
    <s v="W2270AA"/>
    <s v="L"/>
    <s v="E2"/>
    <s v="Clear"/>
    <x v="0"/>
    <s v="BF011450"/>
    <s v="Y"/>
    <x v="0"/>
    <n v="0.7"/>
    <n v="102"/>
    <n v="30"/>
    <s v="N/A"/>
  </r>
  <r>
    <x v="5"/>
    <s v="Changchun"/>
    <s v="Hongqi"/>
    <s v="C095"/>
    <s v="OEM"/>
    <x v="1"/>
    <s v="W2246AC"/>
    <s v="L"/>
    <s v="E2"/>
    <s v="Clear"/>
    <x v="0"/>
    <s v="BF011636"/>
    <s v="Y"/>
    <x v="0"/>
    <n v="0.46"/>
    <n v="130"/>
    <n v="30"/>
    <s v="N/A"/>
  </r>
  <r>
    <x v="5"/>
    <s v="Changchun"/>
    <s v="Hongqi"/>
    <s v="C100"/>
    <s v="OEM"/>
    <x v="1"/>
    <s v="W2250AJ"/>
    <s v="L"/>
    <s v="E2"/>
    <s v="Clear"/>
    <x v="0"/>
    <s v="BF011638"/>
    <s v="Y"/>
    <x v="0"/>
    <n v="0.5"/>
    <n v="98"/>
    <n v="30"/>
    <s v="N/A"/>
  </r>
  <r>
    <x v="5"/>
    <s v="Changchun"/>
    <s v="Hongqi"/>
    <s v="C100"/>
    <s v="OEM"/>
    <x v="1"/>
    <s v="W2254AD"/>
    <s v="L"/>
    <s v="E2"/>
    <s v="Clear"/>
    <x v="0"/>
    <s v="BF011639"/>
    <s v="Y"/>
    <x v="0"/>
    <n v="0.54"/>
    <n v="100"/>
    <n v="30"/>
    <s v="N/A"/>
  </r>
  <r>
    <x v="5"/>
    <s v="Changchun"/>
    <s v="Hongqi"/>
    <s v="C100"/>
    <s v="OEM"/>
    <x v="0"/>
    <s v="W2262AB from SYPKA passed validation"/>
    <m/>
    <m/>
    <m/>
    <x v="0"/>
    <s v="Copy"/>
    <s v="Y"/>
    <x v="0"/>
    <m/>
    <m/>
    <m/>
    <m/>
  </r>
  <r>
    <x v="5"/>
    <s v="Changchun"/>
    <s v="Hongqi"/>
    <s v="C206"/>
    <s v="OEM"/>
    <x v="1"/>
    <s v="W2220AA"/>
    <s v="L"/>
    <s v="E2"/>
    <s v="Clear"/>
    <x v="0"/>
    <s v="BF011633"/>
    <s v="Y"/>
    <x v="0"/>
    <n v="0.2"/>
    <n v="106"/>
    <n v="30"/>
    <s v="N/A"/>
  </r>
  <r>
    <x v="5"/>
    <s v="Changchun"/>
    <s v="Hongqi"/>
    <s v="HS5"/>
    <s v="OEM"/>
    <x v="1"/>
    <s v="W2254AE"/>
    <s v="L"/>
    <s v="E2"/>
    <s v="Clear"/>
    <x v="0"/>
    <s v="BF011707"/>
    <s v="Y"/>
    <x v="0"/>
    <n v="0.54"/>
    <n v="105"/>
    <n v="30"/>
    <s v="N/A"/>
  </r>
  <r>
    <x v="5"/>
    <s v="Changchun"/>
    <s v="Hongqi"/>
    <s v="HS5"/>
    <s v="OEM"/>
    <x v="2"/>
    <s v="W5054AA"/>
    <s v="L"/>
    <s v="E2"/>
    <s v="Clear"/>
    <x v="1"/>
    <s v="BF011706 (CB1P), BF011875 (CB4P)"/>
    <m/>
    <x v="1"/>
    <n v="0.54"/>
    <n v="105"/>
    <n v="30"/>
    <s v="N/A"/>
  </r>
  <r>
    <x v="5"/>
    <s v="Changchun"/>
    <s v="Hongqi"/>
    <s v="HS5"/>
    <s v="OEM"/>
    <x v="1"/>
    <s v="W2258AA"/>
    <s v="L"/>
    <s v="E2"/>
    <s v="Clear"/>
    <x v="0"/>
    <s v="BF011211"/>
    <s v="Y"/>
    <x v="0"/>
    <n v="0.57999999999999996"/>
    <n v="103"/>
    <n v="30"/>
    <s v="N/A"/>
  </r>
  <r>
    <x v="5"/>
    <s v="Changchun"/>
    <s v="Hongqi"/>
    <s v="HS5"/>
    <s v="OEM"/>
    <x v="1"/>
    <s v="W5058AA"/>
    <s v="F"/>
    <s v="R3"/>
    <s v="Clear"/>
    <x v="1"/>
    <s v="BF011212"/>
    <m/>
    <x v="1"/>
    <n v="0.57999999999999996"/>
    <n v="103"/>
    <n v="30"/>
    <s v="N/A"/>
  </r>
  <r>
    <x v="5"/>
    <s v="Changchun"/>
    <s v="Hongqi"/>
    <s v="HS5"/>
    <s v="OEM"/>
    <x v="1"/>
    <s v="W5060AB"/>
    <s v="F"/>
    <s v="R3"/>
    <s v="Clear"/>
    <x v="1"/>
    <s v="BF011649"/>
    <m/>
    <x v="1"/>
    <n v="0.6"/>
    <n v="103"/>
    <n v="30"/>
    <s v="N/A"/>
  </r>
  <r>
    <x v="5"/>
    <s v="Changchun"/>
    <s v="Hongqi"/>
    <s v="HS5"/>
    <s v="OEM"/>
    <x v="1"/>
    <s v="W5068AA"/>
    <s v="F"/>
    <s v="R3"/>
    <s v="Clear"/>
    <x v="1"/>
    <s v="BF011550"/>
    <m/>
    <x v="1"/>
    <n v="0.68"/>
    <n v="100"/>
    <n v="30"/>
    <s v="N/A"/>
  </r>
  <r>
    <x v="5"/>
    <s v="Changchun"/>
    <s v="VW"/>
    <s v="416-3"/>
    <s v="OEM"/>
    <x v="1"/>
    <s v="W2258AC"/>
    <s v="L"/>
    <s v="E2"/>
    <s v="Clear"/>
    <x v="0"/>
    <s v="BF011640"/>
    <s v="Y"/>
    <x v="0"/>
    <n v="0.57999999999999996"/>
    <n v="105"/>
    <n v="30"/>
    <s v="N/A"/>
  </r>
  <r>
    <x v="5"/>
    <s v="Changchun"/>
    <s v="VW"/>
    <s v="Magotan B9"/>
    <s v="OEM"/>
    <x v="2"/>
    <s v="W2251AJT"/>
    <s v="L"/>
    <s v="E2"/>
    <s v="Clear"/>
    <x v="0"/>
    <s v="BF012515 (CB1P), BF012707 (CB4P)"/>
    <s v="Y"/>
    <x v="0"/>
    <n v="0.51"/>
    <n v="94"/>
    <n v="25"/>
    <s v="N/A"/>
  </r>
  <r>
    <x v="5"/>
    <s v="Changchun"/>
    <s v="VW"/>
    <s v="Magotan B9"/>
    <s v="OEM"/>
    <x v="0"/>
    <s v="W2254AI"/>
    <s v="L"/>
    <s v="E2"/>
    <s v="Clear"/>
    <x v="0"/>
    <s v="BF012516 (CB1P), BF012708 (CB4P)"/>
    <s v="Y"/>
    <x v="0"/>
    <n v="0.54"/>
    <n v="94"/>
    <n v="25"/>
    <s v="N/A"/>
  </r>
  <r>
    <x v="5"/>
    <s v="Chongqing"/>
    <s v="BAG"/>
    <s v="C385"/>
    <s v="OEM"/>
    <x v="1"/>
    <s v="W5017AA"/>
    <s v="F"/>
    <s v="R3"/>
    <s v="Clear"/>
    <x v="1"/>
    <s v="BF011581"/>
    <m/>
    <x v="1"/>
    <n v="0.17"/>
    <n v="110"/>
    <n v="30"/>
    <s v="N/A"/>
  </r>
  <r>
    <x v="5"/>
    <s v="Chongqing"/>
    <s v="BAG"/>
    <s v="C385"/>
    <s v="OEM"/>
    <x v="1"/>
    <s v="W5020AB"/>
    <s v="F"/>
    <s v="R3"/>
    <s v="Clear"/>
    <x v="1"/>
    <s v="BF011855"/>
    <m/>
    <x v="1"/>
    <n v="0.2"/>
    <n v="108"/>
    <n v="30"/>
    <s v="N/A"/>
  </r>
  <r>
    <x v="5"/>
    <s v="Chongqing"/>
    <s v="BYD"/>
    <s v="HC"/>
    <s v="OEM"/>
    <x v="1"/>
    <s v="W2233ADT"/>
    <s v="L"/>
    <s v="E2"/>
    <s v="Clear"/>
    <x v="0"/>
    <s v="BF011854"/>
    <s v="Y"/>
    <x v="0"/>
    <n v="0.33"/>
    <n v="112"/>
    <n v="30"/>
    <s v="N/A"/>
  </r>
  <r>
    <x v="5"/>
    <s v="Chongqing"/>
    <m/>
    <m/>
    <s v="N/A"/>
    <x v="0"/>
    <s v="W2222AGT"/>
    <s v="L"/>
    <s v="E2"/>
    <s v="Clear"/>
    <x v="0"/>
    <m/>
    <m/>
    <x v="0"/>
    <n v="0.22"/>
    <n v="112"/>
    <n v="30"/>
    <s v="N/A"/>
  </r>
  <r>
    <x v="5"/>
    <s v="Chongqing"/>
    <s v="BYD"/>
    <s v="HC"/>
    <s v="OEM"/>
    <x v="0"/>
    <s v="W2232AHT"/>
    <s v="L"/>
    <s v="E2"/>
    <s v="Clear"/>
    <x v="0"/>
    <s v="Copy"/>
    <m/>
    <x v="0"/>
    <m/>
    <m/>
    <m/>
    <m/>
  </r>
  <r>
    <x v="5"/>
    <s v="Chongqing"/>
    <s v="BYD"/>
    <s v="HC2"/>
    <s v="OEM"/>
    <x v="0"/>
    <s v="W2233AFT"/>
    <s v="L"/>
    <s v="E2"/>
    <s v="Clear"/>
    <x v="0"/>
    <s v="Copy"/>
    <m/>
    <x v="0"/>
    <m/>
    <m/>
    <m/>
    <m/>
  </r>
  <r>
    <x v="5"/>
    <s v="Chongqing"/>
    <s v="Tesla"/>
    <s v="Model X"/>
    <s v="OEM"/>
    <x v="2"/>
    <s v="W2260AA"/>
    <s v="L"/>
    <s v="E2"/>
    <s v="Clear"/>
    <x v="0"/>
    <s v="Copy"/>
    <s v="Y"/>
    <x v="0"/>
    <m/>
    <s v="See AGP Peru section for product design (original design)"/>
    <m/>
    <m/>
  </r>
  <r>
    <x v="5"/>
    <s v="Chongqing"/>
    <s v="Chang An"/>
    <s v="C390"/>
    <s v="OEM"/>
    <x v="0"/>
    <s v="W5025AE"/>
    <s v="F"/>
    <s v="R3"/>
    <s v="Clear"/>
    <x v="1"/>
    <s v="tbd"/>
    <s v="Y"/>
    <x v="1"/>
    <n v="0.25"/>
    <n v="115"/>
    <n v="27"/>
    <s v="N/A"/>
  </r>
  <r>
    <x v="5"/>
    <s v="Chongqing"/>
    <s v="Chang An"/>
    <s v="C390"/>
    <s v="OEM"/>
    <x v="0"/>
    <s v="W5027AD"/>
    <s v="F"/>
    <s v="R3"/>
    <s v="Clear"/>
    <x v="1"/>
    <s v="tbd"/>
    <s v="Y"/>
    <x v="1"/>
    <n v="0.27"/>
    <n v="115"/>
    <n v="27"/>
    <s v="N/A"/>
  </r>
  <r>
    <x v="5"/>
    <s v="Chongqing"/>
    <s v="Chang An"/>
    <s v="C518"/>
    <s v="OEM"/>
    <x v="0"/>
    <s v="W5027AC"/>
    <s v="F"/>
    <s v="R3"/>
    <s v="Clear"/>
    <x v="1"/>
    <s v="tbd"/>
    <s v="Y"/>
    <x v="1"/>
    <n v="0.27"/>
    <n v="107"/>
    <n v="24"/>
    <s v="N/A"/>
  </r>
  <r>
    <x v="5"/>
    <s v="Chongqing"/>
    <s v="Chang An"/>
    <s v="C518"/>
    <s v="OEM"/>
    <x v="0"/>
    <s v="W5029AB"/>
    <s v="F"/>
    <s v="R3"/>
    <s v="Clear"/>
    <x v="1"/>
    <s v="tbd"/>
    <s v="Y"/>
    <x v="1"/>
    <n v="0.28999999999999998"/>
    <n v="107"/>
    <n v="24"/>
    <s v="N/A"/>
  </r>
  <r>
    <x v="5"/>
    <s v="Chongqing"/>
    <s v="Chang An"/>
    <s v="C857"/>
    <s v="OEM"/>
    <x v="0"/>
    <s v="W5026AAT"/>
    <s v="F"/>
    <s v="R3"/>
    <s v="Clear"/>
    <x v="1"/>
    <m/>
    <s v="Y"/>
    <x v="1"/>
    <n v="0.26"/>
    <n v="104"/>
    <n v="20"/>
    <s v="N/A"/>
  </r>
  <r>
    <x v="5"/>
    <s v="Chongqing"/>
    <s v="Chang An"/>
    <s v="C857"/>
    <s v="OEM"/>
    <x v="0"/>
    <s v="W5026ABT"/>
    <s v="F"/>
    <s v="R3"/>
    <s v="Clear"/>
    <x v="1"/>
    <m/>
    <s v="Y"/>
    <x v="0"/>
    <n v="0.26"/>
    <n v="102"/>
    <n v="19"/>
    <s v="N/A"/>
  </r>
  <r>
    <x v="5"/>
    <s v="Chongqing"/>
    <s v="Chang An"/>
    <s v="CD701"/>
    <s v="OEM"/>
    <x v="0"/>
    <s v="W5025AB"/>
    <s v="F"/>
    <s v="R3"/>
    <s v="Clear"/>
    <x v="1"/>
    <s v="BF011852"/>
    <m/>
    <x v="1"/>
    <n v="0.25"/>
    <n v="130"/>
    <n v="30"/>
    <s v="N/A"/>
  </r>
  <r>
    <x v="5"/>
    <s v="Chongqing"/>
    <s v="Chang An"/>
    <s v="E15"/>
    <s v="OEM"/>
    <x v="0"/>
    <s v="W2240AX"/>
    <s v="L"/>
    <s v="E2"/>
    <s v="Clear"/>
    <x v="1"/>
    <m/>
    <m/>
    <x v="0"/>
    <n v="0.4"/>
    <n v="119"/>
    <n v="15"/>
    <s v="N/A"/>
  </r>
  <r>
    <x v="5"/>
    <s v="Chongqing"/>
    <s v="Chang An"/>
    <s v="E16-1"/>
    <s v="OEM"/>
    <x v="0"/>
    <s v="W5023AC"/>
    <s v="F"/>
    <s v="R3"/>
    <s v="Clear"/>
    <x v="1"/>
    <m/>
    <m/>
    <x v="1"/>
    <n v="0.23"/>
    <n v="115"/>
    <n v="10"/>
    <s v="N/A"/>
  </r>
  <r>
    <x v="5"/>
    <s v="Chongqing"/>
    <s v="Chang An"/>
    <s v="Shen Lan SL03 (C385)"/>
    <s v="OEM"/>
    <x v="1"/>
    <s v="W5027AB"/>
    <s v="F"/>
    <s v="R3"/>
    <s v="Clear"/>
    <x v="1"/>
    <s v="BF012400"/>
    <m/>
    <x v="1"/>
    <n v="0.27"/>
    <n v="104"/>
    <n v="20"/>
    <s v="N/A"/>
  </r>
  <r>
    <x v="5"/>
    <s v="Chongqing"/>
    <s v="Chang An"/>
    <s v="Shen Lan SL03 (C385)"/>
    <s v="OEM"/>
    <x v="0"/>
    <s v="W5028AB"/>
    <s v="F"/>
    <s v="R3"/>
    <s v="Clear"/>
    <x v="1"/>
    <s v="BF012514, BF012812"/>
    <m/>
    <x v="1"/>
    <n v="0.28000000000000003"/>
    <n v="104"/>
    <n v="15"/>
    <s v="N/A"/>
  </r>
  <r>
    <x v="5"/>
    <s v="Chongqing"/>
    <s v="Chang An"/>
    <s v="Shen Lan SL03 (C385)"/>
    <s v="OEM"/>
    <x v="1"/>
    <s v="W5028AA"/>
    <s v="F"/>
    <s v="R3"/>
    <s v="Clear"/>
    <x v="1"/>
    <s v="BF012125"/>
    <m/>
    <x v="1"/>
    <n v="0.28000000000000003"/>
    <n v="104"/>
    <n v="30"/>
    <s v="N/A"/>
  </r>
  <r>
    <x v="5"/>
    <s v="Chongqing"/>
    <s v="Geely"/>
    <s v="BX1E"/>
    <s v="OEM"/>
    <x v="1"/>
    <s v="W5022AA"/>
    <s v="F"/>
    <s v="R3"/>
    <s v="Clear"/>
    <x v="1"/>
    <s v="BF011582"/>
    <m/>
    <x v="1"/>
    <n v="0.22"/>
    <n v="115"/>
    <n v="30"/>
    <s v="N/A"/>
  </r>
  <r>
    <x v="5"/>
    <s v="Chongqing"/>
    <s v="Geely"/>
    <s v="BX1E"/>
    <s v="OEM"/>
    <x v="2"/>
    <s v="W5025AD"/>
    <s v="F"/>
    <s v="R3"/>
    <s v="Clear"/>
    <x v="1"/>
    <s v="BF011904"/>
    <m/>
    <x v="1"/>
    <n v="0.25"/>
    <n v="112"/>
    <n v="30"/>
    <s v="N/A"/>
  </r>
  <r>
    <x v="5"/>
    <s v="Chongqing"/>
    <s v="?"/>
    <s v="?"/>
    <s v="OEM"/>
    <x v="0"/>
    <s v="W5071AA"/>
    <s v="F"/>
    <s v="R3"/>
    <s v="Clear"/>
    <x v="1"/>
    <m/>
    <m/>
    <x v="1"/>
    <n v="0.71"/>
    <n v="107"/>
    <n v="30"/>
    <s v="N/A"/>
  </r>
  <r>
    <x v="5"/>
    <s v="Chongqing"/>
    <s v="Seres (Hua Wei)"/>
    <s v="F1, X1"/>
    <s v="OEM"/>
    <x v="1"/>
    <s v="W2262AD"/>
    <s v="L"/>
    <s v="E2"/>
    <s v="Clear"/>
    <x v="0"/>
    <s v="BF011449"/>
    <s v="Y"/>
    <x v="0"/>
    <n v="0.62"/>
    <n v="103"/>
    <n v="30"/>
    <s v="N/A"/>
  </r>
  <r>
    <x v="5"/>
    <s v="Chongqing"/>
    <s v="Seres (Hua Wei)"/>
    <s v="F1, X1"/>
    <s v="OEM"/>
    <x v="0"/>
    <s v="W2264AGT"/>
    <s v="L"/>
    <s v="E2"/>
    <s v="Clear"/>
    <x v="0"/>
    <s v="BF011668"/>
    <s v="Y"/>
    <x v="0"/>
    <n v="0.64"/>
    <n v="103"/>
    <n v="30"/>
    <s v="N/A"/>
  </r>
  <r>
    <x v="5"/>
    <s v="Chongqing"/>
    <m/>
    <m/>
    <s v="OEM"/>
    <x v="0"/>
    <s v="W5031AA"/>
    <s v="F"/>
    <s v="R3"/>
    <s v="Clear"/>
    <x v="1"/>
    <s v="BF011914"/>
    <m/>
    <x v="1"/>
    <n v="0.31"/>
    <n v="124"/>
    <n v="30"/>
    <s v="N/A"/>
  </r>
  <r>
    <x v="5"/>
    <s v="Fuqing (Fuzhou)"/>
    <s v="GM"/>
    <s v="E2ZO"/>
    <s v="ARG"/>
    <x v="1"/>
    <s v="W2247AA"/>
    <s v="L"/>
    <s v="E2"/>
    <s v="Clear"/>
    <x v="0"/>
    <s v="BF009410"/>
    <s v="Y"/>
    <x v="2"/>
    <n v="0.47"/>
    <n v="110"/>
    <n v="30"/>
    <s v="N/A"/>
  </r>
  <r>
    <x v="5"/>
    <s v="Fuqing (Fuzhou)"/>
    <s v="Various"/>
    <s v="Various"/>
    <s v="ARG"/>
    <x v="1"/>
    <s v="W2220ABT"/>
    <s v="L"/>
    <s v="E2"/>
    <s v="Clear"/>
    <x v="0"/>
    <s v="BF011669"/>
    <s v="Y"/>
    <x v="0"/>
    <n v="0.2"/>
    <n v="120"/>
    <n v="30"/>
    <s v="N/A"/>
  </r>
  <r>
    <x v="5"/>
    <s v="Fuqing (Fuzhou)"/>
    <s v="Various"/>
    <s v="Various"/>
    <s v="ARG"/>
    <x v="1"/>
    <s v="W2230AAT"/>
    <s v="L"/>
    <s v="E2"/>
    <s v="Clear"/>
    <x v="0"/>
    <s v="BF011670"/>
    <s v="Y"/>
    <x v="0"/>
    <n v="0.3"/>
    <n v="120"/>
    <n v="30"/>
    <s v="N/A"/>
  </r>
  <r>
    <x v="5"/>
    <s v="Fuqing (Fuzhou)"/>
    <s v="Various"/>
    <s v="Various"/>
    <s v="ARG"/>
    <x v="1"/>
    <s v="W2235ABT"/>
    <s v="L"/>
    <s v="E2"/>
    <s v="Clear"/>
    <x v="0"/>
    <s v="BF011671"/>
    <s v="Y"/>
    <x v="0"/>
    <n v="0.35"/>
    <n v="99"/>
    <n v="30"/>
    <s v="N/A"/>
  </r>
  <r>
    <x v="5"/>
    <s v="Fuqing (Fuzhou)"/>
    <s v="Various"/>
    <s v="Various"/>
    <s v="ARG"/>
    <x v="1"/>
    <s v="W2235ACT"/>
    <s v="L"/>
    <s v="E2"/>
    <s v="Clear"/>
    <x v="0"/>
    <s v="BF011672"/>
    <s v="Y"/>
    <x v="0"/>
    <n v="0.35"/>
    <n v="120"/>
    <n v="30"/>
    <s v="N/A"/>
  </r>
  <r>
    <x v="5"/>
    <s v="Fuqing (Fuzhou)"/>
    <s v="Various"/>
    <s v="Various"/>
    <s v="ARG"/>
    <x v="1"/>
    <s v="W2240AIT"/>
    <s v="L"/>
    <s v="E2"/>
    <s v="Clear"/>
    <x v="0"/>
    <s v="BF011673"/>
    <s v="Y"/>
    <x v="0"/>
    <n v="0.4"/>
    <n v="85"/>
    <n v="20"/>
    <s v="N/A"/>
  </r>
  <r>
    <x v="5"/>
    <s v="Fuqing (Fuzhou)"/>
    <s v="Various"/>
    <s v="Various"/>
    <s v="ARG"/>
    <x v="1"/>
    <s v="W2240AJT"/>
    <s v="L"/>
    <s v="E2"/>
    <s v="Clear"/>
    <x v="0"/>
    <s v="BF011674"/>
    <s v="Y"/>
    <x v="0"/>
    <n v="0.4"/>
    <n v="99"/>
    <n v="30"/>
    <s v="N/A"/>
  </r>
  <r>
    <x v="5"/>
    <s v="Fuqing (Fuzhou)"/>
    <s v="Various"/>
    <s v="Various"/>
    <s v="ARG"/>
    <x v="1"/>
    <s v="W2240ALT"/>
    <s v="L"/>
    <s v="E2"/>
    <s v="Clear"/>
    <x v="0"/>
    <s v="BF011676"/>
    <s v="Y"/>
    <x v="0"/>
    <n v="0.4"/>
    <n v="120"/>
    <n v="30"/>
    <s v="N/A"/>
  </r>
  <r>
    <x v="5"/>
    <s v="Fuqing (Fuzhou)"/>
    <s v="Various"/>
    <s v="Various"/>
    <s v="ARG"/>
    <x v="1"/>
    <s v="W2244AET"/>
    <s v="L"/>
    <s v="E2"/>
    <s v="Clear"/>
    <x v="0"/>
    <s v="BF011519"/>
    <s v="Y"/>
    <x v="0"/>
    <n v="0.44"/>
    <n v="99"/>
    <n v="30"/>
    <s v="N/A"/>
  </r>
  <r>
    <x v="5"/>
    <s v="Fuqing (Fuzhou)"/>
    <s v="Various"/>
    <s v="Various"/>
    <s v="ARG"/>
    <x v="0"/>
    <s v="W2244AL"/>
    <s v="L"/>
    <s v="E2"/>
    <s v="Clear"/>
    <x v="0"/>
    <s v="BF012313"/>
    <s v="Y"/>
    <x v="0"/>
    <n v="0.44"/>
    <n v="99"/>
    <n v="25"/>
    <s v="N/A"/>
  </r>
  <r>
    <x v="5"/>
    <s v="Fuqing (Fuzhou)"/>
    <s v="Various"/>
    <s v="Various"/>
    <s v="ARG"/>
    <x v="1"/>
    <s v="W2244AFT"/>
    <s v="L"/>
    <s v="E2"/>
    <s v="Clear"/>
    <x v="0"/>
    <s v="BF011520"/>
    <s v="Y"/>
    <x v="0"/>
    <n v="0.44"/>
    <n v="106"/>
    <n v="30"/>
    <s v="N/A"/>
  </r>
  <r>
    <x v="5"/>
    <s v="Fuqing (Fuzhou)"/>
    <s v="Various"/>
    <s v="Various"/>
    <s v="ARG"/>
    <x v="1"/>
    <s v="W2244AGT"/>
    <s v="L"/>
    <s v="E2"/>
    <s v="Clear"/>
    <x v="0"/>
    <s v="BF011677"/>
    <s v="Y"/>
    <x v="0"/>
    <n v="0.44"/>
    <n v="91"/>
    <n v="25"/>
    <s v="N/A"/>
  </r>
  <r>
    <x v="5"/>
    <s v="Fuqing (Fuzhou)"/>
    <s v="Various"/>
    <s v="Various"/>
    <s v="ARG"/>
    <x v="1"/>
    <s v="W2244AHT"/>
    <s v="L"/>
    <s v="E2"/>
    <s v="Clear"/>
    <x v="0"/>
    <s v="BF011678"/>
    <s v="Y"/>
    <x v="0"/>
    <n v="0.44"/>
    <n v="115"/>
    <n v="30"/>
    <s v="N/A"/>
  </r>
  <r>
    <x v="5"/>
    <s v="Fuqing (Fuzhou)"/>
    <s v="Various"/>
    <s v="Various"/>
    <s v="ARG"/>
    <x v="1"/>
    <s v="W2244AC"/>
    <s v="L"/>
    <s v="E2"/>
    <s v="Clear"/>
    <x v="0"/>
    <s v="BF010674"/>
    <s v="Y"/>
    <x v="2"/>
    <n v="0.44"/>
    <n v="99"/>
    <n v="25"/>
    <s v="N/A"/>
  </r>
  <r>
    <x v="5"/>
    <s v="Fuqing (Fuzhou)"/>
    <s v="Various"/>
    <s v="Various"/>
    <s v="ARG"/>
    <x v="1"/>
    <s v="W2244AD"/>
    <s v="L"/>
    <s v="E2"/>
    <s v="Clear"/>
    <x v="0"/>
    <s v="BF011207"/>
    <s v="Y"/>
    <x v="2"/>
    <n v="0.44"/>
    <n v="106"/>
    <n v="30"/>
    <s v="N/A"/>
  </r>
  <r>
    <x v="5"/>
    <s v="Fuqing (Fuzhou)"/>
    <s v="Various"/>
    <s v="Various"/>
    <s v="ARG"/>
    <x v="1"/>
    <s v="W2248ADT"/>
    <s v="L"/>
    <s v="E2"/>
    <s v="Clear"/>
    <x v="0"/>
    <s v="BF011679"/>
    <s v="Y"/>
    <x v="0"/>
    <n v="0.48"/>
    <n v="100"/>
    <n v="30"/>
    <s v="N/A"/>
  </r>
  <r>
    <x v="5"/>
    <s v="Fuqing (Fuzhou)"/>
    <s v="Various"/>
    <s v="Various"/>
    <s v="ARG"/>
    <x v="1"/>
    <s v="W2252AHT"/>
    <s v="L"/>
    <s v="E2"/>
    <s v="Clear"/>
    <x v="0"/>
    <s v="BF011522"/>
    <s v="Y"/>
    <x v="0"/>
    <n v="0.52"/>
    <n v="90"/>
    <n v="30"/>
    <s v="N/A"/>
  </r>
  <r>
    <x v="5"/>
    <s v="Fuqing (Fuzhou)"/>
    <s v="Various"/>
    <s v="Various"/>
    <s v="ARG"/>
    <x v="1"/>
    <s v="W2252AIT"/>
    <s v="L"/>
    <s v="E2"/>
    <s v="Clear"/>
    <x v="0"/>
    <s v="BF011523"/>
    <s v="Y"/>
    <x v="0"/>
    <n v="0.52"/>
    <n v="100"/>
    <n v="30"/>
    <s v="N/A"/>
  </r>
  <r>
    <x v="5"/>
    <s v="Fuqing (Fuzhou)"/>
    <s v="Various"/>
    <s v="Various"/>
    <s v="ARG"/>
    <x v="0"/>
    <s v="W2252AR"/>
    <s v="L"/>
    <s v="E2"/>
    <s v="Clear"/>
    <x v="0"/>
    <s v="BF012314"/>
    <s v="Y"/>
    <x v="0"/>
    <n v="0.52"/>
    <n v="100"/>
    <n v="25"/>
    <s v="N/A"/>
  </r>
  <r>
    <x v="5"/>
    <s v="Fuqing (Fuzhou)"/>
    <s v="Various"/>
    <s v="Various"/>
    <s v="ARG"/>
    <x v="1"/>
    <s v="W2252AJT"/>
    <s v="L"/>
    <s v="E2"/>
    <s v="Clear"/>
    <x v="0"/>
    <s v="BF011524"/>
    <s v="Y"/>
    <x v="0"/>
    <n v="0.52"/>
    <n v="103"/>
    <n v="30"/>
    <s v="N/A"/>
  </r>
  <r>
    <x v="5"/>
    <s v="Fuqing (Fuzhou)"/>
    <s v="Various"/>
    <s v="Various"/>
    <s v="ARG"/>
    <x v="1"/>
    <s v="W2252AKT"/>
    <s v="L"/>
    <s v="E2"/>
    <s v="Clear"/>
    <x v="0"/>
    <s v="BF011525 (CB4P), BF012212 (CB1P)"/>
    <s v="Y"/>
    <x v="0"/>
    <n v="0.52"/>
    <n v="107"/>
    <n v="30"/>
    <s v="N/A"/>
  </r>
  <r>
    <x v="5"/>
    <s v="Fuqing (Fuzhou)"/>
    <s v="Various"/>
    <s v="Various"/>
    <s v="ARG"/>
    <x v="1"/>
    <s v="W2252AMT"/>
    <s v="L"/>
    <s v="E2"/>
    <s v="Clear"/>
    <x v="0"/>
    <s v="BF011680"/>
    <s v="Y"/>
    <x v="0"/>
    <n v="0.52"/>
    <n v="85"/>
    <n v="20"/>
    <s v="N/A"/>
  </r>
  <r>
    <x v="5"/>
    <s v="Fuqing (Fuzhou)"/>
    <s v="Various"/>
    <s v="Various"/>
    <s v="ARG"/>
    <x v="1"/>
    <s v="W2252AC"/>
    <s v="L"/>
    <s v="E2"/>
    <s v="Clear"/>
    <x v="0"/>
    <s v="BF010675"/>
    <s v="Y"/>
    <x v="2"/>
    <n v="0.52"/>
    <n v="100"/>
    <n v="25"/>
    <s v="N/A"/>
  </r>
  <r>
    <x v="5"/>
    <s v="Fuqing (Fuzhou)"/>
    <s v="Various"/>
    <s v="Various"/>
    <s v="ARG"/>
    <x v="1"/>
    <s v="W2252AD"/>
    <s v="L"/>
    <s v="E2"/>
    <s v="Clear"/>
    <x v="0"/>
    <s v="BF011208"/>
    <s v="Y"/>
    <x v="2"/>
    <n v="0.52"/>
    <n v="103"/>
    <n v="28"/>
    <s v="N/A"/>
  </r>
  <r>
    <x v="5"/>
    <s v="Fuqing (Fuzhou)"/>
    <s v="Various"/>
    <s v="Various"/>
    <s v="ARG"/>
    <x v="1"/>
    <s v="W2252AE"/>
    <s v="L"/>
    <s v="E2"/>
    <s v="Clear"/>
    <x v="0"/>
    <s v="BF011209"/>
    <s v="Y"/>
    <x v="2"/>
    <n v="0.52"/>
    <n v="107"/>
    <n v="30"/>
    <s v="N/A"/>
  </r>
  <r>
    <x v="5"/>
    <s v="Fuqing (Fuzhou)"/>
    <s v="Various"/>
    <s v="Various"/>
    <s v="ARG"/>
    <x v="1"/>
    <s v="W2259ABT"/>
    <s v="L"/>
    <s v="E2"/>
    <s v="Clear"/>
    <x v="0"/>
    <s v="BF011526"/>
    <s v="Y"/>
    <x v="0"/>
    <n v="0.59"/>
    <n v="91"/>
    <n v="30"/>
    <s v="N/A"/>
  </r>
  <r>
    <x v="5"/>
    <s v="Fuqing (Fuzhou)"/>
    <s v="Various"/>
    <s v="Various"/>
    <s v="ARG"/>
    <x v="1"/>
    <s v="W2259ACT"/>
    <s v="L"/>
    <s v="E2"/>
    <s v="Clear"/>
    <x v="0"/>
    <s v="BF011527"/>
    <s v="Y"/>
    <x v="0"/>
    <n v="0.59"/>
    <n v="115"/>
    <n v="30"/>
    <s v="N/A"/>
  </r>
  <r>
    <x v="5"/>
    <s v="Fuqing (Fuzhou)"/>
    <s v="Various"/>
    <s v="Various"/>
    <s v="ARG"/>
    <x v="1"/>
    <s v="W2259ADT"/>
    <s v="L"/>
    <s v="E2"/>
    <s v="Clear"/>
    <x v="0"/>
    <s v="BF011681"/>
    <s v="Y"/>
    <x v="0"/>
    <n v="0.59"/>
    <n v="85"/>
    <n v="20"/>
    <s v="N/A"/>
  </r>
  <r>
    <x v="5"/>
    <s v="Fuqing (Fuzhou)"/>
    <s v="Various"/>
    <s v="Various"/>
    <s v="ARG"/>
    <x v="1"/>
    <s v="W2259AET"/>
    <s v="L"/>
    <s v="E2"/>
    <s v="Clear"/>
    <x v="0"/>
    <s v="BF011682"/>
    <s v="Y"/>
    <x v="0"/>
    <n v="0.59"/>
    <n v="117"/>
    <n v="30"/>
    <s v="N/A"/>
  </r>
  <r>
    <x v="5"/>
    <s v="Fuqing (Fuzhou)"/>
    <s v="Various"/>
    <s v="Various"/>
    <s v="ARG"/>
    <x v="1"/>
    <s v="W2259AFT"/>
    <s v="L"/>
    <s v="E2"/>
    <s v="Clear"/>
    <x v="0"/>
    <s v="BF011806"/>
    <s v="Y"/>
    <x v="0"/>
    <n v="0.59"/>
    <n v="100"/>
    <n v="30"/>
    <s v="N/A"/>
  </r>
  <r>
    <x v="5"/>
    <s v="Fuqing (Fuzhou)"/>
    <s v="Various"/>
    <s v="Various"/>
    <s v="ARG"/>
    <x v="1"/>
    <s v="W2259AA"/>
    <s v="L"/>
    <s v="E2"/>
    <s v="Clear"/>
    <x v="0"/>
    <s v="BF010676, BF011316 (L9 50m)"/>
    <s v="Y"/>
    <x v="3"/>
    <n v="0.59"/>
    <n v="100"/>
    <n v="25"/>
    <s v="N/A"/>
  </r>
  <r>
    <x v="5"/>
    <s v="Fuqing (Fuzhou)"/>
    <s v="Various"/>
    <s v="Various"/>
    <s v="ARG"/>
    <x v="1"/>
    <s v="W2265AAT"/>
    <s v="L"/>
    <s v="E2"/>
    <s v="Clear"/>
    <x v="0"/>
    <s v="BF011528"/>
    <s v="Y"/>
    <x v="0"/>
    <n v="0.65"/>
    <n v="108"/>
    <n v="30"/>
    <s v="N/A"/>
  </r>
  <r>
    <x v="5"/>
    <s v="Fuqing (Fuzhou)"/>
    <s v="Various"/>
    <s v="Various"/>
    <s v="ARG"/>
    <x v="1"/>
    <s v="W2265ABT"/>
    <s v="L"/>
    <s v="E2"/>
    <s v="Clear"/>
    <x v="0"/>
    <s v="BF011683"/>
    <s v="Y"/>
    <x v="0"/>
    <n v="0.65"/>
    <n v="120"/>
    <n v="30"/>
    <s v="N/A"/>
  </r>
  <r>
    <x v="5"/>
    <s v="Fuqing (Fuzhou)"/>
    <s v="Various"/>
    <s v="Various"/>
    <s v="ARG"/>
    <x v="1"/>
    <s v="W2268AAT"/>
    <s v="L"/>
    <s v="E2"/>
    <s v="Clear"/>
    <x v="0"/>
    <s v="BF011529"/>
    <s v="Y"/>
    <x v="0"/>
    <n v="0.68"/>
    <n v="100"/>
    <n v="30"/>
    <s v="N/A"/>
  </r>
  <r>
    <x v="5"/>
    <s v="Fuqing (Fuzhou)"/>
    <s v="Various"/>
    <s v="Various"/>
    <s v="ARG"/>
    <x v="1"/>
    <s v="W2268AD"/>
    <s v="L"/>
    <s v="E2"/>
    <s v="Clear"/>
    <x v="0"/>
    <s v="BF012315"/>
    <s v="Y"/>
    <x v="0"/>
    <n v="0.68"/>
    <n v="100"/>
    <n v="25"/>
    <s v="N/A"/>
  </r>
  <r>
    <x v="5"/>
    <s v="Fuqing (Fuzhou)"/>
    <s v="Various"/>
    <s v="Various"/>
    <s v="ARG"/>
    <x v="1"/>
    <s v="W2268ABT"/>
    <s v="L"/>
    <s v="E2"/>
    <s v="Clear"/>
    <x v="0"/>
    <s v="BF011530"/>
    <s v="Y"/>
    <x v="0"/>
    <n v="0.68"/>
    <n v="115"/>
    <n v="30"/>
    <s v="N/A"/>
  </r>
  <r>
    <x v="5"/>
    <s v="Guangzhou"/>
    <s v="?"/>
    <s v="?"/>
    <m/>
    <x v="0"/>
    <s v="W5044AA"/>
    <s v="F"/>
    <s v="R3"/>
    <s v="Clear"/>
    <x v="1"/>
    <s v="BF011940"/>
    <m/>
    <x v="1"/>
    <n v="0.44"/>
    <n v="100"/>
    <n v="30"/>
    <s v="N/A"/>
  </r>
  <r>
    <x v="5"/>
    <s v="Guangzhou"/>
    <s v="BYD"/>
    <s v="ESEA"/>
    <s v="OEM"/>
    <x v="1"/>
    <s v="W2222AA"/>
    <s v="L"/>
    <s v="E2"/>
    <s v="Clear"/>
    <x v="0"/>
    <s v="BF011537"/>
    <s v="Y"/>
    <x v="0"/>
    <n v="0.22"/>
    <n v="115"/>
    <n v="30"/>
    <s v="N/A"/>
  </r>
  <r>
    <x v="5"/>
    <s v="Guangzhou"/>
    <s v="BYD"/>
    <s v="Han (HC2)"/>
    <s v="OEM"/>
    <x v="1"/>
    <s v="W2230AC"/>
    <s v="L"/>
    <s v="E2"/>
    <s v="Clear"/>
    <x v="0"/>
    <s v="BF012344"/>
    <s v="Y"/>
    <x v="0"/>
    <n v="0.3"/>
    <n v="115"/>
    <n v="25"/>
    <s v="N/A"/>
  </r>
  <r>
    <x v="5"/>
    <s v="Guangzhou"/>
    <s v="BYD"/>
    <s v="Han (HC2)"/>
    <s v="OEM"/>
    <x v="1"/>
    <s v="W2233AFT"/>
    <s v="L"/>
    <s v="E2"/>
    <s v="Clear"/>
    <x v="0"/>
    <s v="BF012171"/>
    <s v="Y"/>
    <x v="0"/>
    <n v="0.33"/>
    <n v="116"/>
    <n v="30"/>
    <s v="N/A"/>
  </r>
  <r>
    <x v="5"/>
    <s v="Guangzhou"/>
    <s v="BYD"/>
    <s v="Han (HC2)"/>
    <s v="OEM"/>
    <x v="2"/>
    <s v="W2232AHT"/>
    <s v="L"/>
    <s v="E2"/>
    <s v="Clear"/>
    <x v="0"/>
    <s v="BF012569 (CB4P), BF012730 (CB1P)"/>
    <s v="Y"/>
    <x v="0"/>
    <n v="0.32"/>
    <n v="116"/>
    <n v="30"/>
    <s v="N/A"/>
  </r>
  <r>
    <x v="5"/>
    <s v="Guangzhou"/>
    <s v="BYD"/>
    <s v="Han (HC2)"/>
    <s v="OEM"/>
    <x v="1"/>
    <s v="W2235AD"/>
    <s v="L"/>
    <s v="E2"/>
    <s v="Clear"/>
    <x v="0"/>
    <s v="BF012172"/>
    <s v="Y"/>
    <x v="0"/>
    <n v="0.35"/>
    <n v="116"/>
    <n v="30"/>
    <s v="N/A"/>
  </r>
  <r>
    <x v="5"/>
    <s v="Guangzhou"/>
    <s v="BYD"/>
    <s v="Han (HC2)"/>
    <s v="OEM"/>
    <x v="1"/>
    <s v="W2240AKT"/>
    <s v="L"/>
    <s v="E2"/>
    <s v="Clear"/>
    <x v="0"/>
    <s v="BF011675 (CB4P), BF012151 (CB1P)"/>
    <s v="Y"/>
    <x v="0"/>
    <n v="0.4"/>
    <n v="110"/>
    <n v="30"/>
    <s v="N/A"/>
  </r>
  <r>
    <x v="5"/>
    <s v="Guangzhou"/>
    <s v="BYD"/>
    <s v="SZ"/>
    <s v="OEM"/>
    <x v="0"/>
    <s v="W2223AB"/>
    <s v="L"/>
    <s v="E2"/>
    <s v="Clear"/>
    <x v="0"/>
    <s v="BF012152"/>
    <s v="Y"/>
    <x v="0"/>
    <n v="0.23"/>
    <n v="108"/>
    <n v="30"/>
    <s v="N/A"/>
  </r>
  <r>
    <x v="5"/>
    <s v="Guangzhou"/>
    <s v="GAC"/>
    <s v="A58"/>
    <s v="OEM"/>
    <x v="2"/>
    <s v="W5037AA"/>
    <s v="F"/>
    <s v="R3"/>
    <s v="Clear"/>
    <x v="1"/>
    <s v="BF011644, BF012813"/>
    <m/>
    <x v="1"/>
    <n v="0.37"/>
    <n v="107"/>
    <n v="30"/>
    <s v="N/A"/>
  </r>
  <r>
    <x v="5"/>
    <s v="Guangzhou"/>
    <s v="GAC"/>
    <s v="A58"/>
    <s v="OEM"/>
    <x v="0"/>
    <s v="W5039AA"/>
    <s v="F"/>
    <s v="R3"/>
    <s v="Clear"/>
    <x v="1"/>
    <s v="BF012859 (CB1P), ______ (CB4P)"/>
    <s v="Y"/>
    <x v="1"/>
    <n v="0.39"/>
    <n v="107"/>
    <n v="30"/>
    <s v="N/A"/>
  </r>
  <r>
    <x v="5"/>
    <s v="Guangzhou"/>
    <s v="GAC"/>
    <s v="A58"/>
    <s v="OEM"/>
    <x v="0"/>
    <s v="W2239AHT"/>
    <s v="L"/>
    <s v="E2"/>
    <s v="Clear"/>
    <x v="0"/>
    <s v="tbd"/>
    <s v="Y"/>
    <x v="0"/>
    <n v="0.39"/>
    <n v="108"/>
    <n v="30"/>
    <s v="N/A"/>
  </r>
  <r>
    <x v="5"/>
    <s v="Guangzhou"/>
    <s v="GAC"/>
    <s v="T60-M"/>
    <s v="OEM"/>
    <x v="0"/>
    <s v="W2228ADT"/>
    <s v="L"/>
    <s v="E2"/>
    <s v="Clear"/>
    <x v="0"/>
    <m/>
    <s v="Y"/>
    <x v="0"/>
    <n v="0.28000000000000003"/>
    <n v="110"/>
    <n v="30"/>
    <s v="N/A"/>
  </r>
  <r>
    <x v="5"/>
    <s v="Guangzhou"/>
    <s v="GAC"/>
    <s v="T60-M"/>
    <s v="OEM"/>
    <x v="0"/>
    <s v="W2236ADT"/>
    <s v="L"/>
    <s v="E2"/>
    <s v="Clear"/>
    <x v="0"/>
    <m/>
    <s v="Y"/>
    <x v="0"/>
    <n v="0.36"/>
    <n v="105"/>
    <n v="30"/>
    <s v="N/A"/>
  </r>
  <r>
    <x v="5"/>
    <s v="Guangzhou"/>
    <s v="GAC"/>
    <s v="T60-M"/>
    <s v="OEM"/>
    <x v="0"/>
    <s v="W2237AB"/>
    <s v="L"/>
    <s v="E2"/>
    <s v="Clear"/>
    <x v="0"/>
    <s v="BF011539"/>
    <s v="Y"/>
    <x v="0"/>
    <n v="0.37"/>
    <n v="107"/>
    <n v="30"/>
    <s v="N/A"/>
  </r>
  <r>
    <x v="5"/>
    <s v="Guangzhou"/>
    <s v="GAC"/>
    <s v="T9M"/>
    <s v="OEM"/>
    <x v="0"/>
    <s v="W2221AET"/>
    <s v="L"/>
    <s v="E2"/>
    <s v="Clear"/>
    <x v="0"/>
    <s v="BF012568"/>
    <s v="Y"/>
    <x v="0"/>
    <n v="0.21"/>
    <n v="131"/>
    <n v="25"/>
    <s v="N/A"/>
  </r>
  <r>
    <x v="5"/>
    <s v="Guangzhou"/>
    <s v="GAC"/>
    <s v="T9M"/>
    <s v="OEM"/>
    <x v="1"/>
    <s v="W2229AC"/>
    <s v="L"/>
    <s v="E2"/>
    <s v="Clear"/>
    <x v="0"/>
    <s v="BF012513"/>
    <s v="Y"/>
    <x v="0"/>
    <n v="0.28999999999999998"/>
    <n v="122"/>
    <n v="15"/>
    <s v="N/A"/>
  </r>
  <r>
    <x v="5"/>
    <s v="Guangzhou"/>
    <s v="Honda"/>
    <s v="2ZY"/>
    <s v="OEM"/>
    <x v="0"/>
    <s v="W2250AKT"/>
    <s v="L"/>
    <s v="E2"/>
    <s v="Clear"/>
    <x v="0"/>
    <s v="BF011701"/>
    <s v="Y"/>
    <x v="0"/>
    <n v="0.5"/>
    <n v="102"/>
    <n v="30"/>
    <s v="N/A"/>
  </r>
  <r>
    <x v="5"/>
    <s v="Guangzhou"/>
    <s v="Honda"/>
    <s v="2ZY"/>
    <s v="OEM"/>
    <x v="1"/>
    <s v="W2250AI"/>
    <s v="L"/>
    <s v="E2"/>
    <s v="Clear"/>
    <x v="0"/>
    <s v="BF011544"/>
    <s v="Y"/>
    <x v="0"/>
    <n v="0.5"/>
    <n v="104"/>
    <n v="30"/>
    <s v="N/A"/>
  </r>
  <r>
    <x v="5"/>
    <s v="Guangzhou"/>
    <s v="Honda"/>
    <s v="3EE"/>
    <s v="OEM"/>
    <x v="2"/>
    <s v="W2219AET"/>
    <s v="L"/>
    <s v="E2"/>
    <s v="Clear"/>
    <x v="0"/>
    <s v="BF012342 (CB1P), BF012756 (CB4P)"/>
    <s v="Y"/>
    <x v="0"/>
    <n v="0.19"/>
    <n v="105"/>
    <n v="25"/>
    <s v="N/A"/>
  </r>
  <r>
    <x v="5"/>
    <s v="Guangzhou"/>
    <s v="Honda"/>
    <s v="3EE"/>
    <s v="OEM"/>
    <x v="1"/>
    <s v="W2227AF"/>
    <s v="L"/>
    <s v="E2"/>
    <s v="Clear"/>
    <x v="0"/>
    <s v="BF012341"/>
    <s v="Y"/>
    <x v="0"/>
    <n v="0.27"/>
    <n v="102"/>
    <n v="25"/>
    <s v="N/A"/>
  </r>
  <r>
    <x v="5"/>
    <s v="Guangzhou"/>
    <s v="Honda"/>
    <s v="3FS"/>
    <s v="OEM"/>
    <x v="0"/>
    <s v="W2222ABT"/>
    <s v="L"/>
    <s v="E2"/>
    <s v="Clear"/>
    <x v="0"/>
    <s v="BF012556"/>
    <s v="Y"/>
    <x v="0"/>
    <n v="0.22"/>
    <n v="115"/>
    <n v="30"/>
    <s v="N/A"/>
  </r>
  <r>
    <x v="5"/>
    <s v="Guangzhou"/>
    <s v="Honda"/>
    <s v="3FS"/>
    <s v="OEM"/>
    <x v="0"/>
    <s v="W2230ADT"/>
    <s v="L"/>
    <s v="E2"/>
    <s v="Clear"/>
    <x v="0"/>
    <s v="BF012685 (CB1P), BF012757 (CB4P)"/>
    <s v="Y"/>
    <x v="0"/>
    <n v="0.3"/>
    <n v="109"/>
    <n v="30"/>
    <s v="N/A"/>
  </r>
  <r>
    <x v="5"/>
    <s v="Guangzhou"/>
    <s v="Honda"/>
    <s v="Accord (2QD)"/>
    <s v="OEM"/>
    <x v="1"/>
    <s v="W2247AB"/>
    <s v="L"/>
    <s v="E2"/>
    <s v="Clear"/>
    <x v="0"/>
    <s v="BF011541"/>
    <s v="Y"/>
    <x v="0"/>
    <n v="0.47"/>
    <n v="96"/>
    <n v="30"/>
    <s v="N/A"/>
  </r>
  <r>
    <x v="5"/>
    <s v="Guangzhou"/>
    <s v="Honda"/>
    <s v="Accord (2QD)"/>
    <s v="OEM"/>
    <x v="1"/>
    <s v="W2247AC"/>
    <s v="L"/>
    <s v="E2"/>
    <s v="Clear"/>
    <x v="0"/>
    <s v="BF011667"/>
    <s v="Y"/>
    <x v="0"/>
    <n v="0.47"/>
    <n v="96"/>
    <n v="30"/>
    <s v="N/A"/>
  </r>
  <r>
    <x v="5"/>
    <s v="Guangzhou"/>
    <s v="Honda"/>
    <s v="Accord (2QD)"/>
    <s v="OEM"/>
    <x v="1"/>
    <s v="W2250AOT"/>
    <s v="L"/>
    <s v="E2"/>
    <s v="Clear"/>
    <x v="0"/>
    <s v="BF011790"/>
    <s v="Y"/>
    <x v="0"/>
    <n v="0.5"/>
    <n v="96"/>
    <n v="25"/>
    <s v="N/A"/>
  </r>
  <r>
    <x v="5"/>
    <s v="Guangzhou"/>
    <s v="Honda"/>
    <s v="Accord (2QD)"/>
    <s v="OEM"/>
    <x v="2"/>
    <s v="W2252APT"/>
    <s v="L"/>
    <s v="E2"/>
    <s v="Clear"/>
    <x v="0"/>
    <s v="BF012261 (CB2P), BF012263 (CB4P)"/>
    <s v="Y"/>
    <x v="0"/>
    <n v="0.52"/>
    <n v="96"/>
    <n v="25"/>
    <s v="N/A"/>
  </r>
  <r>
    <x v="5"/>
    <s v="Guangzhou"/>
    <s v="Honda"/>
    <s v="Accord (2QD)"/>
    <s v="OEM"/>
    <x v="1"/>
    <s v="W2252AOT"/>
    <s v="L"/>
    <s v="E2"/>
    <s v="Clear"/>
    <x v="0"/>
    <s v="BF011702"/>
    <s v="Y"/>
    <x v="0"/>
    <n v="0.52"/>
    <n v="96"/>
    <n v="30"/>
    <s v="N/A"/>
  </r>
  <r>
    <x v="5"/>
    <s v="Guangzhou"/>
    <s v="Toyota"/>
    <s v="313D"/>
    <s v="OEM"/>
    <x v="0"/>
    <s v="W2229AB"/>
    <s v="L"/>
    <s v="E2"/>
    <s v="Clear"/>
    <x v="0"/>
    <s v="BF011916 (CB1P), _____ (CB4P)"/>
    <s v="Y"/>
    <x v="0"/>
    <n v="0.28999999999999998"/>
    <n v="110"/>
    <n v="30"/>
    <s v="N/A"/>
  </r>
  <r>
    <x v="5"/>
    <s v="Guangzhou"/>
    <s v="Toyota"/>
    <s v="530B"/>
    <s v="OEM"/>
    <x v="2"/>
    <s v="W5048AA"/>
    <s v="F"/>
    <s v="R3"/>
    <s v="Clear"/>
    <x v="1"/>
    <s v="BF011645 (CB1P), BF011905 (CB4P)"/>
    <m/>
    <x v="1"/>
    <n v="0.48"/>
    <n v="106"/>
    <n v="30"/>
    <s v="N/A"/>
  </r>
  <r>
    <x v="5"/>
    <s v="Guangzhou"/>
    <s v="Toyota"/>
    <s v="530B"/>
    <s v="OEM"/>
    <x v="1"/>
    <s v="W2248AB"/>
    <s v="L"/>
    <s v="E2"/>
    <s v="Clear"/>
    <x v="0"/>
    <s v="BF011542"/>
    <s v="Y"/>
    <x v="0"/>
    <n v="0.48"/>
    <n v="106"/>
    <n v="30"/>
    <s v="N/A"/>
  </r>
  <r>
    <x v="5"/>
    <s v="Guangzhou"/>
    <s v="Toyota"/>
    <s v="New Highlander (760B)"/>
    <s v="OEM"/>
    <x v="2"/>
    <s v="W2249AHT"/>
    <s v="L"/>
    <s v="E2"/>
    <s v="Clear"/>
    <x v="0"/>
    <s v="BF012032"/>
    <s v="Y"/>
    <x v="0"/>
    <n v="0.49"/>
    <n v="102"/>
    <n v="30"/>
    <s v="N/A"/>
  </r>
  <r>
    <x v="5"/>
    <s v="Guangzhou"/>
    <s v="Toyota"/>
    <s v="New Highlander (760B)"/>
    <s v="OEM"/>
    <x v="1"/>
    <s v="W2249AB"/>
    <s v="L"/>
    <s v="E2"/>
    <s v="Clear"/>
    <x v="0"/>
    <s v="BF010420 (159m thick down), BF010454 (50m), BF011313 (L9 50m)"/>
    <s v="Y"/>
    <x v="2"/>
    <n v="0.49"/>
    <n v="102"/>
    <n v="30"/>
    <s v="N/A"/>
  </r>
  <r>
    <x v="5"/>
    <s v="Guangzhou"/>
    <s v="Toyota"/>
    <s v="New Highlander (760B)"/>
    <s v="OEM"/>
    <x v="1"/>
    <s v="W2249AC"/>
    <s v="L"/>
    <s v="E2"/>
    <s v="Clear"/>
    <x v="0"/>
    <s v="BF010823"/>
    <s v="Y"/>
    <x v="2"/>
    <n v="0.49"/>
    <n v="104"/>
    <n v="30"/>
    <s v="N/A"/>
  </r>
  <r>
    <x v="5"/>
    <s v="Guangzhou"/>
    <s v="Toyota"/>
    <s v="Sienna (825B)"/>
    <s v="OEM"/>
    <x v="2"/>
    <s v="W2232AET"/>
    <s v="L"/>
    <s v="E2"/>
    <s v="Clear"/>
    <x v="0"/>
    <s v="BF011941"/>
    <s v="Y"/>
    <x v="0"/>
    <n v="0.32"/>
    <n v="118"/>
    <n v="30"/>
    <s v="N/A"/>
  </r>
  <r>
    <x v="5"/>
    <s v="Guangzhou"/>
    <s v="Toyota"/>
    <s v="Sienna (825B)"/>
    <s v="OEM"/>
    <x v="1"/>
    <s v="W2232AC"/>
    <s v="L"/>
    <s v="E2"/>
    <s v="Clear"/>
    <x v="0"/>
    <s v="BF010824 (L8 171m), BF011310 (L9 50m), BF011580 (L9 171m)"/>
    <s v="Y"/>
    <x v="0"/>
    <n v="0.32"/>
    <n v="115"/>
    <n v="30"/>
    <s v="N/A"/>
  </r>
  <r>
    <x v="5"/>
    <s v="Guangzhou"/>
    <m/>
    <m/>
    <s v="OEM"/>
    <x v="0"/>
    <s v="W2229AFT"/>
    <s v="L"/>
    <s v="E2"/>
    <s v="Clear"/>
    <x v="0"/>
    <m/>
    <s v="Y"/>
    <x v="0"/>
    <n v="0.28999999999999998"/>
    <n v="108"/>
    <n v="30"/>
    <s v="N/A"/>
  </r>
  <r>
    <x v="5"/>
    <s v="Guangzhou"/>
    <m/>
    <m/>
    <s v="OEM"/>
    <x v="0"/>
    <s v="W2232AFT"/>
    <s v="L"/>
    <s v="E2"/>
    <s v="Clear"/>
    <x v="0"/>
    <s v="BF012557"/>
    <s v="Y"/>
    <x v="0"/>
    <n v="0.35"/>
    <n v="105"/>
    <n v="30"/>
    <s v="N/A"/>
  </r>
  <r>
    <x v="5"/>
    <s v="Guangzhou"/>
    <m/>
    <m/>
    <s v="OEM"/>
    <x v="0"/>
    <s v="W2229AJT"/>
    <s v="L"/>
    <s v="E2"/>
    <s v="Clear"/>
    <x v="0"/>
    <s v="tbd"/>
    <s v="Y"/>
    <x v="0"/>
    <n v="0.28999999999999998"/>
    <n v="118"/>
    <n v="30"/>
    <s v="N/A"/>
  </r>
  <r>
    <x v="5"/>
    <s v="Guangzhou"/>
    <m/>
    <m/>
    <s v="OEM"/>
    <x v="0"/>
    <s v="W5039AB"/>
    <s v="F"/>
    <s v="R3"/>
    <s v="Clear"/>
    <x v="1"/>
    <s v="tbd"/>
    <s v="Y"/>
    <x v="1"/>
    <n v="0.39"/>
    <n v="108"/>
    <n v="20"/>
    <s v="N/A"/>
  </r>
  <r>
    <x v="5"/>
    <s v="Guangzhou"/>
    <m/>
    <m/>
    <s v="OEM"/>
    <x v="0"/>
    <s v="W2240AT"/>
    <s v="L"/>
    <s v="E2"/>
    <s v="Clear"/>
    <x v="0"/>
    <s v="BF012343"/>
    <s v="Y"/>
    <x v="0"/>
    <n v="0.4"/>
    <n v="108"/>
    <n v="25"/>
    <s v="N/A"/>
  </r>
  <r>
    <x v="5"/>
    <s v="Hubei"/>
    <s v="BAG"/>
    <s v="C301"/>
    <s v="OEM"/>
    <x v="1"/>
    <s v="W5021AA"/>
    <s v="F"/>
    <s v="R3"/>
    <s v="Clear"/>
    <x v="1"/>
    <s v="BF011506"/>
    <m/>
    <x v="1"/>
    <n v="0.21"/>
    <n v="110"/>
    <n v="30"/>
    <s v="N/A"/>
  </r>
  <r>
    <x v="5"/>
    <s v="Hubei"/>
    <s v="BYD"/>
    <s v="MR"/>
    <s v="OEM"/>
    <x v="1"/>
    <s v="W2250AQ"/>
    <s v="L"/>
    <s v="E2"/>
    <s v="Clear"/>
    <x v="0"/>
    <s v="BF011949"/>
    <s v="Y"/>
    <x v="0"/>
    <n v="0.5"/>
    <n v="131"/>
    <n v="30"/>
    <s v="N/A"/>
  </r>
  <r>
    <x v="5"/>
    <s v="Hubei"/>
    <s v="BYD"/>
    <s v="ST"/>
    <s v="OEM"/>
    <x v="1"/>
    <s v="W2249AGT"/>
    <s v="L"/>
    <s v="E2"/>
    <s v="Clear"/>
    <x v="0"/>
    <s v="BF011703"/>
    <s v="Y"/>
    <x v="0"/>
    <n v="0.49"/>
    <n v="116"/>
    <n v="30"/>
    <s v="N/A"/>
  </r>
  <r>
    <x v="5"/>
    <s v="Hubei"/>
    <s v="BYD"/>
    <s v="ST"/>
    <s v="OEM"/>
    <x v="1"/>
    <s v="W2251AHT"/>
    <s v="L"/>
    <s v="E2"/>
    <s v="Clear"/>
    <x v="0"/>
    <s v="BF011988"/>
    <s v="Y"/>
    <x v="0"/>
    <n v="0.51"/>
    <n v="116"/>
    <n v="30"/>
    <s v="N/A"/>
  </r>
  <r>
    <x v="5"/>
    <s v="Hubei"/>
    <s v="BYD"/>
    <s v="ST Tang SUV"/>
    <s v="OEM"/>
    <x v="2"/>
    <s v="W2250ART"/>
    <s v="L"/>
    <s v="E2"/>
    <s v="Clear"/>
    <x v="0"/>
    <s v="BF012033"/>
    <s v="Y"/>
    <x v="0"/>
    <n v="0.5"/>
    <n v="116"/>
    <n v="30"/>
    <s v="N/A"/>
  </r>
  <r>
    <x v="5"/>
    <s v="Hubei"/>
    <s v="BYD"/>
    <s v="ST Tang SUV"/>
    <s v="OEM"/>
    <x v="0"/>
    <s v="W2250AU"/>
    <s v="L"/>
    <s v="E2"/>
    <s v="Clear"/>
    <x v="0"/>
    <s v="BF012369"/>
    <s v="Y"/>
    <x v="0"/>
    <n v="0.5"/>
    <n v="114"/>
    <n v="30"/>
    <s v="N/A"/>
  </r>
  <r>
    <x v="5"/>
    <s v="Hubei"/>
    <s v="Chang An"/>
    <s v="C236"/>
    <s v="OEM"/>
    <x v="0"/>
    <s v="W2225AE"/>
    <s v="L"/>
    <s v="E2"/>
    <s v="Clear"/>
    <x v="0"/>
    <s v="BF012370"/>
    <s v="Y"/>
    <x v="0"/>
    <n v="0.25"/>
    <n v="106"/>
    <n v="25"/>
    <s v="N/A"/>
  </r>
  <r>
    <x v="5"/>
    <s v="Hubei"/>
    <s v="Chang An"/>
    <s v="C236"/>
    <s v="OEM"/>
    <x v="0"/>
    <s v="W2225AFT"/>
    <s v="L"/>
    <s v="E2"/>
    <s v="Clear"/>
    <x v="0"/>
    <s v="BF012555"/>
    <s v="Y"/>
    <x v="0"/>
    <n v="0.25"/>
    <n v="106"/>
    <n v="20"/>
    <s v="N/A"/>
  </r>
  <r>
    <x v="5"/>
    <s v="Hubei"/>
    <s v="Chang An"/>
    <s v="C236"/>
    <s v="OEM"/>
    <x v="0"/>
    <s v="W2225AHT"/>
    <s v="L"/>
    <s v="E2"/>
    <s v="Clear"/>
    <x v="0"/>
    <m/>
    <s v="Y"/>
    <x v="0"/>
    <n v="0.25"/>
    <n v="106"/>
    <n v="10"/>
    <s v="N/A"/>
  </r>
  <r>
    <x v="5"/>
    <s v="Hubei"/>
    <s v="Chang An"/>
    <s v="C301"/>
    <s v="OEM"/>
    <x v="2"/>
    <s v="W5021AB"/>
    <s v="L"/>
    <s v="E2"/>
    <s v="Clear"/>
    <x v="1"/>
    <s v="BF011705"/>
    <m/>
    <x v="1"/>
    <n v="0.21"/>
    <n v="113"/>
    <n v="30"/>
    <s v="N/A"/>
  </r>
  <r>
    <x v="5"/>
    <s v="Hubei"/>
    <s v="Cherry"/>
    <s v="T18FL3"/>
    <s v="OEM"/>
    <x v="0"/>
    <s v="W2256AET"/>
    <s v="L"/>
    <s v="E2"/>
    <s v="Clear"/>
    <x v="0"/>
    <s v="BF011704"/>
    <s v="Y"/>
    <x v="0"/>
    <n v="0.56000000000000005"/>
    <n v="101"/>
    <n v="30"/>
    <s v="N/A"/>
  </r>
  <r>
    <x v="5"/>
    <s v="Hubei"/>
    <s v="Cherry"/>
    <s v="T18FL3"/>
    <s v="OEM"/>
    <x v="1"/>
    <s v="W2256AC"/>
    <s v="L"/>
    <s v="E2"/>
    <s v="Clear"/>
    <x v="0"/>
    <s v="BF011583"/>
    <s v="Y"/>
    <x v="0"/>
    <n v="0.56000000000000005"/>
    <n v="100"/>
    <n v="30"/>
    <s v="N/A"/>
  </r>
  <r>
    <x v="5"/>
    <s v="Hubei"/>
    <s v="Cherry"/>
    <s v="T18FL3"/>
    <s v="OEM"/>
    <x v="0"/>
    <s v="W2257ADT"/>
    <s v="L"/>
    <s v="E2"/>
    <s v="Clear"/>
    <x v="0"/>
    <s v="BF011709"/>
    <s v="Y"/>
    <x v="0"/>
    <n v="0.56999999999999995"/>
    <n v="102"/>
    <n v="30"/>
    <s v="N/A"/>
  </r>
  <r>
    <x v="5"/>
    <s v="Hubei"/>
    <s v="Chery"/>
    <s v="Rui Hu SUV (T18)"/>
    <s v="OEM"/>
    <x v="1"/>
    <s v="W2258AHT"/>
    <s v="L"/>
    <s v="E2"/>
    <s v="Clear"/>
    <x v="0"/>
    <s v="BF011800"/>
    <s v="Y"/>
    <x v="0"/>
    <n v="0.57999999999999996"/>
    <n v="100"/>
    <n v="30"/>
    <s v="N/A"/>
  </r>
  <r>
    <x v="5"/>
    <s v="Hubei"/>
    <s v="Chery"/>
    <s v="T19"/>
    <m/>
    <x v="0"/>
    <s v="W5023AB"/>
    <s v="F"/>
    <s v="R3"/>
    <s v="Clear"/>
    <x v="1"/>
    <s v="BF012107"/>
    <m/>
    <x v="1"/>
    <n v="0.23"/>
    <n v="112"/>
    <n v="30"/>
    <s v="N/A"/>
  </r>
  <r>
    <x v="5"/>
    <s v="Hubei"/>
    <s v="Chery"/>
    <s v="T19"/>
    <m/>
    <x v="1"/>
    <s v="W5023AA"/>
    <s v="F"/>
    <s v="R3"/>
    <s v="Clear"/>
    <x v="1"/>
    <s v="BF011994"/>
    <m/>
    <x v="1"/>
    <n v="0.23"/>
    <n v="113"/>
    <n v="30"/>
    <s v="N/A"/>
  </r>
  <r>
    <x v="5"/>
    <s v="Hubei"/>
    <s v="Geely"/>
    <s v="HX11"/>
    <s v="OEM"/>
    <x v="1"/>
    <s v="W2255AA"/>
    <s v="L"/>
    <s v="E2"/>
    <s v="Clear"/>
    <x v="0"/>
    <s v="BF011799"/>
    <s v="Y"/>
    <x v="0"/>
    <n v="0.55000000000000004"/>
    <n v="105"/>
    <n v="30"/>
    <s v="N/A"/>
  </r>
  <r>
    <x v="5"/>
    <s v="Hubei"/>
    <s v="Geely"/>
    <s v="HX11"/>
    <s v="OEM"/>
    <x v="1"/>
    <s v="W2260AHT"/>
    <s v="L"/>
    <s v="E2"/>
    <s v="Clear"/>
    <x v="0"/>
    <s v="BF011937"/>
    <s v="Y"/>
    <x v="0"/>
    <n v="0.6"/>
    <n v="101"/>
    <n v="30"/>
    <s v="N/A"/>
  </r>
  <r>
    <x v="5"/>
    <s v="Hubei"/>
    <s v="Geely"/>
    <s v="HX11"/>
    <s v="OEM"/>
    <x v="1"/>
    <s v="W2260ACT"/>
    <s v="L"/>
    <s v="E2"/>
    <s v="Clear"/>
    <x v="0"/>
    <s v="BF011465 (CB1P, BF011849 (CB4P)"/>
    <s v="Y"/>
    <x v="0"/>
    <n v="0.6"/>
    <n v="103"/>
    <n v="30"/>
    <s v="N/A"/>
  </r>
  <r>
    <x v="5"/>
    <s v="Hubei"/>
    <s v="Smart"/>
    <s v="HX11"/>
    <s v="OEM"/>
    <x v="1"/>
    <s v="W2260AF"/>
    <s v="L"/>
    <s v="E2"/>
    <s v="Clear"/>
    <x v="0"/>
    <s v="BF011801"/>
    <s v="Y"/>
    <x v="0"/>
    <n v="0.6"/>
    <n v="100"/>
    <n v="30"/>
    <s v="N/A"/>
  </r>
  <r>
    <x v="5"/>
    <s v="Hubei"/>
    <s v="Smart"/>
    <s v="HX11"/>
    <s v="OEM"/>
    <x v="1"/>
    <s v="W2260AD"/>
    <s v="L"/>
    <s v="E2"/>
    <s v="Clear"/>
    <x v="0"/>
    <s v="BF011547"/>
    <s v="Y"/>
    <x v="0"/>
    <n v="0.6"/>
    <n v="97"/>
    <n v="30"/>
    <s v="N/A"/>
  </r>
  <r>
    <x v="5"/>
    <s v="Hubei"/>
    <s v="Geely"/>
    <s v="Xingyue L"/>
    <s v="OEM"/>
    <x v="1"/>
    <s v="W2241AC"/>
    <s v="L"/>
    <s v="E2"/>
    <s v="Clear"/>
    <x v="0"/>
    <s v="BF010441 (L8 50m), BF011312 (L9 50m)"/>
    <s v="Y"/>
    <x v="3"/>
    <n v="0.41"/>
    <n v="88"/>
    <n v="20"/>
    <s v="N/A"/>
  </r>
  <r>
    <x v="5"/>
    <s v="Hubei"/>
    <s v="Geely"/>
    <s v="XingYue L SUV (KX11)"/>
    <s v="OEM"/>
    <x v="2"/>
    <s v="W2236AC"/>
    <s v="L"/>
    <s v="E2"/>
    <s v="Clear"/>
    <x v="0"/>
    <s v="BF011798 (1), BF012031 (4)"/>
    <s v="Y"/>
    <x v="0"/>
    <n v="0.36"/>
    <n v="95"/>
    <n v="25"/>
    <s v="N/A"/>
  </r>
  <r>
    <x v="5"/>
    <s v="Hubei"/>
    <s v="Mitsubishi"/>
    <s v="5A45"/>
    <s v="OEM"/>
    <x v="1"/>
    <s v="W2258AB"/>
    <s v="L"/>
    <s v="E2"/>
    <s v="Clear"/>
    <x v="0"/>
    <s v="BF011546"/>
    <s v="Y"/>
    <x v="0"/>
    <n v="0.57999999999999996"/>
    <n v="106"/>
    <n v="30"/>
    <s v="N/A"/>
  </r>
  <r>
    <x v="5"/>
    <s v="Hubei"/>
    <s v="X-peng"/>
    <s v="K11"/>
    <s v="OEM"/>
    <x v="0"/>
    <s v="W2232AJ"/>
    <s v="L"/>
    <s v="E2"/>
    <s v="Clear"/>
    <x v="0"/>
    <s v="BF012737"/>
    <s v="Y"/>
    <x v="0"/>
    <n v="0.32"/>
    <n v="113"/>
    <n v="25"/>
    <s v="N/A"/>
  </r>
  <r>
    <x v="5"/>
    <s v="Hubei"/>
    <m/>
    <m/>
    <m/>
    <x v="1"/>
    <s v="W2252AQT"/>
    <s v="L"/>
    <s v="E2"/>
    <s v="Clear"/>
    <x v="0"/>
    <s v="BF011939"/>
    <s v="Y"/>
    <x v="0"/>
    <n v="0.52"/>
    <n v="115"/>
    <n v="30"/>
    <s v="N/A"/>
  </r>
  <r>
    <x v="5"/>
    <s v="R&amp;D"/>
    <s v="GM"/>
    <s v="E2ZO"/>
    <s v="OEM"/>
    <x v="1"/>
    <s v="W2244AA"/>
    <s v="L"/>
    <s v="E2"/>
    <s v="Clear"/>
    <x v="0"/>
    <s v="BF008989"/>
    <s v="Y"/>
    <x v="2"/>
    <n v="0.44"/>
    <n v="110"/>
    <n v="30"/>
    <s v="N/A"/>
  </r>
  <r>
    <x v="5"/>
    <s v="Shanghai"/>
    <s v="Buick"/>
    <s v="Envision"/>
    <s v="OEM"/>
    <x v="1"/>
    <s v="W2256AA"/>
    <s v="L"/>
    <s v="E2"/>
    <s v="Clear"/>
    <x v="0"/>
    <s v="BF010670, BF011315 (L9 50m)"/>
    <s v="Y"/>
    <x v="3"/>
    <n v="0.56000000000000005"/>
    <n v="105"/>
    <n v="30"/>
    <s v="N/A"/>
  </r>
  <r>
    <x v="5"/>
    <s v="Shanghai"/>
    <s v="Chery"/>
    <s v="T18L"/>
    <s v="OEM"/>
    <x v="0"/>
    <s v="W2256AGT"/>
    <s v="L"/>
    <s v="E2"/>
    <s v="Clear"/>
    <x v="0"/>
    <s v="BF011913 (CB4P), BF012401 (CB1P)"/>
    <s v="Y"/>
    <x v="0"/>
    <n v="0.56000000000000005"/>
    <n v="105"/>
    <n v="30"/>
    <s v="N/A"/>
  </r>
  <r>
    <x v="5"/>
    <s v="Shanghai"/>
    <s v="Ford"/>
    <s v="U625"/>
    <s v="OEM"/>
    <x v="0"/>
    <s v="W2240AOT"/>
    <s v="L"/>
    <s v="E2"/>
    <s v="Clear"/>
    <x v="0"/>
    <s v="BF011814"/>
    <s v="Y"/>
    <x v="0"/>
    <n v="0.4"/>
    <n v="105"/>
    <n v="30"/>
    <s v="N/A"/>
  </r>
  <r>
    <x v="5"/>
    <s v="Shanghai"/>
    <s v="Geely"/>
    <s v="DCY11"/>
    <s v="OEM"/>
    <x v="1"/>
    <s v="W2264AF"/>
    <s v="L"/>
    <s v="E2"/>
    <s v="Clear"/>
    <x v="0"/>
    <s v="BF011642"/>
    <s v="Y"/>
    <x v="0"/>
    <n v="0.64"/>
    <n v="98"/>
    <n v="30"/>
    <s v="N/A"/>
  </r>
  <r>
    <x v="5"/>
    <s v="Shanghai"/>
    <s v="Geely"/>
    <s v="EF1E"/>
    <s v="OEM"/>
    <x v="0"/>
    <s v="W2235AKT"/>
    <s v="L"/>
    <s v="E2"/>
    <s v="Clear"/>
    <x v="0"/>
    <s v="BF012880"/>
    <s v="Y"/>
    <x v="0"/>
    <n v="0.35"/>
    <n v="130"/>
    <n v="30"/>
    <s v="N/A"/>
  </r>
  <r>
    <x v="5"/>
    <s v="Shanghai"/>
    <s v="Geely"/>
    <s v="FY11 (or FX11?)"/>
    <s v="OEM"/>
    <x v="0"/>
    <s v="W2233ACT"/>
    <s v="L"/>
    <s v="E2"/>
    <s v="Clear"/>
    <x v="0"/>
    <s v="BF011815"/>
    <s v="Y"/>
    <x v="0"/>
    <n v="0.33"/>
    <n v="103"/>
    <n v="30"/>
    <s v="N/A"/>
  </r>
  <r>
    <x v="5"/>
    <s v="Shanghai"/>
    <s v="Geely"/>
    <s v="FY11 (or FX11?)"/>
    <s v="OEM"/>
    <x v="0"/>
    <s v="W5056AA"/>
    <s v="F"/>
    <s v="R3"/>
    <s v="Clear"/>
    <x v="1"/>
    <s v="BF011646"/>
    <m/>
    <x v="1"/>
    <n v="0.56000000000000005"/>
    <n v="93"/>
    <n v="30"/>
    <s v="N/A"/>
  </r>
  <r>
    <x v="5"/>
    <s v="Shanghai"/>
    <s v="Geely"/>
    <s v="FY11-J1"/>
    <s v="OEM"/>
    <x v="0"/>
    <s v="W2256AFT"/>
    <s v="L"/>
    <s v="E2"/>
    <s v="Clear"/>
    <x v="0"/>
    <s v="BF011728"/>
    <s v="Y"/>
    <x v="0"/>
    <n v="0.56000000000000005"/>
    <n v="96"/>
    <n v="30"/>
    <s v="N/A"/>
  </r>
  <r>
    <x v="5"/>
    <s v="Shanghai"/>
    <s v="GM"/>
    <s v="E2QL"/>
    <s v="OEM"/>
    <x v="1"/>
    <s v="W2247AET"/>
    <s v="L"/>
    <s v="E2"/>
    <s v="Clear"/>
    <x v="0"/>
    <s v="BF011813"/>
    <s v="Y"/>
    <x v="0"/>
    <n v="0.47"/>
    <n v="105"/>
    <n v="30"/>
    <s v="N/A"/>
  </r>
  <r>
    <x v="5"/>
    <s v="Shanghai"/>
    <s v="Great Wall"/>
    <s v="B01"/>
    <s v="OEM"/>
    <x v="0"/>
    <s v="W2256AB"/>
    <s v="L"/>
    <s v="E2"/>
    <s v="Clear"/>
    <x v="0"/>
    <s v="BF011545"/>
    <s v="Y"/>
    <x v="0"/>
    <n v="0.56000000000000005"/>
    <n v="98"/>
    <n v="30"/>
    <s v="N/A"/>
  </r>
  <r>
    <x v="5"/>
    <s v="Shanghai"/>
    <s v="LiXiang"/>
    <s v="L7 (X03)"/>
    <s v="OEM"/>
    <x v="1"/>
    <s v="W2258AG"/>
    <s v="L"/>
    <s v="E2"/>
    <s v="Clear"/>
    <x v="0"/>
    <s v="BF011727"/>
    <s v="Y"/>
    <x v="0"/>
    <n v="0.57999999999999996"/>
    <n v="105"/>
    <n v="30"/>
    <s v="N/A"/>
  </r>
  <r>
    <x v="5"/>
    <s v="Shanghai"/>
    <s v="LiXiang"/>
    <s v="L7 (X03)"/>
    <s v="OEM"/>
    <x v="1"/>
    <s v="W2258AD"/>
    <s v="L"/>
    <s v="E2"/>
    <s v="Clear"/>
    <x v="0"/>
    <s v="BF011641"/>
    <s v="Y"/>
    <x v="0"/>
    <n v="0.57999999999999996"/>
    <n v="107"/>
    <n v="30"/>
    <s v="N/A"/>
  </r>
  <r>
    <x v="5"/>
    <s v="Shanghai"/>
    <s v="LiXiang"/>
    <s v="L7 (X03)"/>
    <s v="OEM"/>
    <x v="0"/>
    <s v="W2260AKT"/>
    <s v="L"/>
    <s v="E2"/>
    <s v="Clear"/>
    <x v="0"/>
    <m/>
    <s v="Y"/>
    <x v="0"/>
    <n v="0.6"/>
    <n v="110"/>
    <n v="27"/>
    <s v="N/A"/>
  </r>
  <r>
    <x v="5"/>
    <s v="Shanghai"/>
    <s v="LiXiang"/>
    <s v="L7 (X03)"/>
    <s v="OEM"/>
    <x v="1"/>
    <s v="W2266AA"/>
    <s v="L"/>
    <s v="E2"/>
    <s v="Clear"/>
    <x v="0"/>
    <s v="BF011684"/>
    <s v="Y"/>
    <x v="0"/>
    <n v="0.66"/>
    <n v="99"/>
    <n v="30"/>
    <s v="N/A"/>
  </r>
  <r>
    <x v="5"/>
    <s v="Shanghai"/>
    <m/>
    <s v="CC1E"/>
    <s v="OEM"/>
    <x v="0"/>
    <s v="W2223ADT"/>
    <s v="L"/>
    <s v="E2"/>
    <s v="Clear"/>
    <x v="0"/>
    <s v="BF012892"/>
    <s v="Y"/>
    <x v="0"/>
    <n v="0.23"/>
    <n v="121"/>
    <n v="30"/>
    <s v="N/A"/>
  </r>
  <r>
    <x v="5"/>
    <s v="Shanghai"/>
    <s v="LiXiang"/>
    <s v="X04"/>
    <s v="OEM"/>
    <x v="0"/>
    <s v="W2258AJT"/>
    <s v="L"/>
    <s v="E2"/>
    <s v="Clear"/>
    <x v="0"/>
    <m/>
    <s v="Y"/>
    <x v="0"/>
    <n v="0.57999999999999996"/>
    <n v="107"/>
    <n v="24"/>
    <s v="N/A"/>
  </r>
  <r>
    <x v="5"/>
    <s v="Shanghai"/>
    <s v="LiXiang"/>
    <s v="X04"/>
    <s v="OEM"/>
    <x v="0"/>
    <s v="W2256AJT"/>
    <s v="L"/>
    <s v="E2"/>
    <s v="Clear"/>
    <x v="0"/>
    <s v="BF012891 (CB1P), _____ (CB4P)"/>
    <s v="Y"/>
    <x v="0"/>
    <n v="0.56000000000000005"/>
    <n v="107"/>
    <n v="24"/>
    <s v="N/A"/>
  </r>
  <r>
    <x v="5"/>
    <s v="Shanghai"/>
    <s v="Zeekr"/>
    <s v="007/007GT"/>
    <s v="OEM"/>
    <x v="0"/>
    <s v="W2230AFT"/>
    <s v="L"/>
    <s v="E2"/>
    <s v="Clear"/>
    <x v="0"/>
    <m/>
    <s v="Y"/>
    <x v="0"/>
    <n v="0.3"/>
    <n v="108"/>
    <n v="25"/>
    <s v="N/A"/>
  </r>
  <r>
    <x v="5"/>
    <s v="Shanghai"/>
    <s v="NIO"/>
    <s v="Pegasus"/>
    <s v="OEM"/>
    <x v="0"/>
    <s v="W2232AKT"/>
    <s v="L"/>
    <s v="E2"/>
    <s v="Clear"/>
    <x v="0"/>
    <s v="tbd"/>
    <s v="Y"/>
    <x v="0"/>
    <n v="0.32"/>
    <n v="123"/>
    <n v="10"/>
    <s v="N/A"/>
  </r>
  <r>
    <x v="5"/>
    <s v="Shanghai"/>
    <s v="NIO"/>
    <s v="Pegasus"/>
    <s v="OEM"/>
    <x v="0"/>
    <s v="W2235AI"/>
    <s v="L"/>
    <s v="E2"/>
    <s v="Clear"/>
    <x v="0"/>
    <s v="BF012810"/>
    <s v="Y"/>
    <x v="0"/>
    <n v="0.35"/>
    <n v="123"/>
    <n v="30"/>
    <s v="N/A"/>
  </r>
  <r>
    <x v="5"/>
    <s v="Shanghai"/>
    <s v="NIO"/>
    <s v="Pegasus"/>
    <s v="OEM"/>
    <x v="0"/>
    <s v="W2235AJ"/>
    <s v="L"/>
    <s v="E2"/>
    <s v="Clear"/>
    <x v="0"/>
    <s v="BF012879"/>
    <s v="Y"/>
    <x v="0"/>
    <n v="0.35"/>
    <n v="123"/>
    <n v="10"/>
    <s v="N/A"/>
  </r>
  <r>
    <x v="5"/>
    <s v="Shanghai"/>
    <s v="NIO"/>
    <s v="Sirius"/>
    <s v="OEM"/>
    <x v="0"/>
    <s v="W2246AFT"/>
    <s v="L"/>
    <s v="E2"/>
    <s v="Clear"/>
    <x v="0"/>
    <s v="BF012809"/>
    <s v="Y"/>
    <x v="0"/>
    <n v="0.46"/>
    <n v="108"/>
    <n v="30"/>
    <s v="N/A"/>
  </r>
  <r>
    <x v="5"/>
    <s v="Shenyang"/>
    <s v="BMW"/>
    <s v="X3"/>
    <s v="OEM"/>
    <x v="1"/>
    <s v="W2246AB"/>
    <s v="L"/>
    <s v="E2"/>
    <s v="Clear"/>
    <x v="0"/>
    <s v="BF011540"/>
    <s v="Y"/>
    <x v="0"/>
    <n v="0.46"/>
    <n v="100"/>
    <n v="30"/>
    <s v="N/A"/>
  </r>
  <r>
    <x v="5"/>
    <s v="Shenyang"/>
    <s v="Chery"/>
    <s v="T1EJ"/>
    <s v="OEM"/>
    <x v="0"/>
    <s v="W2262AHT"/>
    <s v="L"/>
    <s v="E2"/>
    <s v="Clear"/>
    <x v="0"/>
    <s v="BF011931"/>
    <s v="Y"/>
    <x v="0"/>
    <n v="0.62"/>
    <n v="96"/>
    <n v="25"/>
    <s v="N/A"/>
  </r>
  <r>
    <x v="5"/>
    <s v="Shenyang"/>
    <s v="Chery"/>
    <s v="T1EJ (normal w/s)"/>
    <s v="OEM"/>
    <x v="2"/>
    <s v="W5062AC"/>
    <s v="F"/>
    <s v="R3"/>
    <s v="Clear"/>
    <x v="1"/>
    <s v="BF011995"/>
    <m/>
    <x v="1"/>
    <n v="0.62"/>
    <n v="96"/>
    <n v="25"/>
    <s v="N/A"/>
  </r>
  <r>
    <x v="5"/>
    <s v="Shenyang"/>
    <s v="Chery"/>
    <s v="T1EJ (wired w/s)"/>
    <s v="OEM"/>
    <x v="2"/>
    <s v="W2262AIT"/>
    <s v="L"/>
    <s v="E2"/>
    <s v="Clear"/>
    <x v="0"/>
    <s v="BF011989"/>
    <s v="Y"/>
    <x v="0"/>
    <n v="0.62"/>
    <n v="101"/>
    <n v="25"/>
    <s v="N/A"/>
  </r>
  <r>
    <x v="5"/>
    <s v="Suzhou"/>
    <s v="BYD"/>
    <s v="Qin (EKEA)"/>
    <s v="OEM"/>
    <x v="0"/>
    <s v="W2240AU"/>
    <s v="L"/>
    <s v="E2"/>
    <s v="Clear"/>
    <x v="0"/>
    <s v="BF012399"/>
    <s v="Y"/>
    <x v="0"/>
    <n v="0.4"/>
    <n v="122"/>
    <n v="30"/>
    <s v="N/A"/>
  </r>
  <r>
    <x v="5"/>
    <s v="Suzhou"/>
    <s v="BYD"/>
    <s v="Qin (EKEA)"/>
    <s v="OEM"/>
    <x v="1"/>
    <s v="W2240AG"/>
    <s v="L"/>
    <s v="E2"/>
    <s v="Clear"/>
    <x v="0"/>
    <s v="BF011635"/>
    <s v="Y"/>
    <x v="0"/>
    <n v="0.4"/>
    <n v="123"/>
    <n v="30"/>
    <s v="N/A"/>
  </r>
  <r>
    <x v="5"/>
    <s v="Suzhou"/>
    <s v="BYD"/>
    <s v="Qin (EKEA)"/>
    <s v="OEM"/>
    <x v="0"/>
    <s v="W2249ALT"/>
    <s v="L"/>
    <s v="E2"/>
    <s v="Clear"/>
    <x v="0"/>
    <s v="BF012777"/>
    <s v="Y"/>
    <x v="0"/>
    <n v="0.49"/>
    <n v="110"/>
    <n v="27"/>
    <s v="N/A"/>
  </r>
  <r>
    <x v="5"/>
    <s v="Suzhou"/>
    <s v="BYD"/>
    <s v="Qin (EKEA)"/>
    <s v="OEM"/>
    <x v="1"/>
    <s v="W2249AE"/>
    <s v="L"/>
    <s v="E2"/>
    <s v="Clear"/>
    <x v="0"/>
    <s v="BF011543"/>
    <s v="Y"/>
    <x v="0"/>
    <n v="0.49"/>
    <n v="115"/>
    <n v="30"/>
    <s v="N/A"/>
  </r>
  <r>
    <x v="5"/>
    <s v="Suzhou"/>
    <s v="BYD"/>
    <s v="SC3E"/>
    <s v="OEM"/>
    <x v="0"/>
    <s v="W5075AA"/>
    <s v="F"/>
    <s v="R3"/>
    <s v="Clear"/>
    <x v="1"/>
    <m/>
    <s v="Y"/>
    <x v="1"/>
    <n v="0.75"/>
    <n v="102"/>
    <n v="19"/>
    <s v="N/A"/>
  </r>
  <r>
    <x v="5"/>
    <s v="Suzhou"/>
    <s v="Chang An"/>
    <s v="C673"/>
    <s v="OEM"/>
    <x v="1"/>
    <s v="W5017AB"/>
    <s v="F"/>
    <s v="R3"/>
    <s v="Clear"/>
    <x v="1"/>
    <s v="BF011643"/>
    <m/>
    <x v="1"/>
    <n v="0.17"/>
    <n v="121"/>
    <n v="30"/>
    <s v="N/A"/>
  </r>
  <r>
    <x v="5"/>
    <s v="Suzhou"/>
    <s v="Chang An"/>
    <s v="C673"/>
    <s v="OEM"/>
    <x v="0"/>
    <s v="W2229AG"/>
    <s v="L"/>
    <s v="E2"/>
    <s v="Clear"/>
    <x v="0"/>
    <s v="BF012738"/>
    <s v="Y"/>
    <x v="0"/>
    <n v="0.28999999999999998"/>
    <n v="109"/>
    <n v="26"/>
    <s v="N/A"/>
  </r>
  <r>
    <x v="5"/>
    <s v="Suzhou"/>
    <s v="Geely"/>
    <s v="DX11"/>
    <s v="OEM"/>
    <x v="0"/>
    <s v="W2221AD"/>
    <s v="L"/>
    <s v="E2"/>
    <s v="Clear"/>
    <x v="0"/>
    <s v="BF011851"/>
    <s v="Y"/>
    <x v="0"/>
    <n v="0.21"/>
    <n v="113"/>
    <n v="30"/>
    <s v="N/A"/>
  </r>
  <r>
    <x v="5"/>
    <s v="Suzhou"/>
    <s v="Geely"/>
    <s v="DX11"/>
    <s v="OEM"/>
    <x v="0"/>
    <s v="W2227AK"/>
    <s v="L"/>
    <s v="E2"/>
    <s v="Clear"/>
    <x v="0"/>
    <s v="BF012739"/>
    <s v="Y"/>
    <x v="0"/>
    <n v="0.27"/>
    <n v="100"/>
    <n v="17"/>
    <s v="N/A"/>
  </r>
  <r>
    <x v="5"/>
    <s v="Suzhou"/>
    <s v="Geely"/>
    <s v="FS11"/>
    <s v="OEM"/>
    <x v="0"/>
    <s v="W2234AAT"/>
    <s v="L"/>
    <s v="E2"/>
    <s v="Clear"/>
    <x v="0"/>
    <s v="BF012778"/>
    <s v="Y"/>
    <x v="0"/>
    <n v="0.34"/>
    <n v="87"/>
    <n v="20"/>
    <s v="N/A"/>
  </r>
  <r>
    <x v="5"/>
    <s v="Suzhou"/>
    <s v="Geely"/>
    <s v="FS11"/>
    <s v="OEM"/>
    <x v="0"/>
    <s v="W2265AET"/>
    <s v="L"/>
    <s v="E2"/>
    <s v="Clear"/>
    <x v="0"/>
    <s v="BF012779"/>
    <s v="Y"/>
    <x v="0"/>
    <n v="0.65"/>
    <n v="87"/>
    <n v="20"/>
    <s v="N/A"/>
  </r>
  <r>
    <x v="5"/>
    <s v="Suzhou"/>
    <s v="Geely"/>
    <s v="P417"/>
    <s v="OEM"/>
    <x v="0"/>
    <s v="W2245AB"/>
    <s v="L"/>
    <s v="E2"/>
    <s v="Clear"/>
    <x v="0"/>
    <s v="BF011850"/>
    <s v="Y"/>
    <x v="0"/>
    <n v="0.45"/>
    <n v="107"/>
    <n v="30"/>
    <s v="N/A"/>
  </r>
  <r>
    <x v="5"/>
    <s v="Suzhou"/>
    <s v="Great Wall"/>
    <s v="A01"/>
    <s v="OEM"/>
    <x v="0"/>
    <s v="W5065AB"/>
    <s v="F"/>
    <s v="R3"/>
    <s v="Clear"/>
    <x v="1"/>
    <m/>
    <s v="Y"/>
    <x v="1"/>
    <n v="0.65"/>
    <n v="93"/>
    <n v="20"/>
    <s v="N/A"/>
  </r>
  <r>
    <x v="5"/>
    <s v="Suzhou"/>
    <s v="Great Wall"/>
    <s v="A01/A02"/>
    <s v="OEM"/>
    <x v="2"/>
    <s v="W5056AC"/>
    <s v="F"/>
    <s v="R3"/>
    <s v="Clear"/>
    <x v="1"/>
    <s v="BF011648"/>
    <m/>
    <x v="1"/>
    <n v="0.56000000000000005"/>
    <n v="101"/>
    <n v="30"/>
    <s v="N/A"/>
  </r>
  <r>
    <x v="5"/>
    <s v="Suzhou"/>
    <s v="Guang Shu"/>
    <s v="EC24"/>
    <s v="OEM"/>
    <x v="1"/>
    <s v="W2240AF"/>
    <s v="L"/>
    <s v="E2"/>
    <s v="Clear"/>
    <x v="0"/>
    <s v="BF011634"/>
    <s v="Y"/>
    <x v="0"/>
    <n v="0.4"/>
    <n v="113"/>
    <n v="30"/>
    <s v="N/A"/>
  </r>
  <r>
    <x v="5"/>
    <s v="Tianjin"/>
    <s v="BYD"/>
    <s v="UF"/>
    <s v="OEM"/>
    <x v="1"/>
    <s v="W2219AA"/>
    <s v="L"/>
    <s v="E2"/>
    <s v="Clear"/>
    <x v="0"/>
    <s v="BF011664"/>
    <s v="Y"/>
    <x v="0"/>
    <n v="0.19"/>
    <n v="130"/>
    <n v="30"/>
    <s v="N/A"/>
  </r>
  <r>
    <x v="5"/>
    <s v="Tianjin"/>
    <s v="BYD"/>
    <s v="UXE"/>
    <s v="OEM"/>
    <x v="0"/>
    <s v="W2218AAT"/>
    <s v="L"/>
    <s v="E2"/>
    <s v="Clear"/>
    <x v="0"/>
    <s v="BF011911"/>
    <s v="Y"/>
    <x v="0"/>
    <n v="0.18"/>
    <n v="122"/>
    <n v="30"/>
    <s v="N/A"/>
  </r>
  <r>
    <x v="5"/>
    <s v="Tianjin"/>
    <s v="Geely"/>
    <s v="03 (CS11)"/>
    <s v="OEM"/>
    <x v="0"/>
    <s v="W2225ACT"/>
    <s v="L"/>
    <s v="E2"/>
    <s v="Clear"/>
    <x v="0"/>
    <s v="BF012106"/>
    <s v="Y"/>
    <x v="0"/>
    <n v="0.25"/>
    <n v="102"/>
    <n v="30"/>
    <s v="N/A"/>
  </r>
  <r>
    <x v="5"/>
    <s v="Tianjin"/>
    <s v="GM"/>
    <s v="E2UB"/>
    <s v="OEM"/>
    <x v="1"/>
    <s v="W2264AE"/>
    <s v="L"/>
    <s v="E2"/>
    <s v="Clear"/>
    <x v="0"/>
    <s v="BF011549"/>
    <s v="Y"/>
    <x v="0"/>
    <n v="0.64"/>
    <n v="110"/>
    <n v="30"/>
    <s v="N/A"/>
  </r>
  <r>
    <x v="5"/>
    <s v="Tianjin"/>
    <s v="GM"/>
    <s v="Envision S (E2UB)"/>
    <s v="OEM"/>
    <x v="2"/>
    <s v="W2258AET"/>
    <s v="L"/>
    <s v="E2"/>
    <s v="Clear"/>
    <x v="0"/>
    <s v="BF011663, BF011912"/>
    <s v="Y"/>
    <x v="0"/>
    <n v="0.57999999999999996"/>
    <n v="110"/>
    <n v="30"/>
    <s v="N/A"/>
  </r>
  <r>
    <x v="5"/>
    <s v="Tianjin"/>
    <s v="Great Wall"/>
    <s v="B01"/>
    <s v="OEM"/>
    <x v="0"/>
    <s v="W5048AD"/>
    <s v="F"/>
    <s v="R3"/>
    <s v="Clear"/>
    <x v="1"/>
    <m/>
    <m/>
    <x v="1"/>
    <n v="0.48"/>
    <n v="98"/>
    <n v="30"/>
    <s v="N/A"/>
  </r>
  <r>
    <x v="5"/>
    <s v="Tianjin"/>
    <s v="Great Wall"/>
    <s v="B01"/>
    <s v="OEM"/>
    <x v="0"/>
    <s v="W5048AB"/>
    <s v="F"/>
    <s v="R3"/>
    <s v="Clear"/>
    <x v="1"/>
    <s v="BF011665"/>
    <m/>
    <x v="1"/>
    <n v="0.48"/>
    <n v="98"/>
    <n v="30"/>
    <s v="N/A"/>
  </r>
  <r>
    <x v="5"/>
    <s v="Tianjin"/>
    <s v="Great Wall"/>
    <s v="B01"/>
    <s v="OEM"/>
    <x v="1"/>
    <s v="W2260AB"/>
    <s v="L"/>
    <s v="E2"/>
    <s v="Clear"/>
    <x v="0"/>
    <s v="BF011448"/>
    <s v="Y"/>
    <x v="0"/>
    <n v="0.6"/>
    <n v="91"/>
    <n v="30"/>
    <s v="N/A"/>
  </r>
  <r>
    <x v="5"/>
    <s v="Tianjin"/>
    <s v="Great Wall"/>
    <s v="B06"/>
    <s v="OEM"/>
    <x v="1"/>
    <s v="W2236AB"/>
    <s v="L"/>
    <s v="E2"/>
    <s v="Clear"/>
    <x v="0"/>
    <s v="BF011447"/>
    <s v="Y"/>
    <x v="0"/>
    <n v="0.36"/>
    <n v="97"/>
    <n v="30"/>
    <s v="N/A"/>
  </r>
  <r>
    <x v="5"/>
    <s v="Tianjin"/>
    <s v="Great Wall"/>
    <s v="B06"/>
    <s v="OEM"/>
    <x v="1"/>
    <s v="W5062AB"/>
    <s v="F"/>
    <s v="R3"/>
    <s v="Clear"/>
    <x v="1"/>
    <s v="BF011792"/>
    <m/>
    <x v="1"/>
    <n v="0.62"/>
    <n v="95"/>
    <n v="25"/>
    <s v="N/A"/>
  </r>
  <r>
    <x v="5"/>
    <s v="Tianjin"/>
    <s v="Great Wall"/>
    <s v="B06"/>
    <s v="OEM"/>
    <x v="1"/>
    <s v="W5062AD"/>
    <s v="F"/>
    <s v="R3"/>
    <s v="Clear"/>
    <x v="1"/>
    <s v="BF012466"/>
    <m/>
    <x v="1"/>
    <n v="0.62"/>
    <n v="95"/>
    <n v="25"/>
    <s v="N/A"/>
  </r>
  <r>
    <x v="5"/>
    <s v="Tianjin"/>
    <s v="Great Wall"/>
    <s v="B06"/>
    <s v="OEM"/>
    <x v="1"/>
    <s v="W5068AB"/>
    <s v="F"/>
    <s v="R3"/>
    <s v="Clear"/>
    <x v="1"/>
    <m/>
    <s v="Y"/>
    <x v="1"/>
    <n v="0.68"/>
    <n v="95"/>
    <n v="20"/>
    <s v="N/A"/>
  </r>
  <r>
    <x v="5"/>
    <s v="Tianjin"/>
    <s v="Great Wall"/>
    <s v="B06 wired"/>
    <s v="OEM"/>
    <x v="0"/>
    <s v="W5072AA"/>
    <s v="F"/>
    <s v="R3"/>
    <s v="Clear"/>
    <x v="1"/>
    <s v="BF012546"/>
    <m/>
    <x v="1"/>
    <n v="0.72"/>
    <n v="86"/>
    <n v="15"/>
    <s v="N/A"/>
  </r>
  <r>
    <x v="5"/>
    <s v="Tianjin"/>
    <s v="Great Wall"/>
    <s v="B16"/>
    <s v="OEM"/>
    <x v="0"/>
    <s v="W2262AF"/>
    <s v="L"/>
    <s v="E2"/>
    <s v="Clear"/>
    <x v="0"/>
    <s v="BF011548"/>
    <s v="Y"/>
    <x v="0"/>
    <n v="0.62"/>
    <n v="94"/>
    <n v="30"/>
    <s v="N/A"/>
  </r>
  <r>
    <x v="5"/>
    <s v="Tianjin"/>
    <s v="Great Wall"/>
    <s v="C01 wired"/>
    <s v="OEM"/>
    <x v="0"/>
    <s v="W2237AB (copy)"/>
    <s v="L"/>
    <s v="E2"/>
    <s v="Clear"/>
    <x v="0"/>
    <s v="Copy"/>
    <s v="Y"/>
    <x v="0"/>
    <m/>
    <m/>
    <m/>
    <m/>
  </r>
  <r>
    <x v="5"/>
    <s v="Tianjin"/>
    <s v="Great Wall"/>
    <s v="D03 wired"/>
    <s v="OEM"/>
    <x v="0"/>
    <s v="W2266AB (copy)"/>
    <s v="K"/>
    <s v="E2"/>
    <s v="Clear"/>
    <x v="0"/>
    <s v="Copy"/>
    <s v="Y"/>
    <x v="0"/>
    <m/>
    <m/>
    <m/>
    <m/>
  </r>
  <r>
    <x v="5"/>
    <s v="Tianjin"/>
    <s v="Great Wall"/>
    <s v="Dragon Max (B07)"/>
    <s v="OEM"/>
    <x v="0"/>
    <s v="W2250APT"/>
    <s v="L"/>
    <s v="E2"/>
    <s v="Clear"/>
    <x v="0"/>
    <s v="BF011910"/>
    <s v="Y"/>
    <x v="0"/>
    <n v="0.5"/>
    <n v="107"/>
    <n v="30"/>
    <s v="N/A"/>
  </r>
  <r>
    <x v="5"/>
    <s v="Tianjin"/>
    <s v="Great Wall"/>
    <s v="LanShan DHT (C01)"/>
    <s v="OEM"/>
    <x v="2"/>
    <s v="W2229AAT"/>
    <s v="L"/>
    <s v="E2"/>
    <s v="Clear"/>
    <x v="0"/>
    <s v="BF011908"/>
    <s v="Y"/>
    <x v="0"/>
    <n v="0.28999999999999998"/>
    <n v="115"/>
    <n v="30"/>
    <s v="N/A"/>
  </r>
  <r>
    <x v="5"/>
    <s v="Tianjin"/>
    <s v="Great Wall"/>
    <s v="WEY VV6 (V61)"/>
    <s v="OEM"/>
    <x v="1"/>
    <s v="W2233AA"/>
    <s v="L"/>
    <s v="E2"/>
    <s v="Clear"/>
    <x v="0"/>
    <s v="BF010669 (L8), BF011311 (L9 50m)"/>
    <s v="Y"/>
    <x v="2"/>
    <n v="0.33"/>
    <n v="91"/>
    <n v="30"/>
    <s v="N/A"/>
  </r>
  <r>
    <x v="5"/>
    <s v="Tianjin"/>
    <s v="Great Wall"/>
    <s v="WEY VV6 (V61)"/>
    <s v="OEM"/>
    <x v="2"/>
    <s v="W2233ABT"/>
    <s v="L"/>
    <s v="E2"/>
    <s v="Clear"/>
    <x v="0"/>
    <s v="BF011518"/>
    <s v="Y"/>
    <x v="0"/>
    <n v="0.33"/>
    <n v="91"/>
    <n v="30"/>
    <s v="N/A"/>
  </r>
  <r>
    <x v="5"/>
    <s v="Tianjin"/>
    <s v="Hyundai"/>
    <s v="NX4C"/>
    <s v="OEM"/>
    <x v="1"/>
    <s v="W5040AA"/>
    <s v="L"/>
    <s v="E2"/>
    <s v="Clear"/>
    <x v="1"/>
    <s v="BF011666"/>
    <m/>
    <x v="1"/>
    <n v="0.4"/>
    <n v="110"/>
    <n v="30"/>
    <s v="N/A"/>
  </r>
  <r>
    <x v="5"/>
    <s v="Tianjin"/>
    <s v="LiXiang"/>
    <s v="Mega e-MPV"/>
    <s v="OEM"/>
    <x v="0"/>
    <s v="W2240AP"/>
    <s v="L"/>
    <s v="E2"/>
    <s v="Clear"/>
    <x v="0"/>
    <s v="BF011907"/>
    <s v="Y"/>
    <x v="0"/>
    <n v="0.4"/>
    <n v="135"/>
    <n v="30"/>
    <s v="N/A"/>
  </r>
  <r>
    <x v="5"/>
    <s v="Tianjin"/>
    <s v="LiXiang"/>
    <s v="W01"/>
    <s v="OEM"/>
    <x v="1"/>
    <s v="W2242AA"/>
    <s v="L"/>
    <s v="E2"/>
    <s v="Clear"/>
    <x v="0"/>
    <s v="BF011708"/>
    <s v="Y"/>
    <x v="0"/>
    <n v="0.42"/>
    <n v="135"/>
    <n v="30"/>
    <s v="N/A"/>
  </r>
  <r>
    <x v="5"/>
    <s v="Tianjin"/>
    <s v="Toyota"/>
    <s v="Crown Kluger (770B)"/>
    <s v="OEM"/>
    <x v="2"/>
    <s v="W2248AGT"/>
    <s v="L"/>
    <s v="E2"/>
    <s v="Clear"/>
    <x v="0"/>
    <s v="BF011909"/>
    <s v="Y"/>
    <x v="0"/>
    <n v="0.48"/>
    <n v="103"/>
    <n v="30"/>
    <s v="N/A"/>
  </r>
  <r>
    <x v="5"/>
    <s v="Tianjin"/>
    <s v="Toyota"/>
    <s v="Crown Kluger (770B)"/>
    <s v="OEM"/>
    <x v="2"/>
    <s v="W5048AC"/>
    <s v="L"/>
    <s v="E2"/>
    <s v="Clear"/>
    <x v="1"/>
    <s v="BF011791"/>
    <m/>
    <x v="1"/>
    <n v="0.48"/>
    <n v="98"/>
    <n v="25"/>
    <s v="N/A"/>
  </r>
  <r>
    <x v="5"/>
    <s v="Tianjin"/>
    <s v="Toyota"/>
    <s v="Sienna MPV (018D)"/>
    <s v="OEM"/>
    <x v="2"/>
    <s v="W2232ADT"/>
    <s v="L"/>
    <s v="E2"/>
    <s v="Clear"/>
    <x v="0"/>
    <s v="BF011517"/>
    <s v="Y"/>
    <x v="0"/>
    <n v="0.32"/>
    <n v="121"/>
    <n v="30"/>
    <s v="N/A"/>
  </r>
  <r>
    <x v="5"/>
    <s v="Tianjin"/>
    <m/>
    <m/>
    <s v="OEM"/>
    <x v="0"/>
    <s v="W5027AA"/>
    <s v="L"/>
    <s v="E2"/>
    <s v="Clear"/>
    <x v="1"/>
    <s v="BF011793"/>
    <m/>
    <x v="1"/>
    <n v="0.27"/>
    <n v="108"/>
    <n v="30"/>
    <s v="N/A"/>
  </r>
  <r>
    <x v="5"/>
    <s v="Tianjin"/>
    <m/>
    <m/>
    <s v="OEM"/>
    <x v="0"/>
    <s v="W5056AB"/>
    <s v="F"/>
    <s v="R3"/>
    <s v="Clear"/>
    <x v="1"/>
    <s v="BF011647"/>
    <m/>
    <x v="1"/>
    <n v="0.56000000000000005"/>
    <n v="98"/>
    <n v="30"/>
    <s v="N/A"/>
  </r>
  <r>
    <x v="5"/>
    <s v="Zhengzhou"/>
    <s v="BYD"/>
    <s v="Dynasty Song Plus (SA3F)"/>
    <s v="OEM"/>
    <x v="2"/>
    <s v="W2230ABT"/>
    <s v="L"/>
    <s v="E2"/>
    <s v="Clear"/>
    <x v="0"/>
    <s v="BF011853"/>
    <s v="Y"/>
    <x v="0"/>
    <n v="0.3"/>
    <n v="105"/>
    <n v="30"/>
    <s v="N/A"/>
  </r>
  <r>
    <x v="5"/>
    <s v="Zhengzhou"/>
    <s v="BYD"/>
    <s v="SA3"/>
    <s v="OEM"/>
    <x v="2"/>
    <s v="W2222ACT"/>
    <s v="L"/>
    <s v="E2"/>
    <s v="Clear"/>
    <x v="0"/>
    <s v="BF012558 (CB1P), BF012704 (CB4P)"/>
    <s v="Y"/>
    <x v="0"/>
    <n v="0.22"/>
    <n v="112"/>
    <n v="30"/>
    <s v="N/A"/>
  </r>
  <r>
    <x v="5"/>
    <s v="Zhengzhou"/>
    <s v="BYD"/>
    <s v="Formula Leopard Bao 5 (SFH)"/>
    <s v="OEM"/>
    <x v="2"/>
    <s v="W2227AAT"/>
    <s v="L"/>
    <s v="E2"/>
    <s v="Clear"/>
    <x v="0"/>
    <s v="BF011803"/>
    <s v="Y"/>
    <x v="0"/>
    <n v="0.27"/>
    <n v="83"/>
    <n v="20"/>
    <s v="N/A"/>
  </r>
  <r>
    <x v="5"/>
    <s v="Zhengzhou"/>
    <s v="BYD"/>
    <s v="Formula Leopard Bao 5 (SFH)"/>
    <s v="OEM"/>
    <x v="0"/>
    <s v="W2228AET"/>
    <s v="L"/>
    <s v="E2"/>
    <s v="Clear"/>
    <x v="0"/>
    <s v="BF012717"/>
    <s v="Y"/>
    <x v="0"/>
    <n v="0.28000000000000003"/>
    <n v="83"/>
    <n v="15"/>
    <s v="N/A"/>
  </r>
  <r>
    <x v="5"/>
    <s v="Zhengzhou"/>
    <s v="BYD"/>
    <s v="Formula Leopard Bao 8 (SQ)"/>
    <s v="OEM"/>
    <x v="0"/>
    <s v="W2228AC"/>
    <s v="L"/>
    <s v="E2"/>
    <s v="Clear"/>
    <x v="0"/>
    <s v="BF012372"/>
    <s v="Y"/>
    <x v="0"/>
    <n v="0.28000000000000003"/>
    <n v="92"/>
    <n v="24"/>
    <s v="N/A"/>
  </r>
  <r>
    <x v="5"/>
    <s v="Zhengzhou"/>
    <s v="BYD"/>
    <s v="Frigate SUV (SK2F)"/>
    <s v="OEM"/>
    <x v="0"/>
    <s v="W2235AFT"/>
    <s v="L"/>
    <s v="E2"/>
    <s v="Clear"/>
    <x v="0"/>
    <s v="BF012545"/>
    <s v="Y"/>
    <x v="0"/>
    <n v="0.35"/>
    <n v="105"/>
    <n v="30"/>
    <s v="N/A"/>
  </r>
  <r>
    <x v="5"/>
    <s v="Zhengzhou"/>
    <s v="BYD"/>
    <s v="Frigate SUV (SK2F)"/>
    <s v="OEM"/>
    <x v="2"/>
    <s v="W2251ADT"/>
    <s v="L"/>
    <s v="E2"/>
    <s v="Clear"/>
    <x v="0"/>
    <s v="BF011579"/>
    <s v="Y"/>
    <x v="0"/>
    <n v="0.51"/>
    <n v="105"/>
    <n v="30"/>
    <s v="N/A"/>
  </r>
  <r>
    <x v="5"/>
    <s v="Zhengzhou"/>
    <s v="BYD"/>
    <s v="Frigate SUV (SK2F)"/>
    <s v="OEM"/>
    <x v="0"/>
    <s v="W2253AB"/>
    <s v="L"/>
    <s v="E2"/>
    <s v="Clear"/>
    <x v="0"/>
    <s v="BF012316"/>
    <s v="Y"/>
    <x v="0"/>
    <n v="0.53"/>
    <n v="105"/>
    <n v="25"/>
    <s v="N/A"/>
  </r>
  <r>
    <x v="5"/>
    <s v="Zhengzhou"/>
    <s v="BYD"/>
    <s v="HB"/>
    <s v="OEM"/>
    <x v="0"/>
    <s v="W2227AQT"/>
    <s v="L"/>
    <s v="E2"/>
    <s v="Clear"/>
    <x v="0"/>
    <m/>
    <s v="Y"/>
    <x v="0"/>
    <n v="0.27"/>
    <n v="114"/>
    <n v="30"/>
    <s v="N/A"/>
  </r>
  <r>
    <x v="5"/>
    <s v="Zhengzhou"/>
    <s v="BYD"/>
    <s v="HXHA"/>
    <s v="OEM"/>
    <x v="1"/>
    <s v="W2225AB"/>
    <s v="L"/>
    <s v="E2"/>
    <s v="Clear"/>
    <x v="0"/>
    <s v="BF011538"/>
    <s v="Y"/>
    <x v="0"/>
    <n v="0.25"/>
    <n v="130"/>
    <n v="30"/>
    <s v="N/A"/>
  </r>
  <r>
    <x v="5"/>
    <s v="Zhengzhou"/>
    <s v="BYD"/>
    <s v="HXHA"/>
    <s v="OEM"/>
    <x v="1"/>
    <s v="W2244AJ"/>
    <s v="L"/>
    <s v="E2"/>
    <s v="Clear"/>
    <x v="0"/>
    <s v="BF011802"/>
    <s v="Y"/>
    <x v="0"/>
    <n v="0.44"/>
    <n v="107"/>
    <n v="30"/>
    <s v="N/A"/>
  </r>
  <r>
    <x v="5"/>
    <s v="Zhengzhou"/>
    <s v="BYD"/>
    <s v="HXHA"/>
    <s v="OEM"/>
    <x v="2"/>
    <s v="W2247ADT"/>
    <s v="L"/>
    <s v="E2"/>
    <s v="Clear"/>
    <x v="0"/>
    <s v="BF011794"/>
    <s v="Y"/>
    <x v="0"/>
    <n v="0.47"/>
    <n v="106"/>
    <n v="30"/>
    <s v="N/A"/>
  </r>
  <r>
    <x v="5"/>
    <s v="Zhengzhou"/>
    <s v="BYD"/>
    <s v="HXHA"/>
    <s v="OEM"/>
    <x v="0"/>
    <s v="W2239AEH (copy)"/>
    <s v="L"/>
    <s v="E2"/>
    <s v="Clear"/>
    <x v="0"/>
    <s v="Copy"/>
    <m/>
    <x v="0"/>
    <m/>
    <m/>
    <m/>
    <m/>
  </r>
  <r>
    <x v="5"/>
    <s v="Zhengzhou"/>
    <s v="BYD"/>
    <s v="PAHA"/>
    <s v="OEM"/>
    <x v="1"/>
    <s v="W5063AA"/>
    <s v="F"/>
    <s v="R3"/>
    <s v="Clear"/>
    <x v="1"/>
    <s v="BF011466"/>
    <m/>
    <x v="1"/>
    <n v="0.63"/>
    <n v="120"/>
    <n v="30"/>
    <s v="N/A"/>
  </r>
  <r>
    <x v="5"/>
    <s v="Zhengzhou"/>
    <s v="BYD"/>
    <s v="PAHA"/>
    <s v="OEM"/>
    <x v="0"/>
    <s v="W5048AB (copy)"/>
    <s v="F"/>
    <s v="R3"/>
    <s v="Clear"/>
    <x v="1"/>
    <s v="Copy"/>
    <m/>
    <x v="1"/>
    <m/>
    <m/>
    <m/>
    <m/>
  </r>
  <r>
    <x v="5"/>
    <s v="Zhengzhou"/>
    <s v="BYD"/>
    <s v="SA5/SA3"/>
    <s v="OEM"/>
    <x v="0"/>
    <s v="W2229AB (copy)"/>
    <s v="L"/>
    <s v="E2"/>
    <s v="Clear"/>
    <x v="0"/>
    <s v="Copy"/>
    <s v="Y"/>
    <x v="0"/>
    <m/>
    <m/>
    <s v="See Fuyao Guangzhou for original set-up"/>
    <m/>
  </r>
  <r>
    <x v="5"/>
    <s v="Zhengzhou"/>
    <s v="BYD"/>
    <s v="SC2"/>
    <s v="OEM"/>
    <x v="0"/>
    <s v="W5046AA"/>
    <s v="F"/>
    <s v="R3"/>
    <s v="Clear"/>
    <x v="1"/>
    <m/>
    <s v="Y"/>
    <x v="1"/>
    <n v="0.46"/>
    <n v="105"/>
    <n v="30"/>
    <s v="N/A"/>
  </r>
  <r>
    <x v="5"/>
    <s v="Zhengzhou"/>
    <s v="BYD"/>
    <s v="SC2 EV"/>
    <s v="OEM"/>
    <x v="0"/>
    <s v="W5044AB"/>
    <s v="F"/>
    <s v="R3"/>
    <s v="Clear"/>
    <x v="1"/>
    <s v="tbd"/>
    <s v="Y"/>
    <x v="1"/>
    <n v="0.44"/>
    <n v="105"/>
    <n v="30"/>
    <s v="N/A"/>
  </r>
  <r>
    <x v="5"/>
    <s v="Zhengzhou"/>
    <s v="BYD"/>
    <s v="SK2F"/>
    <s v="OEM"/>
    <x v="1"/>
    <s v="W2249AF"/>
    <s v="L"/>
    <s v="E2"/>
    <s v="Clear"/>
    <x v="0"/>
    <s v="BF011637"/>
    <s v="Y"/>
    <x v="0"/>
    <n v="0.49"/>
    <n v="120"/>
    <n v="30"/>
    <s v="N/A"/>
  </r>
  <r>
    <x v="5"/>
    <s v="Zhengzhou"/>
    <s v="BYD"/>
    <s v="SK2F"/>
    <s v="OEM"/>
    <x v="1"/>
    <s v="W2251AB"/>
    <s v="L"/>
    <s v="E2"/>
    <s v="Clear"/>
    <x v="0"/>
    <s v="BF010872 (50m), BF011314 (L9 50m)"/>
    <s v="Y"/>
    <x v="0"/>
    <n v="0.51"/>
    <n v="107"/>
    <n v="30"/>
    <s v="N/A"/>
  </r>
  <r>
    <x v="5"/>
    <s v="Zhengzhou"/>
    <s v="BYD"/>
    <s v="SK2F"/>
    <s v="OEM"/>
    <x v="1"/>
    <s v="W2251AC"/>
    <s v="L"/>
    <s v="E2"/>
    <s v="Clear"/>
    <x v="0"/>
    <s v="BF011521"/>
    <s v="Y"/>
    <x v="0"/>
    <n v="0.51"/>
    <n v="107"/>
    <n v="30"/>
    <s v="N/A"/>
  </r>
  <r>
    <x v="5"/>
    <s v="Zhengzhou"/>
    <m/>
    <m/>
    <s v="OEM"/>
    <x v="0"/>
    <s v="W2232ALT"/>
    <s v="L"/>
    <s v="E2"/>
    <s v="Clear"/>
    <x v="0"/>
    <s v="tbd"/>
    <s v="Y"/>
    <x v="0"/>
    <n v="0.32"/>
    <n v="83"/>
    <n v="20"/>
    <s v="N/A"/>
  </r>
  <r>
    <x v="5"/>
    <s v="Zhengzhou"/>
    <s v="BYD"/>
    <s v="Song L SUV (SA5)"/>
    <s v="OEM"/>
    <x v="0"/>
    <s v="W2222ADT"/>
    <s v="L"/>
    <s v="E2"/>
    <s v="Clear"/>
    <x v="0"/>
    <s v="BF012559 (CB1P), BF012705 (CB4P)]"/>
    <s v="Y"/>
    <x v="0"/>
    <n v="0.22"/>
    <n v="118"/>
    <n v="30"/>
    <s v="N/A"/>
  </r>
  <r>
    <x v="5"/>
    <s v="Zhengzhou"/>
    <s v="BYD"/>
    <s v="SQ"/>
    <s v="OEM"/>
    <x v="0"/>
    <s v="W2231ACT"/>
    <s v="L"/>
    <s v="E2"/>
    <s v="Clear"/>
    <x v="0"/>
    <s v="BF012718"/>
    <s v="Y"/>
    <x v="0"/>
    <n v="0.31"/>
    <n v="92"/>
    <n v="20"/>
    <s v="N/A"/>
  </r>
  <r>
    <x v="5"/>
    <s v="Zhengzhou"/>
    <s v="BYD"/>
    <s v="SD"/>
    <s v="OEM"/>
    <x v="0"/>
    <s v="W2231ADT"/>
    <s v="L"/>
    <s v="E2"/>
    <s v="Clear"/>
    <x v="0"/>
    <m/>
    <s v="Y"/>
    <x v="0"/>
    <n v="0.31"/>
    <n v="107"/>
    <n v="24"/>
    <s v="N/A"/>
  </r>
  <r>
    <x v="5"/>
    <s v="Zhengzhou"/>
    <s v="BYD"/>
    <s v="SR"/>
    <s v="OEM"/>
    <x v="0"/>
    <s v="W2232AIT"/>
    <s v="L"/>
    <s v="E2"/>
    <s v="Clear"/>
    <x v="0"/>
    <s v="BF012732"/>
    <s v="Y"/>
    <x v="0"/>
    <n v="0.32"/>
    <n v="114"/>
    <n v="30"/>
    <s v="N/A"/>
  </r>
  <r>
    <x v="5"/>
    <s v="Zhengzhou"/>
    <s v="BYD"/>
    <s v="SFHE"/>
    <s v="OEM"/>
    <x v="0"/>
    <s v="W2224ACT"/>
    <s v="L"/>
    <s v="E2"/>
    <s v="Clear"/>
    <x v="0"/>
    <m/>
    <s v="Y"/>
    <x v="0"/>
    <n v="0.24"/>
    <n v="90"/>
    <n v="17"/>
    <s v="N/A"/>
  </r>
  <r>
    <x v="5"/>
    <s v="Zhengzhou"/>
    <s v="BYD"/>
    <s v="URE"/>
    <s v="OEM"/>
    <x v="0"/>
    <s v="W2255AF"/>
    <s v="L"/>
    <s v="E2"/>
    <s v="Clear"/>
    <x v="0"/>
    <s v="BF012733"/>
    <s v="Y"/>
    <x v="0"/>
    <n v="0.55000000000000004"/>
    <n v="90"/>
    <n v="20"/>
    <s v="N/A"/>
  </r>
  <r>
    <x v="5"/>
    <s v="Zhengzhou"/>
    <s v="BYD"/>
    <s v="URE"/>
    <s v="OEM"/>
    <x v="0"/>
    <s v="W2247AHT"/>
    <s v="L"/>
    <s v="E2"/>
    <s v="Clear"/>
    <x v="0"/>
    <m/>
    <s v="Y"/>
    <x v="0"/>
    <n v="0.47"/>
    <n v="97"/>
    <n v="24"/>
    <s v="N/A"/>
  </r>
  <r>
    <x v="5"/>
    <s v="Zhengzhou"/>
    <s v="Geely"/>
    <s v="BoYue L (FX11)"/>
    <s v="OEM"/>
    <x v="0"/>
    <s v="W2232AGT"/>
    <s v="L"/>
    <s v="E2"/>
    <s v="Clear"/>
    <x v="0"/>
    <s v="BF012560 (CB1P),"/>
    <s v="Y"/>
    <x v="0"/>
    <n v="0.32"/>
    <n v="101"/>
    <n v="30"/>
    <s v="N/A"/>
  </r>
  <r>
    <x v="5"/>
    <s v="Zhengzhou"/>
    <s v="Geely"/>
    <s v="BoYue L (FX11)"/>
    <s v="OEM"/>
    <x v="1"/>
    <s v="W2238ABT"/>
    <s v="L"/>
    <s v="E2"/>
    <s v="Clear"/>
    <x v="0"/>
    <s v="BF012123"/>
    <s v="Y"/>
    <x v="0"/>
    <n v="0.38"/>
    <n v="94"/>
    <n v="25"/>
    <s v="N/A"/>
  </r>
  <r>
    <x v="5"/>
    <s v="Zhengzhou"/>
    <s v="Geely"/>
    <s v="BoYue L (FX11)"/>
    <s v="OEM"/>
    <x v="2"/>
    <s v="W2240ART"/>
    <s v="L"/>
    <s v="E2"/>
    <s v="Clear"/>
    <x v="0"/>
    <s v="BF011930"/>
    <s v="Y"/>
    <x v="0"/>
    <n v="0.4"/>
    <n v="94"/>
    <n v="25"/>
    <s v="N/A"/>
  </r>
  <r>
    <x v="5"/>
    <s v="Zhengzhou"/>
    <s v="Geely"/>
    <s v="BoYue L (FX11)"/>
    <s v="OEM"/>
    <x v="0"/>
    <s v="W2232AMT"/>
    <s v="L"/>
    <s v="E2"/>
    <s v="Clear"/>
    <x v="0"/>
    <s v="tbd"/>
    <s v="Y"/>
    <x v="0"/>
    <n v="0.32"/>
    <n v="101"/>
    <n v="23"/>
    <s v="N/A"/>
  </r>
  <r>
    <x v="5"/>
    <s v="Zhengzhou"/>
    <s v="Geely"/>
    <s v="P181"/>
    <s v="OEM"/>
    <x v="0"/>
    <s v="W5047AA"/>
    <s v="F"/>
    <s v="R3"/>
    <s v="Clear"/>
    <x v="0"/>
    <m/>
    <m/>
    <x v="1"/>
    <n v="0.47"/>
    <n v="105"/>
    <n v="27"/>
    <s v="N/A"/>
  </r>
  <r>
    <x v="5"/>
    <s v="Zhengzhou"/>
    <s v="Geely"/>
    <s v="P181"/>
    <s v="OEM"/>
    <x v="0"/>
    <s v="W5047AB"/>
    <s v="F"/>
    <s v="R3"/>
    <s v="Clear"/>
    <x v="0"/>
    <m/>
    <s v="Y"/>
    <x v="1"/>
    <n v="0.47"/>
    <n v="105"/>
    <n v="27"/>
    <s v="N/A"/>
  </r>
  <r>
    <x v="5"/>
    <s v="Zhengzhou"/>
    <s v="Geely"/>
    <s v="P182"/>
    <s v="OEM"/>
    <x v="0"/>
    <s v="W2246AGT"/>
    <s v="L"/>
    <s v="E2"/>
    <s v="Clear"/>
    <x v="0"/>
    <s v="BF013004"/>
    <s v="Y"/>
    <x v="0"/>
    <n v="0.46"/>
    <n v="105"/>
    <n v="27"/>
    <s v="N/A"/>
  </r>
  <r>
    <x v="5"/>
    <s v="Zhengzhou"/>
    <s v="Geely"/>
    <s v="P182"/>
    <s v="OEM"/>
    <x v="0"/>
    <s v="W2225AJT"/>
    <s v="L"/>
    <s v="E2"/>
    <s v="Clear"/>
    <x v="0"/>
    <s v="BF012979"/>
    <s v="Y"/>
    <x v="0"/>
    <n v="0.25"/>
    <n v="108"/>
    <n v="20"/>
    <s v="N/A"/>
  </r>
  <r>
    <x v="5"/>
    <s v="Zhengzhou"/>
    <s v="Geely"/>
    <s v="P182"/>
    <s v="OEM"/>
    <x v="0"/>
    <s v="W2246AIT"/>
    <s v="L"/>
    <s v="E2"/>
    <s v="Clear"/>
    <x v="0"/>
    <m/>
    <s v="Y"/>
    <x v="0"/>
    <n v="0.46"/>
    <n v="105"/>
    <n v="27"/>
    <s v="N/A"/>
  </r>
  <r>
    <x v="5"/>
    <s v="Zhengzhou"/>
    <m/>
    <m/>
    <s v="OEM"/>
    <x v="0"/>
    <s v="W2219AC"/>
    <s v="L"/>
    <s v="E2"/>
    <s v="Clear"/>
    <x v="0"/>
    <s v="BF012105"/>
    <s v="Y"/>
    <x v="0"/>
    <n v="0.19"/>
    <n v="98"/>
    <n v="25"/>
    <s v="N/A"/>
  </r>
  <r>
    <x v="5"/>
    <s v="Zhengzhou"/>
    <m/>
    <m/>
    <s v="OEM"/>
    <x v="0"/>
    <s v="W2226AD"/>
    <s v="L"/>
    <s v="E2"/>
    <s v="Clear"/>
    <x v="0"/>
    <s v="BF012500"/>
    <s v="Y"/>
    <x v="0"/>
    <n v="0.26"/>
    <n v="110"/>
    <n v="30"/>
    <s v="N/A"/>
  </r>
  <r>
    <x v="5"/>
    <s v="Zhengzhou"/>
    <m/>
    <m/>
    <s v="OEM"/>
    <x v="1"/>
    <s v="W2228AAT"/>
    <s v="L"/>
    <s v="E2"/>
    <s v="Clear"/>
    <x v="0"/>
    <s v="BF011804"/>
    <s v="Y"/>
    <x v="0"/>
    <n v="0.28000000000000003"/>
    <n v="92"/>
    <n v="25"/>
    <s v="N/A"/>
  </r>
  <r>
    <x v="5"/>
    <s v="Zhengzhou"/>
    <m/>
    <m/>
    <s v="OEM"/>
    <x v="0"/>
    <s v="W5029AA"/>
    <s v="F"/>
    <s v="R3"/>
    <s v="Clear"/>
    <x v="1"/>
    <s v="BF011915"/>
    <m/>
    <x v="1"/>
    <n v="0.28999999999999998"/>
    <n v="110"/>
    <n v="30"/>
    <s v="N/A"/>
  </r>
  <r>
    <x v="5"/>
    <s v="Zhengzhou"/>
    <m/>
    <m/>
    <s v="OEM"/>
    <x v="0"/>
    <s v="W2240AWT"/>
    <s v="L"/>
    <s v="E2"/>
    <s v="Clear"/>
    <x v="0"/>
    <m/>
    <s v="Y"/>
    <x v="0"/>
    <n v="0.4"/>
    <n v="94"/>
    <n v="21"/>
    <s v="N/A"/>
  </r>
  <r>
    <x v="5"/>
    <s v="Zhengzhou"/>
    <m/>
    <m/>
    <s v="OEM"/>
    <x v="0"/>
    <s v="W2240AS"/>
    <s v="L"/>
    <s v="E2"/>
    <s v="Clear"/>
    <x v="0"/>
    <s v="BF012124"/>
    <s v="Y"/>
    <x v="0"/>
    <n v="0.4"/>
    <n v="118"/>
    <n v="30"/>
    <s v="N/A"/>
  </r>
  <r>
    <x v="5"/>
    <s v="Zhengzhou"/>
    <m/>
    <m/>
    <s v="OEM"/>
    <x v="1"/>
    <s v="W5063AB"/>
    <s v="F"/>
    <s v="R3"/>
    <s v="Clear"/>
    <x v="1"/>
    <s v="BF011805"/>
    <m/>
    <x v="1"/>
    <n v="0.63"/>
    <n v="91"/>
    <n v="25"/>
    <s v="N/A"/>
  </r>
  <r>
    <x v="6"/>
    <s v="Jeoneui"/>
    <s v="Hyundai"/>
    <s v="CE1 (IONIQ 6)"/>
    <s v="OEM"/>
    <x v="0"/>
    <s v="W2239AD"/>
    <s v="K"/>
    <s v="E2"/>
    <s v="Clear"/>
    <x v="0"/>
    <s v="BF011451"/>
    <s v="Y"/>
    <x v="0"/>
    <n v="0.39"/>
    <n v="113"/>
    <n v="25"/>
    <s v="N/A"/>
  </r>
  <r>
    <x v="6"/>
    <s v="Jeoneui"/>
    <s v="Hyundai"/>
    <s v="CE1 (IONIQ 6)"/>
    <s v="OEM"/>
    <x v="0"/>
    <s v="W2241AF"/>
    <s v="K"/>
    <s v="E2"/>
    <s v="Clear"/>
    <x v="0"/>
    <s v="BF011739"/>
    <s v="Y"/>
    <x v="0"/>
    <n v="0.41"/>
    <n v="113"/>
    <n v="25"/>
    <s v="N/A"/>
  </r>
  <r>
    <x v="6"/>
    <s v="Jeoneui"/>
    <s v="Hyundai"/>
    <s v="DN8 (Sonata, 2020-?)"/>
    <s v="OEM"/>
    <x v="1"/>
    <s v="W2043"/>
    <s v="K"/>
    <s v="E2"/>
    <s v="Clear"/>
    <x v="1"/>
    <s v="BF008936"/>
    <s v="Y"/>
    <x v="2"/>
    <n v="0.43"/>
    <n v="101"/>
    <n v="30"/>
    <s v="N/A"/>
  </r>
  <r>
    <x v="6"/>
    <s v="Jeoneui"/>
    <s v="Hyundai"/>
    <s v="DN8 (Sonata, 2020-?)"/>
    <s v="OEM"/>
    <x v="1"/>
    <s v="W2045AA"/>
    <s v="K"/>
    <s v="E2"/>
    <s v="Clear"/>
    <x v="1"/>
    <s v="BF009297"/>
    <s v="Y"/>
    <x v="2"/>
    <n v="0.45"/>
    <n v="101"/>
    <n v="30"/>
    <s v="N/A"/>
  </r>
  <r>
    <x v="6"/>
    <s v="Jeoneui"/>
    <s v="Hyundai"/>
    <s v="HI (G90)"/>
    <s v="OEM"/>
    <x v="1"/>
    <s v="W1340AA"/>
    <s v="K"/>
    <s v="E2"/>
    <s v="Blue"/>
    <x v="0"/>
    <s v="BF008714"/>
    <s v="Y"/>
    <x v="2"/>
    <n v="0.4"/>
    <n v="102"/>
    <n v="30"/>
    <n v="14"/>
  </r>
  <r>
    <x v="6"/>
    <s v="Jeoneui"/>
    <s v="Hyundai"/>
    <s v="HI (G90)"/>
    <s v="OEM"/>
    <x v="1"/>
    <s v="W1342AA"/>
    <s v="K"/>
    <s v="E2"/>
    <s v="Blue"/>
    <x v="0"/>
    <s v="BF009293"/>
    <s v="Y"/>
    <x v="2"/>
    <n v="0.42"/>
    <n v="102"/>
    <n v="30"/>
    <n v="14"/>
  </r>
  <r>
    <x v="6"/>
    <s v="Jeoneui"/>
    <s v="Hyundai"/>
    <s v="IG F/L (Grandeur/Azera 2017-?)"/>
    <s v="OEM"/>
    <x v="1"/>
    <s v="W1353"/>
    <s v="K"/>
    <s v="E2"/>
    <s v="Blue"/>
    <x v="0"/>
    <s v="BF008929"/>
    <s v="Y"/>
    <x v="2"/>
    <n v="0.53"/>
    <n v="100"/>
    <n v="30"/>
    <n v="13"/>
  </r>
  <r>
    <x v="6"/>
    <s v="Jeoneui"/>
    <s v="Hyundai"/>
    <s v="IG F/L (Grandeur/Azera 2017-?)"/>
    <s v="OEM"/>
    <x v="1"/>
    <s v="W1353AA"/>
    <s v="K"/>
    <s v="E2"/>
    <s v="Blue"/>
    <x v="0"/>
    <s v="BF009452"/>
    <s v="Y"/>
    <x v="2"/>
    <n v="0.53"/>
    <n v="104"/>
    <n v="30"/>
    <n v="14"/>
  </r>
  <r>
    <x v="6"/>
    <s v="Jeoneui"/>
    <s v="Hyundai"/>
    <s v="IG F/L (Grandeur/Azera 2017-?)"/>
    <s v="OEM"/>
    <x v="1"/>
    <s v="W1355AA"/>
    <s v="K"/>
    <s v="E2"/>
    <s v="Blue"/>
    <x v="0"/>
    <s v="BF009292"/>
    <s v="Y"/>
    <x v="2"/>
    <n v="0.55000000000000004"/>
    <n v="100"/>
    <n v="30"/>
    <n v="13"/>
  </r>
  <r>
    <x v="6"/>
    <s v="Jeoneui"/>
    <s v="Hyundai"/>
    <s v="ME (IONIQ 7)"/>
    <s v="OEM"/>
    <x v="2"/>
    <s v="W2246AE"/>
    <s v="K"/>
    <s v="R"/>
    <s v="Clear"/>
    <x v="0"/>
    <s v="BF012305 (CB1P), BF012521 (CB2P), ___ (MB2P)"/>
    <s v="Y"/>
    <x v="0"/>
    <n v="0.46"/>
    <n v="122"/>
    <n v="30"/>
    <s v="N/A"/>
  </r>
  <r>
    <x v="6"/>
    <s v="Jeoneui"/>
    <s v="Hyundai"/>
    <s v="ME (IONIQ 7)"/>
    <s v="OEM"/>
    <x v="1"/>
    <s v="W2250AS"/>
    <s v="K"/>
    <s v="E2"/>
    <s v="Clear"/>
    <x v="0"/>
    <s v="BF012073"/>
    <s v="Y"/>
    <x v="0"/>
    <n v="0.5"/>
    <n v="119"/>
    <n v="30"/>
    <s v="N/A"/>
  </r>
  <r>
    <x v="6"/>
    <s v="Jeoneui"/>
    <s v="Hyundai"/>
    <s v="MX5 (new Santa Fe)"/>
    <s v="OEM"/>
    <x v="1"/>
    <s v="W2258AF"/>
    <s v="K"/>
    <s v="E2"/>
    <s v="Clear"/>
    <x v="0"/>
    <s v="BF011687"/>
    <s v="Y"/>
    <x v="0"/>
    <n v="0.57999999999999996"/>
    <n v="113"/>
    <n v="28"/>
    <s v="N/A"/>
  </r>
  <r>
    <x v="6"/>
    <s v="Jeoneui"/>
    <s v="Hyundai"/>
    <s v="MX5 (new Santa Fe)"/>
    <s v="OEM"/>
    <x v="2"/>
    <s v="W2260AG"/>
    <s v="K"/>
    <s v="E2"/>
    <s v="Clear"/>
    <x v="0"/>
    <s v="BF011843 (277m), BF012442 (275m), ___ (MB2P)"/>
    <s v="Y"/>
    <x v="0"/>
    <n v="0.6"/>
    <n v="113"/>
    <n v="28"/>
    <s v="N/A"/>
  </r>
  <r>
    <x v="6"/>
    <s v="Jeoneui"/>
    <s v="Hyundai"/>
    <s v="NE (IONIQ 5 AR HUD)"/>
    <s v="OEM"/>
    <x v="2"/>
    <s v="W2217AB"/>
    <s v="K"/>
    <s v="E2"/>
    <s v="Clear"/>
    <x v="0"/>
    <s v="BF011459 (CB1P), BF012424 (CB4P)"/>
    <s v="Y"/>
    <x v="0"/>
    <n v="0.17"/>
    <n v="119"/>
    <n v="20"/>
    <s v="N/A"/>
  </r>
  <r>
    <x v="6"/>
    <s v="Jeoneui"/>
    <s v="Hyundai"/>
    <s v="NE (IONIQ 5 AR HUD)"/>
    <s v="OEM"/>
    <x v="2"/>
    <s v="W2217AC"/>
    <s v="K"/>
    <s v="R"/>
    <s v="Clear"/>
    <x v="0"/>
    <s v="BF011710, BF011969 (375m), ___ (MB2P)"/>
    <s v="Y"/>
    <x v="0"/>
    <n v="0.17"/>
    <n v="119"/>
    <n v="20"/>
    <s v="N/A"/>
  </r>
  <r>
    <x v="6"/>
    <s v="Jeoneui"/>
    <s v="Hyundai"/>
    <s v="NE (IONIQ 5 std HUD)"/>
    <s v="OEM"/>
    <x v="2"/>
    <s v="W2241AG"/>
    <s v="K"/>
    <s v="E2"/>
    <s v="Clear"/>
    <x v="0"/>
    <s v="BF011844, ___"/>
    <s v="Y"/>
    <x v="0"/>
    <n v="0.41"/>
    <n v="119"/>
    <n v="28"/>
    <s v="N/A"/>
  </r>
  <r>
    <x v="6"/>
    <s v="Jeoneui"/>
    <s v="Hyundai"/>
    <s v="NE (IONIQ 5)"/>
    <s v="OEM"/>
    <x v="1"/>
    <s v="W2212AB"/>
    <s v="K"/>
    <s v="E2"/>
    <s v="Clear"/>
    <x v="0"/>
    <s v="BF010630"/>
    <s v="Y"/>
    <x v="0"/>
    <n v="0.12"/>
    <n v="119"/>
    <n v="21"/>
    <s v="N/A"/>
  </r>
  <r>
    <x v="6"/>
    <s v="Jeoneui"/>
    <s v="Hyundai"/>
    <s v="NE (IONIQ 5)"/>
    <s v="OEM"/>
    <x v="1"/>
    <s v="W2217AA"/>
    <s v="K"/>
    <s v="E2"/>
    <s v="Clear"/>
    <x v="0"/>
    <s v="BF010191 (CT4P), BF010270 (CB4P = L9)"/>
    <s v="Y"/>
    <x v="2"/>
    <n v="0.17"/>
    <n v="119"/>
    <n v="21"/>
    <s v="N/A"/>
  </r>
  <r>
    <x v="6"/>
    <s v="Jeoneui"/>
    <s v="Hyundai"/>
    <s v="NX5 (Tucson)"/>
    <s v="OEM"/>
    <x v="0"/>
    <s v="W2245AF"/>
    <s v="K"/>
    <s v="E2"/>
    <s v="Clear"/>
    <x v="0"/>
    <m/>
    <s v="Y"/>
    <x v="0"/>
    <n v="0.45"/>
    <n v="107"/>
    <n v="30"/>
    <s v="N/A"/>
  </r>
  <r>
    <x v="6"/>
    <s v="Jeoneui"/>
    <s v="Hyundai"/>
    <s v="NE N"/>
    <s v="OEM"/>
    <x v="2"/>
    <s v="W2241AG"/>
    <s v="K"/>
    <s v="R"/>
    <s v="Clear"/>
    <x v="0"/>
    <s v="BF011950, ____"/>
    <s v="Y"/>
    <x v="0"/>
    <n v="0.41"/>
    <n v="119"/>
    <n v="28"/>
    <s v="N/A"/>
  </r>
  <r>
    <x v="6"/>
    <s v="Jeoneui"/>
    <s v="Hyundai"/>
    <s v="NE N (IONIQ 5 N)"/>
    <s v="OEM"/>
    <x v="1"/>
    <s v="W2240AH"/>
    <s v="K"/>
    <s v="E2"/>
    <s v="Clear"/>
    <x v="0"/>
    <s v="BF011658 (L9, CB1P), BF012367 (CB4P)"/>
    <s v="Y"/>
    <x v="0"/>
    <n v="0.4"/>
    <n v="113"/>
    <n v="28"/>
    <s v="N/A"/>
  </r>
  <r>
    <x v="6"/>
    <s v="Jeoneui"/>
    <s v="Hyundai"/>
    <s v="NE N (IONIQ 5 N)"/>
    <s v="OEM"/>
    <x v="1"/>
    <s v="W2240AN"/>
    <s v="K"/>
    <s v="E2"/>
    <s v="Clear"/>
    <x v="0"/>
    <s v="BF011725"/>
    <s v="Y"/>
    <x v="0"/>
    <n v="0.4"/>
    <n v="119"/>
    <n v="28"/>
    <s v="N/A"/>
  </r>
  <r>
    <x v="6"/>
    <s v="Jeoneui"/>
    <s v="Hyundai"/>
    <s v="NE N (IONIQ 5 N)"/>
    <s v="OEM"/>
    <x v="1"/>
    <s v="W2251AF"/>
    <s v="K"/>
    <s v="E2"/>
    <s v="Clear"/>
    <x v="0"/>
    <s v="BF011659 (L9)"/>
    <s v="Y"/>
    <x v="0"/>
    <n v="0.51"/>
    <n v="113"/>
    <n v="28"/>
    <s v="N/A"/>
  </r>
  <r>
    <x v="6"/>
    <s v="Jeoneui"/>
    <s v="Hyundai"/>
    <s v="NE N (IONIQ 5 N)"/>
    <s v="OEM"/>
    <x v="1"/>
    <s v="W2251AG"/>
    <s v="K"/>
    <s v="E2"/>
    <s v="Clear"/>
    <x v="0"/>
    <s v="BF011726"/>
    <s v="Y"/>
    <x v="0"/>
    <n v="0.51"/>
    <n v="119"/>
    <n v="28"/>
    <s v="N/A"/>
  </r>
  <r>
    <x v="6"/>
    <s v="Jeoneui"/>
    <s v="Hyundai"/>
    <s v="Santa Fe"/>
    <s v="OEM"/>
    <x v="1"/>
    <s v="W1240AA"/>
    <s v="K"/>
    <s v="E2"/>
    <s v="Clear"/>
    <x v="0"/>
    <s v="BF007143, BF007142"/>
    <s v="Y"/>
    <x v="2"/>
    <n v="0.4"/>
    <n v="107"/>
    <m/>
    <s v="N/A"/>
  </r>
  <r>
    <x v="6"/>
    <s v="Jeoneui"/>
    <s v="Hyundai"/>
    <s v="Sonata"/>
    <s v="OEM"/>
    <x v="1"/>
    <s v="W5043"/>
    <s v="B"/>
    <s v="R3"/>
    <s v="Clear"/>
    <x v="1"/>
    <s v="BF007248"/>
    <m/>
    <x v="1"/>
    <n v="0.43"/>
    <n v="108"/>
    <n v="30"/>
    <s v="N/A"/>
  </r>
  <r>
    <x v="6"/>
    <s v="Jeoneui"/>
    <s v="Hyundai"/>
    <s v="TM (Korea market Santa Fe, 2018-?)"/>
    <s v="OEM"/>
    <x v="1"/>
    <s v="W1340AB"/>
    <s v="K"/>
    <s v="E2"/>
    <s v="Blue"/>
    <x v="0"/>
    <s v="BF008914"/>
    <s v="Y"/>
    <x v="2"/>
    <n v="0.4"/>
    <n v="105"/>
    <n v="25"/>
    <n v="14"/>
  </r>
  <r>
    <x v="6"/>
    <s v="Jeoneui"/>
    <s v="Hyundai"/>
    <s v="TM (Korea market Santa Fe, 2018-?)"/>
    <s v="OEM"/>
    <x v="1"/>
    <s v="W2340"/>
    <s v="K"/>
    <s v="E2"/>
    <s v="Blue"/>
    <x v="0"/>
    <s v="BF008932"/>
    <s v="Y"/>
    <x v="2"/>
    <n v="0.4"/>
    <n v="105"/>
    <n v="25"/>
    <n v="14"/>
  </r>
  <r>
    <x v="6"/>
    <s v="Jeoneui"/>
    <s v="Hyundai"/>
    <s v="TM (Korea market Santa Fe, 2018-?)"/>
    <s v="OEM"/>
    <x v="1"/>
    <s v="W1342AB"/>
    <s v="K"/>
    <s v="E2"/>
    <s v="Blue"/>
    <x v="0"/>
    <s v="BF009295"/>
    <s v="Y"/>
    <x v="2"/>
    <n v="0.42"/>
    <n v="105"/>
    <n v="25"/>
    <n v="14"/>
  </r>
  <r>
    <x v="6"/>
    <s v="Jeoneui"/>
    <s v="Hyundai"/>
    <s v="TM [Korea market Santa Fe (old)]"/>
    <s v="OEM"/>
    <x v="1"/>
    <s v="W1340"/>
    <s v="K"/>
    <s v="E2"/>
    <s v="Blue"/>
    <x v="0"/>
    <s v="BF007129, BF008309, BF007128"/>
    <s v="Y"/>
    <x v="2"/>
    <n v="0.4"/>
    <n v="107"/>
    <n v="25"/>
    <n v="15"/>
  </r>
  <r>
    <x v="6"/>
    <s v="Jeoneui"/>
    <s v="Hyundai"/>
    <s v="TMa (Export Santa Fe, 2018-?)"/>
    <s v="OEM"/>
    <x v="1"/>
    <s v="W2240AC"/>
    <s v="K"/>
    <s v="E2"/>
    <s v="Clear"/>
    <x v="0"/>
    <s v="BF009969"/>
    <s v="Y"/>
    <x v="0"/>
    <n v="0.4"/>
    <n v="108"/>
    <n v="25"/>
    <s v="N/A"/>
  </r>
  <r>
    <x v="6"/>
    <s v="Jeoneui"/>
    <s v="Hyundai"/>
    <s v="TMa (Export Santa Fe, 2018-?)"/>
    <s v="OEM"/>
    <x v="1"/>
    <s v="W2240AD"/>
    <s v="K"/>
    <s v="E2"/>
    <s v="Clear"/>
    <x v="0"/>
    <s v="BF009971 (160m, L8), BF010584 (321m, L9)"/>
    <s v="Y"/>
    <x v="3"/>
    <n v="0.4"/>
    <n v="108"/>
    <n v="25"/>
    <s v="N/A"/>
  </r>
  <r>
    <x v="6"/>
    <s v="Jeoneui"/>
    <s v="Hyundai"/>
    <s v="TMa (Export Santa Fe, 2018-?)"/>
    <s v="OEM"/>
    <x v="1"/>
    <s v="W1240"/>
    <s v="K"/>
    <s v="E2"/>
    <s v="Clear"/>
    <x v="0"/>
    <s v="BF008928"/>
    <s v="Y"/>
    <x v="2"/>
    <n v="0.4"/>
    <n v="104"/>
    <n v="25"/>
    <s v="N/A"/>
  </r>
  <r>
    <x v="6"/>
    <s v="Jeoneui"/>
    <s v="Hyundai"/>
    <s v="TMa (Export Santa Fe, 2018-?)"/>
    <s v="OEM"/>
    <x v="1"/>
    <s v="W1240AB"/>
    <s v="K"/>
    <s v="E2"/>
    <s v="Clear"/>
    <x v="0"/>
    <s v="BF009411"/>
    <s v="Y"/>
    <x v="2"/>
    <n v="0.4"/>
    <n v="108"/>
    <n v="25"/>
    <s v="N/A"/>
  </r>
  <r>
    <x v="6"/>
    <s v="Jeoneui"/>
    <s v="Hyundai"/>
    <s v="TMa (Export Santa Fe, 2018-?)"/>
    <s v="OEM"/>
    <x v="1"/>
    <s v="W1240AC"/>
    <s v="K"/>
    <s v="E2"/>
    <s v="Clear"/>
    <x v="0"/>
    <s v="BF009661"/>
    <s v="Y"/>
    <x v="2"/>
    <n v="0.4"/>
    <n v="106"/>
    <n v="25"/>
    <s v="N/A"/>
  </r>
  <r>
    <x v="6"/>
    <s v="Jeoneui"/>
    <s v="Hyundai"/>
    <s v="TMa (Export Santa Fe, 2018-?)"/>
    <s v="OEM"/>
    <x v="1"/>
    <s v="W1240AD"/>
    <s v="K"/>
    <s v="E2"/>
    <s v="Clear"/>
    <x v="0"/>
    <s v="BF009985"/>
    <s v="Y"/>
    <x v="2"/>
    <n v="0.4"/>
    <n v="108"/>
    <n v="25"/>
    <s v="N/A"/>
  </r>
  <r>
    <x v="6"/>
    <s v="Jeoneui"/>
    <s v="Hyundai"/>
    <s v="TMa (Export Santa Fe, 2018-?)"/>
    <s v="OEM"/>
    <x v="2"/>
    <s v="W2242AB"/>
    <s v="K"/>
    <s v="E2"/>
    <s v="Clear"/>
    <x v="0"/>
    <s v="BF011740, BF012440 (315m)"/>
    <s v="Y"/>
    <x v="0"/>
    <n v="0.42"/>
    <n v="108"/>
    <n v="25"/>
    <s v="N/A"/>
  </r>
  <r>
    <x v="6"/>
    <s v="Jeoneui"/>
    <s v="Hyundai"/>
    <s v="TMa (Export Santa Fe, 2018-?)"/>
    <s v="OEM"/>
    <x v="1"/>
    <s v="W1242AA"/>
    <s v="K"/>
    <s v="E2"/>
    <s v="Clear"/>
    <x v="0"/>
    <s v="BF009217"/>
    <s v="Y"/>
    <x v="2"/>
    <n v="0.42"/>
    <n v="104"/>
    <n v="25"/>
    <s v="N/A"/>
  </r>
  <r>
    <x v="6"/>
    <s v="Jeoneui"/>
    <s v="Kia"/>
    <s v="CT1 (EV4)"/>
    <s v="OEM"/>
    <x v="2"/>
    <s v="W2245AC"/>
    <s v="K"/>
    <s v="E2"/>
    <s v="Clear"/>
    <x v="0"/>
    <s v="BF012208"/>
    <s v="Y"/>
    <x v="0"/>
    <n v="0.45"/>
    <n v="111"/>
    <n v="30"/>
    <s v="N/A"/>
  </r>
  <r>
    <x v="6"/>
    <s v="Jeoneui"/>
    <s v="Kia"/>
    <s v="CT1 (EV4)"/>
    <s v="OEM"/>
    <x v="1"/>
    <s v="W2249AK"/>
    <s v="K"/>
    <s v="E2"/>
    <s v="Clear"/>
    <x v="0"/>
    <s v="BF012714 (CB1P), ____"/>
    <s v="Y"/>
    <x v="0"/>
    <n v="0.49"/>
    <n v="111"/>
    <n v="30"/>
    <s v="N/A"/>
  </r>
  <r>
    <x v="6"/>
    <s v="Jeoneui"/>
    <s v="Kia"/>
    <s v="CT1 (EV4)"/>
    <s v="OEM"/>
    <x v="1"/>
    <s v="W2251AI"/>
    <s v="K"/>
    <s v="E2"/>
    <s v="Clear"/>
    <x v="0"/>
    <s v="BF012209"/>
    <s v="Y"/>
    <x v="0"/>
    <n v="0.51"/>
    <n v="111"/>
    <n v="30"/>
    <s v="N/A"/>
  </r>
  <r>
    <x v="6"/>
    <s v="Jeoneui"/>
    <s v="Kia"/>
    <s v="CT1 (EV4)"/>
    <s v="OEM"/>
    <x v="1"/>
    <s v="W2256AI"/>
    <s v="K"/>
    <s v="E2"/>
    <s v="Clear"/>
    <x v="0"/>
    <s v="BF012210"/>
    <s v="Y"/>
    <x v="0"/>
    <n v="0.56000000000000005"/>
    <n v="111"/>
    <n v="30"/>
    <s v="N/A"/>
  </r>
  <r>
    <x v="6"/>
    <s v="Jeoneui"/>
    <s v="Kia"/>
    <s v="CVa (EV6)"/>
    <s v="OEM"/>
    <x v="2"/>
    <s v="W2233AH"/>
    <s v="K"/>
    <s v="E2"/>
    <s v="Clear"/>
    <x v="0"/>
    <s v="BF012527, ___ (MB2P)"/>
    <s v="Y"/>
    <x v="0"/>
    <n v="0.33"/>
    <n v="122"/>
    <n v="30"/>
    <s v="N/A"/>
  </r>
  <r>
    <x v="6"/>
    <s v="Jeoneui"/>
    <s v="Kia"/>
    <s v="CVa (EV6)"/>
    <s v="OEM"/>
    <x v="1"/>
    <s v="W2233AG"/>
    <s v="K"/>
    <s v="E2"/>
    <s v="Clear"/>
    <x v="0"/>
    <s v="BF012306, BF012511 (CB2P)"/>
    <s v="Y"/>
    <x v="0"/>
    <n v="0.33"/>
    <n v="120"/>
    <n v="30"/>
    <s v="N/A"/>
  </r>
  <r>
    <x v="6"/>
    <s v="Jeoneui"/>
    <s v="Kia"/>
    <s v="CVa (EV6)"/>
    <s v="OEM"/>
    <x v="1"/>
    <s v="W2233AE"/>
    <s v="K"/>
    <s v="E2"/>
    <s v="Clear"/>
    <x v="0"/>
    <s v="BF012141"/>
    <s v="Y"/>
    <x v="0"/>
    <n v="0.33"/>
    <n v="116"/>
    <n v="30"/>
    <s v="N/A"/>
  </r>
  <r>
    <x v="6"/>
    <s v="Jeoneui"/>
    <s v="Kia"/>
    <s v="CVa (EV6)"/>
    <s v="OEM"/>
    <x v="1"/>
    <s v="W2238AA"/>
    <s v="K"/>
    <s v="E2"/>
    <s v="Clear"/>
    <x v="0"/>
    <s v="BF012142"/>
    <s v="Y"/>
    <x v="0"/>
    <n v="0.38"/>
    <n v="116"/>
    <n v="30"/>
    <s v="N/A"/>
  </r>
  <r>
    <x v="6"/>
    <s v="Jeoneui"/>
    <s v="Kia"/>
    <s v="CVa (EV6)"/>
    <s v="OEM"/>
    <x v="1"/>
    <s v="W2243AB"/>
    <s v="K"/>
    <s v="E2"/>
    <s v="Clear"/>
    <x v="0"/>
    <s v="BF012143"/>
    <s v="Y"/>
    <x v="0"/>
    <n v="0.43"/>
    <n v="115"/>
    <n v="30"/>
    <s v="N/A"/>
  </r>
  <r>
    <x v="6"/>
    <s v="Jeoneui"/>
    <s v="Kia"/>
    <s v="JX1, UM (Sorento III, 2015-2020)"/>
    <s v="OEM"/>
    <x v="1"/>
    <s v="W1338"/>
    <s v="K"/>
    <s v="E2"/>
    <s v="Blue"/>
    <x v="0"/>
    <s v="BF008930"/>
    <s v="Y"/>
    <x v="2"/>
    <n v="0.38"/>
    <n v="104"/>
    <n v="30"/>
    <n v="15"/>
  </r>
  <r>
    <x v="6"/>
    <s v="Jeoneui"/>
    <s v="Kia"/>
    <s v="JX1, UM (Sorento III, 2015-2020)"/>
    <s v="OEM"/>
    <x v="1"/>
    <s v="W1340AC"/>
    <s v="K"/>
    <s v="E2"/>
    <s v="Blue"/>
    <x v="0"/>
    <s v="BF009294"/>
    <s v="Y"/>
    <x v="2"/>
    <n v="0.4"/>
    <n v="104"/>
    <n v="30"/>
    <n v="15"/>
  </r>
  <r>
    <x v="6"/>
    <s v="Jeoneui"/>
    <s v="Kia"/>
    <s v="KA4 PE (Grand Carnival)"/>
    <s v="OEM"/>
    <x v="2"/>
    <s v="W2252AL"/>
    <s v="K"/>
    <s v="E2"/>
    <s v="Clear"/>
    <x v="0"/>
    <s v="BF011660 (L9), BF012029 (285m), ___(MB2P)"/>
    <s v="Y"/>
    <x v="0"/>
    <n v="0.52"/>
    <n v="119"/>
    <n v="30"/>
    <s v="N/A"/>
  </r>
  <r>
    <x v="6"/>
    <s v="Jeoneui"/>
    <s v="Kia"/>
    <s v="KA4 PE (Grand Carnival)"/>
    <s v="OEM"/>
    <x v="1"/>
    <s v="W2254AG"/>
    <s v="K"/>
    <s v="E2"/>
    <s v="Clear"/>
    <x v="0"/>
    <s v="BF011918"/>
    <s v="Y"/>
    <x v="0"/>
    <n v="0.54"/>
    <n v="119"/>
    <n v="30"/>
    <s v="N/A"/>
  </r>
  <r>
    <x v="6"/>
    <s v="Jeoneui"/>
    <s v="Kia"/>
    <s v="KA4 PE (Grand Carnival)"/>
    <s v="OEM"/>
    <x v="1"/>
    <s v="W2263AA"/>
    <s v="K"/>
    <s v="E2"/>
    <s v="Clear"/>
    <x v="0"/>
    <s v="BF011661 (L9)"/>
    <s v="Y"/>
    <x v="0"/>
    <n v="0.63"/>
    <n v="119"/>
    <n v="30"/>
    <s v="N/A"/>
  </r>
  <r>
    <x v="6"/>
    <s v="Jeoneui"/>
    <s v="Kia"/>
    <s v="LQ2 (Telluride)"/>
    <s v="OEM"/>
    <x v="0"/>
    <s v="W2257AF"/>
    <s v="K"/>
    <s v="E2"/>
    <s v="Clear"/>
    <x v="0"/>
    <s v="BF012199"/>
    <s v="Y"/>
    <x v="0"/>
    <n v="0.56999999999999995"/>
    <n v="107"/>
    <n v="30"/>
    <s v="N/A"/>
  </r>
  <r>
    <x v="6"/>
    <s v="Jeoneui"/>
    <s v="Kia"/>
    <s v="LQ2 (Telluride)"/>
    <s v="OEM"/>
    <x v="0"/>
    <s v="W2260AL"/>
    <s v="K"/>
    <s v="R &amp; E2"/>
    <s v="Clear"/>
    <x v="0"/>
    <s v="BF012719 (LR), BF012816 (KE2 140m), _______ (KE2 285m)"/>
    <s v="Y"/>
    <x v="0"/>
    <n v="0.6"/>
    <n v="107"/>
    <n v="28"/>
    <s v="N/A"/>
  </r>
  <r>
    <x v="6"/>
    <s v="Jeoneui"/>
    <s v="Kia"/>
    <s v="LQ2 (Telluride)"/>
    <s v="OEM"/>
    <x v="0"/>
    <s v="W2263AB"/>
    <s v="K"/>
    <s v="E2"/>
    <s v="Clear"/>
    <x v="0"/>
    <s v="BF012200"/>
    <s v="Y"/>
    <x v="0"/>
    <n v="0.63"/>
    <n v="107"/>
    <n v="30"/>
    <s v="N/A"/>
  </r>
  <r>
    <x v="6"/>
    <s v="Jeoneui"/>
    <s v="Kia"/>
    <s v="MQ4 (Sorento)"/>
    <s v="OEM"/>
    <x v="1"/>
    <s v="W2249AA"/>
    <s v="K"/>
    <s v="E2"/>
    <s v="Clear"/>
    <x v="0"/>
    <s v="BF010192 (CT4P), BF010439"/>
    <s v="Y"/>
    <x v="2"/>
    <n v="0.49"/>
    <n v="109"/>
    <n v="30"/>
    <s v="N/A"/>
  </r>
  <r>
    <x v="6"/>
    <s v="Jeoneui"/>
    <s v="Kia"/>
    <s v="MVa (EV7)"/>
    <s v="OEM"/>
    <x v="2"/>
    <s v="W2255AB"/>
    <s v="K"/>
    <s v="E2"/>
    <s v="Clear"/>
    <x v="0"/>
    <s v="BF012072, ____"/>
    <s v="Y"/>
    <x v="0"/>
    <n v="0.55000000000000004"/>
    <n v="104"/>
    <n v="30"/>
    <s v="N/A"/>
  </r>
  <r>
    <x v="6"/>
    <s v="Jeoneui"/>
    <s v="Kia"/>
    <s v="MVa (EV7)"/>
    <s v="OEM"/>
    <x v="1"/>
    <s v="W2257AE"/>
    <s v="K"/>
    <s v="E2"/>
    <s v="Clear"/>
    <x v="0"/>
    <s v="BF011780"/>
    <s v="Y"/>
    <x v="0"/>
    <n v="0.56999999999999995"/>
    <n v="104"/>
    <n v="30"/>
    <s v="N/A"/>
  </r>
  <r>
    <x v="6"/>
    <s v="Jeoneui"/>
    <s v="Kia"/>
    <s v="MVa (EV7)"/>
    <s v="OEM"/>
    <x v="1"/>
    <s v="W2262AG"/>
    <s v="K"/>
    <s v="E2"/>
    <s v="Clear"/>
    <x v="0"/>
    <s v="BF011781"/>
    <s v="Y"/>
    <x v="0"/>
    <n v="0.62"/>
    <n v="104"/>
    <n v="30"/>
    <s v="N/A"/>
  </r>
  <r>
    <x v="6"/>
    <s v="Jeoneui"/>
    <s v="Kia"/>
    <s v="MVa (EV7)"/>
    <s v="OEM"/>
    <x v="1"/>
    <s v="W2267AB"/>
    <s v="K"/>
    <s v="E2"/>
    <s v="Clear"/>
    <x v="0"/>
    <s v="BF011782"/>
    <s v="Y"/>
    <x v="0"/>
    <n v="0.67"/>
    <n v="104"/>
    <n v="30"/>
    <s v="N/A"/>
  </r>
  <r>
    <x v="6"/>
    <s v="Jeoneui"/>
    <s v="Kia"/>
    <s v="NQ5 (Sportage)"/>
    <s v="OEM"/>
    <x v="0"/>
    <s v="W2255AG"/>
    <s v="K"/>
    <s v="E2"/>
    <s v="Clear"/>
    <x v="0"/>
    <s v="tbd"/>
    <s v="Y"/>
    <x v="0"/>
    <n v="0.55000000000000004"/>
    <n v="115"/>
    <n v="30"/>
    <s v="N/A"/>
  </r>
  <r>
    <x v="6"/>
    <s v="Jeoneui"/>
    <s v="Kia"/>
    <s v="ON (Telluride)"/>
    <s v="OEM"/>
    <x v="1"/>
    <s v="W2243AA"/>
    <s v="K"/>
    <s v="E2"/>
    <s v="Clear"/>
    <x v="0"/>
    <s v="BF010193 (CT4P), BF010440"/>
    <s v="Y"/>
    <x v="2"/>
    <n v="0.43"/>
    <n v="109"/>
    <n v="30"/>
    <s v="N/A"/>
  </r>
  <r>
    <x v="6"/>
    <s v="Jeoneui"/>
    <s v="Kia"/>
    <s v="ON (Telluride)"/>
    <s v="OEM"/>
    <x v="1"/>
    <s v="W1243AB"/>
    <s v="K"/>
    <s v="E2"/>
    <s v="Clear"/>
    <x v="0"/>
    <s v="BF009986"/>
    <s v="Y"/>
    <x v="2"/>
    <n v="0.43"/>
    <n v="109"/>
    <n v="30"/>
    <s v="N/A"/>
  </r>
  <r>
    <x v="6"/>
    <s v="Jeoneui"/>
    <s v="Kia"/>
    <s v="ON (Telluride)"/>
    <s v="OEM"/>
    <x v="1"/>
    <s v="W1243"/>
    <s v="K"/>
    <s v="E2"/>
    <s v="Clear"/>
    <x v="0"/>
    <s v="BF008931"/>
    <s v="Y"/>
    <x v="2"/>
    <n v="0.43"/>
    <n v="105"/>
    <n v="30"/>
    <s v="N/A"/>
  </r>
  <r>
    <x v="6"/>
    <s v="Jeoneui"/>
    <s v="Kia"/>
    <s v="ON (Telluride)"/>
    <s v="OEM"/>
    <x v="1"/>
    <s v="W1243AA"/>
    <s v="K"/>
    <s v="E2"/>
    <s v="Clear"/>
    <x v="0"/>
    <s v="BF009673"/>
    <s v="Y"/>
    <x v="2"/>
    <n v="0.43"/>
    <n v="107"/>
    <n v="30"/>
    <s v="N/A"/>
  </r>
  <r>
    <x v="6"/>
    <s v="Jeoneui"/>
    <s v="Kia"/>
    <s v="ON (Telluride)"/>
    <s v="OEM"/>
    <x v="1"/>
    <s v="W1245AA"/>
    <s v="K"/>
    <s v="E2"/>
    <s v="Clear"/>
    <x v="0"/>
    <s v="BF009296"/>
    <s v="Y"/>
    <x v="2"/>
    <n v="0.45"/>
    <n v="105"/>
    <n v="30"/>
    <s v="N/A"/>
  </r>
  <r>
    <x v="6"/>
    <s v="Jeoneui"/>
    <s v="Kia"/>
    <s v="SV1 (EV3)"/>
    <s v="OEM"/>
    <x v="0"/>
    <s v="W2249AI"/>
    <s v="K"/>
    <s v="E2"/>
    <s v="Clear"/>
    <x v="0"/>
    <s v="BF012302"/>
    <s v="Y"/>
    <x v="0"/>
    <n v="0.49"/>
    <n v="106"/>
    <n v="29"/>
    <s v="N/A"/>
  </r>
  <r>
    <x v="7"/>
    <s v="Chmielow"/>
    <s v="Audi"/>
    <s v="Q3"/>
    <s v="OEM"/>
    <x v="1"/>
    <s v="W2248AC"/>
    <s v="K"/>
    <s v="E2"/>
    <s v="Clear"/>
    <x v="0"/>
    <s v="BF011557"/>
    <s v="Y"/>
    <x v="2"/>
    <n v="0.48"/>
    <n v="106"/>
    <n v="25"/>
    <s v="N/A"/>
  </r>
  <r>
    <x v="7"/>
    <s v="Chmielow"/>
    <s v="Audi"/>
    <s v="Q3 (or A3?)"/>
    <s v="OEM"/>
    <x v="2"/>
    <s v="W2248AI"/>
    <s v="K"/>
    <s v="E2"/>
    <s v="Clear"/>
    <x v="0"/>
    <s v="BF012076"/>
    <s v="Y"/>
    <x v="3"/>
    <n v="0.48"/>
    <n v="108"/>
    <n v="25"/>
    <s v="N/A"/>
  </r>
  <r>
    <x v="7"/>
    <s v="Collingwood"/>
    <s v="Toyota"/>
    <s v="Highlander (220D)"/>
    <s v="OEM"/>
    <x v="1"/>
    <s v="W2257AB"/>
    <s v="L"/>
    <s v="E2"/>
    <s v="Clear"/>
    <x v="0"/>
    <s v="BF011512"/>
    <s v="Y"/>
    <x v="0"/>
    <n v="0.56999999999999995"/>
    <n v="111"/>
    <n v="30"/>
    <s v="N/A"/>
  </r>
  <r>
    <x v="7"/>
    <s v="Collingwood"/>
    <s v="Toyota"/>
    <s v="Highlander (ZZ03-200D)"/>
    <s v="OEM"/>
    <x v="1"/>
    <s v="W2254AC"/>
    <s v="L"/>
    <s v="E2"/>
    <s v="Clear"/>
    <x v="0"/>
    <s v="BF011507"/>
    <s v="Y"/>
    <x v="0"/>
    <n v="0.54"/>
    <n v="111"/>
    <n v="30"/>
    <s v="N/A"/>
  </r>
  <r>
    <x v="7"/>
    <s v="Collingwood"/>
    <s v="Honda"/>
    <s v="CRV 34A"/>
    <s v="OEM"/>
    <x v="0"/>
    <s v="W2220AF"/>
    <s v="L"/>
    <s v="E2"/>
    <s v="Clear"/>
    <x v="0"/>
    <m/>
    <m/>
    <x v="0"/>
    <n v="0.2"/>
    <n v="110"/>
    <n v="30"/>
    <s v="N/A"/>
  </r>
  <r>
    <x v="7"/>
    <s v="Collingwood"/>
    <s v="Toyota/Lexus"/>
    <s v="Grand Highlander/TX (220/220D)"/>
    <s v="OEM"/>
    <x v="0"/>
    <s v="W2248AF"/>
    <s v="L"/>
    <s v="E2"/>
    <s v="Clear"/>
    <x v="0"/>
    <s v="BF011812"/>
    <s v="Y"/>
    <x v="0"/>
    <n v="0.48"/>
    <n v="111"/>
    <n v="30"/>
    <s v="N/A"/>
  </r>
  <r>
    <x v="7"/>
    <s v="Maizuru"/>
    <s v="Mazda"/>
    <s v="6 (J69)"/>
    <s v="OEM"/>
    <x v="0"/>
    <s v="W2239AF"/>
    <s v="L"/>
    <s v="E2"/>
    <s v="Clear"/>
    <x v="0"/>
    <s v="BF012392 (50m), BF012393 (163m)"/>
    <s v="Y"/>
    <x v="0"/>
    <n v="0.39"/>
    <n v="112"/>
    <n v="30"/>
    <s v="N/A"/>
  </r>
  <r>
    <x v="7"/>
    <s v="Maizuru"/>
    <s v="Mazda"/>
    <s v="6 (J69P)"/>
    <s v="OEM"/>
    <x v="0"/>
    <s v="W2238AC"/>
    <s v="L"/>
    <s v="R &amp; E2"/>
    <s v="Clear"/>
    <x v="0"/>
    <s v="BF012814 (120 m), ___ (300 m)"/>
    <s v="Y"/>
    <x v="0"/>
    <n v="0.38"/>
    <n v="112"/>
    <n v="30"/>
    <s v="N/A"/>
  </r>
  <r>
    <x v="7"/>
    <s v="Maizuru"/>
    <s v="Mazda"/>
    <s v="CX-5, CX-8, M6"/>
    <s v="OEM"/>
    <x v="2"/>
    <s v="W2243AC"/>
    <s v="L"/>
    <s v="R &amp; E2"/>
    <s v="Clear"/>
    <x v="0"/>
    <s v="BF012191 (E2), BF012617 (LR)"/>
    <s v="Y"/>
    <x v="0"/>
    <n v="0.43"/>
    <n v="112"/>
    <n v="20"/>
    <s v="N/A"/>
  </r>
  <r>
    <x v="7"/>
    <s v="Maizuru"/>
    <s v="Mazda"/>
    <s v="CX-5, CX-8, M7"/>
    <s v="OEM"/>
    <x v="1"/>
    <s v="W2243ACH"/>
    <s v="L"/>
    <s v="E2"/>
    <s v="Clear"/>
    <x v="0"/>
    <s v="BF012173"/>
    <s v="Y"/>
    <x v="0"/>
    <n v="0.43"/>
    <n v="112"/>
    <n v="20"/>
    <s v="N/A"/>
  </r>
  <r>
    <x v="7"/>
    <s v="Maizuru"/>
    <s v="Mazda"/>
    <s v="CX-60 (J30)"/>
    <s v="OEM"/>
    <x v="1"/>
    <s v="W2248AHH"/>
    <s v="L"/>
    <s v="E2"/>
    <s v="Clear"/>
    <x v="0"/>
    <s v="BF011951"/>
    <s v="Y"/>
    <x v="0"/>
    <n v="0.48"/>
    <n v="112"/>
    <n v="25"/>
    <s v="N/A"/>
  </r>
  <r>
    <x v="7"/>
    <s v="Maizuru"/>
    <s v="Toyota"/>
    <s v="Alphard"/>
    <s v="OEM"/>
    <x v="1"/>
    <s v="W2237AF"/>
    <s v="L"/>
    <s v="E2"/>
    <s v="Clear"/>
    <x v="0"/>
    <s v="BF012217"/>
    <s v="Y"/>
    <x v="0"/>
    <n v="0.37"/>
    <n v="136"/>
    <n v="15"/>
    <s v="N/A"/>
  </r>
  <r>
    <x v="7"/>
    <s v="Maizuru"/>
    <s v="Toyota"/>
    <s v="Alphard"/>
    <s v="OEM"/>
    <x v="2"/>
    <s v="W2237AG"/>
    <s v="L"/>
    <s v="R &amp; E2"/>
    <s v="Clear"/>
    <x v="0"/>
    <s v="BF012505"/>
    <s v="Y"/>
    <x v="0"/>
    <n v="0.37"/>
    <n v="136"/>
    <n v="15"/>
    <s v="N/A"/>
  </r>
  <r>
    <x v="7"/>
    <s v="Maizuru"/>
    <s v="Toyota"/>
    <s v="Alphard"/>
    <s v="OEM"/>
    <x v="1"/>
    <s v="W2237ADH"/>
    <s v="L"/>
    <s v="E2"/>
    <s v="Clear"/>
    <x v="0"/>
    <s v="BF011968"/>
    <s v="Y"/>
    <x v="0"/>
    <n v="0.37"/>
    <n v="136"/>
    <n v="20"/>
    <s v="N/A"/>
  </r>
  <r>
    <x v="7"/>
    <s v="Maizuru"/>
    <s v="Toyota"/>
    <s v="Alphard"/>
    <s v="OEM"/>
    <x v="1"/>
    <s v="W2237AAH"/>
    <s v="L"/>
    <s v="E2"/>
    <s v="Clear"/>
    <x v="0"/>
    <s v="BF011335"/>
    <s v="Y"/>
    <x v="0"/>
    <n v="0.37"/>
    <n v="139"/>
    <n v="30"/>
    <s v="N/A"/>
  </r>
  <r>
    <x v="7"/>
    <s v="Maizuru"/>
    <s v="Toyota"/>
    <s v="Alphard"/>
    <s v="OEM"/>
    <x v="1"/>
    <s v="W2237ACH"/>
    <s v="L"/>
    <s v="E2"/>
    <s v="Clear"/>
    <x v="0"/>
    <s v="BF011586"/>
    <s v="Y"/>
    <x v="0"/>
    <n v="0.37"/>
    <n v="136"/>
    <n v="30"/>
    <s v="N/A"/>
  </r>
  <r>
    <x v="7"/>
    <s v="Maizuru"/>
    <s v="Toyota"/>
    <s v="Alphard"/>
    <s v="OEM"/>
    <x v="1"/>
    <s v="W2237AEH"/>
    <s v="L"/>
    <s v="E2"/>
    <s v="Clear"/>
    <x v="0"/>
    <s v="BF012188 (142m), BF012189 (283m)"/>
    <s v="Y"/>
    <x v="0"/>
    <n v="0.37"/>
    <n v="136"/>
    <n v="5"/>
    <s v="N/A"/>
  </r>
  <r>
    <x v="7"/>
    <s v="Mexicali"/>
    <s v="?"/>
    <s v="?"/>
    <s v="ARG"/>
    <x v="1"/>
    <s v="W2256AH"/>
    <s v="L"/>
    <s v="R"/>
    <s v="Clear"/>
    <x v="0"/>
    <s v="BF012248"/>
    <s v="Y"/>
    <x v="2"/>
    <n v="0.56000000000000005"/>
    <n v="105"/>
    <n v="13"/>
    <s v="N/A"/>
  </r>
  <r>
    <x v="7"/>
    <s v="Mexicali"/>
    <s v="?"/>
    <s v="?"/>
    <s v="ARG"/>
    <x v="2"/>
    <s v="W2265AC"/>
    <s v="L"/>
    <s v="R"/>
    <s v="Clear"/>
    <x v="0"/>
    <s v="BF012345 (WT4P), _____ (L8 i)"/>
    <s v="Y"/>
    <x v="2"/>
    <n v="0.65"/>
    <n v="118"/>
    <n v="25"/>
    <s v="N/A"/>
  </r>
  <r>
    <x v="7"/>
    <s v="Mexicali"/>
    <s v="Buick"/>
    <s v="Envision (2016-2017)"/>
    <s v="ARG"/>
    <x v="2"/>
    <s v="W2240AM"/>
    <s v="L"/>
    <s v="R"/>
    <s v="Clear"/>
    <x v="0"/>
    <s v="BF011653 (L9), BF012355 (L8 WT4P), _____ (L8 i)"/>
    <s v="Y"/>
    <x v="3"/>
    <n v="0.4"/>
    <n v="115"/>
    <n v="23"/>
    <s v="N/A"/>
  </r>
  <r>
    <x v="7"/>
    <s v="Mexicali"/>
    <s v="Buick"/>
    <s v="Envision (2016-2017)"/>
    <s v="ARG"/>
    <x v="2"/>
    <s v="W2240AV"/>
    <s v="L"/>
    <s v="R"/>
    <s v="Clear"/>
    <x v="0"/>
    <m/>
    <m/>
    <x v="0"/>
    <n v="0.4"/>
    <n v="115"/>
    <n v="22"/>
    <s v="N/A"/>
  </r>
  <r>
    <x v="7"/>
    <s v="Mexicali"/>
    <s v="Buick"/>
    <s v="Lacrosse (2010-2014)"/>
    <s v="ARG"/>
    <x v="2"/>
    <s v="W2256AD"/>
    <s v="L"/>
    <s v="R"/>
    <s v="Clear"/>
    <x v="0"/>
    <s v="BF011655 (L9), BF012350 (L8 CT1P), BF012388 (L8 WT4P), ________ (L8 i)"/>
    <s v="Y"/>
    <x v="3"/>
    <n v="0.56000000000000005"/>
    <n v="115"/>
    <n v="23"/>
    <s v="N/A"/>
  </r>
  <r>
    <x v="7"/>
    <s v="Mexicali"/>
    <s v="Buick"/>
    <s v="Lacrosse (2010-2014)"/>
    <s v="ARG"/>
    <x v="2"/>
    <s v="W2256AK"/>
    <s v="L"/>
    <s v="R"/>
    <s v="Clear"/>
    <x v="0"/>
    <m/>
    <s v="Y"/>
    <x v="0"/>
    <n v="0.56000000000000005"/>
    <n v="115"/>
    <n v="22"/>
    <s v="N/A"/>
  </r>
  <r>
    <x v="7"/>
    <s v="Mexicali"/>
    <s v="Cadillac"/>
    <s v="CT6 (2016-2017)"/>
    <s v="ARG"/>
    <x v="2"/>
    <s v="W2244AI"/>
    <s v="L"/>
    <s v="R"/>
    <s v="Clear"/>
    <x v="0"/>
    <s v="BF011654 (L9), BF012349 (L8, CT1P), BF012499 (L8 WT4P), ____ (L8 i)"/>
    <s v="Y"/>
    <x v="3"/>
    <n v="0.44"/>
    <n v="115"/>
    <n v="23"/>
    <s v="N/A"/>
  </r>
  <r>
    <x v="7"/>
    <s v="Mexicali"/>
    <s v="Cadillac"/>
    <s v="CT6 (2016-2017)"/>
    <s v="ARG"/>
    <x v="2"/>
    <s v="W2244AO"/>
    <s v="L"/>
    <s v="R"/>
    <s v="Clear"/>
    <x v="0"/>
    <m/>
    <s v="Y"/>
    <x v="0"/>
    <n v="0.44"/>
    <n v="115"/>
    <n v="22"/>
    <s v="N/A"/>
  </r>
  <r>
    <x v="7"/>
    <s v="Mexicali"/>
    <s v="Cadillac"/>
    <s v="XT5 (2017)"/>
    <s v="ARG"/>
    <x v="1"/>
    <s v="W2248AE"/>
    <s v="L"/>
    <s v="R"/>
    <s v="Clear"/>
    <x v="0"/>
    <s v="BF011656"/>
    <s v="Y"/>
    <x v="0"/>
    <n v="0.48"/>
    <n v="115"/>
    <n v="23"/>
    <s v="N/A"/>
  </r>
  <r>
    <x v="7"/>
    <s v="Mexicali"/>
    <s v="Cadillac"/>
    <s v="XT5 (2017)"/>
    <s v="ARG"/>
    <x v="2"/>
    <s v="W2248AJ"/>
    <s v="L"/>
    <s v="R"/>
    <s v="Clear"/>
    <x v="0"/>
    <s v="BF012249 (CT1P), BF012377 (WT4P), _____ (L8 i)"/>
    <s v="Y"/>
    <x v="2"/>
    <n v="0.48"/>
    <n v="117"/>
    <n v="25"/>
    <s v="N/A"/>
  </r>
  <r>
    <x v="7"/>
    <s v="Mexicali"/>
    <s v="Cadillac"/>
    <s v="XT5 (2017)"/>
    <s v="ARG"/>
    <x v="2"/>
    <s v="W2248AL"/>
    <s v="L"/>
    <s v="R"/>
    <s v="Clear"/>
    <x v="0"/>
    <m/>
    <m/>
    <x v="0"/>
    <n v="0.48"/>
    <n v="117"/>
    <n v="24"/>
    <s v="N/A"/>
  </r>
  <r>
    <x v="7"/>
    <s v="Mexicali"/>
    <m/>
    <m/>
    <s v="ARG"/>
    <x v="0"/>
    <s v="W2248AM"/>
    <s v="L"/>
    <s v="R"/>
    <s v="Clear"/>
    <x v="0"/>
    <m/>
    <m/>
    <x v="0"/>
    <n v="0.48"/>
    <n v="118"/>
    <n v="30"/>
    <s v="N/A"/>
  </r>
  <r>
    <x v="7"/>
    <s v="Mexicali"/>
    <m/>
    <m/>
    <s v="ARG"/>
    <x v="0"/>
    <s v="W2348AA"/>
    <s v="L"/>
    <s v="R"/>
    <s v="Clear"/>
    <x v="0"/>
    <m/>
    <m/>
    <x v="0"/>
    <n v="0.48"/>
    <n v="118"/>
    <n v="30"/>
    <n v="12"/>
  </r>
  <r>
    <x v="7"/>
    <s v="Mexicali"/>
    <s v="GMC"/>
    <s v="Yukon (2015-2018)"/>
    <s v="ARG"/>
    <x v="0"/>
    <s v="W2362AA"/>
    <s v="L"/>
    <s v="R"/>
    <s v="Blue"/>
    <x v="0"/>
    <s v="BF010269 (L8), BF010571 (CB1A), BF012030 (CB2P)"/>
    <s v="Y"/>
    <x v="0"/>
    <n v="0.62"/>
    <n v="92"/>
    <n v="24"/>
    <n v="18"/>
  </r>
  <r>
    <x v="7"/>
    <s v="Mexicali"/>
    <s v="Lincoln"/>
    <s v="Navigator (2020-2021)"/>
    <s v="ARG"/>
    <x v="1"/>
    <s v="W2264AH"/>
    <s v="L"/>
    <s v="R"/>
    <s v="Clear"/>
    <x v="0"/>
    <s v="BF011657"/>
    <s v="Y"/>
    <x v="0"/>
    <n v="0.64"/>
    <n v="115"/>
    <n v="23"/>
    <s v="N/A"/>
  </r>
  <r>
    <x v="7"/>
    <s v="Mexicali"/>
    <s v="Multiple"/>
    <s v="Multiple ARG"/>
    <s v="ARG"/>
    <x v="1"/>
    <s v="W2252AF"/>
    <s v="L"/>
    <s v="R"/>
    <s v="Clear"/>
    <x v="0"/>
    <s v="BF011442"/>
    <s v="Y"/>
    <x v="0"/>
    <n v="0.52"/>
    <n v="113"/>
    <n v="21"/>
    <s v="N/A"/>
  </r>
  <r>
    <x v="7"/>
    <s v="Mexicali"/>
    <s v="Multiple"/>
    <s v="Multiple ARG"/>
    <s v="ARG"/>
    <x v="2"/>
    <s v="W2252AN"/>
    <s v="L"/>
    <s v="R"/>
    <s v="Clear"/>
    <x v="0"/>
    <s v="BF011652 (L9), BF012348 (L8, CT1P), BF012498 (L8 WT4P), _________ (L8 i)"/>
    <s v="Y"/>
    <x v="3"/>
    <n v="0.52"/>
    <n v="115"/>
    <n v="23"/>
    <s v="N/A"/>
  </r>
  <r>
    <x v="7"/>
    <s v="Mexicali"/>
    <s v="Multiple"/>
    <s v="Multiple ARG"/>
    <s v="ARG"/>
    <x v="2"/>
    <s v="W2252AS"/>
    <s v="L"/>
    <s v="R"/>
    <s v="Clear"/>
    <x v="0"/>
    <m/>
    <s v="Y"/>
    <x v="0"/>
    <n v="0.52"/>
    <n v="115"/>
    <n v="22"/>
    <s v="N/A"/>
  </r>
  <r>
    <x v="7"/>
    <s v="Mexicali"/>
    <m/>
    <s v="FW3152"/>
    <s v="ARG"/>
    <x v="0"/>
    <s v="W2342AB"/>
    <s v="L"/>
    <s v="R"/>
    <s v="Blue"/>
    <x v="0"/>
    <m/>
    <s v="Y"/>
    <x v="0"/>
    <n v="0.42"/>
    <n v="115"/>
    <n v="30"/>
    <n v="18"/>
  </r>
  <r>
    <x v="7"/>
    <s v="Mexicali"/>
    <m/>
    <m/>
    <s v="ARG"/>
    <x v="0"/>
    <s v="W2344AA"/>
    <s v="L"/>
    <s v="R"/>
    <s v="Blue"/>
    <x v="0"/>
    <m/>
    <s v="Y"/>
    <x v="0"/>
    <n v="0.44"/>
    <n v="97"/>
    <n v="20"/>
    <n v="17"/>
  </r>
  <r>
    <x v="7"/>
    <s v="San Salvo"/>
    <s v="?"/>
    <s v="?"/>
    <s v="?"/>
    <x v="1"/>
    <s v="W2050AA"/>
    <s v="L"/>
    <s v="E2"/>
    <s v="Clear"/>
    <x v="1"/>
    <s v="BF010865"/>
    <s v="Y"/>
    <x v="2"/>
    <n v="0.5"/>
    <n v="110"/>
    <n v="25"/>
    <s v="N/A"/>
  </r>
  <r>
    <x v="7"/>
    <s v="San Salvo"/>
    <s v="Ford"/>
    <s v="C-Hatch"/>
    <s v="OEM"/>
    <x v="2"/>
    <s v="W2045AC"/>
    <s v="L"/>
    <s v="E2"/>
    <s v="Clear"/>
    <x v="1"/>
    <s v="BF010905"/>
    <s v="Y"/>
    <x v="2"/>
    <n v="0.45"/>
    <n v="110"/>
    <n v="25"/>
    <s v="N/A"/>
  </r>
  <r>
    <x v="7"/>
    <s v="San Salvo"/>
    <s v="Ford"/>
    <s v="Explorer"/>
    <s v="OEM"/>
    <x v="0"/>
    <s v="W2045AD"/>
    <s v="L"/>
    <s v="E2"/>
    <s v="Clear"/>
    <x v="1"/>
    <m/>
    <s v="Y"/>
    <x v="2"/>
    <n v="0.45"/>
    <n v="104"/>
    <n v="26"/>
    <s v="N/A"/>
  </r>
  <r>
    <x v="7"/>
    <s v="Versailles"/>
    <s v="Chevy, GMC"/>
    <s v="Silverado, Sierra (T1XX-2PU)"/>
    <s v="OEM"/>
    <x v="0"/>
    <s v="W2241AI"/>
    <s v="L"/>
    <s v="R"/>
    <s v="Clear"/>
    <x v="0"/>
    <s v="BF012526"/>
    <s v="Y"/>
    <x v="0"/>
    <n v="0.41"/>
    <n v="110"/>
    <n v="30"/>
    <s v="N/A"/>
  </r>
  <r>
    <x v="7"/>
    <s v="Versailles"/>
    <s v="Toyota"/>
    <s v="Highlander"/>
    <s v="OEM"/>
    <x v="0"/>
    <s v="W2249AJ"/>
    <s v="L"/>
    <s v="R"/>
    <s v="Clear"/>
    <x v="0"/>
    <s v="BF012339 (CB2A), BF012384 (CB1A)"/>
    <s v="Y"/>
    <x v="0"/>
    <n v="0.49"/>
    <n v="110"/>
    <n v="30"/>
    <s v="N/A"/>
  </r>
  <r>
    <x v="7"/>
    <s v="Witten"/>
    <s v="Audi"/>
    <s v="Q7"/>
    <s v="OEM"/>
    <x v="1"/>
    <s v="W2241AB"/>
    <s v="L"/>
    <s v="R"/>
    <s v="Clear"/>
    <x v="0"/>
    <s v="BF010389 (332m), BF010390 (167m)"/>
    <s v="Y"/>
    <x v="2"/>
    <n v="0.41"/>
    <n v="102"/>
    <n v="30"/>
    <s v="N/A"/>
  </r>
  <r>
    <x v="7"/>
    <s v="Witten"/>
    <s v="BMW"/>
    <s v="4-series Gran Coupe (G26)"/>
    <s v="OEM"/>
    <x v="2"/>
    <s v="W2245AD"/>
    <s v="L"/>
    <s v="R"/>
    <s v="Clear"/>
    <x v="0"/>
    <s v="BF012438"/>
    <s v="Y"/>
    <x v="2"/>
    <n v="0.45"/>
    <n v="92"/>
    <n v="30"/>
    <s v="N/A"/>
  </r>
  <r>
    <x v="7"/>
    <s v="Witten"/>
    <s v="BMW"/>
    <s v="F10 (5 Series)"/>
    <s v="ARG"/>
    <x v="2"/>
    <s v="W2034AA"/>
    <s v="L"/>
    <s v="R"/>
    <s v="Clear"/>
    <x v="1"/>
    <s v="BF009716, BF011572 (MT2P)"/>
    <s v="Y"/>
    <x v="2"/>
    <n v="0.34"/>
    <n v="98"/>
    <n v="26"/>
    <s v="N/A"/>
  </r>
  <r>
    <x v="7"/>
    <s v="Witten"/>
    <s v="BMW"/>
    <s v="F10 (5 Series)"/>
    <s v="ARG"/>
    <x v="1"/>
    <s v="W1034AA"/>
    <s v="L"/>
    <s v="R"/>
    <s v="Clear"/>
    <x v="1"/>
    <s v="BF009487"/>
    <s v="Y"/>
    <x v="2"/>
    <n v="0.34"/>
    <n v="98"/>
    <n v="25"/>
    <s v="N/A"/>
  </r>
  <r>
    <x v="7"/>
    <s v="Witten"/>
    <s v="BMW"/>
    <s v="F12 6-series Conv. Coupe"/>
    <s v="ARG"/>
    <x v="2"/>
    <s v="W2030AA"/>
    <s v="L"/>
    <s v="R"/>
    <s v="Clear"/>
    <x v="1"/>
    <s v="BF009724, BF011571 (MT2P)"/>
    <s v="Y"/>
    <x v="2"/>
    <n v="0.3"/>
    <n v="98"/>
    <n v="26"/>
    <s v="N/A"/>
  </r>
  <r>
    <x v="7"/>
    <s v="Witten"/>
    <s v="BMW"/>
    <s v="F30 (3 Series, F32 Limo Coupe)"/>
    <s v="ARG"/>
    <x v="2"/>
    <s v="W2040AA"/>
    <s v="L"/>
    <s v="R"/>
    <s v="Clear"/>
    <x v="1"/>
    <s v="BF009717, BF011574 (MT2P)"/>
    <s v="Y"/>
    <x v="2"/>
    <n v="0.4"/>
    <n v="92"/>
    <n v="24"/>
    <s v="N/A"/>
  </r>
  <r>
    <x v="7"/>
    <s v="Witten"/>
    <s v="BMW"/>
    <s v="F30 (3 Series, F32 Limo Coupe)"/>
    <s v="ARG"/>
    <x v="1"/>
    <s v="W1040AA"/>
    <s v="L"/>
    <s v="R"/>
    <s v="Clear"/>
    <x v="1"/>
    <s v="BF009103, BF009104"/>
    <s v="Y"/>
    <x v="2"/>
    <n v="0.4"/>
    <n v="92"/>
    <n v="20"/>
    <s v="N/A"/>
  </r>
  <r>
    <x v="7"/>
    <s v="Witten"/>
    <s v="BMW"/>
    <s v="F33, F34 3-series Conv. GT"/>
    <s v="ARG"/>
    <x v="2"/>
    <s v="W2040AB"/>
    <s v="L"/>
    <s v="R"/>
    <s v="Clear"/>
    <x v="1"/>
    <s v="BF009718, BF011570 (MT2P)"/>
    <s v="Y"/>
    <x v="2"/>
    <n v="0.4"/>
    <n v="98"/>
    <n v="26"/>
    <s v="N/A"/>
  </r>
  <r>
    <x v="7"/>
    <s v="Witten"/>
    <s v="BMW"/>
    <s v="F39 X2"/>
    <s v="OEM"/>
    <x v="1"/>
    <s v="W2240AQ"/>
    <s v="L"/>
    <s v="R"/>
    <s v="Clear"/>
    <x v="0"/>
    <s v="BF011924"/>
    <s v="Y"/>
    <x v="2"/>
    <n v="0.4"/>
    <n v="90"/>
    <n v="22"/>
    <s v="N/A"/>
  </r>
  <r>
    <x v="7"/>
    <s v="Witten"/>
    <s v="BMW"/>
    <s v="F39 X2"/>
    <s v="OEM"/>
    <x v="1"/>
    <s v="W2240AB"/>
    <s v="L"/>
    <s v="R"/>
    <s v="Clear"/>
    <x v="0"/>
    <s v="BF009713, BF011577 (MT2P)"/>
    <s v="Y"/>
    <x v="2"/>
    <n v="0.4"/>
    <n v="92"/>
    <n v="24"/>
    <s v="N/A"/>
  </r>
  <r>
    <x v="7"/>
    <s v="Witten"/>
    <s v="BMW"/>
    <s v="G11 7-series"/>
    <s v="OEM"/>
    <x v="2"/>
    <s v="W2240AA"/>
    <s v="L"/>
    <s v="R"/>
    <s v="Clear"/>
    <x v="0"/>
    <s v="BF009714 (171m), BF010190 (339m), BF010216 (300m)"/>
    <s v="Y"/>
    <x v="2"/>
    <n v="0.4"/>
    <n v="96"/>
    <n v="28"/>
    <s v="N/A"/>
  </r>
  <r>
    <x v="7"/>
    <s v="Witten"/>
    <s v="BMW"/>
    <s v="G14-15-16 8-series Grande Coupe"/>
    <s v="OEM"/>
    <x v="2"/>
    <s v="W2232AB"/>
    <s v="L"/>
    <s v="R"/>
    <s v="Clear"/>
    <x v="0"/>
    <s v="BF009715, BF011575 (MT2P)"/>
    <s v="Y"/>
    <x v="2"/>
    <n v="0.32"/>
    <n v="92"/>
    <n v="24"/>
    <s v="N/A"/>
  </r>
  <r>
    <x v="7"/>
    <s v="Witten"/>
    <s v="BMW/Toyota"/>
    <s v="G29 Z4, Toyota Supra"/>
    <s v="OEM"/>
    <x v="2"/>
    <s v="W2038AA"/>
    <s v="L"/>
    <s v="R"/>
    <s v="Clear"/>
    <x v="1"/>
    <s v="BF009725, BF011576 (MT2P)"/>
    <s v="Y"/>
    <x v="2"/>
    <n v="0.38"/>
    <n v="86"/>
    <n v="24"/>
    <s v="N/A"/>
  </r>
  <r>
    <x v="7"/>
    <s v="Witten"/>
    <s v="Mercedes"/>
    <s v="R323SL Roadster, C192 AMG GT"/>
    <s v="OEM"/>
    <x v="2"/>
    <s v="W2248AA"/>
    <s v="L"/>
    <s v="R"/>
    <s v="Clear"/>
    <x v="0"/>
    <s v="BF009261 (CT1P), BF009262 (MT4P), BF011573 (MT2P)"/>
    <s v="Y"/>
    <x v="2"/>
    <n v="0.48"/>
    <n v="82"/>
    <n v="15"/>
    <s v="N/A"/>
  </r>
  <r>
    <x v="7"/>
    <s v="Witten"/>
    <s v="Toyota"/>
    <s v="Yaris"/>
    <s v="OEM"/>
    <x v="1"/>
    <s v="W5036"/>
    <s v="F"/>
    <s v="R1"/>
    <s v="Clear"/>
    <x v="1"/>
    <s v="BF007714"/>
    <s v="N"/>
    <x v="1"/>
    <n v="0.36"/>
    <n v="96"/>
    <n v="33"/>
    <s v="N/A"/>
  </r>
  <r>
    <x v="7"/>
    <s v="Witten"/>
    <s v="Toyota"/>
    <s v="Yaris"/>
    <s v="OEM"/>
    <x v="1"/>
    <s v="W5036AB"/>
    <s v="F"/>
    <s v="R1"/>
    <s v="Clear"/>
    <x v="1"/>
    <s v="?"/>
    <s v="N"/>
    <x v="1"/>
    <n v="0.36"/>
    <n v="98"/>
    <n v="30"/>
    <s v="N/A"/>
  </r>
  <r>
    <x v="7"/>
    <s v="Witten"/>
    <s v="Toyota"/>
    <s v="Yaris Cross TSS3 (369D)"/>
    <s v="OEM"/>
    <x v="2"/>
    <s v="W2260AE"/>
    <s v="L"/>
    <s v="R"/>
    <s v="Clear"/>
    <x v="0"/>
    <s v="BF011558 (CT1P), BF012192 (MT2P)"/>
    <s v="Y"/>
    <x v="2"/>
    <n v="0.6"/>
    <n v="98"/>
    <n v="25"/>
    <s v="N/A"/>
  </r>
  <r>
    <x v="7"/>
    <s v="Witten"/>
    <s v="Toyota"/>
    <s v="Yaris TW402"/>
    <s v="OEM"/>
    <x v="2"/>
    <s v="W2036AA"/>
    <s v="L"/>
    <s v="R"/>
    <s v="Clear"/>
    <x v="1"/>
    <s v="BF009727, BF011578 (MT2P)"/>
    <s v="Y"/>
    <x v="2"/>
    <n v="0.36"/>
    <n v="98"/>
    <n v="30"/>
    <s v="N/A"/>
  </r>
  <r>
    <x v="7"/>
    <s v="Witten"/>
    <s v="Toyota"/>
    <s v="Yaris TW402"/>
    <s v="OEM"/>
    <x v="0"/>
    <s v="W2236AA"/>
    <s v="L"/>
    <s v="R"/>
    <s v="Clear"/>
    <x v="0"/>
    <s v="BF010178"/>
    <s v="Y"/>
    <x v="2"/>
    <n v="0.36"/>
    <n v="98"/>
    <n v="30"/>
    <s v="N/A"/>
  </r>
  <r>
    <x v="7"/>
    <s v="Witten"/>
    <s v="Toyota"/>
    <s v="Yaris TW412 Cross"/>
    <s v="OEM"/>
    <x v="1"/>
    <s v="W2252AB"/>
    <s v="L"/>
    <s v="R"/>
    <s v="Clear"/>
    <x v="0"/>
    <s v="BF009801"/>
    <s v="Y"/>
    <x v="2"/>
    <n v="0.52"/>
    <n v="98"/>
    <n v="26"/>
    <s v="N/A"/>
  </r>
  <r>
    <x v="7"/>
    <s v="Witten &amp; Maizuru"/>
    <s v="N/A"/>
    <s v="N/A"/>
    <s v="N/A"/>
    <x v="1"/>
    <s v="W5045AA"/>
    <s v="F"/>
    <s v="R1"/>
    <s v="Clear"/>
    <x v="1"/>
    <s v="BF007094, BF007095"/>
    <m/>
    <x v="1"/>
    <n v="0.45"/>
    <n v="98"/>
    <m/>
    <s v="N/A"/>
  </r>
  <r>
    <x v="8"/>
    <s v="Cuautla"/>
    <s v="?"/>
    <s v="?"/>
    <s v="OEM"/>
    <x v="1"/>
    <s v="W5022AB"/>
    <s v="D"/>
    <s v="E2"/>
    <s v="Clear"/>
    <x v="1"/>
    <s v="N/A"/>
    <m/>
    <x v="1"/>
    <n v="0.22"/>
    <n v="183"/>
    <n v="60"/>
    <s v="N/A"/>
  </r>
  <r>
    <x v="8"/>
    <s v="Cuautla"/>
    <s v="?"/>
    <s v="?"/>
    <m/>
    <x v="1"/>
    <s v="W2272AD"/>
    <s v="K"/>
    <s v="E2"/>
    <s v="Clear"/>
    <x v="0"/>
    <s v="BF012148"/>
    <s v="Y"/>
    <x v="2"/>
    <n v="0.72"/>
    <n v="118"/>
    <n v="30"/>
    <s v="N/A"/>
  </r>
  <r>
    <x v="8"/>
    <s v="Cuautla"/>
    <s v="BMW"/>
    <s v="2-series (G42)"/>
    <s v="OEM"/>
    <x v="0"/>
    <s v="W2244AM"/>
    <s v="K"/>
    <s v="E2"/>
    <s v="Clear"/>
    <x v="0"/>
    <s v="BF012405"/>
    <s v="Y"/>
    <x v="2"/>
    <n v="0.44"/>
    <n v="92"/>
    <n v="22"/>
    <s v="N/A"/>
  </r>
  <r>
    <x v="8"/>
    <s v="Cuautla"/>
    <s v="BMW"/>
    <s v="2-series (G42)"/>
    <s v="OEM"/>
    <x v="0"/>
    <s v="W2250AV"/>
    <s v="K"/>
    <s v="E2"/>
    <s v="Clear"/>
    <x v="0"/>
    <s v="BF012381"/>
    <s v="Y"/>
    <x v="2"/>
    <n v="0.5"/>
    <n v="87"/>
    <n v="17"/>
    <s v="N/A"/>
  </r>
  <r>
    <x v="8"/>
    <s v="Cuautla"/>
    <s v="BMW"/>
    <s v="2-series (G42) &amp; 3-series (G20)"/>
    <s v="OEM"/>
    <x v="0"/>
    <s v="W2241AK"/>
    <s v="K"/>
    <s v="E2"/>
    <s v="Clear"/>
    <x v="0"/>
    <m/>
    <s v="Y"/>
    <x v="3"/>
    <n v="0.41"/>
    <n v="92"/>
    <n v="22"/>
    <s v="N/A"/>
  </r>
  <r>
    <x v="8"/>
    <s v="Cuautla"/>
    <s v="BMW"/>
    <s v="2-series (G42)"/>
    <s v="OEM"/>
    <x v="0"/>
    <s v="W2245AG"/>
    <s v="K"/>
    <s v="E2"/>
    <s v="Clear"/>
    <x v="0"/>
    <m/>
    <s v="Y"/>
    <x v="0"/>
    <n v="0.45"/>
    <n v="110"/>
    <n v="30"/>
    <s v="N/A"/>
  </r>
  <r>
    <x v="8"/>
    <s v="Cuautla"/>
    <s v="Nissan/Infinity"/>
    <s v="Pathfinder/QX60 (P42R? R53?)"/>
    <s v="OEM"/>
    <x v="2"/>
    <s v="W2264AA"/>
    <s v="K"/>
    <s v="E2"/>
    <s v="Clear"/>
    <x v="0"/>
    <s v="BF009451 (269m), BF010781 (135m)"/>
    <s v="Y"/>
    <x v="2"/>
    <n v="0.64"/>
    <n v="116"/>
    <n v="30"/>
    <s v="N/A"/>
  </r>
  <r>
    <x v="8"/>
    <s v="Cuautla"/>
    <s v="Nissan/Infinity"/>
    <s v="Pathfinder/QX60 (P42R? R53?)"/>
    <s v="OEM"/>
    <x v="1"/>
    <s v="W2267AA"/>
    <s v="K"/>
    <s v="E2"/>
    <s v="Clear"/>
    <x v="0"/>
    <s v="BF010875"/>
    <s v="Y"/>
    <x v="2"/>
    <n v="0.67"/>
    <n v="116"/>
    <n v="30"/>
    <s v="N/A"/>
  </r>
  <r>
    <x v="8"/>
    <s v="Cuautla"/>
    <s v="VW"/>
    <s v="Atlas (P416PA)"/>
    <s v="OEM"/>
    <x v="1"/>
    <s v="W2262AC"/>
    <s v="K"/>
    <s v="E2"/>
    <s v="Clear"/>
    <x v="0"/>
    <s v="Wasted W-code. Canceled before it was ever extruded."/>
    <s v="Y"/>
    <x v="0"/>
    <n v="0.62"/>
    <n v="93"/>
    <n v="30"/>
    <s v="N/A"/>
  </r>
  <r>
    <x v="8"/>
    <s v="Cuautla"/>
    <s v="VW"/>
    <s v="Atlas (P416PA)"/>
    <s v="OEM"/>
    <x v="1"/>
    <s v="W2264AD"/>
    <s v="K"/>
    <s v="E2"/>
    <s v="Clear"/>
    <x v="0"/>
    <s v="BF011508 (single), BF011686 (4-roll)"/>
    <s v="Y"/>
    <x v="0"/>
    <n v="0.64"/>
    <n v="96"/>
    <n v="30"/>
    <s v="N/A"/>
  </r>
  <r>
    <x v="8"/>
    <s v="Cuautla"/>
    <s v="VW"/>
    <s v="Atlas (P416PA)"/>
    <s v="OEM"/>
    <x v="1"/>
    <s v="W2272AB"/>
    <s v="K"/>
    <s v="E2"/>
    <s v="Clear"/>
    <x v="0"/>
    <s v="BF011509 (L9)"/>
    <s v="Y"/>
    <x v="0"/>
    <n v="0.72"/>
    <n v="96"/>
    <n v="30"/>
    <s v="N/A"/>
  </r>
  <r>
    <x v="8"/>
    <s v="Cuautla"/>
    <s v="VW"/>
    <s v="Atlas (P416PA)"/>
    <s v="OEM"/>
    <x v="2"/>
    <s v="W2272AC"/>
    <s v="K"/>
    <s v="E2"/>
    <s v="Clear"/>
    <x v="0"/>
    <s v="BF011560 (single), BF011685 (4-roll), BF012715 (CT2A)"/>
    <s v="Y"/>
    <x v="2"/>
    <n v="0.72"/>
    <n v="96"/>
    <n v="30"/>
    <s v="N/A"/>
  </r>
  <r>
    <x v="8"/>
    <s v="Cuautla"/>
    <s v="VW"/>
    <s v="Atlas (P416PA)"/>
    <s v="OEM"/>
    <x v="2"/>
    <s v="W2272AE"/>
    <s v="K"/>
    <s v="E2"/>
    <s v="Clear"/>
    <x v="0"/>
    <m/>
    <s v="Y"/>
    <x v="0"/>
    <n v="0.72"/>
    <n v="96"/>
    <n v="30"/>
    <s v="N/A"/>
  </r>
  <r>
    <x v="8"/>
    <s v="Cuautla"/>
    <s v="VW"/>
    <s v="Tayron (VW336)"/>
    <s v="OEM"/>
    <x v="2"/>
    <s v="W2254AF"/>
    <s v="K"/>
    <s v="E2"/>
    <s v="Clear"/>
    <x v="0"/>
    <s v="BF01179 (CT1P)7, BF012196 (WT4A)"/>
    <s v="Y"/>
    <x v="2"/>
    <n v="0.54"/>
    <n v="99"/>
    <n v="28"/>
    <s v="N/A"/>
  </r>
  <r>
    <x v="8"/>
    <s v="Cuautla"/>
    <s v="VW"/>
    <s v="Tayron (VW336)"/>
    <s v="OEM"/>
    <x v="2"/>
    <s v="W2254AK"/>
    <s v="K"/>
    <s v="E2"/>
    <s v="Clear"/>
    <x v="0"/>
    <m/>
    <s v="Y"/>
    <x v="0"/>
    <n v="0.54"/>
    <n v="99"/>
    <n v="27"/>
    <s v="N/A"/>
  </r>
  <r>
    <x v="8"/>
    <s v="Herzogenrath"/>
    <s v="Porsche"/>
    <s v="EV (PO426)"/>
    <s v="OEM"/>
    <x v="0"/>
    <s v="W2220AE"/>
    <s v="K"/>
    <s v="E2"/>
    <s v="Clear"/>
    <x v="0"/>
    <s v="BF012681"/>
    <s v="Y"/>
    <x v="2"/>
    <n v="0.2"/>
    <n v="103"/>
    <n v="20"/>
    <s v="N/A"/>
  </r>
  <r>
    <x v="8"/>
    <s v="Herzogenrath"/>
    <s v="n/a"/>
    <s v="lab validation"/>
    <s v="OEM"/>
    <x v="0"/>
    <s v="W2222AF"/>
    <s v="K"/>
    <s v="R"/>
    <s v="Clear"/>
    <x v="0"/>
    <s v="tbd"/>
    <s v="Y"/>
    <x v="2"/>
    <n v="0.22"/>
    <n v="121"/>
    <n v="20"/>
    <s v="N/A"/>
  </r>
  <r>
    <x v="8"/>
    <s v="Herzogenrath"/>
    <s v="VW"/>
    <s v="Idx (VW413)"/>
    <s v="OEM"/>
    <x v="0"/>
    <s v="W2225AG"/>
    <s v="K"/>
    <s v="E2"/>
    <s v="Clear"/>
    <x v="0"/>
    <s v="BF012680"/>
    <s v="Y"/>
    <x v="3"/>
    <n v="0.25"/>
    <n v="119"/>
    <n v="20"/>
    <s v="N/A"/>
  </r>
  <r>
    <x v="8"/>
    <s v="Herzogenrath"/>
    <s v="VW"/>
    <s v="Tiguan (VW336)"/>
    <s v="OEM"/>
    <x v="0"/>
    <s v="W2254AJ"/>
    <s v="K"/>
    <s v="E2"/>
    <s v="Clear"/>
    <x v="0"/>
    <s v="BF012679"/>
    <s v="Y"/>
    <x v="3"/>
    <n v="0.54"/>
    <n v="104"/>
    <n v="30"/>
    <s v="N/A"/>
  </r>
  <r>
    <x v="8"/>
    <s v="Horovice"/>
    <s v="Audi"/>
    <s v="e-tron (513-2)"/>
    <s v="OEM"/>
    <x v="0"/>
    <s v="W2240AE"/>
    <s v="K"/>
    <s v="E2"/>
    <s v="Clear"/>
    <x v="0"/>
    <s v="BF010388"/>
    <s v="Y"/>
    <x v="2"/>
    <n v="0.4"/>
    <n v="98"/>
    <n v="26"/>
    <s v="N/A"/>
  </r>
  <r>
    <x v="8"/>
    <s v="Horovice"/>
    <s v="BMW"/>
    <s v="F01(7-er 2008-2015) &amp; E70 (X5 2007-2010)"/>
    <s v="ARG"/>
    <x v="0"/>
    <s v="W2041AA"/>
    <s v="K"/>
    <s v="E2"/>
    <s v="Clear"/>
    <x v="1"/>
    <m/>
    <s v="Y"/>
    <x v="2"/>
    <n v="0.41"/>
    <n v="105"/>
    <n v="25"/>
    <s v="N/A"/>
  </r>
  <r>
    <x v="8"/>
    <s v="Horovice"/>
    <s v="Land Rover"/>
    <s v="Range Rover (L460)"/>
    <s v="OEM"/>
    <x v="2"/>
    <s v="W2267AC"/>
    <s v="K"/>
    <s v="E2"/>
    <s v="Clear"/>
    <x v="0"/>
    <s v="BF012121"/>
    <s v="Y"/>
    <x v="3"/>
    <n v="0.67"/>
    <n v="110"/>
    <n v="30"/>
    <s v="N/A"/>
  </r>
  <r>
    <x v="8"/>
    <s v="Horovice"/>
    <s v="Land Rover"/>
    <s v="Range Rover Sport (L461)"/>
    <s v="OEM"/>
    <x v="2"/>
    <s v="W2260AJ"/>
    <s v="K"/>
    <s v="E2"/>
    <s v="Clear"/>
    <x v="0"/>
    <s v="BF012120"/>
    <s v="Y"/>
    <x v="3"/>
    <n v="0.6"/>
    <n v="110"/>
    <n v="30"/>
    <s v="N/A"/>
  </r>
  <r>
    <x v="8"/>
    <s v="Horovice"/>
    <s v="Porsche"/>
    <s v="Cayenne (536)"/>
    <s v="OEM"/>
    <x v="1"/>
    <s v="W2235AA"/>
    <s v="K"/>
    <s v="E2"/>
    <s v="Clear"/>
    <x v="0"/>
    <s v="BF010217"/>
    <s v="Y"/>
    <x v="2"/>
    <n v="0.35"/>
    <n v="98"/>
    <n v="28"/>
    <s v="N/A"/>
  </r>
  <r>
    <x v="8"/>
    <s v="Horovice"/>
    <s v="Skoda"/>
    <s v="Octavia (SK381)"/>
    <s v="OEM"/>
    <x v="2"/>
    <s v="W2251AE"/>
    <s v="K"/>
    <s v="E2"/>
    <s v="Clear"/>
    <x v="0"/>
    <s v="BF011589"/>
    <s v="Y"/>
    <x v="3"/>
    <n v="0.51"/>
    <n v="101"/>
    <n v="25"/>
    <s v="N/A"/>
  </r>
  <r>
    <x v="8"/>
    <s v="Horovice"/>
    <s v="Volvo"/>
    <s v="XC60 (V426)"/>
    <s v="OEM"/>
    <x v="2"/>
    <s v="W2241AA"/>
    <s v="K"/>
    <s v="E2"/>
    <s v="Clear"/>
    <x v="0"/>
    <s v="BF009793 (164m), BF011210 (326m)"/>
    <s v="Y"/>
    <x v="3"/>
    <n v="0.41"/>
    <n v="111"/>
    <n v="34"/>
    <s v="N/A"/>
  </r>
  <r>
    <x v="8"/>
    <s v="Horovice"/>
    <s v="Volvo"/>
    <s v="XC60 (V426)"/>
    <s v="OEM"/>
    <x v="1"/>
    <s v="W1241"/>
    <s v="K"/>
    <s v="E2"/>
    <s v="Clear"/>
    <x v="0"/>
    <s v="BF007855, BF009161"/>
    <s v="Y"/>
    <x v="2"/>
    <n v="0.41"/>
    <n v="107"/>
    <n v="30"/>
    <s v="N/A"/>
  </r>
  <r>
    <x v="8"/>
    <s v="Horovice"/>
    <s v="Volvo"/>
    <s v="XC60 (V426)"/>
    <s v="OEM"/>
    <x v="1"/>
    <s v="W1241AC"/>
    <s v="K"/>
    <s v="E2"/>
    <s v="Clear"/>
    <x v="0"/>
    <s v="BF009488"/>
    <s v="Y"/>
    <x v="2"/>
    <n v="0.41"/>
    <n v="111"/>
    <n v="34"/>
    <s v="N/A"/>
  </r>
  <r>
    <x v="8"/>
    <s v="Horovice"/>
    <s v="VW"/>
    <s v="Tiguan? (VW316)"/>
    <s v="OEM"/>
    <x v="2"/>
    <s v="W2231AA"/>
    <s v="K"/>
    <s v="E2"/>
    <s v="Clear"/>
    <x v="0"/>
    <s v="BF012662 (CT1P), BF012663 (MT2P)"/>
    <s v="Y"/>
    <x v="3"/>
    <n v="0.31"/>
    <n v="110"/>
    <n v="16"/>
    <s v="N/A"/>
  </r>
  <r>
    <x v="8"/>
    <s v="HRDC"/>
    <s v="None"/>
    <s v="None"/>
    <m/>
    <x v="1"/>
    <s v="W5045"/>
    <s v="B"/>
    <s v="R1"/>
    <s v="Clear"/>
    <x v="1"/>
    <s v="BF007093"/>
    <m/>
    <x v="1"/>
    <n v="0.45"/>
    <n v="98"/>
    <m/>
    <s v="N/A"/>
  </r>
  <r>
    <x v="8"/>
    <s v="HRDC"/>
    <m/>
    <m/>
    <m/>
    <x v="1"/>
    <s v="W2340AB"/>
    <s v="K"/>
    <s v="E2"/>
    <s v="Blue"/>
    <x v="0"/>
    <s v="BF008373"/>
    <s v="Y"/>
    <x v="2"/>
    <n v="0.4"/>
    <n v="107"/>
    <n v="25"/>
    <n v="15"/>
  </r>
  <r>
    <x v="8"/>
    <s v="HRDC &amp; Horovice"/>
    <s v="Volvo"/>
    <s v="XC60 (V426)"/>
    <s v="OEM"/>
    <x v="1"/>
    <s v="W2241"/>
    <s v="K"/>
    <s v="E2"/>
    <s v="Clear"/>
    <x v="0"/>
    <s v="BF008311, BF008707"/>
    <s v="Y"/>
    <x v="2"/>
    <n v="0.41"/>
    <n v="107"/>
    <n v="30"/>
    <s v="N/A"/>
  </r>
  <r>
    <x v="8"/>
    <s v="HRDC &amp; Stolberg"/>
    <s v="Mini (or Mercedes?)"/>
    <s v="Mercedes C-Class"/>
    <m/>
    <x v="1"/>
    <s v="W1264"/>
    <s v="L"/>
    <s v="E2"/>
    <s v="Clear"/>
    <x v="0"/>
    <s v="BF007147, BF007146"/>
    <s v="Y"/>
    <x v="2"/>
    <n v="0.64"/>
    <n v="100"/>
    <n v="35"/>
    <s v="N/A"/>
  </r>
  <r>
    <x v="8"/>
    <s v="Kenitra"/>
    <s v="Nissan"/>
    <s v="P33"/>
    <s v="OEM"/>
    <x v="0"/>
    <s v="W2253AD"/>
    <s v="K"/>
    <s v="E2"/>
    <s v="Clear"/>
    <x v="0"/>
    <m/>
    <s v="Y"/>
    <x v="2"/>
    <n v="0.53"/>
    <n v="115"/>
    <n v="30"/>
    <s v="N/A"/>
  </r>
  <r>
    <x v="8"/>
    <s v="Kunsan"/>
    <s v="Hyundai"/>
    <s v="Genesis G80 (RG3 PE)"/>
    <s v="OEM"/>
    <x v="1"/>
    <s v="W2339AA"/>
    <s v="K"/>
    <s v="R"/>
    <s v="Blue"/>
    <x v="0"/>
    <s v="BF012318"/>
    <s v="Y"/>
    <x v="0"/>
    <n v="0.39"/>
    <n v="99"/>
    <n v="30"/>
    <n v="12"/>
  </r>
  <r>
    <x v="8"/>
    <s v="Kunsan"/>
    <s v="Hyundai"/>
    <s v="Nexo (NH2)"/>
    <s v="OEM"/>
    <x v="0"/>
    <s v="W2241AJ"/>
    <s v="K"/>
    <s v="R"/>
    <s v="Clear"/>
    <x v="0"/>
    <s v="BF012811, ____, _____"/>
    <s v="Y"/>
    <x v="0"/>
    <n v="0.41"/>
    <n v="112"/>
    <n v="30"/>
    <s v="N/A"/>
  </r>
  <r>
    <x v="8"/>
    <s v="Kunsan"/>
    <s v="Hyundai"/>
    <s v="Nexo (NH2)"/>
    <s v="OEM"/>
    <x v="0"/>
    <s v="W2241AL"/>
    <s v="K"/>
    <s v="R"/>
    <s v="Clear"/>
    <x v="0"/>
    <s v="BF012917"/>
    <s v="Y"/>
    <x v="0"/>
    <n v="0.41"/>
    <n v="114"/>
    <n v="30"/>
    <s v="N/A"/>
  </r>
  <r>
    <x v="8"/>
    <s v="Kunsan"/>
    <s v="Hyundai"/>
    <s v="Nexo (NH2)"/>
    <s v="OEM"/>
    <x v="0"/>
    <s v="W2241AM"/>
    <s v="K"/>
    <s v="R"/>
    <s v="Clear"/>
    <x v="0"/>
    <s v="BF012918 (CB2P), BF012919 (MB2P)"/>
    <s v="Y"/>
    <x v="0"/>
    <n v="0.41"/>
    <n v="113"/>
    <n v="30"/>
    <s v="N/A"/>
  </r>
  <r>
    <x v="8"/>
    <s v="Kunsan"/>
    <s v="Hyundai"/>
    <s v="Nexo (NH2)"/>
    <s v="OEM"/>
    <x v="0"/>
    <s v="W2243AD"/>
    <s v="K"/>
    <s v="R"/>
    <s v="Clear"/>
    <x v="0"/>
    <s v="BF012735"/>
    <s v="Y"/>
    <x v="0"/>
    <n v="0.43"/>
    <n v="113"/>
    <n v="30"/>
    <s v="N/A"/>
  </r>
  <r>
    <x v="8"/>
    <s v="Kunsan"/>
    <s v="Hyundai"/>
    <s v="Nexo (NH2)"/>
    <s v="OEM"/>
    <x v="1"/>
    <s v="W2244AN"/>
    <s v="K"/>
    <s v="R"/>
    <s v="Clear"/>
    <x v="0"/>
    <m/>
    <s v="Y"/>
    <x v="0"/>
    <n v="0.44"/>
    <n v="112"/>
    <n v="30"/>
    <s v="N/A"/>
  </r>
  <r>
    <x v="8"/>
    <s v="Kunsan"/>
    <s v="Hyundai"/>
    <s v="Palisade (LX2 PE)"/>
    <s v="OEM"/>
    <x v="2"/>
    <s v="W2265AD"/>
    <s v="K"/>
    <s v="R"/>
    <s v="Clear"/>
    <x v="0"/>
    <s v="BF012734"/>
    <s v="Y"/>
    <x v="0"/>
    <n v="0.65"/>
    <n v="99"/>
    <n v="30"/>
    <s v="N/A"/>
  </r>
  <r>
    <x v="8"/>
    <s v="Kunsan"/>
    <s v="Hyundai"/>
    <s v="Palisade (LX2 PE)"/>
    <s v="OEM"/>
    <x v="1"/>
    <s v="W2261AA"/>
    <s v="K"/>
    <s v="R"/>
    <s v="Clear"/>
    <x v="0"/>
    <s v="BF012317, ___ (MB2P)"/>
    <s v="Y"/>
    <x v="0"/>
    <n v="0.61"/>
    <n v="99"/>
    <n v="30"/>
    <s v="N/A"/>
  </r>
  <r>
    <x v="8"/>
    <s v="Kunsan"/>
    <s v="Hyundai"/>
    <s v="Palisade (LX2-W PE)"/>
    <s v="OEM"/>
    <x v="1"/>
    <s v="W2351AA"/>
    <s v="K"/>
    <s v="R"/>
    <s v="Blue"/>
    <x v="0"/>
    <s v="BF010040"/>
    <s v="Y"/>
    <x v="2"/>
    <n v="0.51"/>
    <n v="98"/>
    <n v="30"/>
    <n v="12"/>
  </r>
  <r>
    <x v="8"/>
    <s v="Kunsan"/>
    <s v="Hyundai"/>
    <s v="Palisade (LX2-W PE)"/>
    <s v="OEM"/>
    <x v="1"/>
    <s v="W2354AA"/>
    <s v="K"/>
    <s v="R"/>
    <s v="Blue"/>
    <x v="0"/>
    <s v="BF010775"/>
    <s v="Y"/>
    <x v="0"/>
    <n v="0.54"/>
    <n v="98"/>
    <n v="30"/>
    <n v="12"/>
  </r>
  <r>
    <x v="8"/>
    <s v="Kunsan"/>
    <s v="Hyundai"/>
    <s v="Palisade (LX2-W PE)"/>
    <s v="OEM"/>
    <x v="1"/>
    <s v="W2354AB"/>
    <s v="K"/>
    <s v="R"/>
    <s v="Blue"/>
    <x v="0"/>
    <s v="BF010925 (310m),"/>
    <s v="Y"/>
    <x v="0"/>
    <n v="0.54"/>
    <n v="99"/>
    <n v="30"/>
    <n v="12"/>
  </r>
  <r>
    <x v="8"/>
    <s v="Kunsan"/>
    <s v="Hyundai"/>
    <s v="Palisade (LX2-W PE)"/>
    <s v="OEM"/>
    <x v="1"/>
    <s v="W2254AB"/>
    <s v="K"/>
    <s v="R"/>
    <s v="Clear"/>
    <x v="0"/>
    <s v="BF011425"/>
    <s v="Y"/>
    <x v="0"/>
    <n v="0.54"/>
    <n v="99"/>
    <n v="30"/>
    <s v="N/A"/>
  </r>
  <r>
    <x v="8"/>
    <s v="Kunsan"/>
    <s v="Hyundai"/>
    <s v="Palisade (LX2-W PE)"/>
    <s v="OEM"/>
    <x v="1"/>
    <s v="W2357AA"/>
    <s v="K"/>
    <s v="R"/>
    <s v="Blue"/>
    <x v="0"/>
    <s v="BF011607 (153m), BF011608 (304m)"/>
    <s v="Y"/>
    <x v="0"/>
    <n v="0.56999999999999995"/>
    <n v="99"/>
    <n v="30"/>
    <n v="12"/>
  </r>
  <r>
    <x v="8"/>
    <s v="Kunsan"/>
    <s v="Hyundai"/>
    <s v="Palisade (LX2-W PE)"/>
    <s v="OEM"/>
    <x v="1"/>
    <s v="W2257AC"/>
    <s v="K"/>
    <s v="R"/>
    <s v="Clear"/>
    <x v="0"/>
    <s v="BF011609 (153m), BF011610 (304m), BF011729 (300m)"/>
    <s v="Y"/>
    <x v="0"/>
    <n v="0.56999999999999995"/>
    <n v="99"/>
    <n v="30"/>
    <s v="N/A"/>
  </r>
  <r>
    <x v="8"/>
    <s v="Kunsan"/>
    <s v="Hyundai"/>
    <s v="Palisade (LX2-W PE)"/>
    <s v="OEM"/>
    <x v="1"/>
    <s v="W2358AA"/>
    <s v="K"/>
    <s v="R"/>
    <s v="Blue"/>
    <x v="0"/>
    <s v="BF011827"/>
    <s v="Y"/>
    <x v="0"/>
    <n v="0.57999999999999996"/>
    <n v="99"/>
    <n v="30"/>
    <n v="12"/>
  </r>
  <r>
    <x v="8"/>
    <s v="Kunsan"/>
    <s v="Hyundai"/>
    <s v="Palisade (LX2-W PE)"/>
    <s v="OEM"/>
    <x v="1"/>
    <s v="W2258AI"/>
    <s v="K"/>
    <s v="R"/>
    <s v="Clear"/>
    <x v="0"/>
    <s v="BF011828"/>
    <s v="Y"/>
    <x v="0"/>
    <n v="0.57999999999999996"/>
    <n v="99"/>
    <n v="30"/>
    <s v="N/A"/>
  </r>
  <r>
    <x v="8"/>
    <s v="Kunsan"/>
    <s v="Hyundai"/>
    <s v="Palisade (LX2-W)"/>
    <s v="OEM"/>
    <x v="1"/>
    <s v="W2346AA"/>
    <s v="K"/>
    <s v="R"/>
    <s v="Blue"/>
    <x v="0"/>
    <s v="BF009672, BF009901"/>
    <s v="Y"/>
    <x v="2"/>
    <n v="0.46"/>
    <n v="98"/>
    <n v="30"/>
    <n v="12"/>
  </r>
  <r>
    <x v="8"/>
    <s v="Kunsan"/>
    <s v="Hyundai"/>
    <s v="Palisade (LX3)"/>
    <s v="OEM"/>
    <x v="1"/>
    <s v="W2255AE"/>
    <s v="K"/>
    <s v="R"/>
    <s v="Clear"/>
    <x v="0"/>
    <s v="BF012422"/>
    <s v="Y"/>
    <x v="0"/>
    <n v="0.55000000000000004"/>
    <n v="104"/>
    <n v="30"/>
    <s v="N/A"/>
  </r>
  <r>
    <x v="8"/>
    <s v="Kunsan"/>
    <s v="Kia"/>
    <s v="EV6 (CV)"/>
    <s v="OEM"/>
    <x v="1"/>
    <s v="W2212AA"/>
    <s v="K"/>
    <s v="R"/>
    <s v="Clear"/>
    <x v="0"/>
    <s v="BF010240 (L8, 100m), BF010774 (L9, 150m), BF010822? (L8 201m), BF010924 (CB2P)"/>
    <s v="Y"/>
    <x v="3"/>
    <n v="0.12"/>
    <n v="122"/>
    <n v="30"/>
    <s v="N/A"/>
  </r>
  <r>
    <x v="8"/>
    <s v="Kunsan"/>
    <s v="Kia"/>
    <s v="EV7 (MV)"/>
    <s v="OEM"/>
    <x v="1"/>
    <s v="W2249AD"/>
    <s v="K"/>
    <s v="R"/>
    <s v="Clear"/>
    <x v="0"/>
    <s v="BF011001"/>
    <s v="Y"/>
    <x v="0"/>
    <n v="0.49"/>
    <n v="112"/>
    <n v="30"/>
    <s v="N/A"/>
  </r>
  <r>
    <x v="8"/>
    <s v="Kunsan"/>
    <s v="Kia"/>
    <s v="EV7 (MV)"/>
    <s v="OEM"/>
    <x v="1"/>
    <s v="W2253AA"/>
    <s v="K"/>
    <s v="R"/>
    <s v="Clear"/>
    <x v="0"/>
    <s v="BF011551"/>
    <s v="Y"/>
    <x v="0"/>
    <n v="0.53"/>
    <n v="102"/>
    <n v="30"/>
    <s v="N/A"/>
  </r>
  <r>
    <x v="8"/>
    <s v="Kunsan"/>
    <s v="Kia"/>
    <s v="K9 sedan (RJ PE)"/>
    <s v="OEM"/>
    <x v="1"/>
    <s v="W2343AA"/>
    <s v="K"/>
    <s v="R"/>
    <s v="Blue"/>
    <x v="0"/>
    <s v="BF011424"/>
    <s v="Y"/>
    <x v="0"/>
    <n v="0.43"/>
    <n v="100"/>
    <n v="30"/>
    <n v="16"/>
  </r>
  <r>
    <x v="8"/>
    <s v="Kunsan"/>
    <s v="Kia"/>
    <s v="K9 sedan (RJ PE)"/>
    <s v="OEM"/>
    <x v="1"/>
    <s v="W2349AA"/>
    <s v="K"/>
    <s v="R"/>
    <s v="Blue"/>
    <x v="0"/>
    <s v="BF011494"/>
    <s v="Y"/>
    <x v="0"/>
    <n v="0.49"/>
    <n v="101"/>
    <n v="30"/>
    <n v="16"/>
  </r>
  <r>
    <x v="8"/>
    <s v="Kunsan"/>
    <s v="Kia"/>
    <s v="Niro HEV SUV (SG2)"/>
    <s v="OEM"/>
    <x v="1"/>
    <s v="W2241AE"/>
    <s v="K"/>
    <s v="R"/>
    <s v="Clear"/>
    <x v="0"/>
    <s v="BF011426"/>
    <s v="Y"/>
    <x v="0"/>
    <n v="0.41"/>
    <n v="104"/>
    <n v="30"/>
    <s v="N/A"/>
  </r>
  <r>
    <x v="8"/>
    <s v="Kunsan"/>
    <s v="Kia"/>
    <s v="Stinger (CK)"/>
    <s v="OEM"/>
    <x v="1"/>
    <s v="W2338"/>
    <s v="K"/>
    <s v="R"/>
    <s v="Blue"/>
    <x v="0"/>
    <s v="BF008534"/>
    <s v="Y"/>
    <x v="2"/>
    <n v="0.38"/>
    <n v="104"/>
    <n v="30"/>
    <n v="16"/>
  </r>
  <r>
    <x v="8"/>
    <s v="Kunsan"/>
    <s v="Kia"/>
    <s v="Stinger (CK)"/>
    <s v="OEM"/>
    <x v="1"/>
    <s v="W2341AA"/>
    <s v="K"/>
    <s v="R"/>
    <s v="Blue"/>
    <x v="0"/>
    <s v="BF009415"/>
    <s v="Y"/>
    <x v="2"/>
    <n v="0.41"/>
    <n v="104"/>
    <n v="30"/>
    <n v="16"/>
  </r>
  <r>
    <x v="8"/>
    <s v="Meizhou"/>
    <s v="Mahindra"/>
    <s v="M110"/>
    <s v="OEM"/>
    <x v="0"/>
    <s v="W2216AA"/>
    <s v="K"/>
    <s v="E2"/>
    <s v="Clear"/>
    <x v="0"/>
    <s v="BF012459"/>
    <s v="Y"/>
    <x v="0"/>
    <n v="0.16"/>
    <n v="138"/>
    <n v="30"/>
    <s v="N/A"/>
  </r>
  <r>
    <x v="8"/>
    <s v="Meizhou"/>
    <s v="Mahindra"/>
    <s v="M310"/>
    <s v="OEM"/>
    <x v="0"/>
    <s v="W2227AJ"/>
    <s v="K"/>
    <s v="E2"/>
    <s v="Clear"/>
    <x v="0"/>
    <m/>
    <s v="Y"/>
    <x v="0"/>
    <n v="0.27"/>
    <n v="105"/>
    <n v="15"/>
    <s v="N/A"/>
  </r>
  <r>
    <x v="8"/>
    <s v="Meizhou"/>
    <s v="Mahindra"/>
    <s v="M310"/>
    <s v="OEM"/>
    <x v="1"/>
    <s v="W2227AG"/>
    <s v="K"/>
    <s v="E2"/>
    <s v="Clear"/>
    <x v="0"/>
    <s v="BF012460"/>
    <s v="Y"/>
    <x v="0"/>
    <n v="0.27"/>
    <n v="111"/>
    <n v="20"/>
    <s v="N/A"/>
  </r>
  <r>
    <x v="8"/>
    <s v="Meizhou"/>
    <s v="Mahindra"/>
    <s v="M310"/>
    <s v="OEM"/>
    <x v="1"/>
    <s v="W2227AI"/>
    <s v="K"/>
    <s v="E2"/>
    <s v="Clear"/>
    <x v="0"/>
    <s v="BF012551"/>
    <s v="Y"/>
    <x v="0"/>
    <n v="0.27"/>
    <n v="109"/>
    <n v="15"/>
    <s v="N/A"/>
  </r>
  <r>
    <x v="8"/>
    <s v="Meizhou"/>
    <s v="Mahindra"/>
    <m/>
    <s v="OEM"/>
    <x v="0"/>
    <s v="W2216AE"/>
    <s v="K"/>
    <s v="E2"/>
    <s v="Clear"/>
    <x v="0"/>
    <m/>
    <s v="Y"/>
    <x v="0"/>
    <n v="0.16"/>
    <n v="105"/>
    <n v="20"/>
    <s v="N/A"/>
  </r>
  <r>
    <x v="8"/>
    <s v="Meizhou"/>
    <s v="Mahindra"/>
    <s v="M610"/>
    <s v="OEM"/>
    <x v="1"/>
    <s v="W2216AB"/>
    <s v="K"/>
    <s v="E2"/>
    <s v="Clear"/>
    <x v="0"/>
    <s v="BF012461"/>
    <s v="Y"/>
    <x v="0"/>
    <n v="0.16"/>
    <n v="111"/>
    <n v="20"/>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58DACF-DAE2-4573-89D7-5895DE0F0612}" name="PivotTable1"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4" firstHeaderRow="1" firstDataRow="1" firstDataCol="1"/>
  <pivotFields count="52">
    <pivotField showAll="0"/>
    <pivotField showAll="0"/>
    <pivotField showAll="0"/>
    <pivotField showAll="0"/>
    <pivotField showAll="0"/>
    <pivotField axis="axisRow" dataField="1" showAll="0">
      <items count="5">
        <item x="2"/>
        <item x="0"/>
        <item x="1"/>
        <item m="1" x="3"/>
        <item t="default"/>
      </items>
    </pivotField>
    <pivotField showAll="0"/>
    <pivotField showAll="0"/>
    <pivotField showAll="0"/>
    <pivotField showAll="0"/>
    <pivotField showAll="0"/>
    <pivotField showAll="0"/>
    <pivotField showAll="0"/>
    <pivotField axis="axisRow" showAll="0">
      <items count="7">
        <item x="4"/>
        <item x="1"/>
        <item x="2"/>
        <item x="3"/>
        <item x="0"/>
        <item m="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3"/>
    <field x="5"/>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Count of Developmental, Commercial, Obsolete"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3435CC-1A5B-46A4-81E4-8BC3799FE9EE}" name="PivotTable1"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B35" firstHeaderRow="1" firstDataRow="1" firstDataCol="1" rowPageCount="2" colPageCount="1"/>
  <pivotFields count="18">
    <pivotField axis="axisRow" showAll="0">
      <items count="19">
        <item m="1" x="15"/>
        <item x="0"/>
        <item x="1"/>
        <item x="3"/>
        <item x="5"/>
        <item m="1" x="17"/>
        <item m="1" x="14"/>
        <item x="6"/>
        <item x="7"/>
        <item x="8"/>
        <item m="1" x="10"/>
        <item m="1" x="9"/>
        <item m="1" x="11"/>
        <item m="1" x="13"/>
        <item m="1" x="16"/>
        <item m="1" x="12"/>
        <item x="2"/>
        <item x="4"/>
        <item t="default"/>
      </items>
    </pivotField>
    <pivotField showAll="0"/>
    <pivotField showAll="0"/>
    <pivotField showAll="0"/>
    <pivotField showAll="0"/>
    <pivotField axis="axisRow" showAll="0">
      <items count="5">
        <item x="2"/>
        <item x="0"/>
        <item x="1"/>
        <item m="1" x="3"/>
        <item t="default"/>
      </items>
    </pivotField>
    <pivotField dataField="1" showAll="0"/>
    <pivotField showAll="0"/>
    <pivotField showAll="0"/>
    <pivotField showAll="0"/>
    <pivotField axis="axisPage" showAll="0">
      <items count="5">
        <item x="0"/>
        <item m="1" x="2"/>
        <item x="1"/>
        <item m="1" x="3"/>
        <item t="default"/>
      </items>
    </pivotField>
    <pivotField showAll="0"/>
    <pivotField showAll="0"/>
    <pivotField axis="axisPage" showAll="0">
      <items count="8">
        <item x="4"/>
        <item x="1"/>
        <item x="2"/>
        <item x="3"/>
        <item m="1" x="6"/>
        <item x="0"/>
        <item m="1" x="5"/>
        <item t="default"/>
      </items>
    </pivotField>
    <pivotField showAll="0"/>
    <pivotField showAll="0"/>
    <pivotField showAll="0"/>
    <pivotField showAll="0"/>
  </pivotFields>
  <rowFields count="2">
    <field x="0"/>
    <field x="5"/>
  </rowFields>
  <rowItems count="31">
    <i>
      <x v="1"/>
    </i>
    <i r="1">
      <x/>
    </i>
    <i r="1">
      <x v="1"/>
    </i>
    <i r="1">
      <x v="2"/>
    </i>
    <i>
      <x v="2"/>
    </i>
    <i r="1">
      <x/>
    </i>
    <i r="1">
      <x v="2"/>
    </i>
    <i>
      <x v="3"/>
    </i>
    <i r="1">
      <x v="1"/>
    </i>
    <i r="1">
      <x v="2"/>
    </i>
    <i>
      <x v="4"/>
    </i>
    <i r="1">
      <x/>
    </i>
    <i r="1">
      <x v="1"/>
    </i>
    <i r="1">
      <x v="2"/>
    </i>
    <i>
      <x v="7"/>
    </i>
    <i r="1">
      <x/>
    </i>
    <i r="1">
      <x v="1"/>
    </i>
    <i r="1">
      <x v="2"/>
    </i>
    <i>
      <x v="8"/>
    </i>
    <i r="1">
      <x/>
    </i>
    <i r="1">
      <x v="1"/>
    </i>
    <i r="1">
      <x v="2"/>
    </i>
    <i>
      <x v="9"/>
    </i>
    <i r="1">
      <x/>
    </i>
    <i r="1">
      <x v="1"/>
    </i>
    <i r="1">
      <x v="2"/>
    </i>
    <i>
      <x v="16"/>
    </i>
    <i r="1">
      <x v="1"/>
    </i>
    <i>
      <x v="17"/>
    </i>
    <i r="1">
      <x v="1"/>
    </i>
    <i t="grand">
      <x/>
    </i>
  </rowItems>
  <colItems count="1">
    <i/>
  </colItems>
  <pageFields count="2">
    <pageField fld="10" item="0" hier="-1"/>
    <pageField fld="13" hier="-1"/>
  </pageFields>
  <dataFields count="1">
    <dataField name="Count of Product Code"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7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B6:H68" firstHeaderRow="1" firstDataRow="2" firstDataCol="1" rowPageCount="2" colPageCount="1"/>
  <pivotFields count="54">
    <pivotField showAll="0"/>
    <pivotField showAll="0"/>
    <pivotField showAll="0"/>
    <pivotField showAll="0"/>
    <pivotField showAll="0"/>
    <pivotField axis="axisPage" multipleItemSelectionAllowed="1" showAll="0">
      <items count="5">
        <item x="2"/>
        <item x="0"/>
        <item x="1"/>
        <item h="1" m="1" x="3"/>
        <item t="default"/>
      </items>
    </pivotField>
    <pivotField dataField="1" showAll="0"/>
    <pivotField showAll="0"/>
    <pivotField showAll="0"/>
    <pivotField showAll="0"/>
    <pivotField axis="axisPage" showAll="0">
      <items count="5">
        <item x="0"/>
        <item m="1" x="2"/>
        <item x="1"/>
        <item m="1" x="3"/>
        <item t="default"/>
      </items>
    </pivotField>
    <pivotField showAll="0"/>
    <pivotField showAll="0"/>
    <pivotField showAll="0"/>
    <pivotField axis="axisRow" showAll="0" sortType="ascending">
      <items count="63">
        <item x="12"/>
        <item x="6"/>
        <item x="58"/>
        <item x="5"/>
        <item x="61"/>
        <item x="41"/>
        <item x="4"/>
        <item x="8"/>
        <item x="13"/>
        <item x="20"/>
        <item x="42"/>
        <item x="9"/>
        <item x="19"/>
        <item x="30"/>
        <item x="43"/>
        <item x="0"/>
        <item x="26"/>
        <item x="34"/>
        <item x="14"/>
        <item x="46"/>
        <item x="50"/>
        <item x="27"/>
        <item x="55"/>
        <item x="7"/>
        <item x="15"/>
        <item x="31"/>
        <item x="56"/>
        <item x="10"/>
        <item x="44"/>
        <item x="24"/>
        <item x="18"/>
        <item x="57"/>
        <item x="16"/>
        <item x="3"/>
        <item x="37"/>
        <item x="25"/>
        <item x="47"/>
        <item x="17"/>
        <item x="29"/>
        <item x="1"/>
        <item x="28"/>
        <item x="35"/>
        <item x="38"/>
        <item x="23"/>
        <item x="51"/>
        <item x="52"/>
        <item x="40"/>
        <item x="48"/>
        <item x="21"/>
        <item x="60"/>
        <item x="2"/>
        <item x="22"/>
        <item x="11"/>
        <item x="49"/>
        <item x="53"/>
        <item x="59"/>
        <item x="33"/>
        <item x="36"/>
        <item x="45"/>
        <item x="32"/>
        <item x="54"/>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22">
        <item m="1" x="10"/>
        <item m="1" x="16"/>
        <item m="1" x="17"/>
        <item m="1" x="13"/>
        <item m="1" x="18"/>
        <item m="1" x="11"/>
        <item m="1" x="12"/>
        <item m="1" x="15"/>
        <item m="1" x="14"/>
        <item m="1" x="20"/>
        <item x="1"/>
        <item x="5"/>
        <item x="6"/>
        <item x="7"/>
        <item m="1" x="9"/>
        <item x="3"/>
        <item x="0"/>
        <item x="8"/>
        <item x="4"/>
        <item x="2"/>
        <item m="1" x="19"/>
        <item t="default"/>
      </items>
    </pivotField>
    <pivotField showAll="0"/>
  </pivotFields>
  <rowFields count="1">
    <field x="14"/>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1"/>
    </i>
    <i t="grand">
      <x/>
    </i>
  </rowItems>
  <colFields count="1">
    <field x="52"/>
  </colFields>
  <colItems count="6">
    <i>
      <x v="10"/>
    </i>
    <i>
      <x v="12"/>
    </i>
    <i>
      <x v="13"/>
    </i>
    <i>
      <x v="16"/>
    </i>
    <i>
      <x v="17"/>
    </i>
    <i t="grand">
      <x/>
    </i>
  </colItems>
  <pageFields count="2">
    <pageField fld="5" hier="-1"/>
    <pageField fld="10" item="0" hier="-1"/>
  </pageFields>
  <dataFields count="1">
    <dataField name="Count of Product Code" fld="6" subtotal="count" baseField="14" baseItem="3"/>
  </dataFields>
  <formats count="8">
    <format dxfId="71">
      <pivotArea dataOnly="0" labelOnly="1" fieldPosition="0">
        <references count="1">
          <reference field="14" count="1">
            <x v="5"/>
          </reference>
        </references>
      </pivotArea>
    </format>
    <format dxfId="72">
      <pivotArea dataOnly="0" labelOnly="1" fieldPosition="0">
        <references count="1">
          <reference field="14" count="32">
            <x v="8"/>
            <x v="9"/>
            <x v="12"/>
            <x v="13"/>
            <x v="16"/>
            <x v="18"/>
            <x v="20"/>
            <x v="21"/>
            <x v="23"/>
            <x v="24"/>
            <x v="26"/>
            <x v="27"/>
            <x v="28"/>
            <x v="29"/>
            <x v="30"/>
            <x v="31"/>
            <x v="32"/>
            <x v="33"/>
            <x v="34"/>
            <x v="35"/>
            <x v="36"/>
            <x v="37"/>
            <x v="38"/>
            <x v="39"/>
            <x v="40"/>
            <x v="41"/>
            <x v="43"/>
            <x v="48"/>
            <x v="52"/>
            <x v="53"/>
            <x v="56"/>
            <x v="57"/>
          </reference>
        </references>
      </pivotArea>
    </format>
    <format dxfId="73">
      <pivotArea type="all" dataOnly="0" outline="0" fieldPosition="0"/>
    </format>
    <format dxfId="74">
      <pivotArea outline="0" collapsedLevelsAreSubtotals="1" fieldPosition="0"/>
    </format>
    <format dxfId="75">
      <pivotArea dataOnly="0" labelOnly="1" fieldPosition="0">
        <references count="1">
          <reference field="14" count="0"/>
        </references>
      </pivotArea>
    </format>
    <format dxfId="76">
      <pivotArea dataOnly="0" labelOnly="1" grandRow="1" outline="0" fieldPosition="0"/>
    </format>
    <format dxfId="77">
      <pivotArea dataOnly="0" labelOnly="1" fieldPosition="0">
        <references count="1">
          <reference field="52" count="0"/>
        </references>
      </pivotArea>
    </format>
    <format dxfId="78">
      <pivotArea dataOnly="0" labelOnly="1" grandCol="1" outline="0" fieldPosition="0"/>
    </format>
  </formats>
  <conditionalFormats count="3">
    <conditionalFormat priority="1">
      <pivotAreas count="1">
        <pivotArea type="data" collapsedLevelsAreSubtotals="1" fieldPosition="0">
          <references count="3">
            <reference field="4294967294" count="1" selected="0">
              <x v="0"/>
            </reference>
            <reference field="14" count="54">
              <x v="0"/>
              <x v="2"/>
              <x v="3"/>
              <x v="5"/>
              <x v="6"/>
              <x v="7"/>
              <x v="8"/>
              <x v="9"/>
              <x v="10"/>
              <x v="12"/>
              <x v="13"/>
              <x v="14"/>
              <x v="15"/>
              <x v="16"/>
              <x v="17"/>
              <x v="18"/>
              <x v="19"/>
              <x v="20"/>
              <x v="21"/>
              <x v="22"/>
              <x v="23"/>
              <x v="24"/>
              <x v="25"/>
              <x v="26"/>
              <x v="27"/>
              <x v="28"/>
              <x v="29"/>
              <x v="30"/>
              <x v="31"/>
              <x v="32"/>
              <x v="33"/>
              <x v="35"/>
              <x v="36"/>
              <x v="37"/>
              <x v="38"/>
              <x v="39"/>
              <x v="40"/>
              <x v="41"/>
              <x v="42"/>
              <x v="43"/>
              <x v="44"/>
              <x v="45"/>
              <x v="46"/>
              <x v="47"/>
              <x v="48"/>
              <x v="50"/>
              <x v="51"/>
              <x v="52"/>
              <x v="53"/>
              <x v="54"/>
              <x v="55"/>
              <x v="56"/>
              <x v="59"/>
              <x v="61"/>
            </reference>
            <reference field="52" count="1" selected="0">
              <x v="16"/>
            </reference>
          </references>
        </pivotArea>
      </pivotAreas>
    </conditionalFormat>
    <conditionalFormat priority="2">
      <pivotAreas count="1">
        <pivotArea type="data" collapsedLevelsAreSubtotals="1" fieldPosition="0">
          <references count="3">
            <reference field="4294967294" count="1" selected="0">
              <x v="0"/>
            </reference>
            <reference field="14" count="46">
              <x v="2"/>
              <x v="3"/>
              <x v="5"/>
              <x v="7"/>
              <x v="8"/>
              <x v="9"/>
              <x v="10"/>
              <x v="12"/>
              <x v="13"/>
              <x v="18"/>
              <x v="20"/>
              <x v="21"/>
              <x v="22"/>
              <x v="23"/>
              <x v="24"/>
              <x v="25"/>
              <x v="26"/>
              <x v="27"/>
              <x v="28"/>
              <x v="29"/>
              <x v="30"/>
              <x v="31"/>
              <x v="32"/>
              <x v="33"/>
              <x v="34"/>
              <x v="35"/>
              <x v="36"/>
              <x v="37"/>
              <x v="38"/>
              <x v="39"/>
              <x v="40"/>
              <x v="41"/>
              <x v="42"/>
              <x v="44"/>
              <x v="45"/>
              <x v="46"/>
              <x v="47"/>
              <x v="48"/>
              <x v="50"/>
              <x v="51"/>
              <x v="52"/>
              <x v="53"/>
              <x v="54"/>
              <x v="55"/>
              <x v="56"/>
              <x v="59"/>
            </reference>
            <reference field="52" count="1" selected="0">
              <x v="16"/>
            </reference>
          </references>
        </pivotArea>
      </pivotAreas>
    </conditionalFormat>
    <conditionalFormat priority="3">
      <pivotAreas count="1">
        <pivotArea type="data" collapsedLevelsAreSubtotals="1" fieldPosition="0">
          <references count="3">
            <reference field="4294967294" count="1" selected="0">
              <x v="0"/>
            </reference>
            <reference field="14" count="33">
              <x v="2"/>
              <x v="5"/>
              <x v="9"/>
              <x v="12"/>
              <x v="18"/>
              <x v="20"/>
              <x v="21"/>
              <x v="22"/>
              <x v="24"/>
              <x v="26"/>
              <x v="27"/>
              <x v="28"/>
              <x v="29"/>
              <x v="30"/>
              <x v="31"/>
              <x v="32"/>
              <x v="33"/>
              <x v="34"/>
              <x v="35"/>
              <x v="36"/>
              <x v="37"/>
              <x v="38"/>
              <x v="39"/>
              <x v="40"/>
              <x v="42"/>
              <x v="44"/>
              <x v="46"/>
              <x v="47"/>
              <x v="48"/>
              <x v="50"/>
              <x v="52"/>
              <x v="55"/>
              <x v="59"/>
            </reference>
            <reference field="52" count="1" selected="0">
              <x v="1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98E752-88CC-425B-B621-9ACB938D1467}" name="Wedge" displayName="Wedge" ref="A5:AT677" totalsRowShown="0" dataDxfId="59" tableBorderDxfId="58">
  <autoFilter ref="A5:AT677" xr:uid="{3298E752-88CC-425B-B621-9ACB938D1467}"/>
  <tableColumns count="46">
    <tableColumn id="1" xr3:uid="{F6FEEABC-CF92-44A5-B544-FFF2100C70E7}" name="Customer" dataDxfId="57"/>
    <tableColumn id="2" xr3:uid="{A445C113-41FB-4330-93B1-1306DF83A13C}" name="Lamination Plant" dataDxfId="56"/>
    <tableColumn id="3" xr3:uid="{C8489FBF-4B0C-44E4-A6C5-FDE2E3A26D31}" name="Car Make (BMW, Ford, etc.)" dataDxfId="55"/>
    <tableColumn id="4" xr3:uid="{785693E8-A611-4005-A8B3-5DD650AA0B79}" name="Car Model_x000a_(5 series, Focus, etc.)" dataDxfId="54"/>
    <tableColumn id="5" xr3:uid="{C998283A-7AA4-46AE-BFE4-48474BB9D4E9}" name="OEM or ARG?" dataDxfId="53"/>
    <tableColumn id="6" xr3:uid="{462462AA-0611-446B-B96A-51133C29128B}" name="Developmental, Commercial, Obsolete" dataDxfId="52"/>
    <tableColumn id="7" xr3:uid="{3EA65DB4-93B4-4C7B-B912-77546EF9E671}" name="Product Code" dataDxfId="51"/>
    <tableColumn id="8" xr3:uid="{F067D5A7-6D7F-4FBE-9280-886F31603A1C}" name="Adh. Grade" dataDxfId="50"/>
    <tableColumn id="9" xr3:uid="{D63D47A9-D641-47D9-BEF4-05B08E66B8B2}" name="Pattern" dataDxfId="49"/>
    <tableColumn id="10" xr3:uid="{7338A286-D121-4AA1-88EF-BDA322AEC5A9}" name="Band color" dataDxfId="48"/>
    <tableColumn id="11" xr3:uid="{D4AB3E13-8CAB-4557-BF3E-3B57B94680FA}" name="PVB Type" dataDxfId="47"/>
    <tableColumn id="12" xr3:uid="{C86D2A87-15B5-4250-93B0-EEBF3E3D0973}" name="BF Code(s)" dataDxfId="46"/>
    <tableColumn id="13" xr3:uid="{E3723351-AC51-4C1A-AE71-1FC4EFC7C47F}" name="Smoothed Transition" dataDxfId="45"/>
    <tableColumn id="14" xr3:uid="{885FCA69-3085-4F87-B22D-0C7CF3D3B40A}" name="Extr. Line" dataDxfId="44"/>
    <tableColumn id="15" xr3:uid="{B37140E3-613E-43A8-8B75-55AEC50FA58A}" name="Wedge Angle (mrad)" dataDxfId="43"/>
    <tableColumn id="16" xr3:uid="{7E42E25B-020E-4CF8-B7C0-456871327E6A}" name="Roll Width (cm)" dataDxfId="42"/>
    <tableColumn id="17" xr3:uid="{3CF0943E-7AA0-4147-A697-335D341DCC98}" name="Flat Width (cm)" dataDxfId="41"/>
    <tableColumn id="18" xr3:uid="{72D6DF7A-C484-4BA5-BE71-2C337952C0DC}" name="Band Width (cm)" dataDxfId="40"/>
    <tableColumn id="19" xr3:uid="{98BF0536-3BA9-4F3C-813B-C952A7BC37FE}" name="Clear width (cm)" dataDxfId="39">
      <calculatedColumnFormula>IF(R6="n/a","N/A",P6-R6)</calculatedColumnFormula>
    </tableColumn>
    <tableColumn id="20" xr3:uid="{428A46EE-353C-4299-B656-AE27642FF98B}" name="Thin Edge Cal. (mm)" dataDxfId="38"/>
    <tableColumn id="21" xr3:uid="{970D56C4-A9F0-4D1C-A138-021FA4B4E341}" name="HUD Bot. (mm)" dataDxfId="37"/>
    <tableColumn id="22" xr3:uid="{AC66F983-46F8-4700-87E4-B290CB63C4CF}" name="HUD Top (mm)" dataDxfId="36"/>
    <tableColumn id="23" xr3:uid="{1CA22A6D-4BB4-4378-9DB3-6793C82D91A2}" name="HUD Span (mm)" dataDxfId="35">
      <calculatedColumnFormula>V6-U6</calculatedColumnFormula>
    </tableColumn>
    <tableColumn id="24" xr3:uid="{C7155BD9-C731-4A87-AC42-38590BA8F24A}" name="HUD Top to Trans'n (mm)" dataDxfId="34">
      <calculatedColumnFormula>AD6*10-V6</calculatedColumnFormula>
    </tableColumn>
    <tableColumn id="25" xr3:uid="{F81F4C5D-2E6B-4638-9433-F311A18CE7F2}" name="GWA Bot. (mm)" dataDxfId="33"/>
    <tableColumn id="26" xr3:uid="{D6C3A819-AD71-4837-B9BF-3EFB4036B587}" name="GWA Top (mm)" dataDxfId="32"/>
    <tableColumn id="27" xr3:uid="{6CF3DB07-196F-48CD-9117-FD29707356E2}" name="GWA Span (mm)" dataDxfId="31">
      <calculatedColumnFormula>Z6-Y6</calculatedColumnFormula>
    </tableColumn>
    <tableColumn id="28" xr3:uid="{3BC6D0A8-9498-4DCD-A851-FB9A1E94DDE1}" name="GWA Top to Trans'n (mm)" dataDxfId="30">
      <calculatedColumnFormula>AD6*10-Z6</calculatedColumnFormula>
    </tableColumn>
    <tableColumn id="29" xr3:uid="{73CFE122-4D10-4DD6-93C4-1EB70862F6A7}" name="Shade Band to Trans'n (mm)" dataDxfId="29">
      <calculatedColumnFormula>IF(J6="clear","N/A",((Q6-R6)*10))</calculatedColumnFormula>
    </tableColumn>
    <tableColumn id="30" xr3:uid="{9314D9D5-E239-4A8C-AF0C-732F6AB7AFA6}" name="Wedge Portion (cm)" dataDxfId="28">
      <calculatedColumnFormula>P6-Q6</calculatedColumnFormula>
    </tableColumn>
    <tableColumn id="31" xr3:uid="{E206A773-B654-4330-A1DB-3C30B075FC40}" name="Max/ Flat Edge Cal. (mm)" dataDxfId="27">
      <calculatedColumnFormula>T6+(O6/100*AD6)</calculatedColumnFormula>
    </tableColumn>
    <tableColumn id="32" xr3:uid="{644B6A6A-5B42-4B79-87F3-5AB78957B18F}" name="Thickness delta" dataDxfId="26"/>
    <tableColumn id="33" xr3:uid="{8218F6D2-6E69-4A25-9EB7-5264E3D55366}" name="Avg Cal. (mm)" dataDxfId="25">
      <calculatedColumnFormula>(((T6+(0.5*(AE6-T6)))*AD6)+(AE6*Q6))/P6</calculatedColumnFormula>
    </tableColumn>
    <tableColumn id="34" xr3:uid="{59B13EF5-F2CE-40AE-A9D2-814C1365DAA1}" name="Overall Area Wt (kg/m2)" dataDxfId="24">
      <calculatedColumnFormula>IF(MID(G6,2,2)="10",(AG6/1000*$W$2),(IF(MID(G6,2,2)="11",(AG6/1000*$X$2),(IF(MID(G6,2,2)="12",(AG6/1000*$Y$2),(IF(MID(G6,2,2)="13",(AG6/1000*$Z$2),(IF(MID(G6,2,2)="20",(AG6/1000*$AA$2),(IF(MID(G6,2,2)="21",(AG6/1000*$AB$2),(IF(MID(G6,2,2)="22",(AG6/1000*$AC$2),(IF(MID(G6,2,2)="23",(AG6/1000*$AD$2),(IF(MID(G6,2,2)="50",(AG6/1000*$AE$2),(IF(MID(G6,2,2)="51",(AG6/1000*$AG$2),"?")))))))))))))))))))</calculatedColumnFormula>
    </tableColumn>
    <tableColumn id="35" xr3:uid="{F1427E6E-B678-4F48-95FE-295FEB7F174F}" name="Thin Edge Area Wt (g/m2)" dataDxfId="23">
      <calculatedColumnFormula>IF(MID(G6,2,2)="10",((T6+O6*(6.142)/100)*$W$2),(IF(MID(G6,2,2)="11",((T6+O6*(6.142)/100)*$X$2),(IF(MID(G6,2,2)="12",((T6+O6*(6.142)/100)*$Y$2),(IF(MID(G6,2,2)="13",((T6+O6*(6.142)/100)*$Z$2),(IF(MID(G6,2,2)="20",((T6+O6*(6.142)/100)*$AA$2),(IF(MID(G6,2,2)="21",((T6+O6*(6.142)/100)*$AB$2),(IF(MID(G6,2,2)="22",((T6+O6*(6.142)/100)*$AC$2),(IF(MID(G6,2,2)="23",((T6+O6*(6.142)/100)*$AD$2),(IF(MID(G6,2,2)="50",((T6+O6*(6.142)/100)*$AE$2),(IF(MID(G6,2,2)="51",((T6+O6*(6.142)/100)*$AG$2),"?")))))))))))))))))))</calculatedColumnFormula>
    </tableColumn>
    <tableColumn id="36" xr3:uid="{AAAB3A2D-615D-40F1-B225-4CA9B8269F9E}" name="Min Short Roll Length (m)" dataDxfId="22">
      <calculatedColumnFormula>(PI()*((49/2)^2-(16.51/2)^2)/(AE6/10))/100</calculatedColumnFormula>
    </tableColumn>
    <tableColumn id="37" xr3:uid="{62D0449A-E95E-4861-94AA-9B00AFEC1963}" name="Max Short Roll Length (m)" dataDxfId="21">
      <calculatedColumnFormula>(PI()*((51/2)^2-(16.545/2)^2)/(AE6/10))/100</calculatedColumnFormula>
    </tableColumn>
    <tableColumn id="38" xr3:uid="{A3CB80B1-CBA1-4C4D-A82D-5ECACA24CEB3}" name="Max Long Roll Length (m)" dataDxfId="20">
      <calculatedColumnFormula>(PI()*((70/2)^2-(16.545/2)^2)/(AE6/10))/100</calculatedColumnFormula>
    </tableColumn>
    <tableColumn id="39" xr3:uid="{CFB856B0-AA99-4D12-9DC6-DD53862CE8AF}" name="Chosen roll Length (m)" dataDxfId="19"/>
    <tableColumn id="40" xr3:uid="{654DD903-22DA-4B9B-A152-31EF60976BB2}" name="Sqm per roll" dataDxfId="18">
      <calculatedColumnFormula>AM6*P6/100</calculatedColumnFormula>
    </tableColumn>
    <tableColumn id="41" xr3:uid="{DAB88E5F-3E85-4980-AFAC-991AAEE9C966}" name="Roll wt. (kg)" dataDxfId="17">
      <calculatedColumnFormula>AN6*AH6</calculatedColumnFormula>
    </tableColumn>
    <tableColumn id="42" xr3:uid="{88F210A0-1131-40BE-AB69-EA8A40146523}" name="Core slip potential" dataDxfId="16">
      <calculatedColumnFormula>AO6/(Q6/100)</calculatedColumnFormula>
    </tableColumn>
    <tableColumn id="43" xr3:uid="{04E76B33-BE5E-4BD9-8FCC-CA1D61CDAE47}" name="First Extrusion Date" dataDxfId="15"/>
    <tableColumn id="44" xr3:uid="{ACFE14EB-D652-4C0F-83A0-9C10A50E5449}" name="BPCM Request(s)" dataDxfId="14"/>
    <tableColumn id="45" xr3:uid="{F8ACE5C8-E8D6-4773-B912-BEB4CFB9F7F9}" name="Product Description(s)" dataDxfId="13"/>
    <tableColumn id="46" xr3:uid="{8DD46895-FBC0-4207-9EBE-A47C9F538234}" name="Comment"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E3D1F6-F709-4680-A3FD-DEAC8B5969C9}" name="Tabelle1" displayName="Tabelle1" ref="B3:J33" totalsRowShown="0" headerRowDxfId="11" dataDxfId="10" headerRowBorderDxfId="9" headerRowCellStyle="Normal 3">
  <autoFilter ref="B3:J33" xr:uid="{1F4FC739-15AD-47F2-AE3E-FE1CDE86EFCD}"/>
  <tableColumns count="9">
    <tableColumn id="1" xr3:uid="{C7C3FA04-7242-413E-8FC5-E9EA9A20DFD1}" name="plant" dataDxfId="8"/>
    <tableColumn id="7" xr3:uid="{6017752F-106B-4AB0-A676-F138B0B0FBE0}" name="packaging code" dataDxfId="7">
      <calculatedColumnFormula>M4&amp;N4</calculatedColumnFormula>
    </tableColumn>
    <tableColumn id="8" xr3:uid="{C2998A22-7B6D-43CF-AA55-F9D39B342282}" name="roll size" dataDxfId="6"/>
    <tableColumn id="4" xr3:uid="{E3CBBF95-51BF-4854-A902-9EE53E17F22C}" name="thick side up / thick side down" dataDxfId="5"/>
    <tableColumn id="10" xr3:uid="{83999E26-350F-4C3D-981E-8BAAA4493A8F}" name="material" dataDxfId="4"/>
    <tableColumn id="3" xr3:uid="{099B0EE6-3F59-4BFA-B7A6-B34C8EFE902C}" name="vertical / horizontal" dataDxfId="3"/>
    <tableColumn id="6" xr3:uid="{F1B78DD0-B4B7-4BC1-92D6-9056BA32A545}" name="order width" dataDxfId="2"/>
    <tableColumn id="9" xr3:uid="{ABD2254D-E70A-4D90-8E72-5784F6483C4B}" name="rolls per package" dataDxfId="1"/>
    <tableColumn id="2" xr3:uid="{178B9AC0-A9C7-4E89-A8D4-B62C1263C882}"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zoomScale="130" zoomScaleNormal="130" workbookViewId="0">
      <selection activeCell="F15" sqref="F15"/>
    </sheetView>
  </sheetViews>
  <sheetFormatPr defaultColWidth="9" defaultRowHeight="14.45"/>
  <cols>
    <col min="2" max="2" width="16.42578125" style="2" customWidth="1"/>
    <col min="3" max="3" width="14.85546875" style="2" customWidth="1"/>
    <col min="4" max="4" width="12.42578125" style="2" customWidth="1"/>
    <col min="5" max="5" width="16" style="2" bestFit="1" customWidth="1"/>
    <col min="6" max="6" width="24.42578125" bestFit="1" customWidth="1"/>
  </cols>
  <sheetData>
    <row r="1" spans="1:6" ht="21">
      <c r="A1" s="23" t="s">
        <v>0</v>
      </c>
    </row>
    <row r="2" spans="1:6">
      <c r="E2" s="51" t="s">
        <v>1</v>
      </c>
    </row>
    <row r="3" spans="1:6">
      <c r="A3" s="1" t="s">
        <v>2</v>
      </c>
      <c r="B3" s="2" t="s">
        <v>3</v>
      </c>
      <c r="C3" s="2" t="s">
        <v>4</v>
      </c>
      <c r="D3" s="2" t="s">
        <v>5</v>
      </c>
      <c r="E3" s="2" t="s">
        <v>6</v>
      </c>
    </row>
    <row r="4" spans="1:6">
      <c r="A4" s="1" t="s">
        <v>7</v>
      </c>
      <c r="B4" s="2" t="s">
        <v>3</v>
      </c>
      <c r="C4" s="2" t="s">
        <v>4</v>
      </c>
      <c r="D4" s="174" t="s">
        <v>8</v>
      </c>
      <c r="E4" s="2" t="s">
        <v>9</v>
      </c>
    </row>
    <row r="5" spans="1:6">
      <c r="A5" s="1"/>
    </row>
    <row r="6" spans="1:6" s="120" customFormat="1">
      <c r="A6" s="119" t="s">
        <v>10</v>
      </c>
      <c r="B6" s="30" t="s">
        <v>11</v>
      </c>
      <c r="C6" s="30" t="s">
        <v>4</v>
      </c>
      <c r="D6" s="30" t="s">
        <v>5</v>
      </c>
      <c r="E6" s="30" t="s">
        <v>12</v>
      </c>
      <c r="F6" s="120" t="s">
        <v>13</v>
      </c>
    </row>
    <row r="7" spans="1:6" s="26" customFormat="1">
      <c r="A7" s="119" t="s">
        <v>14</v>
      </c>
      <c r="B7" s="30" t="s">
        <v>11</v>
      </c>
      <c r="C7" s="30" t="s">
        <v>4</v>
      </c>
      <c r="D7" s="174" t="s">
        <v>8</v>
      </c>
      <c r="E7" s="30"/>
      <c r="F7" s="120" t="s">
        <v>15</v>
      </c>
    </row>
    <row r="8" spans="1:6">
      <c r="A8" s="1"/>
    </row>
    <row r="9" spans="1:6" s="120" customFormat="1">
      <c r="A9" s="119" t="s">
        <v>16</v>
      </c>
      <c r="B9" s="30" t="s">
        <v>11</v>
      </c>
      <c r="C9" s="30" t="s">
        <v>17</v>
      </c>
      <c r="D9" s="30" t="s">
        <v>5</v>
      </c>
      <c r="E9" s="30" t="s">
        <v>18</v>
      </c>
      <c r="F9" s="65" t="s">
        <v>13</v>
      </c>
    </row>
    <row r="10" spans="1:6" s="120" customFormat="1">
      <c r="A10" s="119" t="s">
        <v>19</v>
      </c>
      <c r="B10" s="30" t="s">
        <v>11</v>
      </c>
      <c r="C10" s="30" t="s">
        <v>17</v>
      </c>
      <c r="D10" s="174" t="s">
        <v>8</v>
      </c>
      <c r="E10" s="30" t="s">
        <v>12</v>
      </c>
      <c r="F10" s="65" t="s">
        <v>13</v>
      </c>
    </row>
    <row r="11" spans="1:6" s="120" customFormat="1">
      <c r="A11" s="121" t="s">
        <v>20</v>
      </c>
      <c r="B11" s="122" t="s">
        <v>11</v>
      </c>
      <c r="C11" s="122" t="s">
        <v>21</v>
      </c>
      <c r="D11" s="122" t="s">
        <v>5</v>
      </c>
      <c r="E11" s="122"/>
      <c r="F11" s="65" t="s">
        <v>13</v>
      </c>
    </row>
    <row r="12" spans="1:6" s="26" customFormat="1">
      <c r="A12" s="121" t="s">
        <v>22</v>
      </c>
      <c r="B12" s="122" t="s">
        <v>11</v>
      </c>
      <c r="C12" s="122" t="s">
        <v>21</v>
      </c>
      <c r="D12" s="175" t="s">
        <v>8</v>
      </c>
      <c r="E12" s="122"/>
      <c r="F12" s="120" t="s">
        <v>15</v>
      </c>
    </row>
    <row r="13" spans="1:6">
      <c r="A13" s="1"/>
    </row>
    <row r="14" spans="1:6">
      <c r="A14" s="1" t="s">
        <v>23</v>
      </c>
      <c r="B14" s="2" t="s">
        <v>24</v>
      </c>
      <c r="C14" s="2" t="s">
        <v>4</v>
      </c>
      <c r="D14" s="2" t="s">
        <v>5</v>
      </c>
      <c r="E14" s="2" t="s">
        <v>12</v>
      </c>
    </row>
    <row r="15" spans="1:6">
      <c r="A15" s="24" t="s">
        <v>25</v>
      </c>
      <c r="B15" s="25" t="s">
        <v>24</v>
      </c>
      <c r="C15" s="25" t="s">
        <v>4</v>
      </c>
      <c r="D15" s="174" t="s">
        <v>8</v>
      </c>
      <c r="E15" s="25"/>
      <c r="F15" s="26" t="s">
        <v>26</v>
      </c>
    </row>
    <row r="16" spans="1:6">
      <c r="A16" s="1"/>
    </row>
    <row r="17" spans="1:5">
      <c r="A17" s="1" t="s">
        <v>27</v>
      </c>
      <c r="B17" s="2" t="s">
        <v>24</v>
      </c>
      <c r="C17" s="2" t="s">
        <v>17</v>
      </c>
      <c r="D17" s="2" t="s">
        <v>5</v>
      </c>
      <c r="E17" s="2" t="s">
        <v>28</v>
      </c>
    </row>
    <row r="18" spans="1:5">
      <c r="A18" s="1" t="s">
        <v>29</v>
      </c>
      <c r="B18" s="2" t="s">
        <v>24</v>
      </c>
      <c r="C18" s="2" t="s">
        <v>17</v>
      </c>
      <c r="D18" s="174" t="s">
        <v>8</v>
      </c>
      <c r="E18" s="2" t="s">
        <v>28</v>
      </c>
    </row>
    <row r="19" spans="1:5">
      <c r="A19" s="1"/>
    </row>
    <row r="20" spans="1:5">
      <c r="A20" s="1"/>
    </row>
    <row r="21" spans="1:5">
      <c r="A21" s="1"/>
    </row>
    <row r="22" spans="1:5">
      <c r="A22" s="1"/>
    </row>
    <row r="23" spans="1:5">
      <c r="A23" s="1"/>
    </row>
    <row r="24" spans="1:5">
      <c r="A24" s="1"/>
    </row>
  </sheetData>
  <phoneticPr fontId="50"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E9"/>
  </sheetPr>
  <dimension ref="A1:CA677"/>
  <sheetViews>
    <sheetView showGridLines="0" tabSelected="1" topLeftCell="A656" zoomScaleNormal="100" zoomScaleSheetLayoutView="70" workbookViewId="0">
      <selection activeCell="U677" sqref="U677"/>
    </sheetView>
  </sheetViews>
  <sheetFormatPr defaultColWidth="9" defaultRowHeight="14.45"/>
  <cols>
    <col min="1" max="1" width="10" style="2" customWidth="1"/>
    <col min="2" max="2" width="13.140625" style="2" customWidth="1"/>
    <col min="3" max="3" width="14.7109375" style="2" customWidth="1"/>
    <col min="4" max="4" width="15" style="2" customWidth="1"/>
    <col min="5" max="5" width="6.140625" style="2" customWidth="1"/>
    <col min="6" max="6" width="6.42578125" style="2" customWidth="1"/>
    <col min="7" max="7" width="26.42578125" style="18" customWidth="1"/>
    <col min="8" max="8" width="4" style="2" customWidth="1"/>
    <col min="9" max="9" width="4.42578125" style="2" customWidth="1"/>
    <col min="10" max="10" width="7.85546875" style="2" customWidth="1"/>
    <col min="11" max="11" width="11.42578125" style="2" customWidth="1"/>
    <col min="12" max="12" width="12.42578125" style="2" hidden="1" customWidth="1"/>
    <col min="13" max="13" width="5.42578125" style="2" hidden="1" customWidth="1"/>
    <col min="14" max="14" width="5.42578125" style="2" customWidth="1"/>
    <col min="15" max="15" width="7.85546875" style="15" customWidth="1"/>
    <col min="16" max="16" width="7.42578125" style="2" customWidth="1"/>
    <col min="17" max="17" width="5.140625" style="2" customWidth="1"/>
    <col min="18" max="18" width="7.140625" style="2" customWidth="1"/>
    <col min="19" max="19" width="8.28515625" style="2" customWidth="1"/>
    <col min="20" max="20" width="7.42578125" style="2" customWidth="1"/>
    <col min="21" max="21" width="7.140625" style="2" customWidth="1"/>
    <col min="22" max="23" width="7.7109375" style="2" customWidth="1"/>
    <col min="24" max="24" width="8.140625" style="2" customWidth="1"/>
    <col min="25" max="25" width="7.140625" style="2" customWidth="1"/>
    <col min="26" max="27" width="7.42578125" style="2" customWidth="1"/>
    <col min="28" max="28" width="8.42578125" style="2" customWidth="1"/>
    <col min="29" max="29" width="7.28515625" style="2" customWidth="1"/>
    <col min="30" max="30" width="8.42578125" style="2" customWidth="1"/>
    <col min="31" max="31" width="8.28515625" style="27" customWidth="1"/>
    <col min="32" max="32" width="5.85546875" style="27" hidden="1" customWidth="1"/>
    <col min="33" max="33" width="7.85546875" style="27" customWidth="1"/>
    <col min="34" max="34" width="8.85546875" style="31" customWidth="1"/>
    <col min="35" max="35" width="8.140625" style="31" customWidth="1"/>
    <col min="36" max="36" width="7.85546875" style="30" customWidth="1"/>
    <col min="37" max="37" width="8.42578125" style="2" customWidth="1"/>
    <col min="38" max="38" width="8" style="2" customWidth="1"/>
    <col min="39" max="39" width="9.85546875" style="2" customWidth="1"/>
    <col min="40" max="40" width="6.7109375" style="25" customWidth="1"/>
    <col min="41" max="41" width="6.28515625" style="25" customWidth="1"/>
    <col min="42" max="42" width="9.42578125" style="25" customWidth="1"/>
    <col min="43" max="43" width="10.28515625" style="16" hidden="1" customWidth="1"/>
    <col min="44" max="44" width="18.42578125" style="16" hidden="1" customWidth="1"/>
    <col min="45" max="45" width="39.42578125" style="2" hidden="1" customWidth="1"/>
    <col min="46" max="46" width="53.7109375" style="3" customWidth="1"/>
    <col min="47" max="47" width="30.42578125" style="28" hidden="1" customWidth="1"/>
    <col min="48" max="48" width="25.42578125" style="16" hidden="1" customWidth="1"/>
    <col min="49" max="49" width="9.42578125" style="2" hidden="1" customWidth="1"/>
    <col min="50" max="51" width="11.42578125" style="3" hidden="1" customWidth="1"/>
    <col min="52" max="52" width="12" style="2" hidden="1" customWidth="1"/>
    <col min="53" max="53" width="9" style="2" hidden="1" customWidth="1"/>
    <col min="54" max="54" width="10.85546875" style="2" hidden="1" customWidth="1"/>
    <col min="55" max="55" width="12.42578125" style="30" hidden="1" customWidth="1"/>
    <col min="56" max="61" width="13.85546875" style="30" hidden="1" customWidth="1"/>
    <col min="62" max="62" width="10" style="25" hidden="1" customWidth="1"/>
    <col min="63" max="63" width="8.42578125" style="81" hidden="1" customWidth="1"/>
    <col min="64" max="64" width="9" style="81" hidden="1" customWidth="1"/>
    <col min="65" max="65" width="8.42578125" style="81" hidden="1" customWidth="1"/>
    <col min="66" max="66" width="7" style="30" hidden="1" customWidth="1"/>
    <col min="67" max="67" width="10" style="81" hidden="1" customWidth="1"/>
    <col min="68" max="68" width="8.85546875" style="81" hidden="1" customWidth="1"/>
    <col min="69" max="69" width="8.85546875" style="153" hidden="1" customWidth="1"/>
    <col min="70" max="70" width="12.42578125" style="148" hidden="1" customWidth="1"/>
    <col min="71" max="71" width="5" style="30" hidden="1" customWidth="1"/>
    <col min="72" max="72" width="10" style="2" hidden="1" customWidth="1"/>
    <col min="73" max="73" width="8.42578125" style="2" hidden="1" customWidth="1"/>
    <col min="74" max="75" width="9.42578125" style="2" hidden="1" customWidth="1"/>
    <col min="76" max="76" width="8.42578125" style="2" hidden="1" customWidth="1"/>
    <col min="77" max="78" width="9" style="2" hidden="1" customWidth="1"/>
    <col min="79" max="16384" width="9" style="2"/>
  </cols>
  <sheetData>
    <row r="1" spans="1:79" ht="18.95" thickBot="1">
      <c r="A1" s="396"/>
      <c r="B1" s="396" t="s">
        <v>30</v>
      </c>
      <c r="C1" s="396"/>
      <c r="D1" s="396"/>
      <c r="E1" s="396"/>
      <c r="F1" s="396"/>
      <c r="G1" s="396"/>
      <c r="H1" s="397" t="s">
        <v>31</v>
      </c>
      <c r="I1" s="398"/>
      <c r="J1" s="398"/>
      <c r="K1" s="398"/>
      <c r="L1" s="398"/>
      <c r="M1" s="398"/>
      <c r="N1" s="398"/>
      <c r="O1" s="399"/>
      <c r="P1" s="398"/>
      <c r="Q1" s="398"/>
      <c r="R1" s="400"/>
      <c r="S1" s="400"/>
      <c r="T1" s="401"/>
      <c r="U1" s="398"/>
      <c r="V1" s="402"/>
      <c r="W1" s="403"/>
      <c r="X1" s="403"/>
      <c r="Y1" s="403"/>
      <c r="Z1" s="403"/>
      <c r="AA1" s="404" t="s">
        <v>23</v>
      </c>
      <c r="AB1" s="404" t="s">
        <v>25</v>
      </c>
      <c r="AC1" s="405" t="s">
        <v>27</v>
      </c>
      <c r="AD1" s="404" t="s">
        <v>29</v>
      </c>
      <c r="AE1" s="404" t="s">
        <v>2</v>
      </c>
      <c r="AF1" s="404"/>
      <c r="AG1" s="404" t="s">
        <v>7</v>
      </c>
      <c r="AH1" s="406"/>
      <c r="AI1" s="406"/>
      <c r="AJ1" s="407"/>
      <c r="AK1" s="398"/>
      <c r="AL1" s="398"/>
      <c r="AM1" s="398"/>
      <c r="AN1" s="408"/>
      <c r="AO1" s="408"/>
      <c r="AP1" s="408"/>
      <c r="AQ1" s="398"/>
      <c r="AR1" s="398"/>
      <c r="AS1" s="398"/>
      <c r="AT1" s="398"/>
      <c r="AU1" s="409"/>
      <c r="AV1" s="398"/>
      <c r="AW1" s="410"/>
      <c r="AX1" s="398"/>
      <c r="AY1" s="398"/>
      <c r="AZ1" s="398"/>
      <c r="BA1" s="398"/>
      <c r="BB1" s="411"/>
      <c r="BC1" s="412"/>
      <c r="BD1" s="407"/>
      <c r="BE1" s="413"/>
      <c r="BF1" s="407"/>
      <c r="BG1" s="407"/>
      <c r="BH1" s="407"/>
      <c r="BI1" s="407"/>
      <c r="BJ1" s="414"/>
      <c r="BK1" s="415"/>
      <c r="BL1" s="415"/>
      <c r="BM1" s="415"/>
      <c r="BN1" s="407"/>
      <c r="BO1" s="415"/>
      <c r="BP1" s="415"/>
      <c r="BQ1" s="416"/>
      <c r="BR1" s="417"/>
      <c r="BS1" s="407"/>
      <c r="BT1" s="398"/>
      <c r="BU1" s="398"/>
      <c r="BV1" s="398"/>
      <c r="BW1" s="398"/>
      <c r="BX1" s="398"/>
      <c r="BY1" s="398"/>
      <c r="BZ1" s="398"/>
    </row>
    <row r="2" spans="1:79" ht="15" thickTop="1">
      <c r="A2" s="35"/>
      <c r="B2" s="388"/>
      <c r="C2" s="389" t="s">
        <v>32</v>
      </c>
      <c r="D2" s="390"/>
      <c r="E2" s="390"/>
      <c r="F2" s="391"/>
      <c r="G2" s="50"/>
      <c r="J2" s="3"/>
      <c r="P2" s="13"/>
      <c r="R2" s="13"/>
      <c r="S2" s="36"/>
      <c r="V2" s="37"/>
      <c r="W2" s="386"/>
      <c r="X2" s="386"/>
      <c r="Y2" s="386"/>
      <c r="Z2" s="37" t="s">
        <v>33</v>
      </c>
      <c r="AA2" s="392">
        <v>1065</v>
      </c>
      <c r="AB2" s="392">
        <f>AA2</f>
        <v>1065</v>
      </c>
      <c r="AC2" s="393">
        <v>1060</v>
      </c>
      <c r="AD2" s="392">
        <f>AC2</f>
        <v>1060</v>
      </c>
      <c r="AE2" s="394">
        <v>1065</v>
      </c>
      <c r="AF2" s="395"/>
      <c r="AG2" s="394">
        <f>AE2</f>
        <v>1065</v>
      </c>
      <c r="AH2" s="2"/>
      <c r="AI2" s="2"/>
      <c r="AJ2" s="2"/>
      <c r="AN2" s="40"/>
      <c r="AO2" s="40"/>
      <c r="AP2" s="40"/>
      <c r="AQ2" s="18"/>
      <c r="AR2" s="2"/>
      <c r="AT2" s="2"/>
      <c r="AU2" s="42"/>
      <c r="AV2" s="18"/>
      <c r="AW2" s="35"/>
      <c r="AX2" s="2"/>
      <c r="AY2" s="2"/>
      <c r="BB2" s="16"/>
      <c r="BC2" s="63"/>
      <c r="BE2" s="65"/>
      <c r="BK2" s="84">
        <v>1.1399999999999999</v>
      </c>
      <c r="BL2" s="85" t="s">
        <v>34</v>
      </c>
      <c r="BM2" s="2"/>
    </row>
    <row r="3" spans="1:79" ht="16.5" customHeight="1">
      <c r="B3" s="370"/>
      <c r="C3" s="371" t="s">
        <v>35</v>
      </c>
      <c r="D3" s="372"/>
      <c r="E3" s="372"/>
      <c r="F3" s="373"/>
      <c r="U3" s="60"/>
      <c r="V3" s="60"/>
      <c r="W3" s="60"/>
      <c r="X3" s="60"/>
      <c r="AB3" s="197"/>
    </row>
    <row r="4" spans="1:79">
      <c r="T4" s="197"/>
      <c r="U4" s="461" t="s">
        <v>36</v>
      </c>
      <c r="V4" s="461"/>
      <c r="W4" s="461"/>
      <c r="X4" s="462"/>
      <c r="Y4" s="463" t="s">
        <v>37</v>
      </c>
      <c r="Z4" s="463"/>
      <c r="AA4" s="463"/>
      <c r="AB4" s="464"/>
      <c r="BC4" s="465" t="s">
        <v>38</v>
      </c>
      <c r="BD4" s="465"/>
      <c r="BE4" s="465"/>
      <c r="BF4" s="465"/>
      <c r="BG4" s="465"/>
      <c r="BH4" s="465"/>
      <c r="BI4" s="465"/>
      <c r="BJ4" s="24"/>
    </row>
    <row r="5" spans="1:79" s="12" customFormat="1" ht="76.5" customHeight="1">
      <c r="A5" s="384" t="s">
        <v>39</v>
      </c>
      <c r="B5" s="384" t="s">
        <v>40</v>
      </c>
      <c r="C5" s="384" t="s">
        <v>41</v>
      </c>
      <c r="D5" s="384" t="s">
        <v>42</v>
      </c>
      <c r="E5" s="384" t="s">
        <v>43</v>
      </c>
      <c r="F5" s="385" t="s">
        <v>44</v>
      </c>
      <c r="G5" s="384" t="s">
        <v>45</v>
      </c>
      <c r="H5" s="419" t="s">
        <v>46</v>
      </c>
      <c r="I5" s="419" t="s">
        <v>47</v>
      </c>
      <c r="J5" s="384" t="s">
        <v>48</v>
      </c>
      <c r="K5" s="384" t="s">
        <v>49</v>
      </c>
      <c r="L5" s="384" t="s">
        <v>50</v>
      </c>
      <c r="M5" s="420" t="s">
        <v>51</v>
      </c>
      <c r="N5" s="384" t="s">
        <v>52</v>
      </c>
      <c r="O5" s="421" t="s">
        <v>53</v>
      </c>
      <c r="P5" s="384" t="s">
        <v>54</v>
      </c>
      <c r="Q5" s="384" t="s">
        <v>55</v>
      </c>
      <c r="R5" s="384" t="s">
        <v>56</v>
      </c>
      <c r="S5" s="422" t="s">
        <v>57</v>
      </c>
      <c r="T5" s="384" t="s">
        <v>58</v>
      </c>
      <c r="U5" s="423" t="s">
        <v>59</v>
      </c>
      <c r="V5" s="384" t="s">
        <v>60</v>
      </c>
      <c r="W5" s="422" t="s">
        <v>61</v>
      </c>
      <c r="X5" s="422" t="s">
        <v>62</v>
      </c>
      <c r="Y5" s="423" t="s">
        <v>63</v>
      </c>
      <c r="Z5" s="384" t="s">
        <v>64</v>
      </c>
      <c r="AA5" s="422" t="s">
        <v>65</v>
      </c>
      <c r="AB5" s="422" t="s">
        <v>66</v>
      </c>
      <c r="AC5" s="424" t="s">
        <v>67</v>
      </c>
      <c r="AD5" s="422" t="s">
        <v>68</v>
      </c>
      <c r="AE5" s="425" t="s">
        <v>69</v>
      </c>
      <c r="AF5" s="426" t="s">
        <v>70</v>
      </c>
      <c r="AG5" s="425" t="s">
        <v>71</v>
      </c>
      <c r="AH5" s="425" t="s">
        <v>72</v>
      </c>
      <c r="AI5" s="425" t="s">
        <v>73</v>
      </c>
      <c r="AJ5" s="422" t="s">
        <v>74</v>
      </c>
      <c r="AK5" s="422" t="s">
        <v>75</v>
      </c>
      <c r="AL5" s="427" t="s">
        <v>76</v>
      </c>
      <c r="AM5" s="384" t="s">
        <v>77</v>
      </c>
      <c r="AN5" s="422" t="s">
        <v>78</v>
      </c>
      <c r="AO5" s="422" t="s">
        <v>79</v>
      </c>
      <c r="AP5" s="422" t="s">
        <v>80</v>
      </c>
      <c r="AQ5" s="428" t="s">
        <v>81</v>
      </c>
      <c r="AR5" s="428" t="s">
        <v>82</v>
      </c>
      <c r="AS5" s="384" t="s">
        <v>83</v>
      </c>
      <c r="AT5" s="384" t="s">
        <v>84</v>
      </c>
      <c r="AU5" s="43" t="s">
        <v>85</v>
      </c>
      <c r="AV5" s="34" t="s">
        <v>86</v>
      </c>
      <c r="AW5" s="33" t="s">
        <v>87</v>
      </c>
      <c r="AX5" s="33" t="s">
        <v>88</v>
      </c>
      <c r="AY5" s="33" t="s">
        <v>89</v>
      </c>
      <c r="AZ5" s="12" t="s">
        <v>90</v>
      </c>
      <c r="BA5" s="129" t="s">
        <v>91</v>
      </c>
      <c r="BB5" s="129" t="s">
        <v>92</v>
      </c>
      <c r="BC5" s="64" t="s">
        <v>93</v>
      </c>
      <c r="BD5" s="64" t="s">
        <v>94</v>
      </c>
      <c r="BE5" s="64" t="s">
        <v>95</v>
      </c>
      <c r="BF5" s="64" t="s">
        <v>96</v>
      </c>
      <c r="BG5" s="64" t="s">
        <v>97</v>
      </c>
      <c r="BH5" s="64" t="s">
        <v>98</v>
      </c>
      <c r="BI5" s="64" t="s">
        <v>99</v>
      </c>
      <c r="BJ5" s="157" t="s">
        <v>100</v>
      </c>
      <c r="BK5" s="82" t="s">
        <v>101</v>
      </c>
      <c r="BL5" s="82" t="s">
        <v>102</v>
      </c>
      <c r="BM5" s="82" t="s">
        <v>103</v>
      </c>
      <c r="BN5" s="64" t="s">
        <v>104</v>
      </c>
      <c r="BO5" s="82" t="s">
        <v>105</v>
      </c>
      <c r="BP5" s="82" t="s">
        <v>106</v>
      </c>
      <c r="BQ5" s="154" t="s">
        <v>107</v>
      </c>
      <c r="BR5" s="149" t="s">
        <v>108</v>
      </c>
      <c r="BS5" s="107"/>
      <c r="BT5" s="12" t="s">
        <v>109</v>
      </c>
      <c r="BU5" s="12" t="s">
        <v>110</v>
      </c>
      <c r="BV5" s="12" t="s">
        <v>111</v>
      </c>
      <c r="BW5" s="12" t="s">
        <v>112</v>
      </c>
      <c r="BX5" s="12" t="s">
        <v>113</v>
      </c>
      <c r="BY5" s="12" t="s">
        <v>114</v>
      </c>
      <c r="BZ5" s="12" t="s">
        <v>115</v>
      </c>
    </row>
    <row r="6" spans="1:79" s="22" customFormat="1" ht="15" customHeight="1">
      <c r="A6" s="13" t="s">
        <v>116</v>
      </c>
      <c r="B6" s="387" t="s">
        <v>117</v>
      </c>
      <c r="C6" s="13"/>
      <c r="D6" s="13"/>
      <c r="E6" s="13" t="s">
        <v>118</v>
      </c>
      <c r="F6" s="13" t="s">
        <v>119</v>
      </c>
      <c r="G6" s="13" t="s">
        <v>120</v>
      </c>
      <c r="H6" s="13" t="s">
        <v>121</v>
      </c>
      <c r="I6" s="13" t="s">
        <v>122</v>
      </c>
      <c r="J6" s="13" t="s">
        <v>5</v>
      </c>
      <c r="K6" s="13" t="s">
        <v>123</v>
      </c>
      <c r="L6" s="429" t="s">
        <v>124</v>
      </c>
      <c r="M6" s="13" t="s">
        <v>125</v>
      </c>
      <c r="N6" s="13" t="s">
        <v>126</v>
      </c>
      <c r="O6" s="247">
        <v>0.27</v>
      </c>
      <c r="P6" s="13">
        <v>109</v>
      </c>
      <c r="Q6" s="13">
        <v>30</v>
      </c>
      <c r="R6" s="13" t="s">
        <v>127</v>
      </c>
      <c r="S6" s="430" t="str">
        <f>IF(R6="n/a","N/A",P6-R6)</f>
        <v>N/A</v>
      </c>
      <c r="T6" s="247">
        <v>0.8</v>
      </c>
      <c r="U6" s="13">
        <v>150</v>
      </c>
      <c r="V6" s="13">
        <v>450</v>
      </c>
      <c r="W6" s="430">
        <f t="shared" ref="W6:W69" si="0">V6-U6</f>
        <v>300</v>
      </c>
      <c r="X6" s="430">
        <f t="shared" ref="X6:X69" si="1">AD6*10-V6</f>
        <v>340</v>
      </c>
      <c r="Y6" s="13">
        <v>100</v>
      </c>
      <c r="Z6" s="13">
        <v>500</v>
      </c>
      <c r="AA6" s="430">
        <f t="shared" ref="AA6:AA7" si="2">Z6-Y6</f>
        <v>400</v>
      </c>
      <c r="AB6" s="430">
        <f t="shared" ref="AB6:AB7" si="3">AD6*10-Z6</f>
        <v>290</v>
      </c>
      <c r="AC6" s="430" t="str">
        <f>IF(J6="clear","N/A",((Q6-R6)*10))</f>
        <v>N/A</v>
      </c>
      <c r="AD6" s="430">
        <f t="shared" ref="AD6:AD7" si="4">P6-Q6</f>
        <v>79</v>
      </c>
      <c r="AE6" s="431">
        <f t="shared" ref="AE6:AE7" si="5">T6+(O6/100*AD6)</f>
        <v>1.0133000000000001</v>
      </c>
      <c r="AF6" s="431"/>
      <c r="AG6" s="431">
        <f t="shared" ref="AG6:AG7" si="6">(((T6+(0.5*(AE6-T6)))*AD6)+(AE6*Q6))/P6</f>
        <v>0.93600321100917439</v>
      </c>
      <c r="AH6" s="431">
        <f t="shared" ref="AH6:AH7" si="7">IF(MID(G6,2,2)="10",(AG6/1000*$W$2),(IF(MID(G6,2,2)="11",(AG6/1000*$X$2),(IF(MID(G6,2,2)="12",(AG6/1000*$Y$2),(IF(MID(G6,2,2)="13",(AG6/1000*$Z$2),(IF(MID(G6,2,2)="20",(AG6/1000*$AA$2),(IF(MID(G6,2,2)="21",(AG6/1000*$AB$2),(IF(MID(G6,2,2)="22",(AG6/1000*$AC$2),(IF(MID(G6,2,2)="23",(AG6/1000*$AD$2),(IF(MID(G6,2,2)="50",(AG6/1000*$AE$2),(IF(MID(G6,2,2)="51",(AG6/1000*$AG$2),"?")))))))))))))))))))</f>
        <v>0.99216340366972477</v>
      </c>
      <c r="AI6" s="432">
        <f t="shared" ref="AI6:AI7" si="8">IF(MID(G6,2,2)="10",((T6+O6*(6.142)/100)*$W$2),(IF(MID(G6,2,2)="11",((T6+O6*(6.142)/100)*$X$2),(IF(MID(G6,2,2)="12",((T6+O6*(6.142)/100)*$Y$2),(IF(MID(G6,2,2)="13",((T6+O6*(6.142)/100)*$Z$2),(IF(MID(G6,2,2)="20",((T6+O6*(6.142)/100)*$AA$2),(IF(MID(G6,2,2)="21",((T6+O6*(6.142)/100)*$AB$2),(IF(MID(G6,2,2)="22",((T6+O6*(6.142)/100)*$AC$2),(IF(MID(G6,2,2)="23",((T6+O6*(6.142)/100)*$AD$2),(IF(MID(G6,2,2)="50",((T6+O6*(6.142)/100)*$AE$2),(IF(MID(G6,2,2)="51",((T6+O6*(6.142)/100)*$AG$2),"?")))))))))))))))))))</f>
        <v>865.57840400000009</v>
      </c>
      <c r="AJ6" s="432">
        <f t="shared" ref="AJ6:AJ7" si="9">(PI()*((49/2)^2-(16.51/2)^2)/(AE6/10))/100</f>
        <v>164.97158594676603</v>
      </c>
      <c r="AK6" s="432">
        <f t="shared" ref="AK6:AK7" si="10">(PI()*((51/2)^2-(16.545/2)^2)/(AE6/10))/100</f>
        <v>180.38370337588884</v>
      </c>
      <c r="AL6" s="432">
        <f t="shared" ref="AL6:AL7" si="11">(PI()*((70/2)^2-(16.545/2)^2)/(AE6/10))/100</f>
        <v>358.57677331082749</v>
      </c>
      <c r="AM6" s="250">
        <v>120</v>
      </c>
      <c r="AN6" s="432">
        <f t="shared" ref="AN6:AN7" si="12">AM6*P6/100</f>
        <v>130.80000000000001</v>
      </c>
      <c r="AO6" s="432">
        <f t="shared" ref="AO6:AO7" si="13">AN6*AH6</f>
        <v>129.77497320000001</v>
      </c>
      <c r="AP6" s="432">
        <f t="shared" ref="AP6:AP7" si="14">AO6/(Q6/100)</f>
        <v>432.58324400000004</v>
      </c>
      <c r="AQ6" s="255">
        <v>45444</v>
      </c>
      <c r="AR6" s="18" t="s">
        <v>128</v>
      </c>
      <c r="AS6" s="433" t="s">
        <v>129</v>
      </c>
      <c r="AT6" s="429"/>
      <c r="AU6" s="250"/>
      <c r="AV6" s="255"/>
      <c r="AW6" s="13"/>
      <c r="AX6" s="255"/>
      <c r="AY6" s="103">
        <f>(V6/10)/P6</f>
        <v>0.41284403669724773</v>
      </c>
      <c r="BA6" s="13" t="str">
        <f>LEFT(G6,3)</f>
        <v>W22</v>
      </c>
      <c r="BB6" s="72"/>
      <c r="BC6" s="73"/>
      <c r="BD6" s="252"/>
      <c r="BE6" s="252"/>
      <c r="BF6" s="80"/>
      <c r="BG6" s="252"/>
      <c r="BH6" s="252"/>
      <c r="BI6" s="80"/>
      <c r="BJ6" s="114"/>
      <c r="BK6" s="114"/>
      <c r="BL6" s="128"/>
      <c r="BM6" s="88"/>
      <c r="BN6" s="114"/>
      <c r="BO6" s="88"/>
      <c r="BP6" s="114"/>
      <c r="BQ6" s="113"/>
      <c r="BR6" s="113"/>
      <c r="BS6" s="103"/>
      <c r="BT6" s="13">
        <f>P6-V6/10-120/10</f>
        <v>52</v>
      </c>
      <c r="BU6" s="79">
        <f>BT6-Q6</f>
        <v>22</v>
      </c>
      <c r="BV6" s="29">
        <f>T6+(O6/100*(P6-BT6))</f>
        <v>0.95390000000000008</v>
      </c>
      <c r="BW6" s="86"/>
      <c r="BX6" s="79">
        <f>(PI()*((51/2)^2-(16.545/2)^2)/(BV6/10))/100</f>
        <v>191.61631893362843</v>
      </c>
      <c r="BY6" s="79"/>
      <c r="BZ6" s="86"/>
      <c r="CA6" s="247"/>
    </row>
    <row r="7" spans="1:79" s="22" customFormat="1" ht="15" customHeight="1">
      <c r="A7" s="13" t="s">
        <v>116</v>
      </c>
      <c r="B7" s="387" t="s">
        <v>117</v>
      </c>
      <c r="C7" s="13" t="s">
        <v>130</v>
      </c>
      <c r="D7" s="13"/>
      <c r="E7" s="13" t="s">
        <v>118</v>
      </c>
      <c r="F7" s="13" t="s">
        <v>119</v>
      </c>
      <c r="G7" s="13" t="s">
        <v>131</v>
      </c>
      <c r="H7" s="13" t="s">
        <v>121</v>
      </c>
      <c r="I7" s="13" t="s">
        <v>122</v>
      </c>
      <c r="J7" s="13" t="s">
        <v>5</v>
      </c>
      <c r="K7" s="13" t="s">
        <v>123</v>
      </c>
      <c r="L7" s="429"/>
      <c r="M7" s="13" t="s">
        <v>125</v>
      </c>
      <c r="N7" s="13" t="s">
        <v>126</v>
      </c>
      <c r="O7" s="247">
        <v>0.51</v>
      </c>
      <c r="P7" s="13">
        <v>109</v>
      </c>
      <c r="Q7" s="13">
        <v>20</v>
      </c>
      <c r="R7" s="13" t="s">
        <v>127</v>
      </c>
      <c r="S7" s="430" t="str">
        <f>IF(R7="n/a","N/A",P7-R7)</f>
        <v>N/A</v>
      </c>
      <c r="T7" s="247">
        <v>0.8</v>
      </c>
      <c r="U7" s="13">
        <v>170</v>
      </c>
      <c r="V7" s="13">
        <v>500</v>
      </c>
      <c r="W7" s="430">
        <f t="shared" si="0"/>
        <v>330</v>
      </c>
      <c r="X7" s="430">
        <f t="shared" si="1"/>
        <v>390</v>
      </c>
      <c r="Y7" s="13">
        <v>170</v>
      </c>
      <c r="Z7" s="13">
        <v>570</v>
      </c>
      <c r="AA7" s="430">
        <f t="shared" si="2"/>
        <v>400</v>
      </c>
      <c r="AB7" s="430">
        <f t="shared" si="3"/>
        <v>320</v>
      </c>
      <c r="AC7" s="430" t="str">
        <f>IF(J7="clear","N/A",((Q7-R7)*10))</f>
        <v>N/A</v>
      </c>
      <c r="AD7" s="430">
        <f t="shared" si="4"/>
        <v>89</v>
      </c>
      <c r="AE7" s="431">
        <f t="shared" si="5"/>
        <v>1.2539</v>
      </c>
      <c r="AF7" s="431"/>
      <c r="AG7" s="431">
        <f t="shared" si="6"/>
        <v>1.0685922018348624</v>
      </c>
      <c r="AH7" s="431">
        <f t="shared" si="7"/>
        <v>1.1327077339449541</v>
      </c>
      <c r="AI7" s="432">
        <f t="shared" si="8"/>
        <v>881.20365200000003</v>
      </c>
      <c r="AJ7" s="432">
        <f t="shared" si="9"/>
        <v>133.31661858191086</v>
      </c>
      <c r="AK7" s="432">
        <f t="shared" si="10"/>
        <v>145.77143841677022</v>
      </c>
      <c r="AL7" s="432">
        <f t="shared" si="11"/>
        <v>289.77258505132903</v>
      </c>
      <c r="AM7" s="250">
        <v>290</v>
      </c>
      <c r="AN7" s="432">
        <f t="shared" si="12"/>
        <v>316.10000000000002</v>
      </c>
      <c r="AO7" s="432">
        <f t="shared" si="13"/>
        <v>358.04891470000001</v>
      </c>
      <c r="AP7" s="432">
        <f t="shared" si="14"/>
        <v>1790.2445734999999</v>
      </c>
      <c r="AQ7" s="255" t="s">
        <v>132</v>
      </c>
      <c r="AR7" s="18"/>
      <c r="AS7" s="433"/>
      <c r="AT7" s="429"/>
      <c r="AU7" s="250"/>
      <c r="AV7" s="255"/>
      <c r="AW7" s="13"/>
      <c r="AX7" s="255"/>
      <c r="AY7" s="103"/>
      <c r="BA7" s="13"/>
      <c r="BB7" s="72"/>
      <c r="BC7" s="73"/>
      <c r="BD7" s="252"/>
      <c r="BE7" s="252"/>
      <c r="BF7" s="80"/>
      <c r="BG7" s="252"/>
      <c r="BH7" s="252"/>
      <c r="BI7" s="80"/>
      <c r="BJ7" s="114"/>
      <c r="BK7" s="114"/>
      <c r="BL7" s="128"/>
      <c r="BM7" s="88"/>
      <c r="BN7" s="114"/>
      <c r="BO7" s="88"/>
      <c r="BP7" s="114"/>
      <c r="BQ7" s="113"/>
      <c r="BR7" s="113"/>
      <c r="BS7" s="103"/>
      <c r="BT7" s="13"/>
      <c r="BU7" s="79"/>
      <c r="BV7" s="29"/>
      <c r="BW7" s="86"/>
      <c r="BX7" s="79"/>
      <c r="BY7" s="79"/>
      <c r="BZ7" s="86"/>
      <c r="CA7" s="247"/>
    </row>
    <row r="8" spans="1:79" s="22" customFormat="1" ht="15" customHeight="1">
      <c r="A8" s="13" t="s">
        <v>116</v>
      </c>
      <c r="B8" s="387" t="s">
        <v>117</v>
      </c>
      <c r="C8" s="13" t="s">
        <v>130</v>
      </c>
      <c r="D8" s="13"/>
      <c r="E8" s="13" t="s">
        <v>118</v>
      </c>
      <c r="F8" s="13" t="s">
        <v>119</v>
      </c>
      <c r="G8" s="13" t="s">
        <v>133</v>
      </c>
      <c r="H8" s="13" t="s">
        <v>121</v>
      </c>
      <c r="I8" s="13" t="s">
        <v>122</v>
      </c>
      <c r="J8" s="13" t="s">
        <v>5</v>
      </c>
      <c r="K8" s="13" t="s">
        <v>123</v>
      </c>
      <c r="L8" s="429"/>
      <c r="M8" s="13" t="s">
        <v>125</v>
      </c>
      <c r="N8" s="13" t="s">
        <v>126</v>
      </c>
      <c r="O8" s="247">
        <v>0.51</v>
      </c>
      <c r="P8" s="13">
        <v>108</v>
      </c>
      <c r="Q8" s="13">
        <v>20</v>
      </c>
      <c r="R8" s="13" t="s">
        <v>127</v>
      </c>
      <c r="S8" s="430" t="str">
        <f t="shared" ref="S8:S71" si="15">IF(R8="n/a","N/A",P8-R8)</f>
        <v>N/A</v>
      </c>
      <c r="T8" s="247">
        <v>0.8</v>
      </c>
      <c r="U8" s="13">
        <v>170</v>
      </c>
      <c r="V8" s="13">
        <v>500</v>
      </c>
      <c r="W8" s="430">
        <f t="shared" si="0"/>
        <v>330</v>
      </c>
      <c r="X8" s="430">
        <f t="shared" si="1"/>
        <v>380</v>
      </c>
      <c r="Y8" s="13">
        <v>170</v>
      </c>
      <c r="Z8" s="13">
        <v>570</v>
      </c>
      <c r="AA8" s="430">
        <f t="shared" ref="AA8:AA71" si="16">Z8-Y8</f>
        <v>400</v>
      </c>
      <c r="AB8" s="430">
        <f t="shared" ref="AB8:AB71" si="17">AD8*10-Z8</f>
        <v>310</v>
      </c>
      <c r="AC8" s="430" t="str">
        <f t="shared" ref="AC8:AC71" si="18">IF(J8="clear","N/A",((Q8-R8)*10))</f>
        <v>N/A</v>
      </c>
      <c r="AD8" s="430">
        <f t="shared" ref="AD8:AD71" si="19">P8-Q8</f>
        <v>88</v>
      </c>
      <c r="AE8" s="431">
        <f t="shared" ref="AE8:AE71" si="20">T8+(O8/100*AD8)</f>
        <v>1.2488000000000001</v>
      </c>
      <c r="AF8" s="431"/>
      <c r="AG8" s="431">
        <f t="shared" ref="AG8:AG71" si="21">(((T8+(0.5*(AE8-T8)))*AD8)+(AE8*Q8))/P8</f>
        <v>1.0659555555555555</v>
      </c>
      <c r="AH8" s="431">
        <f t="shared" ref="AH8:AH71" si="22">IF(MID(G8,2,2)="10",(AG8/1000*$W$2),(IF(MID(G8,2,2)="11",(AG8/1000*$X$2),(IF(MID(G8,2,2)="12",(AG8/1000*$Y$2),(IF(MID(G8,2,2)="13",(AG8/1000*$Z$2),(IF(MID(G8,2,2)="20",(AG8/1000*$AA$2),(IF(MID(G8,2,2)="21",(AG8/1000*$AB$2),(IF(MID(G8,2,2)="22",(AG8/1000*$AC$2),(IF(MID(G8,2,2)="23",(AG8/1000*$AD$2),(IF(MID(G8,2,2)="50",(AG8/1000*$AE$2),(IF(MID(G8,2,2)="51",(AG8/1000*$AG$2),"?")))))))))))))))))))</f>
        <v>1.1299128888888887</v>
      </c>
      <c r="AI8" s="432">
        <f t="shared" ref="AI8:AI71" si="23">IF(MID(G8,2,2)="10",((T8+O8*(6.142)/100)*$W$2),(IF(MID(G8,2,2)="11",((T8+O8*(6.142)/100)*$X$2),(IF(MID(G8,2,2)="12",((T8+O8*(6.142)/100)*$Y$2),(IF(MID(G8,2,2)="13",((T8+O8*(6.142)/100)*$Z$2),(IF(MID(G8,2,2)="20",((T8+O8*(6.142)/100)*$AA$2),(IF(MID(G8,2,2)="21",((T8+O8*(6.142)/100)*$AB$2),(IF(MID(G8,2,2)="22",((T8+O8*(6.142)/100)*$AC$2),(IF(MID(G8,2,2)="23",((T8+O8*(6.142)/100)*$AD$2),(IF(MID(G8,2,2)="50",((T8+O8*(6.142)/100)*$AE$2),(IF(MID(G8,2,2)="51",((T8+O8*(6.142)/100)*$AG$2),"?")))))))))))))))))))</f>
        <v>881.20365200000003</v>
      </c>
      <c r="AJ8" s="432">
        <f t="shared" ref="AJ8:AJ71" si="24">(PI()*((49/2)^2-(16.51/2)^2)/(AE8/10))/100</f>
        <v>133.86107306202595</v>
      </c>
      <c r="AK8" s="432">
        <f t="shared" ref="AK8:AK71" si="25">(PI()*((51/2)^2-(16.545/2)^2)/(AE8/10))/100</f>
        <v>146.36675739172657</v>
      </c>
      <c r="AL8" s="432">
        <f t="shared" ref="AL8:AL71" si="26">(PI()*((70/2)^2-(16.545/2)^2)/(AE8/10))/100</f>
        <v>290.95599327022853</v>
      </c>
      <c r="AM8" s="250">
        <v>291</v>
      </c>
      <c r="AN8" s="432">
        <f t="shared" ref="AN8:AN71" si="27">AM8*P8/100</f>
        <v>314.27999999999997</v>
      </c>
      <c r="AO8" s="432">
        <f t="shared" ref="AO8:AO71" si="28">AN8*AH8</f>
        <v>355.10902271999993</v>
      </c>
      <c r="AP8" s="432">
        <f t="shared" ref="AP8:AP71" si="29">AO8/(Q8/100)</f>
        <v>1775.5451135999995</v>
      </c>
      <c r="AQ8" s="255"/>
      <c r="AR8" s="18"/>
      <c r="AS8" s="433"/>
      <c r="AT8" s="429"/>
      <c r="AU8" s="250"/>
      <c r="AV8" s="255"/>
      <c r="AW8" s="13"/>
      <c r="AX8" s="255"/>
      <c r="AY8" s="103"/>
      <c r="BA8" s="13"/>
      <c r="BB8" s="72"/>
      <c r="BC8" s="73"/>
      <c r="BD8" s="252"/>
      <c r="BE8" s="252"/>
      <c r="BF8" s="80"/>
      <c r="BG8" s="252"/>
      <c r="BH8" s="252"/>
      <c r="BI8" s="80"/>
      <c r="BJ8" s="114"/>
      <c r="BK8" s="114"/>
      <c r="BL8" s="128"/>
      <c r="BM8" s="88"/>
      <c r="BN8" s="114"/>
      <c r="BO8" s="88"/>
      <c r="BP8" s="114"/>
      <c r="BQ8" s="113"/>
      <c r="BR8" s="113"/>
      <c r="BS8" s="103"/>
      <c r="BT8" s="13"/>
      <c r="BU8" s="79"/>
      <c r="BV8" s="29"/>
      <c r="BW8" s="86"/>
      <c r="BX8" s="79"/>
      <c r="BY8" s="79"/>
      <c r="BZ8" s="86"/>
      <c r="CA8" s="247"/>
    </row>
    <row r="9" spans="1:79" s="72" customFormat="1" ht="15" customHeight="1">
      <c r="A9" s="13" t="s">
        <v>116</v>
      </c>
      <c r="B9" s="13" t="s">
        <v>134</v>
      </c>
      <c r="C9" s="13" t="s">
        <v>135</v>
      </c>
      <c r="D9" s="13" t="s">
        <v>136</v>
      </c>
      <c r="E9" s="13" t="s">
        <v>137</v>
      </c>
      <c r="F9" s="13" t="s">
        <v>119</v>
      </c>
      <c r="G9" s="13" t="s">
        <v>138</v>
      </c>
      <c r="H9" s="13" t="s">
        <v>119</v>
      </c>
      <c r="I9" s="13" t="s">
        <v>139</v>
      </c>
      <c r="J9" s="13" t="s">
        <v>5</v>
      </c>
      <c r="K9" s="13" t="s">
        <v>140</v>
      </c>
      <c r="L9" s="13" t="s">
        <v>141</v>
      </c>
      <c r="M9" s="13"/>
      <c r="N9" s="13" t="s">
        <v>142</v>
      </c>
      <c r="O9" s="247">
        <v>0.62</v>
      </c>
      <c r="P9" s="13">
        <v>100</v>
      </c>
      <c r="Q9" s="13">
        <v>30</v>
      </c>
      <c r="R9" s="13" t="s">
        <v>127</v>
      </c>
      <c r="S9" s="430" t="str">
        <f t="shared" si="15"/>
        <v>N/A</v>
      </c>
      <c r="T9" s="247">
        <v>0.76</v>
      </c>
      <c r="U9" s="13">
        <v>253</v>
      </c>
      <c r="V9" s="13">
        <v>440</v>
      </c>
      <c r="W9" s="430">
        <f t="shared" si="0"/>
        <v>187</v>
      </c>
      <c r="X9" s="430">
        <f t="shared" si="1"/>
        <v>260</v>
      </c>
      <c r="Y9" s="13">
        <v>180</v>
      </c>
      <c r="Z9" s="13">
        <v>580</v>
      </c>
      <c r="AA9" s="430">
        <f t="shared" si="16"/>
        <v>400</v>
      </c>
      <c r="AB9" s="430">
        <f t="shared" si="17"/>
        <v>120</v>
      </c>
      <c r="AC9" s="430" t="str">
        <f t="shared" si="18"/>
        <v>N/A</v>
      </c>
      <c r="AD9" s="430">
        <f t="shared" si="19"/>
        <v>70</v>
      </c>
      <c r="AE9" s="431">
        <f t="shared" si="20"/>
        <v>1.194</v>
      </c>
      <c r="AF9" s="431"/>
      <c r="AG9" s="431">
        <f t="shared" si="21"/>
        <v>1.0421</v>
      </c>
      <c r="AH9" s="431">
        <f t="shared" si="22"/>
        <v>1.1098365000000001</v>
      </c>
      <c r="AI9" s="432">
        <f t="shared" si="23"/>
        <v>849.95562600000005</v>
      </c>
      <c r="AJ9" s="432">
        <f t="shared" si="24"/>
        <v>140.00478060289618</v>
      </c>
      <c r="AK9" s="432">
        <f t="shared" si="25"/>
        <v>153.08442766397673</v>
      </c>
      <c r="AL9" s="432">
        <f t="shared" si="26"/>
        <v>304.30975242534464</v>
      </c>
      <c r="AM9" s="250">
        <v>153</v>
      </c>
      <c r="AN9" s="432">
        <f t="shared" si="27"/>
        <v>153</v>
      </c>
      <c r="AO9" s="432">
        <f t="shared" si="28"/>
        <v>169.80498450000002</v>
      </c>
      <c r="AP9" s="432">
        <f t="shared" si="29"/>
        <v>566.01661500000012</v>
      </c>
      <c r="AQ9" s="279" t="s">
        <v>143</v>
      </c>
      <c r="AR9" s="255" t="s">
        <v>144</v>
      </c>
      <c r="AS9" s="434"/>
      <c r="AT9" s="429"/>
      <c r="AU9" s="277"/>
      <c r="AV9" s="275"/>
      <c r="AW9" s="14" t="s">
        <v>127</v>
      </c>
      <c r="AX9" s="255"/>
      <c r="AY9" s="103">
        <f>(V9/10)/P9</f>
        <v>0.44</v>
      </c>
      <c r="AZ9" s="14"/>
      <c r="BA9" s="13" t="str">
        <f>LEFT(G9,3)</f>
        <v>W50</v>
      </c>
      <c r="BB9" s="72" t="str">
        <f>IF(R9="n/a","Clear","S/B")</f>
        <v>Clear</v>
      </c>
      <c r="BC9" s="32">
        <f>IF(Q9="","",((P9/100*O9)+T9))</f>
        <v>1.38</v>
      </c>
      <c r="BD9" s="241">
        <f>IF(BC9="","",((PI()*((51/2)^2-(16.545/2)^2)/(BC9/10))/100))</f>
        <v>132.45130915274507</v>
      </c>
      <c r="BE9" s="241">
        <f>IF(BC9="","",(BD9-AK9))</f>
        <v>-20.633118511231658</v>
      </c>
      <c r="BF9" s="71">
        <f>IF(BC9="","",(BE9/AK9))</f>
        <v>-0.13478260869565226</v>
      </c>
      <c r="BG9" s="241">
        <f>IF(BF9="","",((PI()*((70/2)^2-(16.545/2)^2)/(BC9/10))/100))</f>
        <v>263.29409014192862</v>
      </c>
      <c r="BH9" s="241">
        <f>IF(BF9="","",(BG9-AL9))</f>
        <v>-41.01566228341602</v>
      </c>
      <c r="BI9" s="71">
        <f>IF(BG9="","",(BH9/AL9))</f>
        <v>-0.13478260869565217</v>
      </c>
      <c r="BJ9" s="158"/>
      <c r="BK9" s="158"/>
      <c r="BL9" s="112"/>
      <c r="BM9" s="141"/>
      <c r="BN9" s="71"/>
      <c r="BO9" s="142"/>
      <c r="BP9" s="142"/>
      <c r="BQ9" s="159"/>
      <c r="BR9" s="159"/>
      <c r="BS9" s="100"/>
      <c r="BT9" s="72">
        <f>P9-V9/10-120/10</f>
        <v>44</v>
      </c>
      <c r="BU9" s="78">
        <f>BT9-Q9</f>
        <v>14</v>
      </c>
      <c r="BV9" s="32">
        <f>T9+(O9/100*(P9-BT9))</f>
        <v>1.1072</v>
      </c>
      <c r="BW9" s="127"/>
      <c r="BX9" s="78">
        <f>(PI()*((51/2)^2-(16.545/2)^2)/(BV9/10))/100</f>
        <v>165.08562737607315</v>
      </c>
      <c r="BY9" s="78"/>
      <c r="BZ9" s="127"/>
      <c r="CA9" s="76"/>
    </row>
    <row r="10" spans="1:79" s="22" customFormat="1" ht="15" customHeight="1">
      <c r="A10" s="13" t="s">
        <v>116</v>
      </c>
      <c r="B10" s="13" t="s">
        <v>134</v>
      </c>
      <c r="C10" s="13" t="s">
        <v>135</v>
      </c>
      <c r="D10" s="13" t="s">
        <v>136</v>
      </c>
      <c r="E10" s="13" t="s">
        <v>137</v>
      </c>
      <c r="F10" s="13" t="s">
        <v>119</v>
      </c>
      <c r="G10" s="13" t="s">
        <v>145</v>
      </c>
      <c r="H10" s="13" t="s">
        <v>146</v>
      </c>
      <c r="I10" s="13" t="s">
        <v>147</v>
      </c>
      <c r="J10" s="13" t="s">
        <v>5</v>
      </c>
      <c r="K10" s="13" t="s">
        <v>123</v>
      </c>
      <c r="L10" s="13" t="s">
        <v>148</v>
      </c>
      <c r="M10" s="13" t="s">
        <v>125</v>
      </c>
      <c r="N10" s="13" t="s">
        <v>126</v>
      </c>
      <c r="O10" s="247">
        <v>0.62</v>
      </c>
      <c r="P10" s="13">
        <v>100</v>
      </c>
      <c r="Q10" s="13">
        <v>30</v>
      </c>
      <c r="R10" s="13" t="s">
        <v>127</v>
      </c>
      <c r="S10" s="430" t="str">
        <f t="shared" si="15"/>
        <v>N/A</v>
      </c>
      <c r="T10" s="247">
        <v>0.8</v>
      </c>
      <c r="U10" s="13">
        <v>253</v>
      </c>
      <c r="V10" s="13">
        <v>440</v>
      </c>
      <c r="W10" s="430">
        <f t="shared" si="0"/>
        <v>187</v>
      </c>
      <c r="X10" s="430">
        <f t="shared" si="1"/>
        <v>260</v>
      </c>
      <c r="Y10" s="13">
        <v>180</v>
      </c>
      <c r="Z10" s="13">
        <v>580</v>
      </c>
      <c r="AA10" s="430">
        <f t="shared" si="16"/>
        <v>400</v>
      </c>
      <c r="AB10" s="430">
        <f t="shared" si="17"/>
        <v>120</v>
      </c>
      <c r="AC10" s="430" t="str">
        <f t="shared" si="18"/>
        <v>N/A</v>
      </c>
      <c r="AD10" s="430">
        <f t="shared" si="19"/>
        <v>70</v>
      </c>
      <c r="AE10" s="431">
        <f t="shared" si="20"/>
        <v>1.234</v>
      </c>
      <c r="AF10" s="431"/>
      <c r="AG10" s="431">
        <f t="shared" si="21"/>
        <v>1.0820999999999998</v>
      </c>
      <c r="AH10" s="431">
        <f t="shared" si="22"/>
        <v>1.1470259999999999</v>
      </c>
      <c r="AI10" s="432">
        <f t="shared" si="23"/>
        <v>888.36522400000001</v>
      </c>
      <c r="AJ10" s="432">
        <f t="shared" si="24"/>
        <v>135.46653811982011</v>
      </c>
      <c r="AK10" s="432">
        <f t="shared" si="25"/>
        <v>148.12220958734861</v>
      </c>
      <c r="AL10" s="432">
        <f t="shared" si="26"/>
        <v>294.44557892695417</v>
      </c>
      <c r="AM10" s="250">
        <v>148</v>
      </c>
      <c r="AN10" s="432">
        <f t="shared" si="27"/>
        <v>148</v>
      </c>
      <c r="AO10" s="432">
        <f t="shared" si="28"/>
        <v>169.75984799999998</v>
      </c>
      <c r="AP10" s="432">
        <f t="shared" si="29"/>
        <v>565.86615999999992</v>
      </c>
      <c r="AQ10" s="279">
        <v>44949</v>
      </c>
      <c r="AR10" s="255" t="s">
        <v>144</v>
      </c>
      <c r="AS10" s="434"/>
      <c r="AT10" s="429" t="s">
        <v>149</v>
      </c>
      <c r="AU10" s="277"/>
      <c r="AV10" s="275"/>
      <c r="AW10" s="14" t="s">
        <v>127</v>
      </c>
      <c r="AX10" s="255"/>
      <c r="AY10" s="103">
        <f>(V10/10)/P10</f>
        <v>0.44</v>
      </c>
      <c r="AZ10" s="14"/>
      <c r="BA10" s="13" t="str">
        <f>LEFT(G10,3)</f>
        <v>W22</v>
      </c>
      <c r="BB10" s="72" t="str">
        <f>IF(R10="n/a","Clear","S/B")</f>
        <v>Clear</v>
      </c>
      <c r="BC10" s="32">
        <f>IF(Q10="","",((P10/100*O10)+T10))</f>
        <v>1.42</v>
      </c>
      <c r="BD10" s="241">
        <f>IF(BC10="","",((PI()*((51/2)^2-(16.545/2)^2)/(BC10/10))/100))</f>
        <v>128.72028635971</v>
      </c>
      <c r="BE10" s="241">
        <f>IF(BC10="","",(BD10-AK10))</f>
        <v>-19.401923227638605</v>
      </c>
      <c r="BF10" s="71">
        <f>IF(BC10="","",(BE10/AK10))</f>
        <v>-0.13098591549295766</v>
      </c>
      <c r="BG10" s="241">
        <f>IF(BF10="","",((PI()*((70/2)^2-(16.545/2)^2)/(BC10/10))/100))</f>
        <v>255.87735520835318</v>
      </c>
      <c r="BH10" s="241">
        <f>IF(BF10="","",(BG10-AL10))</f>
        <v>-38.56822371860099</v>
      </c>
      <c r="BI10" s="71">
        <f>IF(BG10="","",(BH10/AL10))</f>
        <v>-0.13098591549295757</v>
      </c>
      <c r="BJ10" s="114"/>
      <c r="BK10" s="111"/>
      <c r="BL10" s="112"/>
      <c r="BM10" s="111"/>
      <c r="BN10" s="123"/>
      <c r="BO10" s="103"/>
      <c r="BP10" s="141"/>
      <c r="BQ10" s="115"/>
      <c r="BR10" s="113"/>
      <c r="BS10" s="71"/>
      <c r="BT10" s="13">
        <f>P10-V10/10-120/10</f>
        <v>44</v>
      </c>
      <c r="BU10" s="79"/>
      <c r="BV10" s="29">
        <f>T10+(O10/100*(P10-BT10))</f>
        <v>1.1472</v>
      </c>
      <c r="BW10" s="86"/>
      <c r="BX10" s="79">
        <f>(PI()*((51/2)^2-(16.545/2)^2)/(BV10/10))/100</f>
        <v>159.32950368792552</v>
      </c>
      <c r="BY10" s="79"/>
      <c r="BZ10" s="86"/>
      <c r="CA10" s="76"/>
    </row>
    <row r="11" spans="1:79" s="22" customFormat="1" ht="15" customHeight="1">
      <c r="A11" s="13" t="s">
        <v>116</v>
      </c>
      <c r="B11" s="13" t="s">
        <v>150</v>
      </c>
      <c r="C11" s="13" t="s">
        <v>151</v>
      </c>
      <c r="D11" s="13" t="s">
        <v>152</v>
      </c>
      <c r="E11" s="13" t="s">
        <v>137</v>
      </c>
      <c r="F11" s="13" t="s">
        <v>119</v>
      </c>
      <c r="G11" s="13" t="s">
        <v>153</v>
      </c>
      <c r="H11" s="13" t="s">
        <v>146</v>
      </c>
      <c r="I11" s="13" t="s">
        <v>147</v>
      </c>
      <c r="J11" s="13" t="s">
        <v>5</v>
      </c>
      <c r="K11" s="13" t="s">
        <v>140</v>
      </c>
      <c r="L11" s="13" t="s">
        <v>154</v>
      </c>
      <c r="M11" s="13" t="s">
        <v>125</v>
      </c>
      <c r="N11" s="13" t="s">
        <v>12</v>
      </c>
      <c r="O11" s="247">
        <v>0.45</v>
      </c>
      <c r="P11" s="13">
        <v>92</v>
      </c>
      <c r="Q11" s="13">
        <v>25</v>
      </c>
      <c r="R11" s="13" t="s">
        <v>127</v>
      </c>
      <c r="S11" s="430" t="str">
        <f t="shared" si="15"/>
        <v>N/A</v>
      </c>
      <c r="T11" s="247">
        <v>0.76</v>
      </c>
      <c r="U11" s="13">
        <v>200</v>
      </c>
      <c r="V11" s="13">
        <v>550</v>
      </c>
      <c r="W11" s="430">
        <f t="shared" si="0"/>
        <v>350</v>
      </c>
      <c r="X11" s="430">
        <f t="shared" si="1"/>
        <v>120</v>
      </c>
      <c r="Y11" s="13">
        <v>150</v>
      </c>
      <c r="Z11" s="13">
        <v>550</v>
      </c>
      <c r="AA11" s="430">
        <f t="shared" si="16"/>
        <v>400</v>
      </c>
      <c r="AB11" s="430">
        <f t="shared" si="17"/>
        <v>120</v>
      </c>
      <c r="AC11" s="430" t="str">
        <f t="shared" si="18"/>
        <v>N/A</v>
      </c>
      <c r="AD11" s="430">
        <f t="shared" si="19"/>
        <v>67</v>
      </c>
      <c r="AE11" s="431">
        <f t="shared" si="20"/>
        <v>1.0615000000000001</v>
      </c>
      <c r="AF11" s="431"/>
      <c r="AG11" s="431">
        <f t="shared" si="21"/>
        <v>0.95171467391304343</v>
      </c>
      <c r="AH11" s="431">
        <f t="shared" si="22"/>
        <v>1.0135761277173911</v>
      </c>
      <c r="AI11" s="432">
        <f t="shared" si="23"/>
        <v>838.83553499999994</v>
      </c>
      <c r="AJ11" s="432">
        <f t="shared" si="24"/>
        <v>157.48064817697411</v>
      </c>
      <c r="AK11" s="432">
        <f t="shared" si="25"/>
        <v>172.19294077323426</v>
      </c>
      <c r="AL11" s="432">
        <f t="shared" si="26"/>
        <v>342.29471916708565</v>
      </c>
      <c r="AM11" s="250">
        <v>170</v>
      </c>
      <c r="AN11" s="432">
        <f t="shared" si="27"/>
        <v>156.4</v>
      </c>
      <c r="AO11" s="432">
        <f t="shared" si="28"/>
        <v>158.52330637499998</v>
      </c>
      <c r="AP11" s="432">
        <f t="shared" si="29"/>
        <v>634.0932254999999</v>
      </c>
      <c r="AQ11" s="255">
        <v>44621</v>
      </c>
      <c r="AR11" s="255" t="s">
        <v>155</v>
      </c>
      <c r="AS11" s="434" t="s">
        <v>156</v>
      </c>
      <c r="AT11" s="429"/>
      <c r="AU11" s="250"/>
      <c r="AV11" s="255"/>
      <c r="AW11" s="13" t="s">
        <v>127</v>
      </c>
      <c r="AX11" s="255" t="s">
        <v>132</v>
      </c>
      <c r="AY11" s="103">
        <f>(V11/10)/P11</f>
        <v>0.59782608695652173</v>
      </c>
      <c r="AZ11" s="13"/>
      <c r="BA11" s="13" t="str">
        <f>LEFT(G11,3)</f>
        <v>W20</v>
      </c>
      <c r="BB11" s="72" t="str">
        <f>IF(R11="n/a","Clear","S/B")</f>
        <v>Clear</v>
      </c>
      <c r="BC11" s="32">
        <f>IF(Q11="","",((P11/100*O11)+T11))</f>
        <v>1.1739999999999999</v>
      </c>
      <c r="BD11" s="241">
        <f>IF(BC11="","",((PI()*((51/2)^2-(16.545/2)^2)/(BC11/10))/100))</f>
        <v>155.69233954922333</v>
      </c>
      <c r="BE11" s="241">
        <f>IF(BC11="","",(BD11-AK11))</f>
        <v>-16.500601224010921</v>
      </c>
      <c r="BF11" s="167">
        <f>IF(BC11="","",(BE11/AK11))</f>
        <v>-9.5826235093696602E-2</v>
      </c>
      <c r="BG11" s="241">
        <f>IF(BF11="","",((PI()*((70/2)^2-(16.545/2)^2)/(BC11/10))/100))</f>
        <v>309.49390493684967</v>
      </c>
      <c r="BH11" s="241">
        <f>IF(BF11="","",(BG11-AL11))</f>
        <v>-32.800814230235972</v>
      </c>
      <c r="BI11" s="167">
        <f>IF(BG11="","",(BH11/AL11))</f>
        <v>-9.5826235093696505E-2</v>
      </c>
      <c r="BJ11" s="111"/>
      <c r="BK11" s="111"/>
      <c r="BL11" s="112"/>
      <c r="BM11" s="83"/>
      <c r="BN11" s="111"/>
      <c r="BO11" s="111"/>
      <c r="BP11" s="111"/>
      <c r="BQ11" s="124"/>
      <c r="BR11" s="124"/>
      <c r="BS11" s="71"/>
      <c r="BT11" s="72"/>
      <c r="BU11" s="78"/>
      <c r="BV11" s="32"/>
      <c r="BW11" s="127"/>
      <c r="BX11" s="78"/>
      <c r="BY11" s="78"/>
      <c r="BZ11" s="127"/>
      <c r="CA11" s="76"/>
    </row>
    <row r="12" spans="1:79" s="22" customFormat="1" ht="15" customHeight="1">
      <c r="A12" s="13" t="s">
        <v>116</v>
      </c>
      <c r="B12" s="13" t="s">
        <v>150</v>
      </c>
      <c r="C12" s="13" t="s">
        <v>151</v>
      </c>
      <c r="D12" s="429" t="s">
        <v>157</v>
      </c>
      <c r="E12" s="13" t="s">
        <v>118</v>
      </c>
      <c r="F12" s="13" t="s">
        <v>119</v>
      </c>
      <c r="G12" s="13" t="s">
        <v>158</v>
      </c>
      <c r="H12" s="13" t="s">
        <v>146</v>
      </c>
      <c r="I12" s="13" t="s">
        <v>147</v>
      </c>
      <c r="J12" s="13" t="s">
        <v>5</v>
      </c>
      <c r="K12" s="13" t="s">
        <v>123</v>
      </c>
      <c r="L12" s="13" t="s">
        <v>159</v>
      </c>
      <c r="M12" s="13" t="s">
        <v>125</v>
      </c>
      <c r="N12" s="13" t="s">
        <v>12</v>
      </c>
      <c r="O12" s="247">
        <v>0.18</v>
      </c>
      <c r="P12" s="13">
        <v>100</v>
      </c>
      <c r="Q12" s="13">
        <v>20</v>
      </c>
      <c r="R12" s="13" t="s">
        <v>127</v>
      </c>
      <c r="S12" s="430" t="str">
        <f t="shared" si="15"/>
        <v>N/A</v>
      </c>
      <c r="T12" s="247">
        <v>0.8</v>
      </c>
      <c r="U12" s="13">
        <v>305</v>
      </c>
      <c r="V12" s="13">
        <v>617</v>
      </c>
      <c r="W12" s="430">
        <f t="shared" si="0"/>
        <v>312</v>
      </c>
      <c r="X12" s="430">
        <f t="shared" si="1"/>
        <v>183</v>
      </c>
      <c r="Y12" s="13">
        <v>250</v>
      </c>
      <c r="Z12" s="13">
        <v>650</v>
      </c>
      <c r="AA12" s="430">
        <f t="shared" si="16"/>
        <v>400</v>
      </c>
      <c r="AB12" s="430">
        <f t="shared" si="17"/>
        <v>150</v>
      </c>
      <c r="AC12" s="430" t="str">
        <f t="shared" si="18"/>
        <v>N/A</v>
      </c>
      <c r="AD12" s="430">
        <f t="shared" si="19"/>
        <v>80</v>
      </c>
      <c r="AE12" s="431">
        <f t="shared" si="20"/>
        <v>0.94400000000000006</v>
      </c>
      <c r="AF12" s="431"/>
      <c r="AG12" s="431">
        <f t="shared" si="21"/>
        <v>0.88640000000000019</v>
      </c>
      <c r="AH12" s="431">
        <f t="shared" si="22"/>
        <v>0.9395840000000002</v>
      </c>
      <c r="AI12" s="432">
        <f t="shared" si="23"/>
        <v>859.7189360000001</v>
      </c>
      <c r="AJ12" s="432">
        <f t="shared" si="24"/>
        <v>177.08231783883264</v>
      </c>
      <c r="AK12" s="432">
        <f t="shared" si="25"/>
        <v>193.62585448176708</v>
      </c>
      <c r="AL12" s="432">
        <f t="shared" si="26"/>
        <v>384.90025889392098</v>
      </c>
      <c r="AM12" s="250">
        <v>385</v>
      </c>
      <c r="AN12" s="432">
        <f t="shared" si="27"/>
        <v>385</v>
      </c>
      <c r="AO12" s="432">
        <f t="shared" si="28"/>
        <v>361.73984000000007</v>
      </c>
      <c r="AP12" s="432">
        <f t="shared" si="29"/>
        <v>1808.6992000000002</v>
      </c>
      <c r="AQ12" s="255">
        <v>45352</v>
      </c>
      <c r="AR12" s="255" t="s">
        <v>160</v>
      </c>
      <c r="AS12" s="434" t="s">
        <v>161</v>
      </c>
      <c r="AT12" s="429"/>
      <c r="AU12" s="241"/>
      <c r="AV12" s="243"/>
      <c r="AW12" s="77"/>
      <c r="AX12" s="243"/>
      <c r="AY12" s="103">
        <f>(V12/10)/P12</f>
        <v>0.61699999999999999</v>
      </c>
      <c r="AZ12" s="72"/>
      <c r="BA12" s="13"/>
      <c r="BB12" s="72"/>
      <c r="BC12" s="32"/>
      <c r="BD12" s="241"/>
      <c r="BE12" s="241"/>
      <c r="BF12" s="167"/>
      <c r="BG12" s="241"/>
      <c r="BH12" s="241"/>
      <c r="BI12" s="167"/>
      <c r="BJ12" s="123"/>
      <c r="BK12" s="123"/>
      <c r="BL12" s="126"/>
      <c r="BM12" s="123"/>
      <c r="BN12" s="123"/>
      <c r="BO12" s="123"/>
      <c r="BP12" s="108"/>
      <c r="BQ12" s="141"/>
      <c r="BR12" s="71"/>
      <c r="BS12" s="71"/>
      <c r="BT12" s="72">
        <f>P12-V12/10-120/10</f>
        <v>26.299999999999997</v>
      </c>
      <c r="BU12" s="78">
        <f>BT12-Q12</f>
        <v>6.2999999999999972</v>
      </c>
      <c r="BV12" s="32">
        <f>T12+(O12/100*(P12-BT12))</f>
        <v>0.93266000000000004</v>
      </c>
      <c r="BW12" s="127">
        <f>(AE12-BV12)/AE12</f>
        <v>1.2012711864406797E-2</v>
      </c>
      <c r="BX12" s="78">
        <f>(PI()*((51/2)^2-(16.545/2)^2)/(BV12/10))/100</f>
        <v>195.98010703877958</v>
      </c>
      <c r="BY12" s="78">
        <f>BX12-AK12</f>
        <v>2.3542525570125008</v>
      </c>
      <c r="BZ12" s="127">
        <f>BY12/AK12</f>
        <v>1.2158771685287466E-2</v>
      </c>
      <c r="CA12" s="76"/>
    </row>
    <row r="13" spans="1:79" s="72" customFormat="1" ht="15" customHeight="1">
      <c r="A13" s="13" t="s">
        <v>116</v>
      </c>
      <c r="B13" s="13" t="s">
        <v>150</v>
      </c>
      <c r="C13" s="13" t="s">
        <v>151</v>
      </c>
      <c r="D13" s="429" t="s">
        <v>162</v>
      </c>
      <c r="E13" s="13" t="s">
        <v>118</v>
      </c>
      <c r="F13" s="13" t="s">
        <v>119</v>
      </c>
      <c r="G13" s="13" t="s">
        <v>163</v>
      </c>
      <c r="H13" s="13" t="s">
        <v>146</v>
      </c>
      <c r="I13" s="13" t="s">
        <v>147</v>
      </c>
      <c r="J13" s="13" t="s">
        <v>5</v>
      </c>
      <c r="K13" s="13" t="s">
        <v>123</v>
      </c>
      <c r="L13" s="13" t="s">
        <v>164</v>
      </c>
      <c r="M13" s="13" t="s">
        <v>125</v>
      </c>
      <c r="N13" s="13" t="s">
        <v>12</v>
      </c>
      <c r="O13" s="247">
        <v>0.27</v>
      </c>
      <c r="P13" s="13">
        <v>98</v>
      </c>
      <c r="Q13" s="13">
        <v>27</v>
      </c>
      <c r="R13" s="13" t="s">
        <v>127</v>
      </c>
      <c r="S13" s="430" t="str">
        <f t="shared" si="15"/>
        <v>N/A</v>
      </c>
      <c r="T13" s="247">
        <v>0.8</v>
      </c>
      <c r="U13" s="13">
        <v>320</v>
      </c>
      <c r="V13" s="13">
        <v>580</v>
      </c>
      <c r="W13" s="430">
        <f t="shared" si="0"/>
        <v>260</v>
      </c>
      <c r="X13" s="430">
        <f t="shared" si="1"/>
        <v>130</v>
      </c>
      <c r="Y13" s="13">
        <v>220</v>
      </c>
      <c r="Z13" s="13">
        <v>620</v>
      </c>
      <c r="AA13" s="430">
        <f t="shared" si="16"/>
        <v>400</v>
      </c>
      <c r="AB13" s="430">
        <f t="shared" si="17"/>
        <v>90</v>
      </c>
      <c r="AC13" s="430" t="str">
        <f t="shared" si="18"/>
        <v>N/A</v>
      </c>
      <c r="AD13" s="430">
        <f t="shared" si="19"/>
        <v>71</v>
      </c>
      <c r="AE13" s="431">
        <f t="shared" si="20"/>
        <v>0.99170000000000003</v>
      </c>
      <c r="AF13" s="431"/>
      <c r="AG13" s="431">
        <f t="shared" si="21"/>
        <v>0.92225765306122442</v>
      </c>
      <c r="AH13" s="431">
        <f t="shared" si="22"/>
        <v>0.97759311224489798</v>
      </c>
      <c r="AI13" s="432">
        <f t="shared" si="23"/>
        <v>865.57840400000009</v>
      </c>
      <c r="AJ13" s="432">
        <f t="shared" si="24"/>
        <v>168.56479584537462</v>
      </c>
      <c r="AK13" s="432">
        <f t="shared" si="25"/>
        <v>184.31260122092183</v>
      </c>
      <c r="AL13" s="432">
        <f t="shared" si="26"/>
        <v>366.38685529480836</v>
      </c>
      <c r="AM13" s="250">
        <v>184</v>
      </c>
      <c r="AN13" s="432">
        <f t="shared" si="27"/>
        <v>180.32</v>
      </c>
      <c r="AO13" s="432">
        <f t="shared" si="28"/>
        <v>176.27958999999998</v>
      </c>
      <c r="AP13" s="432">
        <f t="shared" si="29"/>
        <v>652.88737037037026</v>
      </c>
      <c r="AQ13" s="255" t="s">
        <v>132</v>
      </c>
      <c r="AR13" s="255" t="s">
        <v>165</v>
      </c>
      <c r="AS13" s="434" t="s">
        <v>166</v>
      </c>
      <c r="AT13" s="429"/>
      <c r="AU13" s="250"/>
      <c r="AV13" s="255"/>
      <c r="AW13" s="38"/>
      <c r="AX13" s="255"/>
      <c r="AY13" s="103"/>
      <c r="AZ13" s="13"/>
      <c r="BA13" s="13"/>
      <c r="BB13" s="22"/>
      <c r="BC13" s="73"/>
      <c r="BD13" s="252"/>
      <c r="BE13" s="252"/>
      <c r="BF13" s="160"/>
      <c r="BG13" s="252"/>
      <c r="BH13" s="252"/>
      <c r="BI13" s="160"/>
      <c r="BJ13" s="114"/>
      <c r="BK13" s="114"/>
      <c r="BL13" s="128"/>
      <c r="BM13" s="114"/>
      <c r="BN13" s="114"/>
      <c r="BO13" s="114"/>
      <c r="BP13" s="88"/>
      <c r="BQ13" s="83"/>
      <c r="BR13" s="71"/>
      <c r="BS13" s="71"/>
      <c r="BT13" s="72">
        <f>P13-V13/10-120/10</f>
        <v>28</v>
      </c>
      <c r="BU13" s="78">
        <f>BT13-Q13</f>
        <v>1</v>
      </c>
      <c r="BV13" s="32">
        <f>T13+(O13/100*(P13-BT13))</f>
        <v>0.9890000000000001</v>
      </c>
      <c r="BW13" s="127">
        <f>(AE13-BV13)/AE13</f>
        <v>2.722597559745815E-3</v>
      </c>
      <c r="BX13" s="78">
        <f>(PI()*((51/2)^2-(16.545/2)^2)/(BV13/10))/100</f>
        <v>184.8157802131326</v>
      </c>
      <c r="BY13" s="78">
        <f>BX13-AK13</f>
        <v>0.50317899221076345</v>
      </c>
      <c r="BZ13" s="127">
        <f>BY13/AK13</f>
        <v>2.7300303336701332E-3</v>
      </c>
      <c r="CA13" s="76"/>
    </row>
    <row r="14" spans="1:79" s="72" customFormat="1" ht="15" customHeight="1">
      <c r="A14" s="13" t="s">
        <v>116</v>
      </c>
      <c r="B14" s="13" t="s">
        <v>150</v>
      </c>
      <c r="C14" s="13" t="s">
        <v>151</v>
      </c>
      <c r="D14" s="429" t="s">
        <v>162</v>
      </c>
      <c r="E14" s="13" t="s">
        <v>118</v>
      </c>
      <c r="F14" s="13" t="s">
        <v>167</v>
      </c>
      <c r="G14" s="13" t="s">
        <v>168</v>
      </c>
      <c r="H14" s="13" t="s">
        <v>146</v>
      </c>
      <c r="I14" s="13" t="s">
        <v>147</v>
      </c>
      <c r="J14" s="13" t="s">
        <v>5</v>
      </c>
      <c r="K14" s="13" t="s">
        <v>123</v>
      </c>
      <c r="L14" s="13" t="s">
        <v>169</v>
      </c>
      <c r="M14" s="13" t="s">
        <v>125</v>
      </c>
      <c r="N14" s="13" t="s">
        <v>12</v>
      </c>
      <c r="O14" s="247">
        <v>0.18</v>
      </c>
      <c r="P14" s="13">
        <v>100</v>
      </c>
      <c r="Q14" s="13">
        <v>20</v>
      </c>
      <c r="R14" s="13" t="s">
        <v>127</v>
      </c>
      <c r="S14" s="430" t="str">
        <f t="shared" si="15"/>
        <v>N/A</v>
      </c>
      <c r="T14" s="247">
        <v>0.8</v>
      </c>
      <c r="U14" s="13">
        <v>372</v>
      </c>
      <c r="V14" s="13">
        <v>598</v>
      </c>
      <c r="W14" s="430">
        <f t="shared" si="0"/>
        <v>226</v>
      </c>
      <c r="X14" s="430">
        <f t="shared" si="1"/>
        <v>202</v>
      </c>
      <c r="Y14" s="13">
        <v>300</v>
      </c>
      <c r="Z14" s="13">
        <v>700</v>
      </c>
      <c r="AA14" s="430">
        <f t="shared" si="16"/>
        <v>400</v>
      </c>
      <c r="AB14" s="430">
        <f t="shared" si="17"/>
        <v>100</v>
      </c>
      <c r="AC14" s="430" t="str">
        <f t="shared" si="18"/>
        <v>N/A</v>
      </c>
      <c r="AD14" s="430">
        <f t="shared" si="19"/>
        <v>80</v>
      </c>
      <c r="AE14" s="431">
        <f t="shared" si="20"/>
        <v>0.94400000000000006</v>
      </c>
      <c r="AF14" s="431"/>
      <c r="AG14" s="431">
        <f t="shared" si="21"/>
        <v>0.88640000000000019</v>
      </c>
      <c r="AH14" s="431">
        <f t="shared" si="22"/>
        <v>0.9395840000000002</v>
      </c>
      <c r="AI14" s="432">
        <f t="shared" si="23"/>
        <v>859.7189360000001</v>
      </c>
      <c r="AJ14" s="432">
        <f t="shared" si="24"/>
        <v>177.08231783883264</v>
      </c>
      <c r="AK14" s="432">
        <f t="shared" si="25"/>
        <v>193.62585448176708</v>
      </c>
      <c r="AL14" s="432">
        <f t="shared" si="26"/>
        <v>384.90025889392098</v>
      </c>
      <c r="AM14" s="250">
        <v>385</v>
      </c>
      <c r="AN14" s="432">
        <f t="shared" si="27"/>
        <v>385</v>
      </c>
      <c r="AO14" s="432">
        <f t="shared" si="28"/>
        <v>361.73984000000007</v>
      </c>
      <c r="AP14" s="432">
        <f t="shared" si="29"/>
        <v>1808.6992000000002</v>
      </c>
      <c r="AQ14" s="255" t="s">
        <v>170</v>
      </c>
      <c r="AR14" s="255" t="s">
        <v>160</v>
      </c>
      <c r="AS14" s="434" t="s">
        <v>171</v>
      </c>
      <c r="AT14" s="429" t="s">
        <v>172</v>
      </c>
      <c r="AU14" s="241"/>
      <c r="AV14" s="243"/>
      <c r="AW14" s="77"/>
      <c r="AX14" s="243"/>
      <c r="AY14" s="103">
        <f>(V14/10)/P14</f>
        <v>0.59799999999999998</v>
      </c>
      <c r="BC14" s="32"/>
      <c r="BD14" s="241"/>
      <c r="BE14" s="241"/>
      <c r="BF14" s="167"/>
      <c r="BG14" s="241"/>
      <c r="BH14" s="241"/>
      <c r="BI14" s="167"/>
      <c r="BJ14" s="123"/>
      <c r="BK14" s="123"/>
      <c r="BL14" s="126"/>
      <c r="BM14" s="123"/>
      <c r="BN14" s="123"/>
      <c r="BO14" s="123"/>
      <c r="BP14" s="108"/>
      <c r="BQ14" s="151">
        <v>16704</v>
      </c>
      <c r="BR14" s="140">
        <v>5760</v>
      </c>
      <c r="BS14" s="103" t="e">
        <f>(BO14-BM14)/BM14</f>
        <v>#DIV/0!</v>
      </c>
      <c r="BT14" s="13">
        <f>P14-V14/10-120/10</f>
        <v>28.200000000000003</v>
      </c>
      <c r="BU14" s="79">
        <f>BT14-Q14</f>
        <v>8.2000000000000028</v>
      </c>
      <c r="BV14" s="29">
        <f>T14+(O14/100*(P14-BT14))</f>
        <v>0.92924000000000007</v>
      </c>
      <c r="BW14" s="86">
        <f>(AE14-BV14)/AE14</f>
        <v>1.5635593220338976E-2</v>
      </c>
      <c r="BX14" s="79">
        <f>(PI()*((51/2)^2-(16.545/2)^2)/(BV14/10))/100</f>
        <v>196.70139751925032</v>
      </c>
      <c r="BY14" s="79">
        <f>BX14-AK14</f>
        <v>3.0755430374832429</v>
      </c>
      <c r="BZ14" s="86">
        <f>BY14/AK14</f>
        <v>1.5883948172700529E-2</v>
      </c>
      <c r="CA14" s="76"/>
    </row>
    <row r="15" spans="1:79" s="262" customFormat="1" ht="15" customHeight="1">
      <c r="A15" s="13" t="s">
        <v>116</v>
      </c>
      <c r="B15" s="13" t="s">
        <v>150</v>
      </c>
      <c r="C15" s="13" t="s">
        <v>151</v>
      </c>
      <c r="D15" s="13" t="s">
        <v>173</v>
      </c>
      <c r="E15" s="13" t="s">
        <v>118</v>
      </c>
      <c r="F15" s="13" t="s">
        <v>119</v>
      </c>
      <c r="G15" s="13" t="s">
        <v>174</v>
      </c>
      <c r="H15" s="13" t="s">
        <v>146</v>
      </c>
      <c r="I15" s="13" t="s">
        <v>147</v>
      </c>
      <c r="J15" s="13" t="s">
        <v>5</v>
      </c>
      <c r="K15" s="13" t="s">
        <v>123</v>
      </c>
      <c r="L15" s="13" t="s">
        <v>175</v>
      </c>
      <c r="M15" s="13" t="s">
        <v>125</v>
      </c>
      <c r="N15" s="13" t="s">
        <v>12</v>
      </c>
      <c r="O15" s="247">
        <v>0.14000000000000001</v>
      </c>
      <c r="P15" s="13">
        <v>111</v>
      </c>
      <c r="Q15" s="13">
        <v>20</v>
      </c>
      <c r="R15" s="13" t="s">
        <v>127</v>
      </c>
      <c r="S15" s="430" t="str">
        <f t="shared" si="15"/>
        <v>N/A</v>
      </c>
      <c r="T15" s="247">
        <v>0.8</v>
      </c>
      <c r="U15" s="13">
        <v>408</v>
      </c>
      <c r="V15" s="13">
        <v>685</v>
      </c>
      <c r="W15" s="430">
        <f t="shared" si="0"/>
        <v>277</v>
      </c>
      <c r="X15" s="430">
        <f t="shared" si="1"/>
        <v>225</v>
      </c>
      <c r="Y15" s="13">
        <v>350</v>
      </c>
      <c r="Z15" s="13">
        <v>750</v>
      </c>
      <c r="AA15" s="430">
        <f t="shared" si="16"/>
        <v>400</v>
      </c>
      <c r="AB15" s="430">
        <f t="shared" si="17"/>
        <v>160</v>
      </c>
      <c r="AC15" s="430" t="str">
        <f t="shared" si="18"/>
        <v>N/A</v>
      </c>
      <c r="AD15" s="430">
        <f t="shared" si="19"/>
        <v>91</v>
      </c>
      <c r="AE15" s="431">
        <f t="shared" si="20"/>
        <v>0.9274</v>
      </c>
      <c r="AF15" s="431"/>
      <c r="AG15" s="431">
        <f t="shared" si="21"/>
        <v>0.87517747747747743</v>
      </c>
      <c r="AH15" s="431">
        <f t="shared" si="22"/>
        <v>0.92768812612612617</v>
      </c>
      <c r="AI15" s="432">
        <f t="shared" si="23"/>
        <v>857.11472800000001</v>
      </c>
      <c r="AJ15" s="432">
        <f t="shared" si="24"/>
        <v>180.25200349348503</v>
      </c>
      <c r="AK15" s="432">
        <f t="shared" si="25"/>
        <v>197.0916612365626</v>
      </c>
      <c r="AL15" s="432">
        <f t="shared" si="26"/>
        <v>391.78978261360947</v>
      </c>
      <c r="AM15" s="250">
        <v>392</v>
      </c>
      <c r="AN15" s="432">
        <f t="shared" si="27"/>
        <v>435.12</v>
      </c>
      <c r="AO15" s="432">
        <f t="shared" si="28"/>
        <v>403.65565744000003</v>
      </c>
      <c r="AP15" s="432">
        <f t="shared" si="29"/>
        <v>2018.2782872</v>
      </c>
      <c r="AQ15" s="255">
        <v>45352</v>
      </c>
      <c r="AR15" s="255" t="s">
        <v>160</v>
      </c>
      <c r="AS15" s="434" t="s">
        <v>176</v>
      </c>
      <c r="AT15" s="429"/>
      <c r="AU15" s="241"/>
      <c r="AV15" s="243"/>
      <c r="AW15" s="77"/>
      <c r="AX15" s="243"/>
      <c r="AY15" s="103">
        <f>(V15/10)/P15</f>
        <v>0.61711711711711714</v>
      </c>
      <c r="AZ15" s="72"/>
      <c r="BA15" s="13"/>
      <c r="BB15" s="72"/>
      <c r="BC15" s="32"/>
      <c r="BD15" s="241"/>
      <c r="BE15" s="241"/>
      <c r="BF15" s="167"/>
      <c r="BG15" s="241"/>
      <c r="BH15" s="241"/>
      <c r="BI15" s="167"/>
      <c r="BJ15" s="123"/>
      <c r="BK15" s="123"/>
      <c r="BL15" s="126"/>
      <c r="BM15" s="123"/>
      <c r="BN15" s="123"/>
      <c r="BO15" s="123"/>
      <c r="BP15" s="108"/>
      <c r="BQ15" s="144"/>
      <c r="BR15" s="140"/>
      <c r="BS15" s="106"/>
      <c r="BU15" s="269"/>
      <c r="BV15" s="263"/>
      <c r="BW15" s="132"/>
      <c r="BX15" s="269"/>
      <c r="BY15" s="269"/>
      <c r="BZ15" s="132"/>
      <c r="CA15" s="271"/>
    </row>
    <row r="16" spans="1:79" s="262" customFormat="1" ht="15" customHeight="1">
      <c r="A16" s="13" t="s">
        <v>116</v>
      </c>
      <c r="B16" s="13" t="s">
        <v>150</v>
      </c>
      <c r="C16" s="13" t="s">
        <v>151</v>
      </c>
      <c r="D16" s="13" t="s">
        <v>177</v>
      </c>
      <c r="E16" s="13" t="s">
        <v>118</v>
      </c>
      <c r="F16" s="13" t="s">
        <v>119</v>
      </c>
      <c r="G16" s="13" t="s">
        <v>178</v>
      </c>
      <c r="H16" s="13" t="s">
        <v>146</v>
      </c>
      <c r="I16" s="13" t="s">
        <v>147</v>
      </c>
      <c r="J16" s="13" t="s">
        <v>5</v>
      </c>
      <c r="K16" s="13" t="s">
        <v>123</v>
      </c>
      <c r="L16" s="13"/>
      <c r="M16" s="13"/>
      <c r="N16" s="13" t="s">
        <v>12</v>
      </c>
      <c r="O16" s="247">
        <v>0.11</v>
      </c>
      <c r="P16" s="13">
        <v>113</v>
      </c>
      <c r="Q16" s="13">
        <v>29</v>
      </c>
      <c r="R16" s="13" t="s">
        <v>127</v>
      </c>
      <c r="S16" s="430" t="str">
        <f t="shared" si="15"/>
        <v>N/A</v>
      </c>
      <c r="T16" s="247">
        <v>0.8</v>
      </c>
      <c r="U16" s="13">
        <v>280</v>
      </c>
      <c r="V16" s="13">
        <v>710</v>
      </c>
      <c r="W16" s="430">
        <f t="shared" si="0"/>
        <v>430</v>
      </c>
      <c r="X16" s="430">
        <f t="shared" si="1"/>
        <v>130</v>
      </c>
      <c r="Y16" s="13">
        <v>280</v>
      </c>
      <c r="Z16" s="13">
        <v>710</v>
      </c>
      <c r="AA16" s="430">
        <f t="shared" si="16"/>
        <v>430</v>
      </c>
      <c r="AB16" s="430">
        <f t="shared" si="17"/>
        <v>130</v>
      </c>
      <c r="AC16" s="430" t="str">
        <f t="shared" si="18"/>
        <v>N/A</v>
      </c>
      <c r="AD16" s="430">
        <f t="shared" si="19"/>
        <v>84</v>
      </c>
      <c r="AE16" s="431">
        <f t="shared" si="20"/>
        <v>0.89240000000000008</v>
      </c>
      <c r="AF16" s="431"/>
      <c r="AG16" s="431">
        <f t="shared" si="21"/>
        <v>0.85805663716814173</v>
      </c>
      <c r="AH16" s="431">
        <f t="shared" si="22"/>
        <v>0.90954003539823025</v>
      </c>
      <c r="AI16" s="432">
        <f t="shared" si="23"/>
        <v>855.16157200000009</v>
      </c>
      <c r="AJ16" s="432">
        <f t="shared" si="24"/>
        <v>187.32150161346703</v>
      </c>
      <c r="AK16" s="432">
        <f t="shared" si="25"/>
        <v>204.82161209187376</v>
      </c>
      <c r="AL16" s="432">
        <f t="shared" si="26"/>
        <v>407.15580949782765</v>
      </c>
      <c r="AM16" s="250" t="s">
        <v>179</v>
      </c>
      <c r="AN16" s="432" t="e">
        <f t="shared" si="27"/>
        <v>#VALUE!</v>
      </c>
      <c r="AO16" s="432" t="e">
        <f t="shared" si="28"/>
        <v>#VALUE!</v>
      </c>
      <c r="AP16" s="432" t="e">
        <f t="shared" si="29"/>
        <v>#VALUE!</v>
      </c>
      <c r="AQ16" s="255"/>
      <c r="AR16" s="255"/>
      <c r="AS16" s="434"/>
      <c r="AT16" s="429"/>
      <c r="AU16" s="241"/>
      <c r="AV16" s="243"/>
      <c r="AW16" s="77"/>
      <c r="AX16" s="243"/>
      <c r="AY16" s="103"/>
      <c r="AZ16" s="72"/>
      <c r="BA16" s="13"/>
      <c r="BB16" s="72"/>
      <c r="BC16" s="32"/>
      <c r="BD16" s="241"/>
      <c r="BE16" s="241"/>
      <c r="BF16" s="167"/>
      <c r="BG16" s="241"/>
      <c r="BH16" s="241"/>
      <c r="BI16" s="167"/>
      <c r="BJ16" s="123"/>
      <c r="BK16" s="123"/>
      <c r="BL16" s="126"/>
      <c r="BM16" s="123"/>
      <c r="BN16" s="123"/>
      <c r="BO16" s="123"/>
      <c r="BP16" s="108"/>
      <c r="BQ16" s="144"/>
      <c r="BR16" s="140"/>
      <c r="BS16" s="106"/>
      <c r="BU16" s="269"/>
      <c r="BV16" s="263"/>
      <c r="BW16" s="132"/>
      <c r="BX16" s="269"/>
      <c r="BY16" s="269"/>
      <c r="BZ16" s="132"/>
      <c r="CA16" s="271"/>
    </row>
    <row r="17" spans="1:79" s="22" customFormat="1" ht="15" customHeight="1">
      <c r="A17" s="13" t="s">
        <v>116</v>
      </c>
      <c r="B17" s="13" t="s">
        <v>150</v>
      </c>
      <c r="C17" s="13" t="s">
        <v>151</v>
      </c>
      <c r="D17" s="13" t="s">
        <v>180</v>
      </c>
      <c r="E17" s="13" t="s">
        <v>118</v>
      </c>
      <c r="F17" s="13" t="s">
        <v>119</v>
      </c>
      <c r="G17" s="13" t="s">
        <v>181</v>
      </c>
      <c r="H17" s="13" t="s">
        <v>146</v>
      </c>
      <c r="I17" s="13" t="s">
        <v>147</v>
      </c>
      <c r="J17" s="13" t="s">
        <v>5</v>
      </c>
      <c r="K17" s="13" t="s">
        <v>123</v>
      </c>
      <c r="L17" s="13" t="s">
        <v>182</v>
      </c>
      <c r="M17" s="13" t="s">
        <v>125</v>
      </c>
      <c r="N17" s="13" t="s">
        <v>12</v>
      </c>
      <c r="O17" s="247">
        <v>0.35</v>
      </c>
      <c r="P17" s="13">
        <v>116</v>
      </c>
      <c r="Q17" s="13">
        <v>28</v>
      </c>
      <c r="R17" s="13" t="s">
        <v>127</v>
      </c>
      <c r="S17" s="430" t="str">
        <f t="shared" si="15"/>
        <v>N/A</v>
      </c>
      <c r="T17" s="247">
        <v>0.8</v>
      </c>
      <c r="U17" s="13">
        <v>200</v>
      </c>
      <c r="V17" s="13">
        <v>750</v>
      </c>
      <c r="W17" s="430">
        <f t="shared" si="0"/>
        <v>550</v>
      </c>
      <c r="X17" s="430">
        <f t="shared" si="1"/>
        <v>130</v>
      </c>
      <c r="Y17" s="13">
        <v>200</v>
      </c>
      <c r="Z17" s="13">
        <v>750</v>
      </c>
      <c r="AA17" s="430">
        <f t="shared" si="16"/>
        <v>550</v>
      </c>
      <c r="AB17" s="430">
        <f t="shared" si="17"/>
        <v>130</v>
      </c>
      <c r="AC17" s="430" t="str">
        <f t="shared" si="18"/>
        <v>N/A</v>
      </c>
      <c r="AD17" s="430">
        <f t="shared" si="19"/>
        <v>88</v>
      </c>
      <c r="AE17" s="431">
        <f t="shared" si="20"/>
        <v>1.1080000000000001</v>
      </c>
      <c r="AF17" s="431"/>
      <c r="AG17" s="431">
        <f t="shared" si="21"/>
        <v>0.99117241379310361</v>
      </c>
      <c r="AH17" s="431">
        <f t="shared" si="22"/>
        <v>1.0506427586206897</v>
      </c>
      <c r="AI17" s="432">
        <f t="shared" si="23"/>
        <v>870.78682000000003</v>
      </c>
      <c r="AJ17" s="432">
        <f t="shared" si="24"/>
        <v>150.87157765330147</v>
      </c>
      <c r="AK17" s="432">
        <f t="shared" si="25"/>
        <v>164.96643197724563</v>
      </c>
      <c r="AL17" s="432">
        <f t="shared" si="26"/>
        <v>327.92946245113848</v>
      </c>
      <c r="AM17" s="250">
        <v>328</v>
      </c>
      <c r="AN17" s="432">
        <f t="shared" si="27"/>
        <v>380.48</v>
      </c>
      <c r="AO17" s="432">
        <f t="shared" si="28"/>
        <v>399.74855680000002</v>
      </c>
      <c r="AP17" s="432">
        <f t="shared" si="29"/>
        <v>1427.673417142857</v>
      </c>
      <c r="AQ17" s="255">
        <v>45717</v>
      </c>
      <c r="AR17" s="255" t="s">
        <v>183</v>
      </c>
      <c r="AS17" s="434" t="s">
        <v>184</v>
      </c>
      <c r="AT17" s="429"/>
      <c r="AU17" s="241"/>
      <c r="AV17" s="243"/>
      <c r="AW17" s="77"/>
      <c r="AX17" s="243"/>
      <c r="AY17" s="103">
        <f>(V17/10)/P17</f>
        <v>0.64655172413793105</v>
      </c>
      <c r="AZ17" s="72"/>
      <c r="BA17" s="13"/>
      <c r="BB17" s="72"/>
      <c r="BC17" s="32"/>
      <c r="BD17" s="241"/>
      <c r="BE17" s="241"/>
      <c r="BF17" s="167"/>
      <c r="BG17" s="241"/>
      <c r="BH17" s="241"/>
      <c r="BI17" s="167"/>
      <c r="BJ17" s="123"/>
      <c r="BK17" s="123"/>
      <c r="BL17" s="126"/>
      <c r="BM17" s="123"/>
      <c r="BN17" s="123"/>
      <c r="BO17" s="123"/>
      <c r="BP17" s="108"/>
      <c r="BQ17" s="103"/>
      <c r="BR17" s="71"/>
      <c r="BS17" s="71"/>
      <c r="BT17" s="13"/>
      <c r="BU17" s="79"/>
      <c r="BV17" s="29"/>
      <c r="BW17" s="86"/>
      <c r="BX17" s="79"/>
      <c r="BY17" s="79"/>
      <c r="BZ17" s="86"/>
      <c r="CA17" s="76"/>
    </row>
    <row r="18" spans="1:79" s="262" customFormat="1" ht="15" customHeight="1">
      <c r="A18" s="13" t="s">
        <v>116</v>
      </c>
      <c r="B18" s="13" t="s">
        <v>150</v>
      </c>
      <c r="C18" s="13" t="s">
        <v>151</v>
      </c>
      <c r="D18" s="429" t="s">
        <v>185</v>
      </c>
      <c r="E18" s="13" t="s">
        <v>118</v>
      </c>
      <c r="F18" s="13" t="s">
        <v>186</v>
      </c>
      <c r="G18" s="13" t="s">
        <v>187</v>
      </c>
      <c r="H18" s="13" t="s">
        <v>146</v>
      </c>
      <c r="I18" s="13" t="s">
        <v>147</v>
      </c>
      <c r="J18" s="13" t="s">
        <v>5</v>
      </c>
      <c r="K18" s="13" t="s">
        <v>123</v>
      </c>
      <c r="L18" s="13" t="s">
        <v>188</v>
      </c>
      <c r="M18" s="13" t="s">
        <v>125</v>
      </c>
      <c r="N18" s="13" t="s">
        <v>12</v>
      </c>
      <c r="O18" s="247">
        <v>0.14000000000000001</v>
      </c>
      <c r="P18" s="13">
        <v>116</v>
      </c>
      <c r="Q18" s="13">
        <v>30</v>
      </c>
      <c r="R18" s="13" t="s">
        <v>127</v>
      </c>
      <c r="S18" s="430" t="str">
        <f t="shared" si="15"/>
        <v>N/A</v>
      </c>
      <c r="T18" s="247">
        <v>0.8</v>
      </c>
      <c r="U18" s="13">
        <v>280</v>
      </c>
      <c r="V18" s="13">
        <v>740</v>
      </c>
      <c r="W18" s="430">
        <f t="shared" si="0"/>
        <v>460</v>
      </c>
      <c r="X18" s="430">
        <f t="shared" si="1"/>
        <v>120</v>
      </c>
      <c r="Y18" s="13">
        <v>280</v>
      </c>
      <c r="Z18" s="13">
        <v>740</v>
      </c>
      <c r="AA18" s="430">
        <f t="shared" si="16"/>
        <v>460</v>
      </c>
      <c r="AB18" s="430">
        <f t="shared" si="17"/>
        <v>120</v>
      </c>
      <c r="AC18" s="430" t="str">
        <f t="shared" si="18"/>
        <v>N/A</v>
      </c>
      <c r="AD18" s="430">
        <f t="shared" si="19"/>
        <v>86</v>
      </c>
      <c r="AE18" s="431">
        <f t="shared" si="20"/>
        <v>0.92040000000000011</v>
      </c>
      <c r="AF18" s="431"/>
      <c r="AG18" s="431">
        <f t="shared" si="21"/>
        <v>0.87576896551724137</v>
      </c>
      <c r="AH18" s="431">
        <f t="shared" si="22"/>
        <v>0.92831510344827584</v>
      </c>
      <c r="AI18" s="432">
        <f t="shared" si="23"/>
        <v>857.11472800000001</v>
      </c>
      <c r="AJ18" s="432">
        <f t="shared" si="24"/>
        <v>181.62289009111038</v>
      </c>
      <c r="AK18" s="432">
        <f t="shared" si="25"/>
        <v>198.5906199812996</v>
      </c>
      <c r="AL18" s="432">
        <f t="shared" si="26"/>
        <v>394.76949630145742</v>
      </c>
      <c r="AM18" s="250">
        <v>200</v>
      </c>
      <c r="AN18" s="432">
        <f t="shared" si="27"/>
        <v>232</v>
      </c>
      <c r="AO18" s="432">
        <f t="shared" si="28"/>
        <v>215.36910399999999</v>
      </c>
      <c r="AP18" s="432">
        <f t="shared" si="29"/>
        <v>717.89701333333335</v>
      </c>
      <c r="AQ18" s="255">
        <v>45008</v>
      </c>
      <c r="AR18" s="255" t="s">
        <v>189</v>
      </c>
      <c r="AS18" s="434" t="s">
        <v>190</v>
      </c>
      <c r="AT18" s="429" t="s">
        <v>191</v>
      </c>
      <c r="AU18" s="241"/>
      <c r="AV18" s="243"/>
      <c r="AW18" s="72" t="s">
        <v>127</v>
      </c>
      <c r="AX18" s="243"/>
      <c r="AY18" s="103">
        <f>(V18/10)/P18</f>
        <v>0.63793103448275867</v>
      </c>
      <c r="AZ18" s="72"/>
      <c r="BA18" s="13" t="str">
        <f>LEFT(G18,3)</f>
        <v>W22</v>
      </c>
      <c r="BB18" s="72" t="str">
        <f>IF(R18="n/a","Clear","S/B")</f>
        <v>Clear</v>
      </c>
      <c r="BC18" s="264">
        <f>IF(Q18="","",((P18/100*O18)+T18))</f>
        <v>0.96240000000000003</v>
      </c>
      <c r="BD18" s="253">
        <f>IF(BC18="","",((PI()*((51/2)^2-(16.545/2)^2)/(BC18/10))/100))</f>
        <v>189.92394703947232</v>
      </c>
      <c r="BE18" s="253">
        <f>IF(BC18="","",(BD18-AK18))</f>
        <v>-8.6666729418272723</v>
      </c>
      <c r="BF18" s="138">
        <f>IF(BC18="","",(BE18/AK18))</f>
        <v>-4.3640897755610891E-2</v>
      </c>
      <c r="BG18" s="253">
        <f>IF(BF18="","",((PI()*((70/2)^2-(16.545/2)^2)/(BC18/10))/100))</f>
        <v>377.54140107633151</v>
      </c>
      <c r="BH18" s="253">
        <f>IF(BF18="","",(BG18-AL18))</f>
        <v>-17.228095225125912</v>
      </c>
      <c r="BI18" s="138">
        <f>IF(BG18="","",(BH18/AL18))</f>
        <v>-4.3640897755610884E-2</v>
      </c>
      <c r="BJ18" s="123"/>
      <c r="BK18" s="123"/>
      <c r="BL18" s="126"/>
      <c r="BM18" s="123"/>
      <c r="BN18" s="123"/>
      <c r="BO18" s="123"/>
      <c r="BP18" s="123"/>
      <c r="BQ18" s="88"/>
      <c r="BR18" s="80"/>
      <c r="BS18" s="80"/>
      <c r="BT18" s="22"/>
      <c r="BU18" s="87"/>
      <c r="BV18" s="73"/>
      <c r="BW18" s="109"/>
      <c r="BX18" s="87"/>
      <c r="BY18" s="87"/>
      <c r="BZ18" s="109"/>
      <c r="CA18" s="76"/>
    </row>
    <row r="19" spans="1:79" s="262" customFormat="1" ht="15" customHeight="1">
      <c r="A19" s="13" t="s">
        <v>116</v>
      </c>
      <c r="B19" s="13" t="s">
        <v>150</v>
      </c>
      <c r="C19" s="13" t="s">
        <v>151</v>
      </c>
      <c r="D19" s="429" t="s">
        <v>185</v>
      </c>
      <c r="E19" s="13" t="s">
        <v>118</v>
      </c>
      <c r="F19" s="13" t="s">
        <v>119</v>
      </c>
      <c r="G19" s="13" t="s">
        <v>192</v>
      </c>
      <c r="H19" s="13" t="s">
        <v>146</v>
      </c>
      <c r="I19" s="13" t="s">
        <v>147</v>
      </c>
      <c r="J19" s="13" t="s">
        <v>5</v>
      </c>
      <c r="K19" s="13" t="s">
        <v>123</v>
      </c>
      <c r="L19" s="13"/>
      <c r="M19" s="13" t="s">
        <v>125</v>
      </c>
      <c r="N19" s="13" t="s">
        <v>126</v>
      </c>
      <c r="O19" s="247">
        <v>0.14000000000000001</v>
      </c>
      <c r="P19" s="13">
        <v>116</v>
      </c>
      <c r="Q19" s="13">
        <v>29</v>
      </c>
      <c r="R19" s="13" t="s">
        <v>127</v>
      </c>
      <c r="S19" s="430" t="str">
        <f t="shared" si="15"/>
        <v>N/A</v>
      </c>
      <c r="T19" s="247">
        <v>0.8</v>
      </c>
      <c r="U19" s="13">
        <v>280</v>
      </c>
      <c r="V19" s="13">
        <v>740</v>
      </c>
      <c r="W19" s="430">
        <f t="shared" si="0"/>
        <v>460</v>
      </c>
      <c r="X19" s="430">
        <f t="shared" si="1"/>
        <v>130</v>
      </c>
      <c r="Y19" s="13">
        <v>280</v>
      </c>
      <c r="Z19" s="13">
        <v>740</v>
      </c>
      <c r="AA19" s="430">
        <f t="shared" si="16"/>
        <v>460</v>
      </c>
      <c r="AB19" s="430">
        <f t="shared" si="17"/>
        <v>130</v>
      </c>
      <c r="AC19" s="430" t="str">
        <f t="shared" si="18"/>
        <v>N/A</v>
      </c>
      <c r="AD19" s="430">
        <f t="shared" si="19"/>
        <v>87</v>
      </c>
      <c r="AE19" s="431">
        <f t="shared" si="20"/>
        <v>0.92180000000000006</v>
      </c>
      <c r="AF19" s="431"/>
      <c r="AG19" s="431">
        <f t="shared" si="21"/>
        <v>0.87612500000000015</v>
      </c>
      <c r="AH19" s="431">
        <f t="shared" si="22"/>
        <v>0.92869250000000014</v>
      </c>
      <c r="AI19" s="432">
        <f t="shared" si="23"/>
        <v>857.11472800000001</v>
      </c>
      <c r="AJ19" s="432">
        <f t="shared" si="24"/>
        <v>181.34704712503583</v>
      </c>
      <c r="AK19" s="432">
        <f t="shared" si="25"/>
        <v>198.28900697633776</v>
      </c>
      <c r="AL19" s="432">
        <f t="shared" si="26"/>
        <v>394.16993316973463</v>
      </c>
      <c r="AM19" s="250">
        <v>200</v>
      </c>
      <c r="AN19" s="432">
        <f t="shared" si="27"/>
        <v>232</v>
      </c>
      <c r="AO19" s="432">
        <f t="shared" si="28"/>
        <v>215.45666000000003</v>
      </c>
      <c r="AP19" s="432">
        <f t="shared" si="29"/>
        <v>742.95400000000018</v>
      </c>
      <c r="AQ19" s="255" t="s">
        <v>132</v>
      </c>
      <c r="AR19" s="255" t="s">
        <v>193</v>
      </c>
      <c r="AS19" s="434"/>
      <c r="AT19" s="429"/>
      <c r="AU19" s="241"/>
      <c r="AV19" s="243"/>
      <c r="AW19" s="77"/>
      <c r="AX19" s="243"/>
      <c r="AY19" s="103"/>
      <c r="AZ19" s="72"/>
      <c r="BA19" s="13"/>
      <c r="BB19" s="72"/>
      <c r="BC19" s="32"/>
      <c r="BD19" s="241"/>
      <c r="BE19" s="241"/>
      <c r="BF19" s="167"/>
      <c r="BG19" s="241"/>
      <c r="BH19" s="241"/>
      <c r="BI19" s="167"/>
      <c r="BJ19" s="123"/>
      <c r="BK19" s="123"/>
      <c r="BL19" s="126"/>
      <c r="BM19" s="123"/>
      <c r="BN19" s="123"/>
      <c r="BO19" s="123"/>
      <c r="BP19" s="108"/>
      <c r="BQ19" s="144"/>
      <c r="BR19" s="140"/>
      <c r="BS19" s="106"/>
      <c r="BU19" s="269"/>
      <c r="BV19" s="263"/>
      <c r="BW19" s="132"/>
      <c r="BX19" s="269"/>
      <c r="BY19" s="269"/>
      <c r="BZ19" s="132"/>
      <c r="CA19" s="271"/>
    </row>
    <row r="20" spans="1:79" s="72" customFormat="1" ht="15" customHeight="1">
      <c r="A20" s="13" t="s">
        <v>116</v>
      </c>
      <c r="B20" s="13" t="s">
        <v>150</v>
      </c>
      <c r="C20" s="13" t="s">
        <v>151</v>
      </c>
      <c r="D20" s="429" t="s">
        <v>185</v>
      </c>
      <c r="E20" s="13" t="s">
        <v>118</v>
      </c>
      <c r="F20" s="13" t="s">
        <v>167</v>
      </c>
      <c r="G20" s="13" t="s">
        <v>194</v>
      </c>
      <c r="H20" s="13" t="s">
        <v>146</v>
      </c>
      <c r="I20" s="13" t="s">
        <v>147</v>
      </c>
      <c r="J20" s="13" t="s">
        <v>5</v>
      </c>
      <c r="K20" s="13" t="s">
        <v>123</v>
      </c>
      <c r="L20" s="434" t="s">
        <v>195</v>
      </c>
      <c r="M20" s="13" t="s">
        <v>125</v>
      </c>
      <c r="N20" s="13" t="s">
        <v>12</v>
      </c>
      <c r="O20" s="247">
        <v>0.19</v>
      </c>
      <c r="P20" s="13">
        <v>116</v>
      </c>
      <c r="Q20" s="13">
        <v>30</v>
      </c>
      <c r="R20" s="13" t="s">
        <v>127</v>
      </c>
      <c r="S20" s="430" t="str">
        <f t="shared" si="15"/>
        <v>N/A</v>
      </c>
      <c r="T20" s="247">
        <v>0.8</v>
      </c>
      <c r="U20" s="13">
        <v>280</v>
      </c>
      <c r="V20" s="13">
        <v>740</v>
      </c>
      <c r="W20" s="430">
        <f t="shared" si="0"/>
        <v>460</v>
      </c>
      <c r="X20" s="430">
        <f t="shared" si="1"/>
        <v>120</v>
      </c>
      <c r="Y20" s="13">
        <v>280</v>
      </c>
      <c r="Z20" s="13">
        <v>740</v>
      </c>
      <c r="AA20" s="430">
        <f t="shared" si="16"/>
        <v>460</v>
      </c>
      <c r="AB20" s="430">
        <f t="shared" si="17"/>
        <v>120</v>
      </c>
      <c r="AC20" s="430" t="str">
        <f t="shared" si="18"/>
        <v>N/A</v>
      </c>
      <c r="AD20" s="430">
        <f t="shared" si="19"/>
        <v>86</v>
      </c>
      <c r="AE20" s="431">
        <f t="shared" si="20"/>
        <v>0.96340000000000003</v>
      </c>
      <c r="AF20" s="431"/>
      <c r="AG20" s="431">
        <f t="shared" si="21"/>
        <v>0.90282931034482761</v>
      </c>
      <c r="AH20" s="431">
        <f t="shared" si="22"/>
        <v>0.95699906896551723</v>
      </c>
      <c r="AI20" s="432">
        <f t="shared" si="23"/>
        <v>860.36998800000003</v>
      </c>
      <c r="AJ20" s="432">
        <f t="shared" si="24"/>
        <v>173.51640859441355</v>
      </c>
      <c r="AK20" s="432">
        <f t="shared" si="25"/>
        <v>189.72680779612637</v>
      </c>
      <c r="AL20" s="432">
        <f t="shared" si="26"/>
        <v>377.14951670735047</v>
      </c>
      <c r="AM20" s="250">
        <v>190</v>
      </c>
      <c r="AN20" s="432">
        <f t="shared" si="27"/>
        <v>220.4</v>
      </c>
      <c r="AO20" s="432">
        <f t="shared" si="28"/>
        <v>210.92259480000001</v>
      </c>
      <c r="AP20" s="432">
        <f t="shared" si="29"/>
        <v>703.07531600000004</v>
      </c>
      <c r="AQ20" s="255">
        <v>45261</v>
      </c>
      <c r="AR20" s="255" t="s">
        <v>196</v>
      </c>
      <c r="AS20" s="434" t="s">
        <v>197</v>
      </c>
      <c r="AT20" s="429"/>
      <c r="AU20" s="241"/>
      <c r="AV20" s="243"/>
      <c r="AX20" s="243"/>
      <c r="AY20" s="71">
        <f>(V20/10)/P20</f>
        <v>0.63793103448275867</v>
      </c>
      <c r="BA20" s="72" t="str">
        <f t="shared" ref="BA20:BA27" si="30">LEFT(G20,3)</f>
        <v>W22</v>
      </c>
      <c r="BC20" s="264"/>
      <c r="BD20" s="253"/>
      <c r="BE20" s="253"/>
      <c r="BF20" s="138"/>
      <c r="BG20" s="253"/>
      <c r="BH20" s="253"/>
      <c r="BI20" s="138"/>
      <c r="BJ20" s="123"/>
      <c r="BK20" s="123"/>
      <c r="BL20" s="126"/>
      <c r="BM20" s="123"/>
      <c r="BN20" s="123"/>
      <c r="BO20" s="123"/>
      <c r="BP20" s="123"/>
      <c r="BQ20" s="88"/>
      <c r="BR20" s="80"/>
      <c r="BS20" s="80"/>
      <c r="BT20" s="22"/>
      <c r="BU20" s="87"/>
      <c r="BV20" s="73"/>
      <c r="BW20" s="109"/>
      <c r="BX20" s="87"/>
      <c r="BY20" s="87"/>
      <c r="BZ20" s="109"/>
      <c r="CA20" s="76"/>
    </row>
    <row r="21" spans="1:79" s="72" customFormat="1" ht="15" customHeight="1">
      <c r="A21" s="13" t="s">
        <v>116</v>
      </c>
      <c r="B21" s="13" t="s">
        <v>150</v>
      </c>
      <c r="C21" s="13" t="s">
        <v>151</v>
      </c>
      <c r="D21" s="429" t="s">
        <v>185</v>
      </c>
      <c r="E21" s="13" t="s">
        <v>118</v>
      </c>
      <c r="F21" s="13" t="s">
        <v>167</v>
      </c>
      <c r="G21" s="13" t="s">
        <v>198</v>
      </c>
      <c r="H21" s="13" t="s">
        <v>146</v>
      </c>
      <c r="I21" s="13" t="s">
        <v>147</v>
      </c>
      <c r="J21" s="13" t="s">
        <v>5</v>
      </c>
      <c r="K21" s="13" t="s">
        <v>123</v>
      </c>
      <c r="L21" s="434" t="s">
        <v>199</v>
      </c>
      <c r="M21" s="13" t="s">
        <v>125</v>
      </c>
      <c r="N21" s="13" t="s">
        <v>12</v>
      </c>
      <c r="O21" s="247">
        <v>0.23</v>
      </c>
      <c r="P21" s="13">
        <v>116</v>
      </c>
      <c r="Q21" s="13">
        <v>30</v>
      </c>
      <c r="R21" s="13" t="s">
        <v>127</v>
      </c>
      <c r="S21" s="430" t="str">
        <f t="shared" si="15"/>
        <v>N/A</v>
      </c>
      <c r="T21" s="247">
        <v>0.8</v>
      </c>
      <c r="U21" s="13">
        <v>280</v>
      </c>
      <c r="V21" s="13">
        <v>740</v>
      </c>
      <c r="W21" s="430">
        <f t="shared" si="0"/>
        <v>460</v>
      </c>
      <c r="X21" s="430">
        <f t="shared" si="1"/>
        <v>120</v>
      </c>
      <c r="Y21" s="13">
        <v>280</v>
      </c>
      <c r="Z21" s="13">
        <v>740</v>
      </c>
      <c r="AA21" s="430">
        <f t="shared" si="16"/>
        <v>460</v>
      </c>
      <c r="AB21" s="430">
        <f t="shared" si="17"/>
        <v>120</v>
      </c>
      <c r="AC21" s="430" t="str">
        <f t="shared" si="18"/>
        <v>N/A</v>
      </c>
      <c r="AD21" s="430">
        <f t="shared" si="19"/>
        <v>86</v>
      </c>
      <c r="AE21" s="431">
        <f t="shared" si="20"/>
        <v>0.99780000000000002</v>
      </c>
      <c r="AF21" s="431"/>
      <c r="AG21" s="431">
        <f t="shared" si="21"/>
        <v>0.92447758620689657</v>
      </c>
      <c r="AH21" s="431">
        <f t="shared" si="22"/>
        <v>0.9799462413793103</v>
      </c>
      <c r="AI21" s="432">
        <f t="shared" si="23"/>
        <v>862.97419600000001</v>
      </c>
      <c r="AJ21" s="432">
        <f t="shared" si="24"/>
        <v>167.53428346347766</v>
      </c>
      <c r="AK21" s="432">
        <f t="shared" si="25"/>
        <v>183.18581542472253</v>
      </c>
      <c r="AL21" s="432">
        <f t="shared" si="26"/>
        <v>364.14696772485615</v>
      </c>
      <c r="AM21" s="250">
        <v>183</v>
      </c>
      <c r="AN21" s="432">
        <f t="shared" si="27"/>
        <v>212.28</v>
      </c>
      <c r="AO21" s="432">
        <f t="shared" si="28"/>
        <v>208.02298811999998</v>
      </c>
      <c r="AP21" s="432">
        <f t="shared" si="29"/>
        <v>693.40996039999993</v>
      </c>
      <c r="AQ21" s="255">
        <v>45261</v>
      </c>
      <c r="AR21" s="255" t="s">
        <v>196</v>
      </c>
      <c r="AS21" s="434" t="s">
        <v>200</v>
      </c>
      <c r="AT21" s="429"/>
      <c r="AU21" s="241"/>
      <c r="AV21" s="243"/>
      <c r="AX21" s="243"/>
      <c r="AY21" s="71">
        <f>(V21/10)/P21</f>
        <v>0.63793103448275867</v>
      </c>
      <c r="BA21" s="72" t="str">
        <f t="shared" si="30"/>
        <v>W22</v>
      </c>
      <c r="BC21" s="264"/>
      <c r="BD21" s="253"/>
      <c r="BE21" s="253"/>
      <c r="BF21" s="138"/>
      <c r="BG21" s="253"/>
      <c r="BH21" s="253"/>
      <c r="BI21" s="138"/>
      <c r="BJ21" s="123"/>
      <c r="BK21" s="123"/>
      <c r="BL21" s="126"/>
      <c r="BM21" s="123"/>
      <c r="BN21" s="123"/>
      <c r="BO21" s="123"/>
      <c r="BP21" s="123"/>
      <c r="BQ21" s="83"/>
      <c r="BR21" s="71"/>
      <c r="BS21" s="71"/>
      <c r="BU21" s="78"/>
      <c r="BV21" s="32"/>
      <c r="BW21" s="127"/>
      <c r="BX21" s="78"/>
      <c r="BY21" s="78"/>
      <c r="BZ21" s="127"/>
      <c r="CA21" s="76"/>
    </row>
    <row r="22" spans="1:79" s="22" customFormat="1" ht="15" customHeight="1">
      <c r="A22" s="13" t="s">
        <v>116</v>
      </c>
      <c r="B22" s="13" t="s">
        <v>150</v>
      </c>
      <c r="C22" s="13" t="s">
        <v>151</v>
      </c>
      <c r="D22" s="429" t="s">
        <v>185</v>
      </c>
      <c r="E22" s="13" t="s">
        <v>118</v>
      </c>
      <c r="F22" s="13" t="s">
        <v>167</v>
      </c>
      <c r="G22" s="13" t="s">
        <v>201</v>
      </c>
      <c r="H22" s="13" t="s">
        <v>146</v>
      </c>
      <c r="I22" s="13" t="s">
        <v>147</v>
      </c>
      <c r="J22" s="13" t="s">
        <v>5</v>
      </c>
      <c r="K22" s="13" t="s">
        <v>123</v>
      </c>
      <c r="L22" s="434" t="s">
        <v>202</v>
      </c>
      <c r="M22" s="13" t="s">
        <v>125</v>
      </c>
      <c r="N22" s="13" t="s">
        <v>12</v>
      </c>
      <c r="O22" s="247">
        <v>0.27</v>
      </c>
      <c r="P22" s="13">
        <v>116</v>
      </c>
      <c r="Q22" s="13">
        <v>30</v>
      </c>
      <c r="R22" s="13" t="s">
        <v>127</v>
      </c>
      <c r="S22" s="430" t="str">
        <f t="shared" si="15"/>
        <v>N/A</v>
      </c>
      <c r="T22" s="247">
        <v>0.8</v>
      </c>
      <c r="U22" s="13">
        <v>280</v>
      </c>
      <c r="V22" s="13">
        <v>740</v>
      </c>
      <c r="W22" s="430">
        <f t="shared" si="0"/>
        <v>460</v>
      </c>
      <c r="X22" s="430">
        <f t="shared" si="1"/>
        <v>120</v>
      </c>
      <c r="Y22" s="13">
        <v>280</v>
      </c>
      <c r="Z22" s="13">
        <v>740</v>
      </c>
      <c r="AA22" s="430">
        <f t="shared" si="16"/>
        <v>460</v>
      </c>
      <c r="AB22" s="430">
        <f t="shared" si="17"/>
        <v>120</v>
      </c>
      <c r="AC22" s="430" t="str">
        <f t="shared" si="18"/>
        <v>N/A</v>
      </c>
      <c r="AD22" s="430">
        <f t="shared" si="19"/>
        <v>86</v>
      </c>
      <c r="AE22" s="431">
        <f t="shared" si="20"/>
        <v>1.0322</v>
      </c>
      <c r="AF22" s="431"/>
      <c r="AG22" s="431">
        <f t="shared" si="21"/>
        <v>0.94612586206896543</v>
      </c>
      <c r="AH22" s="431">
        <f t="shared" si="22"/>
        <v>1.0028934137931034</v>
      </c>
      <c r="AI22" s="432">
        <f t="shared" si="23"/>
        <v>865.57840400000009</v>
      </c>
      <c r="AJ22" s="432">
        <f t="shared" si="24"/>
        <v>161.95088940114127</v>
      </c>
      <c r="AK22" s="432">
        <f t="shared" si="25"/>
        <v>177.08080471884148</v>
      </c>
      <c r="AL22" s="432">
        <f t="shared" si="26"/>
        <v>352.01108738215606</v>
      </c>
      <c r="AM22" s="250">
        <v>177</v>
      </c>
      <c r="AN22" s="432">
        <f t="shared" si="27"/>
        <v>205.32</v>
      </c>
      <c r="AO22" s="432">
        <f t="shared" si="28"/>
        <v>205.91407571999997</v>
      </c>
      <c r="AP22" s="432">
        <f t="shared" si="29"/>
        <v>686.3802523999999</v>
      </c>
      <c r="AQ22" s="255">
        <v>45261</v>
      </c>
      <c r="AR22" s="255" t="s">
        <v>196</v>
      </c>
      <c r="AS22" s="434" t="s">
        <v>203</v>
      </c>
      <c r="AT22" s="429"/>
      <c r="AU22" s="241"/>
      <c r="AV22" s="243"/>
      <c r="AW22" s="72"/>
      <c r="AX22" s="243"/>
      <c r="AY22" s="71">
        <f>(V22/10)/P22</f>
        <v>0.63793103448275867</v>
      </c>
      <c r="AZ22" s="72"/>
      <c r="BA22" s="72" t="str">
        <f t="shared" si="30"/>
        <v>W22</v>
      </c>
      <c r="BB22" s="72"/>
      <c r="BC22" s="264"/>
      <c r="BD22" s="253"/>
      <c r="BE22" s="253"/>
      <c r="BF22" s="138"/>
      <c r="BG22" s="253"/>
      <c r="BH22" s="253"/>
      <c r="BI22" s="138"/>
      <c r="BJ22" s="123"/>
      <c r="BK22" s="123"/>
      <c r="BL22" s="126"/>
      <c r="BM22" s="123"/>
      <c r="BN22" s="123"/>
      <c r="BO22" s="123"/>
      <c r="BP22" s="123"/>
      <c r="BQ22" s="115"/>
      <c r="BR22" s="152"/>
      <c r="BS22" s="71"/>
      <c r="BT22" s="13"/>
      <c r="BU22" s="79"/>
      <c r="BV22" s="29"/>
      <c r="BW22" s="86"/>
      <c r="BX22" s="79"/>
      <c r="BY22" s="79"/>
      <c r="BZ22" s="86"/>
      <c r="CA22" s="76"/>
    </row>
    <row r="23" spans="1:79" s="72" customFormat="1" ht="15" customHeight="1">
      <c r="A23" s="13" t="s">
        <v>116</v>
      </c>
      <c r="B23" s="13" t="s">
        <v>150</v>
      </c>
      <c r="C23" s="13" t="s">
        <v>204</v>
      </c>
      <c r="D23" s="13">
        <v>3</v>
      </c>
      <c r="E23" s="13" t="s">
        <v>137</v>
      </c>
      <c r="F23" s="13" t="s">
        <v>119</v>
      </c>
      <c r="G23" s="13" t="s">
        <v>205</v>
      </c>
      <c r="H23" s="13" t="s">
        <v>146</v>
      </c>
      <c r="I23" s="13" t="s">
        <v>147</v>
      </c>
      <c r="J23" s="13" t="s">
        <v>5</v>
      </c>
      <c r="K23" s="13" t="s">
        <v>123</v>
      </c>
      <c r="L23" s="13" t="s">
        <v>206</v>
      </c>
      <c r="M23" s="13" t="s">
        <v>125</v>
      </c>
      <c r="N23" s="13" t="s">
        <v>12</v>
      </c>
      <c r="O23" s="247">
        <v>0.45</v>
      </c>
      <c r="P23" s="13">
        <v>104</v>
      </c>
      <c r="Q23" s="13">
        <v>27</v>
      </c>
      <c r="R23" s="13" t="s">
        <v>127</v>
      </c>
      <c r="S23" s="430" t="str">
        <f t="shared" si="15"/>
        <v>N/A</v>
      </c>
      <c r="T23" s="247">
        <v>0.8</v>
      </c>
      <c r="U23" s="13">
        <v>250</v>
      </c>
      <c r="V23" s="13">
        <v>650</v>
      </c>
      <c r="W23" s="430">
        <f t="shared" si="0"/>
        <v>400</v>
      </c>
      <c r="X23" s="430">
        <f t="shared" si="1"/>
        <v>120</v>
      </c>
      <c r="Y23" s="13">
        <v>250</v>
      </c>
      <c r="Z23" s="13">
        <v>650</v>
      </c>
      <c r="AA23" s="430">
        <f t="shared" si="16"/>
        <v>400</v>
      </c>
      <c r="AB23" s="430">
        <f t="shared" si="17"/>
        <v>120</v>
      </c>
      <c r="AC23" s="430" t="str">
        <f t="shared" si="18"/>
        <v>N/A</v>
      </c>
      <c r="AD23" s="430">
        <f t="shared" si="19"/>
        <v>77</v>
      </c>
      <c r="AE23" s="431">
        <f t="shared" si="20"/>
        <v>1.1465000000000001</v>
      </c>
      <c r="AF23" s="431"/>
      <c r="AG23" s="431">
        <f t="shared" si="21"/>
        <v>1.0182283653846154</v>
      </c>
      <c r="AH23" s="431">
        <f t="shared" si="22"/>
        <v>1.0793220673076922</v>
      </c>
      <c r="AI23" s="432">
        <f t="shared" si="23"/>
        <v>877.29733999999996</v>
      </c>
      <c r="AJ23" s="432">
        <f t="shared" si="24"/>
        <v>145.80524033131968</v>
      </c>
      <c r="AK23" s="432">
        <f t="shared" si="25"/>
        <v>159.426782931346</v>
      </c>
      <c r="AL23" s="432">
        <f t="shared" si="26"/>
        <v>316.91743950794722</v>
      </c>
      <c r="AM23" s="250">
        <v>160</v>
      </c>
      <c r="AN23" s="432">
        <f t="shared" si="27"/>
        <v>166.4</v>
      </c>
      <c r="AO23" s="432">
        <f t="shared" si="28"/>
        <v>179.59919199999999</v>
      </c>
      <c r="AP23" s="432">
        <f t="shared" si="29"/>
        <v>665.18219259259251</v>
      </c>
      <c r="AQ23" s="255">
        <v>44621</v>
      </c>
      <c r="AR23" s="255" t="s">
        <v>155</v>
      </c>
      <c r="AS23" s="434" t="s">
        <v>207</v>
      </c>
      <c r="AT23" s="429"/>
      <c r="AU23" s="250"/>
      <c r="AV23" s="255"/>
      <c r="AW23" s="13" t="s">
        <v>127</v>
      </c>
      <c r="AX23" s="255">
        <v>44682</v>
      </c>
      <c r="AY23" s="103">
        <f>(V23/10)/P23</f>
        <v>0.625</v>
      </c>
      <c r="AZ23" s="13"/>
      <c r="BA23" s="13" t="str">
        <f t="shared" si="30"/>
        <v>W22</v>
      </c>
      <c r="BB23" s="72" t="str">
        <f>IF(R23="n/a","Clear","S/B")</f>
        <v>Clear</v>
      </c>
      <c r="BC23" s="264">
        <f>IF(Q23="","",((P23/100*O23)+T23))</f>
        <v>1.268</v>
      </c>
      <c r="BD23" s="253">
        <f>IF(BC23="","",((PI()*((51/2)^2-(16.545/2)^2)/(BC23/10))/100))</f>
        <v>144.15047841544808</v>
      </c>
      <c r="BE23" s="253">
        <f>IF(BC23="","",(BD23-AK23))</f>
        <v>-15.27630451589792</v>
      </c>
      <c r="BF23" s="138">
        <f>IF(BC23="","",(BE23/AK23))</f>
        <v>-9.5820189274448062E-2</v>
      </c>
      <c r="BG23" s="253">
        <f>IF(BF23="","",((PI()*((70/2)^2-(16.545/2)^2)/(BC23/10))/100))</f>
        <v>286.55035046992231</v>
      </c>
      <c r="BH23" s="253">
        <f>IF(BF23="","",(BG23-AL23))</f>
        <v>-30.367089038024915</v>
      </c>
      <c r="BI23" s="138">
        <f>IF(BG23="","",(BH23/AL23))</f>
        <v>-9.5820189274447964E-2</v>
      </c>
      <c r="BJ23" s="114">
        <v>22.8</v>
      </c>
      <c r="BK23" s="111">
        <v>20.71</v>
      </c>
      <c r="BL23" s="112">
        <f>AH23</f>
        <v>1.0793220673076922</v>
      </c>
      <c r="BM23" s="111">
        <f>BK23/AH23</f>
        <v>19.187970511582261</v>
      </c>
      <c r="BN23" s="123">
        <f>BK23-BM23</f>
        <v>1.5220294884177399</v>
      </c>
      <c r="BO23" s="83"/>
      <c r="BP23" s="83"/>
      <c r="BQ23" s="83"/>
      <c r="BR23" s="71"/>
      <c r="BS23" s="71"/>
      <c r="BT23" s="13"/>
      <c r="BU23" s="79"/>
      <c r="BV23" s="29"/>
      <c r="BW23" s="86"/>
      <c r="BX23" s="79"/>
      <c r="BY23" s="79"/>
      <c r="BZ23" s="86"/>
      <c r="CA23" s="76"/>
    </row>
    <row r="24" spans="1:79" s="77" customFormat="1" ht="43.5">
      <c r="A24" s="13" t="s">
        <v>116</v>
      </c>
      <c r="B24" s="13" t="s">
        <v>150</v>
      </c>
      <c r="C24" s="13" t="s">
        <v>208</v>
      </c>
      <c r="D24" s="13" t="s">
        <v>209</v>
      </c>
      <c r="E24" s="13" t="s">
        <v>118</v>
      </c>
      <c r="F24" s="13" t="s">
        <v>186</v>
      </c>
      <c r="G24" s="13" t="s">
        <v>210</v>
      </c>
      <c r="H24" s="13" t="s">
        <v>146</v>
      </c>
      <c r="I24" s="13" t="s">
        <v>147</v>
      </c>
      <c r="J24" s="13" t="s">
        <v>5</v>
      </c>
      <c r="K24" s="13" t="s">
        <v>123</v>
      </c>
      <c r="L24" s="13" t="s">
        <v>211</v>
      </c>
      <c r="M24" s="13" t="s">
        <v>125</v>
      </c>
      <c r="N24" s="13" t="s">
        <v>12</v>
      </c>
      <c r="O24" s="247">
        <v>0.39</v>
      </c>
      <c r="P24" s="13">
        <v>108</v>
      </c>
      <c r="Q24" s="13">
        <v>25</v>
      </c>
      <c r="R24" s="13" t="s">
        <v>127</v>
      </c>
      <c r="S24" s="430" t="str">
        <f t="shared" si="15"/>
        <v>N/A</v>
      </c>
      <c r="T24" s="247">
        <v>0.8</v>
      </c>
      <c r="U24" s="13">
        <v>255</v>
      </c>
      <c r="V24" s="13">
        <v>705</v>
      </c>
      <c r="W24" s="430">
        <f t="shared" si="0"/>
        <v>450</v>
      </c>
      <c r="X24" s="430">
        <f t="shared" si="1"/>
        <v>125</v>
      </c>
      <c r="Y24" s="13">
        <v>255</v>
      </c>
      <c r="Z24" s="13">
        <f>V24</f>
        <v>705</v>
      </c>
      <c r="AA24" s="430">
        <f t="shared" si="16"/>
        <v>450</v>
      </c>
      <c r="AB24" s="430">
        <f t="shared" si="17"/>
        <v>125</v>
      </c>
      <c r="AC24" s="430" t="str">
        <f t="shared" si="18"/>
        <v>N/A</v>
      </c>
      <c r="AD24" s="430">
        <f t="shared" si="19"/>
        <v>83</v>
      </c>
      <c r="AE24" s="431">
        <f t="shared" si="20"/>
        <v>1.1237000000000001</v>
      </c>
      <c r="AF24" s="431"/>
      <c r="AG24" s="431">
        <f t="shared" si="21"/>
        <v>0.99931527777777784</v>
      </c>
      <c r="AH24" s="431">
        <f t="shared" si="22"/>
        <v>1.0592741944444444</v>
      </c>
      <c r="AI24" s="432">
        <f t="shared" si="23"/>
        <v>873.39102800000012</v>
      </c>
      <c r="AJ24" s="432">
        <f t="shared" si="24"/>
        <v>148.76364513647593</v>
      </c>
      <c r="AK24" s="432">
        <f t="shared" si="25"/>
        <v>162.66157037535655</v>
      </c>
      <c r="AL24" s="432">
        <f t="shared" si="26"/>
        <v>323.34773017341058</v>
      </c>
      <c r="AM24" s="250">
        <v>162</v>
      </c>
      <c r="AN24" s="432">
        <f t="shared" si="27"/>
        <v>174.96</v>
      </c>
      <c r="AO24" s="432">
        <f t="shared" si="28"/>
        <v>185.33061305999999</v>
      </c>
      <c r="AP24" s="432">
        <f t="shared" si="29"/>
        <v>741.32245223999996</v>
      </c>
      <c r="AQ24" s="255">
        <v>44228</v>
      </c>
      <c r="AR24" s="255" t="s">
        <v>212</v>
      </c>
      <c r="AS24" s="434" t="s">
        <v>213</v>
      </c>
      <c r="AT24" s="435" t="s">
        <v>214</v>
      </c>
      <c r="AU24" s="249">
        <v>8</v>
      </c>
      <c r="AV24" s="254"/>
      <c r="AW24" s="38" t="s">
        <v>127</v>
      </c>
      <c r="AX24" s="254">
        <v>44317</v>
      </c>
      <c r="AY24" s="103">
        <f>(V24/10)/P24</f>
        <v>0.65277777777777779</v>
      </c>
      <c r="AZ24" s="38"/>
      <c r="BA24" s="13" t="str">
        <f t="shared" si="30"/>
        <v>W22</v>
      </c>
      <c r="BB24" s="72" t="str">
        <f>IF(R24="n/a","Clear","S/B")</f>
        <v>Clear</v>
      </c>
      <c r="BC24" s="264">
        <f>IF(Q24="","",((P24/100*O24)+T24))</f>
        <v>1.2212000000000001</v>
      </c>
      <c r="BD24" s="253">
        <f>IF(BC24="","",((PI()*((51/2)^2-(16.545/2)^2)/(BC24/10))/100))</f>
        <v>149.6747515810581</v>
      </c>
      <c r="BE24" s="253">
        <f>IF(BC24="","",(BD24-AK24))</f>
        <v>-12.986818794298443</v>
      </c>
      <c r="BF24" s="138">
        <f>IF(BC24="","",(BE24/AK24))</f>
        <v>-7.9839502129053372E-2</v>
      </c>
      <c r="BG24" s="253">
        <f>IF(BF24="","",((PI()*((70/2)^2-(16.545/2)^2)/(BC24/10))/100))</f>
        <v>297.53180838180594</v>
      </c>
      <c r="BH24" s="253">
        <f>IF(BF24="","",(BG24-AL24))</f>
        <v>-25.815921791604637</v>
      </c>
      <c r="BI24" s="138">
        <f>IF(BG24="","",(BH24/AL24))</f>
        <v>-7.9839502129053525E-2</v>
      </c>
      <c r="BJ24" s="143">
        <v>22.8</v>
      </c>
      <c r="BK24" s="111">
        <v>20.71</v>
      </c>
      <c r="BL24" s="112">
        <f>AH24</f>
        <v>1.0592741944444444</v>
      </c>
      <c r="BM24" s="111">
        <f>BK24/AH24</f>
        <v>19.551122937401242</v>
      </c>
      <c r="BN24" s="123">
        <f>BK24-BM24</f>
        <v>1.1588770625987586</v>
      </c>
      <c r="BO24" s="111">
        <v>18.760000000000002</v>
      </c>
      <c r="BP24" s="83">
        <f>BO24-BM24</f>
        <v>-0.79112293740124073</v>
      </c>
      <c r="BQ24" s="108"/>
      <c r="BR24" s="124"/>
      <c r="BS24" s="71"/>
      <c r="BT24" s="72"/>
      <c r="BU24" s="78"/>
      <c r="BV24" s="32"/>
      <c r="BW24" s="127"/>
      <c r="BX24" s="78"/>
      <c r="BY24" s="78"/>
      <c r="BZ24" s="127"/>
      <c r="CA24" s="76"/>
    </row>
    <row r="25" spans="1:79" s="72" customFormat="1">
      <c r="A25" s="13" t="s">
        <v>116</v>
      </c>
      <c r="B25" s="13" t="s">
        <v>150</v>
      </c>
      <c r="C25" s="13" t="s">
        <v>208</v>
      </c>
      <c r="D25" s="13" t="s">
        <v>209</v>
      </c>
      <c r="E25" s="13" t="s">
        <v>118</v>
      </c>
      <c r="F25" s="13" t="s">
        <v>119</v>
      </c>
      <c r="G25" s="13" t="s">
        <v>215</v>
      </c>
      <c r="H25" s="13" t="s">
        <v>146</v>
      </c>
      <c r="I25" s="13" t="s">
        <v>147</v>
      </c>
      <c r="J25" s="13" t="s">
        <v>5</v>
      </c>
      <c r="K25" s="13" t="s">
        <v>123</v>
      </c>
      <c r="L25" s="13"/>
      <c r="M25" s="13" t="s">
        <v>125</v>
      </c>
      <c r="N25" s="13" t="s">
        <v>126</v>
      </c>
      <c r="O25" s="247">
        <v>0.39</v>
      </c>
      <c r="P25" s="13">
        <v>108</v>
      </c>
      <c r="Q25" s="13">
        <v>24</v>
      </c>
      <c r="R25" s="13" t="s">
        <v>127</v>
      </c>
      <c r="S25" s="430" t="str">
        <f t="shared" si="15"/>
        <v>N/A</v>
      </c>
      <c r="T25" s="247">
        <v>0.8</v>
      </c>
      <c r="U25" s="13">
        <v>255</v>
      </c>
      <c r="V25" s="13">
        <v>705</v>
      </c>
      <c r="W25" s="430">
        <f t="shared" si="0"/>
        <v>450</v>
      </c>
      <c r="X25" s="430">
        <f t="shared" si="1"/>
        <v>135</v>
      </c>
      <c r="Y25" s="13">
        <v>255</v>
      </c>
      <c r="Z25" s="13">
        <f>V25</f>
        <v>705</v>
      </c>
      <c r="AA25" s="430">
        <f t="shared" si="16"/>
        <v>450</v>
      </c>
      <c r="AB25" s="430">
        <f t="shared" si="17"/>
        <v>135</v>
      </c>
      <c r="AC25" s="430" t="str">
        <f t="shared" si="18"/>
        <v>N/A</v>
      </c>
      <c r="AD25" s="430">
        <f t="shared" si="19"/>
        <v>84</v>
      </c>
      <c r="AE25" s="431">
        <f t="shared" si="20"/>
        <v>1.1276000000000002</v>
      </c>
      <c r="AF25" s="431"/>
      <c r="AG25" s="431">
        <f t="shared" si="21"/>
        <v>1.0002</v>
      </c>
      <c r="AH25" s="431">
        <f t="shared" si="22"/>
        <v>1.0602119999999999</v>
      </c>
      <c r="AI25" s="432">
        <f t="shared" si="23"/>
        <v>873.39102800000012</v>
      </c>
      <c r="AJ25" s="432">
        <f t="shared" si="24"/>
        <v>148.24912029075736</v>
      </c>
      <c r="AK25" s="432">
        <f t="shared" si="25"/>
        <v>162.09897714685007</v>
      </c>
      <c r="AL25" s="432">
        <f t="shared" si="26"/>
        <v>322.22937601619492</v>
      </c>
      <c r="AM25" s="250">
        <v>162</v>
      </c>
      <c r="AN25" s="432">
        <f t="shared" si="27"/>
        <v>174.96</v>
      </c>
      <c r="AO25" s="432">
        <f t="shared" si="28"/>
        <v>185.49469152</v>
      </c>
      <c r="AP25" s="432">
        <f t="shared" si="29"/>
        <v>772.8945480000001</v>
      </c>
      <c r="AQ25" s="255" t="s">
        <v>132</v>
      </c>
      <c r="AR25" s="255" t="s">
        <v>193</v>
      </c>
      <c r="AS25" s="434"/>
      <c r="AT25" s="429" t="s">
        <v>216</v>
      </c>
      <c r="AU25" s="250"/>
      <c r="AV25" s="255"/>
      <c r="AW25" s="13"/>
      <c r="AX25" s="255"/>
      <c r="AY25" s="103"/>
      <c r="AZ25" s="13"/>
      <c r="BA25" s="13" t="str">
        <f t="shared" si="30"/>
        <v>W22</v>
      </c>
      <c r="BC25" s="32"/>
      <c r="BD25" s="241"/>
      <c r="BE25" s="241"/>
      <c r="BF25" s="167"/>
      <c r="BG25" s="241"/>
      <c r="BH25" s="241"/>
      <c r="BI25" s="167"/>
      <c r="BJ25" s="114"/>
      <c r="BK25" s="111"/>
      <c r="BL25" s="112"/>
      <c r="BM25" s="111"/>
      <c r="BN25" s="123"/>
      <c r="BO25" s="111"/>
      <c r="BP25" s="83"/>
      <c r="BQ25" s="108"/>
      <c r="BR25" s="124"/>
      <c r="BS25" s="71"/>
      <c r="BU25" s="78"/>
      <c r="BV25" s="32"/>
      <c r="BW25" s="127"/>
      <c r="BX25" s="78"/>
      <c r="BY25" s="78"/>
      <c r="BZ25" s="127"/>
      <c r="CA25" s="76"/>
    </row>
    <row r="26" spans="1:79" s="77" customFormat="1" ht="15" customHeight="1">
      <c r="A26" s="13" t="s">
        <v>116</v>
      </c>
      <c r="B26" s="13" t="s">
        <v>150</v>
      </c>
      <c r="C26" s="13" t="s">
        <v>208</v>
      </c>
      <c r="D26" s="13" t="s">
        <v>217</v>
      </c>
      <c r="E26" s="13" t="s">
        <v>137</v>
      </c>
      <c r="F26" s="13" t="s">
        <v>167</v>
      </c>
      <c r="G26" s="13" t="s">
        <v>218</v>
      </c>
      <c r="H26" s="13" t="s">
        <v>146</v>
      </c>
      <c r="I26" s="13" t="s">
        <v>147</v>
      </c>
      <c r="J26" s="13" t="s">
        <v>5</v>
      </c>
      <c r="K26" s="13" t="s">
        <v>123</v>
      </c>
      <c r="L26" s="13" t="s">
        <v>219</v>
      </c>
      <c r="M26" s="13" t="s">
        <v>125</v>
      </c>
      <c r="N26" s="13" t="s">
        <v>12</v>
      </c>
      <c r="O26" s="247">
        <v>0.64</v>
      </c>
      <c r="P26" s="13">
        <v>100</v>
      </c>
      <c r="Q26" s="13">
        <v>30</v>
      </c>
      <c r="R26" s="13" t="s">
        <v>127</v>
      </c>
      <c r="S26" s="430" t="str">
        <f t="shared" si="15"/>
        <v>N/A</v>
      </c>
      <c r="T26" s="247">
        <v>0.8</v>
      </c>
      <c r="U26" s="13">
        <v>250</v>
      </c>
      <c r="V26" s="13">
        <v>550</v>
      </c>
      <c r="W26" s="430">
        <f t="shared" si="0"/>
        <v>300</v>
      </c>
      <c r="X26" s="430">
        <f t="shared" si="1"/>
        <v>150</v>
      </c>
      <c r="Y26" s="13"/>
      <c r="Z26" s="13"/>
      <c r="AA26" s="430">
        <f t="shared" si="16"/>
        <v>0</v>
      </c>
      <c r="AB26" s="430">
        <f t="shared" si="17"/>
        <v>700</v>
      </c>
      <c r="AC26" s="430" t="str">
        <f t="shared" si="18"/>
        <v>N/A</v>
      </c>
      <c r="AD26" s="430">
        <f t="shared" si="19"/>
        <v>70</v>
      </c>
      <c r="AE26" s="431">
        <f t="shared" si="20"/>
        <v>1.248</v>
      </c>
      <c r="AF26" s="431"/>
      <c r="AG26" s="431">
        <f t="shared" si="21"/>
        <v>1.0911999999999999</v>
      </c>
      <c r="AH26" s="431">
        <f t="shared" si="22"/>
        <v>1.1566719999999999</v>
      </c>
      <c r="AI26" s="432">
        <f t="shared" si="23"/>
        <v>889.66732800000011</v>
      </c>
      <c r="AJ26" s="432">
        <f t="shared" si="24"/>
        <v>133.94688144219393</v>
      </c>
      <c r="AK26" s="432">
        <f t="shared" si="25"/>
        <v>146.4605822362085</v>
      </c>
      <c r="AL26" s="432">
        <f t="shared" si="26"/>
        <v>291.14250352232489</v>
      </c>
      <c r="AM26" s="250">
        <v>146</v>
      </c>
      <c r="AN26" s="432">
        <f t="shared" si="27"/>
        <v>146</v>
      </c>
      <c r="AO26" s="432">
        <f t="shared" si="28"/>
        <v>168.874112</v>
      </c>
      <c r="AP26" s="432">
        <f t="shared" si="29"/>
        <v>562.91370666666671</v>
      </c>
      <c r="AQ26" s="255" t="s">
        <v>170</v>
      </c>
      <c r="AR26" s="255" t="s">
        <v>220</v>
      </c>
      <c r="AS26" s="434"/>
      <c r="AT26" s="429" t="s">
        <v>221</v>
      </c>
      <c r="AU26" s="241"/>
      <c r="AV26" s="243"/>
      <c r="AW26" s="72" t="s">
        <v>127</v>
      </c>
      <c r="AX26" s="243"/>
      <c r="AY26" s="103">
        <f>(V26/10)/P26</f>
        <v>0.55000000000000004</v>
      </c>
      <c r="AZ26" s="72"/>
      <c r="BA26" s="13" t="str">
        <f t="shared" si="30"/>
        <v>W22</v>
      </c>
      <c r="BB26" s="72" t="str">
        <f>IF(R26="n/a","Clear","S/B")</f>
        <v>Clear</v>
      </c>
      <c r="BC26" s="32">
        <f>IF(Q26="","",((P26/100*O26)+T26))</f>
        <v>1.44</v>
      </c>
      <c r="BD26" s="241">
        <f>IF(BC26="","",((PI()*((51/2)^2-(16.545/2)^2)/(BC26/10))/100))</f>
        <v>126.93250460471401</v>
      </c>
      <c r="BE26" s="241">
        <f>IF(BC26="","",(BD26-AK26))</f>
        <v>-19.528077631494483</v>
      </c>
      <c r="BF26" s="71">
        <f>IF(BC26="","",(BE26/AK26))</f>
        <v>-0.13333333333333344</v>
      </c>
      <c r="BG26" s="241">
        <f>IF(BF26="","",((PI()*((70/2)^2-(16.545/2)^2)/(BC26/10))/100))</f>
        <v>252.32350305268159</v>
      </c>
      <c r="BH26" s="241">
        <f>IF(BF26="","",(BG26-AL26))</f>
        <v>-38.819000469643299</v>
      </c>
      <c r="BI26" s="71">
        <f>IF(BG26="","",(BH26/AL26))</f>
        <v>-0.13333333333333328</v>
      </c>
      <c r="BJ26" s="111"/>
      <c r="BK26" s="83"/>
      <c r="BL26" s="83"/>
      <c r="BM26" s="83"/>
      <c r="BN26" s="71"/>
      <c r="BO26" s="83"/>
      <c r="BP26" s="83"/>
      <c r="BQ26" s="124"/>
      <c r="BR26" s="159"/>
      <c r="BS26" s="71"/>
      <c r="BT26" s="72"/>
      <c r="BU26" s="78"/>
      <c r="BV26" s="32"/>
      <c r="BW26" s="127"/>
      <c r="BX26" s="78"/>
      <c r="BY26" s="78"/>
      <c r="BZ26" s="127"/>
      <c r="CA26" s="76"/>
    </row>
    <row r="27" spans="1:79" s="262" customFormat="1">
      <c r="A27" s="13" t="s">
        <v>116</v>
      </c>
      <c r="B27" s="13" t="s">
        <v>150</v>
      </c>
      <c r="C27" s="13" t="s">
        <v>208</v>
      </c>
      <c r="D27" s="13" t="s">
        <v>222</v>
      </c>
      <c r="E27" s="13" t="s">
        <v>118</v>
      </c>
      <c r="F27" s="13" t="s">
        <v>119</v>
      </c>
      <c r="G27" s="13" t="s">
        <v>223</v>
      </c>
      <c r="H27" s="13" t="s">
        <v>146</v>
      </c>
      <c r="I27" s="13" t="s">
        <v>147</v>
      </c>
      <c r="J27" s="13" t="s">
        <v>5</v>
      </c>
      <c r="K27" s="13" t="s">
        <v>123</v>
      </c>
      <c r="L27" s="13" t="s">
        <v>224</v>
      </c>
      <c r="M27" s="13" t="s">
        <v>125</v>
      </c>
      <c r="N27" s="13" t="s">
        <v>12</v>
      </c>
      <c r="O27" s="247">
        <v>0.19</v>
      </c>
      <c r="P27" s="13">
        <v>105</v>
      </c>
      <c r="Q27" s="13">
        <v>30</v>
      </c>
      <c r="R27" s="13" t="s">
        <v>127</v>
      </c>
      <c r="S27" s="430" t="str">
        <f t="shared" si="15"/>
        <v>N/A</v>
      </c>
      <c r="T27" s="247">
        <v>0.8</v>
      </c>
      <c r="U27" s="13">
        <v>200</v>
      </c>
      <c r="V27" s="13">
        <v>600</v>
      </c>
      <c r="W27" s="430">
        <f t="shared" si="0"/>
        <v>400</v>
      </c>
      <c r="X27" s="430">
        <f t="shared" si="1"/>
        <v>150</v>
      </c>
      <c r="Y27" s="13">
        <v>200</v>
      </c>
      <c r="Z27" s="13">
        <v>600</v>
      </c>
      <c r="AA27" s="430">
        <f t="shared" si="16"/>
        <v>400</v>
      </c>
      <c r="AB27" s="430">
        <f t="shared" si="17"/>
        <v>150</v>
      </c>
      <c r="AC27" s="430" t="str">
        <f t="shared" si="18"/>
        <v>N/A</v>
      </c>
      <c r="AD27" s="430">
        <f t="shared" si="19"/>
        <v>75</v>
      </c>
      <c r="AE27" s="431">
        <f t="shared" si="20"/>
        <v>0.9425</v>
      </c>
      <c r="AF27" s="431"/>
      <c r="AG27" s="431">
        <f t="shared" si="21"/>
        <v>0.89160714285714293</v>
      </c>
      <c r="AH27" s="431">
        <f t="shared" si="22"/>
        <v>0.94510357142857149</v>
      </c>
      <c r="AI27" s="432">
        <f t="shared" si="23"/>
        <v>860.36998800000003</v>
      </c>
      <c r="AJ27" s="432">
        <f t="shared" si="24"/>
        <v>177.36414646138783</v>
      </c>
      <c r="AK27" s="432">
        <f t="shared" si="25"/>
        <v>193.93401234035878</v>
      </c>
      <c r="AL27" s="432">
        <f t="shared" si="26"/>
        <v>385.51283225025088</v>
      </c>
      <c r="AM27" s="250">
        <v>386</v>
      </c>
      <c r="AN27" s="432">
        <f t="shared" si="27"/>
        <v>405.3</v>
      </c>
      <c r="AO27" s="432">
        <f t="shared" si="28"/>
        <v>383.05047750000006</v>
      </c>
      <c r="AP27" s="432">
        <f t="shared" si="29"/>
        <v>1276.8349250000003</v>
      </c>
      <c r="AQ27" s="255">
        <v>45261</v>
      </c>
      <c r="AR27" s="255" t="s">
        <v>225</v>
      </c>
      <c r="AS27" s="434" t="s">
        <v>226</v>
      </c>
      <c r="AT27" s="429"/>
      <c r="AU27" s="250"/>
      <c r="AV27" s="255"/>
      <c r="AW27" s="38"/>
      <c r="AX27" s="255"/>
      <c r="AY27" s="103">
        <f>(V27/10)/P27</f>
        <v>0.5714285714285714</v>
      </c>
      <c r="AZ27" s="13"/>
      <c r="BA27" s="13" t="str">
        <f t="shared" si="30"/>
        <v>W22</v>
      </c>
      <c r="BB27" s="22"/>
      <c r="BC27" s="73"/>
      <c r="BD27" s="252"/>
      <c r="BE27" s="252"/>
      <c r="BF27" s="160"/>
      <c r="BG27" s="252"/>
      <c r="BH27" s="252"/>
      <c r="BI27" s="160"/>
      <c r="BJ27" s="114"/>
      <c r="BK27" s="114"/>
      <c r="BL27" s="128"/>
      <c r="BM27" s="114"/>
      <c r="BN27" s="114"/>
      <c r="BO27" s="114"/>
      <c r="BP27" s="88"/>
      <c r="BQ27" s="108"/>
      <c r="BR27" s="71"/>
      <c r="BS27" s="71"/>
      <c r="BT27" s="72">
        <f>P27-V27/10-120/10</f>
        <v>33</v>
      </c>
      <c r="BU27" s="78">
        <f>BT27-Q27</f>
        <v>3</v>
      </c>
      <c r="BV27" s="32">
        <f>T27+(O27/100*(P27-BT27))</f>
        <v>0.93680000000000008</v>
      </c>
      <c r="BW27" s="127">
        <f>(AE27-BV27)/AE27</f>
        <v>6.047745358090109E-3</v>
      </c>
      <c r="BX27" s="78">
        <f>(PI()*((51/2)^2-(16.545/2)^2)/(BV27/10))/100</f>
        <v>195.11401220195148</v>
      </c>
      <c r="BY27" s="78">
        <f>BX27-AK27</f>
        <v>1.1799998615927052</v>
      </c>
      <c r="BZ27" s="127">
        <f>BY27/AK27</f>
        <v>6.0845431255337383E-3</v>
      </c>
      <c r="CA27" s="76"/>
    </row>
    <row r="28" spans="1:79" s="13" customFormat="1">
      <c r="A28" s="13" t="s">
        <v>116</v>
      </c>
      <c r="B28" s="13" t="s">
        <v>150</v>
      </c>
      <c r="C28" s="13" t="s">
        <v>208</v>
      </c>
      <c r="D28" s="13" t="s">
        <v>222</v>
      </c>
      <c r="E28" s="13" t="s">
        <v>118</v>
      </c>
      <c r="F28" s="13" t="s">
        <v>119</v>
      </c>
      <c r="G28" s="13" t="s">
        <v>227</v>
      </c>
      <c r="H28" s="13" t="s">
        <v>146</v>
      </c>
      <c r="I28" s="13" t="s">
        <v>147</v>
      </c>
      <c r="J28" s="13" t="s">
        <v>5</v>
      </c>
      <c r="K28" s="13" t="s">
        <v>123</v>
      </c>
      <c r="L28" s="13" t="s">
        <v>228</v>
      </c>
      <c r="M28" s="13" t="s">
        <v>125</v>
      </c>
      <c r="N28" s="13" t="s">
        <v>12</v>
      </c>
      <c r="O28" s="247">
        <v>0.19</v>
      </c>
      <c r="P28" s="13">
        <v>113</v>
      </c>
      <c r="Q28" s="13">
        <v>30</v>
      </c>
      <c r="R28" s="13" t="s">
        <v>127</v>
      </c>
      <c r="S28" s="430" t="str">
        <f t="shared" si="15"/>
        <v>N/A</v>
      </c>
      <c r="T28" s="247">
        <v>0.8</v>
      </c>
      <c r="U28" s="13">
        <v>220</v>
      </c>
      <c r="V28" s="13">
        <v>670</v>
      </c>
      <c r="W28" s="430">
        <f t="shared" si="0"/>
        <v>450</v>
      </c>
      <c r="X28" s="430">
        <f t="shared" si="1"/>
        <v>160</v>
      </c>
      <c r="Y28" s="13">
        <v>220</v>
      </c>
      <c r="Z28" s="13">
        <v>670</v>
      </c>
      <c r="AA28" s="430">
        <f t="shared" si="16"/>
        <v>450</v>
      </c>
      <c r="AB28" s="430">
        <f t="shared" si="17"/>
        <v>160</v>
      </c>
      <c r="AC28" s="430" t="str">
        <f t="shared" si="18"/>
        <v>N/A</v>
      </c>
      <c r="AD28" s="430">
        <f t="shared" si="19"/>
        <v>83</v>
      </c>
      <c r="AE28" s="431">
        <f t="shared" si="20"/>
        <v>0.9577</v>
      </c>
      <c r="AF28" s="431"/>
      <c r="AG28" s="431">
        <f t="shared" si="21"/>
        <v>0.89978362831858416</v>
      </c>
      <c r="AH28" s="431">
        <f t="shared" si="22"/>
        <v>0.95377064601769923</v>
      </c>
      <c r="AI28" s="432">
        <f t="shared" si="23"/>
        <v>860.36998800000003</v>
      </c>
      <c r="AJ28" s="432">
        <f t="shared" si="24"/>
        <v>174.54913651441791</v>
      </c>
      <c r="AK28" s="432">
        <f t="shared" si="25"/>
        <v>190.85601611234017</v>
      </c>
      <c r="AL28" s="432">
        <f t="shared" si="26"/>
        <v>379.39421989752685</v>
      </c>
      <c r="AM28" s="250">
        <v>379</v>
      </c>
      <c r="AN28" s="432">
        <f t="shared" si="27"/>
        <v>428.27</v>
      </c>
      <c r="AO28" s="432">
        <f t="shared" si="28"/>
        <v>408.47135457000002</v>
      </c>
      <c r="AP28" s="432">
        <f t="shared" si="29"/>
        <v>1361.5711819000001</v>
      </c>
      <c r="AQ28" s="255">
        <v>45689</v>
      </c>
      <c r="AR28" s="255" t="s">
        <v>229</v>
      </c>
      <c r="AS28" s="434"/>
      <c r="AT28" s="429"/>
      <c r="AU28" s="250"/>
      <c r="AV28" s="255"/>
      <c r="AW28" s="38"/>
      <c r="AX28" s="255"/>
      <c r="AY28" s="103"/>
      <c r="BB28" s="22"/>
      <c r="BC28" s="73"/>
      <c r="BD28" s="252"/>
      <c r="BE28" s="252"/>
      <c r="BF28" s="160"/>
      <c r="BG28" s="252"/>
      <c r="BH28" s="252"/>
      <c r="BI28" s="160"/>
      <c r="BJ28" s="114"/>
      <c r="BK28" s="114"/>
      <c r="BL28" s="128"/>
      <c r="BM28" s="114"/>
      <c r="BN28" s="114"/>
      <c r="BO28" s="114"/>
      <c r="BP28" s="88"/>
      <c r="BQ28" s="124"/>
      <c r="BR28" s="124"/>
      <c r="BS28" s="71"/>
      <c r="BT28" s="72"/>
      <c r="BU28" s="78"/>
      <c r="BV28" s="32"/>
      <c r="BW28" s="127"/>
      <c r="BX28" s="78"/>
      <c r="BY28" s="78"/>
      <c r="BZ28" s="127"/>
      <c r="CA28" s="76"/>
    </row>
    <row r="29" spans="1:79" s="77" customFormat="1" ht="15" customHeight="1">
      <c r="A29" s="13" t="s">
        <v>116</v>
      </c>
      <c r="B29" s="13" t="s">
        <v>150</v>
      </c>
      <c r="C29" s="13" t="s">
        <v>208</v>
      </c>
      <c r="D29" s="13" t="s">
        <v>230</v>
      </c>
      <c r="E29" s="13" t="s">
        <v>118</v>
      </c>
      <c r="F29" s="13" t="s">
        <v>167</v>
      </c>
      <c r="G29" s="13" t="s">
        <v>231</v>
      </c>
      <c r="H29" s="13" t="s">
        <v>146</v>
      </c>
      <c r="I29" s="13" t="s">
        <v>147</v>
      </c>
      <c r="J29" s="13" t="s">
        <v>5</v>
      </c>
      <c r="K29" s="13" t="s">
        <v>123</v>
      </c>
      <c r="L29" s="13" t="s">
        <v>232</v>
      </c>
      <c r="M29" s="13" t="s">
        <v>125</v>
      </c>
      <c r="N29" s="13" t="s">
        <v>12</v>
      </c>
      <c r="O29" s="247">
        <v>0.09</v>
      </c>
      <c r="P29" s="13">
        <v>110</v>
      </c>
      <c r="Q29" s="13">
        <v>30</v>
      </c>
      <c r="R29" s="13" t="s">
        <v>127</v>
      </c>
      <c r="S29" s="430" t="str">
        <f t="shared" si="15"/>
        <v>N/A</v>
      </c>
      <c r="T29" s="247">
        <v>0.8</v>
      </c>
      <c r="U29" s="13">
        <v>200</v>
      </c>
      <c r="V29" s="13">
        <v>600</v>
      </c>
      <c r="W29" s="430">
        <f t="shared" si="0"/>
        <v>400</v>
      </c>
      <c r="X29" s="430">
        <f t="shared" si="1"/>
        <v>200</v>
      </c>
      <c r="Y29" s="13">
        <v>200</v>
      </c>
      <c r="Z29" s="13">
        <v>600</v>
      </c>
      <c r="AA29" s="430">
        <f t="shared" si="16"/>
        <v>400</v>
      </c>
      <c r="AB29" s="430">
        <f t="shared" si="17"/>
        <v>200</v>
      </c>
      <c r="AC29" s="430" t="str">
        <f t="shared" si="18"/>
        <v>N/A</v>
      </c>
      <c r="AD29" s="430">
        <f t="shared" si="19"/>
        <v>80</v>
      </c>
      <c r="AE29" s="431">
        <f t="shared" si="20"/>
        <v>0.872</v>
      </c>
      <c r="AF29" s="431"/>
      <c r="AG29" s="431">
        <f t="shared" si="21"/>
        <v>0.84581818181818191</v>
      </c>
      <c r="AH29" s="431">
        <f t="shared" si="22"/>
        <v>0.89656727272727288</v>
      </c>
      <c r="AI29" s="432">
        <f t="shared" si="23"/>
        <v>853.85946799999999</v>
      </c>
      <c r="AJ29" s="432">
        <f t="shared" si="24"/>
        <v>191.70379362369039</v>
      </c>
      <c r="AK29" s="432">
        <f t="shared" si="25"/>
        <v>209.61331035640845</v>
      </c>
      <c r="AL29" s="432">
        <f t="shared" si="26"/>
        <v>416.68101421543747</v>
      </c>
      <c r="AM29" s="250">
        <v>210</v>
      </c>
      <c r="AN29" s="432">
        <f t="shared" si="27"/>
        <v>231</v>
      </c>
      <c r="AO29" s="432">
        <f t="shared" si="28"/>
        <v>207.10704000000004</v>
      </c>
      <c r="AP29" s="432">
        <f t="shared" si="29"/>
        <v>690.35680000000013</v>
      </c>
      <c r="AQ29" s="255">
        <v>45100</v>
      </c>
      <c r="AR29" s="255" t="s">
        <v>233</v>
      </c>
      <c r="AS29" s="434" t="s">
        <v>234</v>
      </c>
      <c r="AT29" s="429"/>
      <c r="AU29" s="241"/>
      <c r="AV29" s="243"/>
      <c r="AW29" s="77" t="s">
        <v>127</v>
      </c>
      <c r="AX29" s="243"/>
      <c r="AY29" s="103">
        <f t="shared" ref="AY29:AY35" si="31">(V29/10)/P29</f>
        <v>0.54545454545454541</v>
      </c>
      <c r="AZ29" s="72"/>
      <c r="BA29" s="13" t="str">
        <f t="shared" ref="BA29:BA46" si="32">LEFT(G29,3)</f>
        <v>W22</v>
      </c>
      <c r="BB29" s="72" t="str">
        <f>IF(R29="n/a","Clear","S/B")</f>
        <v>Clear</v>
      </c>
      <c r="BC29" s="32">
        <f>IF(Q29="","",((P29/100*O29)+T29))</f>
        <v>0.89900000000000002</v>
      </c>
      <c r="BD29" s="241">
        <f>IF(BC29="","",((PI()*((51/2)^2-(16.545/2)^2)/(BC29/10))/100))</f>
        <v>203.31791616327936</v>
      </c>
      <c r="BE29" s="241">
        <f>IF(BC29="","",(BD29-AK29))</f>
        <v>-6.2953941931290842</v>
      </c>
      <c r="BF29" s="167">
        <f>IF(BC29="","",(BE29/AK29))</f>
        <v>-3.0033370411568509E-2</v>
      </c>
      <c r="BG29" s="241">
        <f>IF(BF29="","",((PI()*((70/2)^2-(16.545/2)^2)/(BC29/10))/100))</f>
        <v>404.16667897203718</v>
      </c>
      <c r="BH29" s="241">
        <f>IF(BF29="","",(BG29-AL29))</f>
        <v>-12.514335243400296</v>
      </c>
      <c r="BI29" s="167">
        <f>IF(BG29="","",(BH29/AL29))</f>
        <v>-3.0033370411568554E-2</v>
      </c>
      <c r="BJ29" s="123"/>
      <c r="BK29" s="123"/>
      <c r="BL29" s="126"/>
      <c r="BM29" s="123"/>
      <c r="BN29" s="123"/>
      <c r="BO29" s="123"/>
      <c r="BP29" s="108"/>
      <c r="BQ29" s="124"/>
      <c r="BR29" s="124"/>
      <c r="BS29" s="71"/>
      <c r="BT29" s="72"/>
      <c r="BU29" s="78"/>
      <c r="BV29" s="32"/>
      <c r="BW29" s="127"/>
      <c r="BX29" s="78"/>
      <c r="BY29" s="78"/>
      <c r="BZ29" s="127"/>
      <c r="CA29" s="76"/>
    </row>
    <row r="30" spans="1:79" s="22" customFormat="1">
      <c r="A30" s="13" t="s">
        <v>116</v>
      </c>
      <c r="B30" s="13" t="s">
        <v>150</v>
      </c>
      <c r="C30" s="13" t="s">
        <v>208</v>
      </c>
      <c r="D30" s="13" t="s">
        <v>235</v>
      </c>
      <c r="E30" s="13" t="s">
        <v>118</v>
      </c>
      <c r="F30" s="13" t="s">
        <v>167</v>
      </c>
      <c r="G30" s="13" t="s">
        <v>236</v>
      </c>
      <c r="H30" s="13" t="s">
        <v>146</v>
      </c>
      <c r="I30" s="13" t="s">
        <v>147</v>
      </c>
      <c r="J30" s="13" t="s">
        <v>5</v>
      </c>
      <c r="K30" s="13" t="s">
        <v>123</v>
      </c>
      <c r="L30" s="13" t="s">
        <v>237</v>
      </c>
      <c r="M30" s="13" t="s">
        <v>125</v>
      </c>
      <c r="N30" s="13" t="s">
        <v>12</v>
      </c>
      <c r="O30" s="247">
        <v>0.2</v>
      </c>
      <c r="P30" s="13">
        <v>97</v>
      </c>
      <c r="Q30" s="13">
        <v>27</v>
      </c>
      <c r="R30" s="13" t="s">
        <v>127</v>
      </c>
      <c r="S30" s="430" t="str">
        <f t="shared" si="15"/>
        <v>N/A</v>
      </c>
      <c r="T30" s="247">
        <v>0.8</v>
      </c>
      <c r="U30" s="13">
        <v>200</v>
      </c>
      <c r="V30" s="13">
        <v>560</v>
      </c>
      <c r="W30" s="430">
        <f t="shared" si="0"/>
        <v>360</v>
      </c>
      <c r="X30" s="430">
        <f t="shared" si="1"/>
        <v>140</v>
      </c>
      <c r="Y30" s="13"/>
      <c r="Z30" s="13"/>
      <c r="AA30" s="430">
        <f t="shared" si="16"/>
        <v>0</v>
      </c>
      <c r="AB30" s="430">
        <f t="shared" si="17"/>
        <v>700</v>
      </c>
      <c r="AC30" s="430" t="str">
        <f t="shared" si="18"/>
        <v>N/A</v>
      </c>
      <c r="AD30" s="430">
        <f t="shared" si="19"/>
        <v>70</v>
      </c>
      <c r="AE30" s="431">
        <f t="shared" si="20"/>
        <v>0.94000000000000006</v>
      </c>
      <c r="AF30" s="431"/>
      <c r="AG30" s="431">
        <f t="shared" si="21"/>
        <v>0.88948453608247424</v>
      </c>
      <c r="AH30" s="431">
        <f t="shared" si="22"/>
        <v>0.9428536082474227</v>
      </c>
      <c r="AI30" s="432">
        <f t="shared" si="23"/>
        <v>861.02103999999997</v>
      </c>
      <c r="AJ30" s="432">
        <f t="shared" si="24"/>
        <v>177.83585961687027</v>
      </c>
      <c r="AK30" s="432">
        <f t="shared" si="25"/>
        <v>194.44979428807252</v>
      </c>
      <c r="AL30" s="432">
        <f t="shared" si="26"/>
        <v>386.53813233602284</v>
      </c>
      <c r="AM30" s="250">
        <v>193</v>
      </c>
      <c r="AN30" s="432">
        <f t="shared" si="27"/>
        <v>187.21</v>
      </c>
      <c r="AO30" s="432">
        <f t="shared" si="28"/>
        <v>176.51162400000001</v>
      </c>
      <c r="AP30" s="432">
        <f t="shared" si="29"/>
        <v>653.74675555555552</v>
      </c>
      <c r="AQ30" s="255">
        <v>43466</v>
      </c>
      <c r="AR30" s="255" t="s">
        <v>238</v>
      </c>
      <c r="AS30" s="434" t="s">
        <v>239</v>
      </c>
      <c r="AT30" s="429" t="s">
        <v>240</v>
      </c>
      <c r="AU30" s="241">
        <v>1</v>
      </c>
      <c r="AV30" s="243" t="s">
        <v>241</v>
      </c>
      <c r="AW30" s="72" t="s">
        <v>127</v>
      </c>
      <c r="AX30" s="243"/>
      <c r="AY30" s="103">
        <f t="shared" si="31"/>
        <v>0.57731958762886593</v>
      </c>
      <c r="AZ30" s="72"/>
      <c r="BA30" s="13" t="str">
        <f t="shared" si="32"/>
        <v>W22</v>
      </c>
      <c r="BB30" s="72" t="str">
        <f>IF(R30="n/a","Clear","S/B")</f>
        <v>Clear</v>
      </c>
      <c r="BC30" s="32">
        <f>IF(Q30="","",((P30/100*O30)+T30))</f>
        <v>0.99399999999999999</v>
      </c>
      <c r="BD30" s="241">
        <f>IF(BC30="","",((PI()*((51/2)^2-(16.545/2)^2)/(BC30/10))/100))</f>
        <v>183.88612337101426</v>
      </c>
      <c r="BE30" s="241">
        <f>IF(BC30="","",(BD30-AK30))</f>
        <v>-10.563670917058261</v>
      </c>
      <c r="BF30" s="71">
        <f>IF(BC30="","",(BE30/AK30))</f>
        <v>-5.4325955734406413E-2</v>
      </c>
      <c r="BG30" s="241">
        <f>IF(BF30="","",((PI()*((70/2)^2-(16.545/2)^2)/(BC30/10))/100))</f>
        <v>365.53907886907587</v>
      </c>
      <c r="BH30" s="241">
        <f>IF(BF30="","",(BG30-AL30))</f>
        <v>-20.999053466946975</v>
      </c>
      <c r="BI30" s="71">
        <f>IF(BG30="","",(BH30/AL30))</f>
        <v>-5.4325955734406593E-2</v>
      </c>
      <c r="BJ30" s="111"/>
      <c r="BK30" s="111"/>
      <c r="BL30" s="83"/>
      <c r="BM30" s="83"/>
      <c r="BN30" s="71"/>
      <c r="BO30" s="83"/>
      <c r="BP30" s="83"/>
      <c r="BQ30" s="124"/>
      <c r="BR30" s="124"/>
      <c r="BS30" s="71"/>
      <c r="BT30" s="72"/>
      <c r="BU30" s="78"/>
      <c r="BV30" s="32"/>
      <c r="BW30" s="127"/>
      <c r="BX30" s="78"/>
      <c r="BY30" s="78"/>
      <c r="BZ30" s="127"/>
      <c r="CA30" s="76"/>
    </row>
    <row r="31" spans="1:79" s="13" customFormat="1">
      <c r="A31" s="13" t="s">
        <v>116</v>
      </c>
      <c r="B31" s="13" t="s">
        <v>150</v>
      </c>
      <c r="C31" s="13" t="s">
        <v>208</v>
      </c>
      <c r="D31" s="13" t="s">
        <v>235</v>
      </c>
      <c r="E31" s="13" t="s">
        <v>118</v>
      </c>
      <c r="F31" s="13" t="s">
        <v>167</v>
      </c>
      <c r="G31" s="13" t="s">
        <v>242</v>
      </c>
      <c r="H31" s="13" t="s">
        <v>146</v>
      </c>
      <c r="I31" s="13" t="s">
        <v>147</v>
      </c>
      <c r="J31" s="13" t="s">
        <v>5</v>
      </c>
      <c r="K31" s="13" t="s">
        <v>123</v>
      </c>
      <c r="L31" s="13" t="s">
        <v>243</v>
      </c>
      <c r="M31" s="13" t="s">
        <v>125</v>
      </c>
      <c r="N31" s="13" t="s">
        <v>12</v>
      </c>
      <c r="O31" s="247">
        <v>0.3</v>
      </c>
      <c r="P31" s="13">
        <v>88</v>
      </c>
      <c r="Q31" s="13">
        <v>18</v>
      </c>
      <c r="R31" s="13" t="s">
        <v>127</v>
      </c>
      <c r="S31" s="430" t="str">
        <f t="shared" si="15"/>
        <v>N/A</v>
      </c>
      <c r="T31" s="247">
        <v>0.8</v>
      </c>
      <c r="U31" s="13">
        <v>200</v>
      </c>
      <c r="V31" s="13">
        <v>560</v>
      </c>
      <c r="W31" s="430">
        <f t="shared" si="0"/>
        <v>360</v>
      </c>
      <c r="X31" s="430">
        <f t="shared" si="1"/>
        <v>140</v>
      </c>
      <c r="AA31" s="430">
        <f t="shared" si="16"/>
        <v>0</v>
      </c>
      <c r="AB31" s="430">
        <f t="shared" si="17"/>
        <v>700</v>
      </c>
      <c r="AC31" s="430" t="str">
        <f t="shared" si="18"/>
        <v>N/A</v>
      </c>
      <c r="AD31" s="430">
        <f t="shared" si="19"/>
        <v>70</v>
      </c>
      <c r="AE31" s="431">
        <f t="shared" si="20"/>
        <v>1.01</v>
      </c>
      <c r="AF31" s="431"/>
      <c r="AG31" s="431">
        <f t="shared" si="21"/>
        <v>0.92647727272727276</v>
      </c>
      <c r="AH31" s="431">
        <f t="shared" si="22"/>
        <v>0.98206590909090907</v>
      </c>
      <c r="AI31" s="432">
        <f t="shared" si="23"/>
        <v>867.53156000000013</v>
      </c>
      <c r="AJ31" s="432">
        <f t="shared" si="24"/>
        <v>165.51060201966141</v>
      </c>
      <c r="AK31" s="432">
        <f t="shared" si="25"/>
        <v>180.97307587206748</v>
      </c>
      <c r="AL31" s="432">
        <f t="shared" si="26"/>
        <v>359.74836078798165</v>
      </c>
      <c r="AM31" s="250">
        <v>179</v>
      </c>
      <c r="AN31" s="432">
        <f t="shared" si="27"/>
        <v>157.52000000000001</v>
      </c>
      <c r="AO31" s="432">
        <f t="shared" si="28"/>
        <v>154.69502199999999</v>
      </c>
      <c r="AP31" s="432">
        <f t="shared" si="29"/>
        <v>859.41678888888885</v>
      </c>
      <c r="AQ31" s="255">
        <v>43466</v>
      </c>
      <c r="AR31" s="255" t="s">
        <v>238</v>
      </c>
      <c r="AS31" s="429" t="s">
        <v>244</v>
      </c>
      <c r="AT31" s="429" t="s">
        <v>245</v>
      </c>
      <c r="AU31" s="241">
        <v>1</v>
      </c>
      <c r="AV31" s="243" t="s">
        <v>246</v>
      </c>
      <c r="AW31" s="72" t="s">
        <v>127</v>
      </c>
      <c r="AX31" s="243"/>
      <c r="AY31" s="103">
        <f t="shared" si="31"/>
        <v>0.63636363636363635</v>
      </c>
      <c r="AZ31" s="72"/>
      <c r="BA31" s="13" t="str">
        <f t="shared" si="32"/>
        <v>W22</v>
      </c>
      <c r="BB31" s="72" t="str">
        <f>IF(R31="n/a","Clear","S/B")</f>
        <v>Clear</v>
      </c>
      <c r="BC31" s="32">
        <f>IF(Q31="","",((P31/100*O31)+T31))</f>
        <v>1.0640000000000001</v>
      </c>
      <c r="BD31" s="241">
        <f>IF(BC31="","",((PI()*((51/2)^2-(16.545/2)^2)/(BC31/10))/100))</f>
        <v>171.78835209660542</v>
      </c>
      <c r="BE31" s="241">
        <f>IF(BC31="","",(BD31-AK31))</f>
        <v>-9.1847237754620608</v>
      </c>
      <c r="BF31" s="71">
        <f>IF(BC31="","",(BE31/AK31))</f>
        <v>-5.0751879699248062E-2</v>
      </c>
      <c r="BG31" s="241">
        <f>IF(BF31="","",((PI()*((70/2)^2-(16.545/2)^2)/(BC31/10))/100))</f>
        <v>341.49045525926829</v>
      </c>
      <c r="BH31" s="241">
        <f>IF(BF31="","",(BG31-AL31))</f>
        <v>-18.257905528713366</v>
      </c>
      <c r="BI31" s="71">
        <f>IF(BG31="","",(BH31/AL31))</f>
        <v>-5.0751879699248152E-2</v>
      </c>
      <c r="BJ31" s="111"/>
      <c r="BK31" s="83"/>
      <c r="BL31" s="83"/>
      <c r="BM31" s="83"/>
      <c r="BN31" s="71"/>
      <c r="BO31" s="83"/>
      <c r="BP31" s="83"/>
      <c r="BQ31" s="144"/>
      <c r="BR31" s="140">
        <v>2160</v>
      </c>
      <c r="BS31" s="106"/>
      <c r="BT31" s="262"/>
      <c r="BU31" s="269"/>
      <c r="BV31" s="263"/>
      <c r="BW31" s="132"/>
      <c r="BX31" s="269"/>
      <c r="BY31" s="269"/>
      <c r="BZ31" s="132"/>
      <c r="CA31" s="271"/>
    </row>
    <row r="32" spans="1:79" s="22" customFormat="1">
      <c r="A32" s="13" t="s">
        <v>116</v>
      </c>
      <c r="B32" s="13" t="s">
        <v>150</v>
      </c>
      <c r="C32" s="13" t="s">
        <v>247</v>
      </c>
      <c r="D32" s="13" t="s">
        <v>248</v>
      </c>
      <c r="E32" s="13" t="s">
        <v>118</v>
      </c>
      <c r="F32" s="13" t="s">
        <v>186</v>
      </c>
      <c r="G32" s="13" t="s">
        <v>249</v>
      </c>
      <c r="H32" s="13" t="s">
        <v>146</v>
      </c>
      <c r="I32" s="13" t="s">
        <v>147</v>
      </c>
      <c r="J32" s="13" t="s">
        <v>5</v>
      </c>
      <c r="K32" s="13" t="s">
        <v>123</v>
      </c>
      <c r="L32" s="13" t="s">
        <v>250</v>
      </c>
      <c r="M32" s="13" t="s">
        <v>125</v>
      </c>
      <c r="N32" s="13" t="s">
        <v>251</v>
      </c>
      <c r="O32" s="247">
        <v>0.39</v>
      </c>
      <c r="P32" s="13">
        <v>115</v>
      </c>
      <c r="Q32" s="13">
        <v>35</v>
      </c>
      <c r="R32" s="13" t="s">
        <v>127</v>
      </c>
      <c r="S32" s="430" t="str">
        <f t="shared" si="15"/>
        <v>N/A</v>
      </c>
      <c r="T32" s="247">
        <v>0.8</v>
      </c>
      <c r="U32" s="13">
        <v>390</v>
      </c>
      <c r="V32" s="13">
        <v>600</v>
      </c>
      <c r="W32" s="430">
        <f t="shared" si="0"/>
        <v>210</v>
      </c>
      <c r="X32" s="430">
        <f t="shared" si="1"/>
        <v>200</v>
      </c>
      <c r="Y32" s="13">
        <v>200</v>
      </c>
      <c r="Z32" s="13">
        <f>V32</f>
        <v>600</v>
      </c>
      <c r="AA32" s="430">
        <f t="shared" si="16"/>
        <v>400</v>
      </c>
      <c r="AB32" s="430">
        <f t="shared" si="17"/>
        <v>200</v>
      </c>
      <c r="AC32" s="430" t="str">
        <f t="shared" si="18"/>
        <v>N/A</v>
      </c>
      <c r="AD32" s="430">
        <f t="shared" si="19"/>
        <v>80</v>
      </c>
      <c r="AE32" s="431">
        <f t="shared" si="20"/>
        <v>1.1120000000000001</v>
      </c>
      <c r="AF32" s="431"/>
      <c r="AG32" s="431">
        <f t="shared" si="21"/>
        <v>1.0034782608695654</v>
      </c>
      <c r="AH32" s="431">
        <f t="shared" si="22"/>
        <v>1.0636869565217393</v>
      </c>
      <c r="AI32" s="432">
        <f t="shared" si="23"/>
        <v>873.39102800000012</v>
      </c>
      <c r="AJ32" s="432">
        <f t="shared" si="24"/>
        <v>150.32887413656297</v>
      </c>
      <c r="AK32" s="432">
        <f t="shared" si="25"/>
        <v>164.37302754567281</v>
      </c>
      <c r="AL32" s="432">
        <f t="shared" si="26"/>
        <v>326.74986006822076</v>
      </c>
      <c r="AM32" s="250">
        <v>164</v>
      </c>
      <c r="AN32" s="432">
        <f t="shared" si="27"/>
        <v>188.6</v>
      </c>
      <c r="AO32" s="432">
        <f t="shared" si="28"/>
        <v>200.61136000000002</v>
      </c>
      <c r="AP32" s="432">
        <f t="shared" si="29"/>
        <v>573.17531428571442</v>
      </c>
      <c r="AQ32" s="255">
        <v>44228</v>
      </c>
      <c r="AR32" s="255" t="s">
        <v>252</v>
      </c>
      <c r="AS32" s="434" t="s">
        <v>253</v>
      </c>
      <c r="AT32" s="429" t="s">
        <v>191</v>
      </c>
      <c r="AU32" s="249">
        <v>4</v>
      </c>
      <c r="AV32" s="254"/>
      <c r="AW32" s="38" t="s">
        <v>127</v>
      </c>
      <c r="AX32" s="254">
        <v>44228</v>
      </c>
      <c r="AY32" s="103">
        <f t="shared" si="31"/>
        <v>0.52173913043478259</v>
      </c>
      <c r="AZ32" s="38"/>
      <c r="BA32" s="13" t="str">
        <f t="shared" si="32"/>
        <v>W22</v>
      </c>
      <c r="BB32" s="72" t="str">
        <f>IF(R32="n/a","Clear","S/B")</f>
        <v>Clear</v>
      </c>
      <c r="BC32" s="264">
        <f>IF(Q32="","",((P32/100*O32)+T32))</f>
        <v>1.2484999999999999</v>
      </c>
      <c r="BD32" s="253">
        <f>IF(BC32="","",((PI()*((51/2)^2-(16.545/2)^2)/(BC32/10))/100))</f>
        <v>146.40192761777186</v>
      </c>
      <c r="BE32" s="253">
        <f>IF(BC32="","",(BD32-AK32))</f>
        <v>-17.971099927900951</v>
      </c>
      <c r="BF32" s="100">
        <f>IF(BC32="","",(BE32/AK32))</f>
        <v>-0.10933119743692431</v>
      </c>
      <c r="BG32" s="253">
        <f>IF(BF32="","",((PI()*((70/2)^2-(16.545/2)^2)/(BC32/10))/100))</f>
        <v>291.02590660461476</v>
      </c>
      <c r="BH32" s="253">
        <f>IF(BF32="","",(BG32-AL32))</f>
        <v>-35.723953463605994</v>
      </c>
      <c r="BI32" s="100">
        <f>IF(BG32="","",(BH32/AL32))</f>
        <v>-0.10933119743692418</v>
      </c>
      <c r="BJ32" s="114">
        <v>22.8</v>
      </c>
      <c r="BK32" s="111">
        <v>20.71</v>
      </c>
      <c r="BL32" s="112">
        <f>AH32</f>
        <v>1.0636869565217393</v>
      </c>
      <c r="BM32" s="111">
        <f>BK32/AH32</f>
        <v>19.470014061018276</v>
      </c>
      <c r="BN32" s="123">
        <f>BK32-BM32</f>
        <v>1.2399859389817252</v>
      </c>
      <c r="BO32" s="83">
        <v>18.8</v>
      </c>
      <c r="BP32" s="83">
        <f>BO32-BM32</f>
        <v>-0.67001406101827499</v>
      </c>
      <c r="BQ32" s="71"/>
      <c r="BR32" s="71"/>
      <c r="BS32" s="71"/>
      <c r="BT32" s="72"/>
      <c r="BU32" s="72"/>
      <c r="BV32" s="72"/>
      <c r="BW32" s="72"/>
      <c r="BX32" s="72"/>
      <c r="BY32" s="72"/>
      <c r="BZ32" s="72"/>
      <c r="CA32" s="72"/>
    </row>
    <row r="33" spans="1:79" s="72" customFormat="1">
      <c r="A33" s="13" t="s">
        <v>116</v>
      </c>
      <c r="B33" s="13" t="s">
        <v>150</v>
      </c>
      <c r="C33" s="13" t="s">
        <v>247</v>
      </c>
      <c r="D33" s="13" t="s">
        <v>248</v>
      </c>
      <c r="E33" s="13" t="s">
        <v>118</v>
      </c>
      <c r="F33" s="13" t="s">
        <v>167</v>
      </c>
      <c r="G33" s="13" t="s">
        <v>254</v>
      </c>
      <c r="H33" s="13" t="s">
        <v>146</v>
      </c>
      <c r="I33" s="13" t="s">
        <v>147</v>
      </c>
      <c r="J33" s="13" t="s">
        <v>5</v>
      </c>
      <c r="K33" s="13" t="s">
        <v>123</v>
      </c>
      <c r="L33" s="13" t="s">
        <v>255</v>
      </c>
      <c r="M33" s="13" t="s">
        <v>125</v>
      </c>
      <c r="N33" s="13" t="s">
        <v>12</v>
      </c>
      <c r="O33" s="247">
        <v>0.39</v>
      </c>
      <c r="P33" s="13">
        <v>110</v>
      </c>
      <c r="Q33" s="13">
        <v>30</v>
      </c>
      <c r="R33" s="13" t="s">
        <v>127</v>
      </c>
      <c r="S33" s="430" t="str">
        <f t="shared" si="15"/>
        <v>N/A</v>
      </c>
      <c r="T33" s="247">
        <v>0.8</v>
      </c>
      <c r="U33" s="13">
        <v>300</v>
      </c>
      <c r="V33" s="13">
        <v>520</v>
      </c>
      <c r="W33" s="430">
        <f t="shared" si="0"/>
        <v>220</v>
      </c>
      <c r="X33" s="430">
        <f t="shared" si="1"/>
        <v>280</v>
      </c>
      <c r="Y33" s="13"/>
      <c r="Z33" s="13"/>
      <c r="AA33" s="430">
        <f t="shared" si="16"/>
        <v>0</v>
      </c>
      <c r="AB33" s="430">
        <f t="shared" si="17"/>
        <v>800</v>
      </c>
      <c r="AC33" s="430" t="str">
        <f t="shared" si="18"/>
        <v>N/A</v>
      </c>
      <c r="AD33" s="430">
        <f t="shared" si="19"/>
        <v>80</v>
      </c>
      <c r="AE33" s="431">
        <f t="shared" si="20"/>
        <v>1.1120000000000001</v>
      </c>
      <c r="AF33" s="431"/>
      <c r="AG33" s="431">
        <f t="shared" si="21"/>
        <v>0.99854545454545462</v>
      </c>
      <c r="AH33" s="431">
        <f t="shared" si="22"/>
        <v>1.058458181818182</v>
      </c>
      <c r="AI33" s="432">
        <f t="shared" si="23"/>
        <v>873.39102800000012</v>
      </c>
      <c r="AJ33" s="432">
        <f t="shared" si="24"/>
        <v>150.32887413656297</v>
      </c>
      <c r="AK33" s="432">
        <f t="shared" si="25"/>
        <v>164.37302754567281</v>
      </c>
      <c r="AL33" s="432">
        <f t="shared" si="26"/>
        <v>326.74986006822076</v>
      </c>
      <c r="AM33" s="250">
        <v>164</v>
      </c>
      <c r="AN33" s="432">
        <f t="shared" si="27"/>
        <v>180.4</v>
      </c>
      <c r="AO33" s="432">
        <f t="shared" si="28"/>
        <v>190.94585600000002</v>
      </c>
      <c r="AP33" s="432">
        <f t="shared" si="29"/>
        <v>636.48618666666675</v>
      </c>
      <c r="AQ33" s="255">
        <v>44075</v>
      </c>
      <c r="AR33" s="255" t="s">
        <v>256</v>
      </c>
      <c r="AS33" s="429" t="s">
        <v>257</v>
      </c>
      <c r="AT33" s="429"/>
      <c r="AU33" s="241">
        <v>1</v>
      </c>
      <c r="AV33" s="243" t="s">
        <v>258</v>
      </c>
      <c r="AW33" s="72" t="s">
        <v>127</v>
      </c>
      <c r="AX33" s="243">
        <v>44075</v>
      </c>
      <c r="AY33" s="103">
        <f t="shared" si="31"/>
        <v>0.47272727272727272</v>
      </c>
      <c r="BA33" s="13" t="str">
        <f t="shared" si="32"/>
        <v>W22</v>
      </c>
      <c r="BB33" s="72" t="str">
        <f>IF(R33="n/a","Clear","S/B")</f>
        <v>Clear</v>
      </c>
      <c r="BC33" s="32">
        <f>IF(Q33="","",((P33/100*O33)+T33))</f>
        <v>1.2290000000000001</v>
      </c>
      <c r="BD33" s="241">
        <f>IF(BC33="","",((PI()*((51/2)^2-(16.545/2)^2)/(BC33/10))/100))</f>
        <v>148.72482231959981</v>
      </c>
      <c r="BE33" s="241">
        <f>IF(BC33="","",(BD33-AK33))</f>
        <v>-15.648205226073003</v>
      </c>
      <c r="BF33" s="71">
        <f>IF(BC33="","",(BE33/AK33))</f>
        <v>-9.5199349064279903E-2</v>
      </c>
      <c r="BG33" s="241">
        <f>IF(BF33="","",((PI()*((70/2)^2-(16.545/2)^2)/(BC33/10))/100))</f>
        <v>295.64348608288157</v>
      </c>
      <c r="BH33" s="241">
        <f>IF(BF33="","",(BG33-AL33))</f>
        <v>-31.106373985339189</v>
      </c>
      <c r="BI33" s="71">
        <f>IF(BG33="","",(BH33/AL33))</f>
        <v>-9.5199349064279987E-2</v>
      </c>
      <c r="BJ33" s="111"/>
      <c r="BK33" s="83"/>
      <c r="BL33" s="83"/>
      <c r="BM33" s="83"/>
      <c r="BN33" s="71"/>
      <c r="BO33" s="83"/>
      <c r="BP33" s="83"/>
      <c r="BQ33" s="108"/>
      <c r="BR33" s="71"/>
      <c r="BS33" s="71"/>
      <c r="BU33" s="78"/>
      <c r="BV33" s="32"/>
      <c r="BW33" s="127"/>
      <c r="BX33" s="78"/>
      <c r="BY33" s="78"/>
      <c r="BZ33" s="127"/>
      <c r="CA33" s="76"/>
    </row>
    <row r="34" spans="1:79" s="343" customFormat="1">
      <c r="A34" s="13" t="s">
        <v>116</v>
      </c>
      <c r="B34" s="13" t="s">
        <v>259</v>
      </c>
      <c r="C34" s="13" t="s">
        <v>260</v>
      </c>
      <c r="D34" s="13" t="s">
        <v>261</v>
      </c>
      <c r="E34" s="13" t="s">
        <v>118</v>
      </c>
      <c r="F34" s="13" t="s">
        <v>119</v>
      </c>
      <c r="G34" s="13" t="s">
        <v>262</v>
      </c>
      <c r="H34" s="13" t="s">
        <v>121</v>
      </c>
      <c r="I34" s="13" t="s">
        <v>147</v>
      </c>
      <c r="J34" s="13" t="s">
        <v>5</v>
      </c>
      <c r="K34" s="13" t="s">
        <v>123</v>
      </c>
      <c r="L34" s="13"/>
      <c r="M34" s="13"/>
      <c r="N34" s="13" t="s">
        <v>126</v>
      </c>
      <c r="O34" s="247">
        <v>0.36</v>
      </c>
      <c r="P34" s="13">
        <v>115</v>
      </c>
      <c r="Q34" s="13">
        <v>30</v>
      </c>
      <c r="R34" s="13" t="s">
        <v>127</v>
      </c>
      <c r="S34" s="430" t="str">
        <f t="shared" si="15"/>
        <v>N/A</v>
      </c>
      <c r="T34" s="247">
        <v>0.8</v>
      </c>
      <c r="U34" s="13">
        <v>300</v>
      </c>
      <c r="V34" s="13">
        <v>700</v>
      </c>
      <c r="W34" s="430">
        <f t="shared" si="0"/>
        <v>400</v>
      </c>
      <c r="X34" s="430">
        <f t="shared" si="1"/>
        <v>150</v>
      </c>
      <c r="Y34" s="13">
        <v>300</v>
      </c>
      <c r="Z34" s="13">
        <v>700</v>
      </c>
      <c r="AA34" s="430">
        <f t="shared" si="16"/>
        <v>400</v>
      </c>
      <c r="AB34" s="430">
        <f t="shared" si="17"/>
        <v>150</v>
      </c>
      <c r="AC34" s="430" t="str">
        <f t="shared" si="18"/>
        <v>N/A</v>
      </c>
      <c r="AD34" s="430">
        <f t="shared" si="19"/>
        <v>85</v>
      </c>
      <c r="AE34" s="431">
        <f t="shared" si="20"/>
        <v>1.1060000000000001</v>
      </c>
      <c r="AF34" s="431"/>
      <c r="AG34" s="431">
        <f t="shared" si="21"/>
        <v>0.99291304347826093</v>
      </c>
      <c r="AH34" s="431">
        <f t="shared" si="22"/>
        <v>1.0524878260869566</v>
      </c>
      <c r="AI34" s="432">
        <f t="shared" si="23"/>
        <v>871.43787200000008</v>
      </c>
      <c r="AJ34" s="432">
        <f t="shared" si="24"/>
        <v>151.14440148269261</v>
      </c>
      <c r="AK34" s="432">
        <f t="shared" si="25"/>
        <v>165.2647437891394</v>
      </c>
      <c r="AL34" s="432">
        <f t="shared" si="26"/>
        <v>328.52246328739733</v>
      </c>
      <c r="AM34" s="250">
        <v>165</v>
      </c>
      <c r="AN34" s="432">
        <f t="shared" si="27"/>
        <v>189.75</v>
      </c>
      <c r="AO34" s="432">
        <f t="shared" si="28"/>
        <v>199.709565</v>
      </c>
      <c r="AP34" s="432">
        <f t="shared" si="29"/>
        <v>665.69855000000007</v>
      </c>
      <c r="AQ34" s="255"/>
      <c r="AR34" s="255"/>
      <c r="AS34" s="429"/>
      <c r="AT34" s="429"/>
      <c r="AU34" s="353"/>
      <c r="AV34" s="354"/>
      <c r="AX34" s="354"/>
      <c r="AY34" s="355"/>
      <c r="BC34" s="352"/>
      <c r="BD34" s="353"/>
      <c r="BE34" s="353"/>
      <c r="BF34" s="355"/>
      <c r="BG34" s="353"/>
      <c r="BH34" s="353"/>
      <c r="BI34" s="355"/>
      <c r="BJ34" s="356"/>
      <c r="BK34" s="358"/>
      <c r="BL34" s="358"/>
      <c r="BM34" s="358"/>
      <c r="BN34" s="355"/>
      <c r="BO34" s="358"/>
      <c r="BP34" s="358"/>
      <c r="BQ34" s="358"/>
      <c r="BR34" s="355"/>
      <c r="BS34" s="355"/>
      <c r="BU34" s="360"/>
      <c r="BV34" s="352"/>
      <c r="BW34" s="361"/>
      <c r="BX34" s="360"/>
      <c r="BY34" s="360"/>
      <c r="BZ34" s="361"/>
      <c r="CA34" s="362"/>
    </row>
    <row r="35" spans="1:79" s="72" customFormat="1">
      <c r="A35" s="13" t="s">
        <v>116</v>
      </c>
      <c r="B35" s="13" t="s">
        <v>263</v>
      </c>
      <c r="C35" s="13" t="s">
        <v>132</v>
      </c>
      <c r="D35" s="13" t="s">
        <v>264</v>
      </c>
      <c r="E35" s="13"/>
      <c r="F35" s="13" t="s">
        <v>119</v>
      </c>
      <c r="G35" s="13" t="s">
        <v>265</v>
      </c>
      <c r="H35" s="13" t="s">
        <v>146</v>
      </c>
      <c r="I35" s="13" t="s">
        <v>147</v>
      </c>
      <c r="J35" s="13" t="s">
        <v>5</v>
      </c>
      <c r="K35" s="13" t="s">
        <v>123</v>
      </c>
      <c r="L35" s="13" t="s">
        <v>266</v>
      </c>
      <c r="M35" s="13" t="s">
        <v>125</v>
      </c>
      <c r="N35" s="13" t="s">
        <v>126</v>
      </c>
      <c r="O35" s="247">
        <v>0.44</v>
      </c>
      <c r="P35" s="13">
        <v>97</v>
      </c>
      <c r="Q35" s="13">
        <v>30</v>
      </c>
      <c r="R35" s="13" t="s">
        <v>127</v>
      </c>
      <c r="S35" s="430" t="str">
        <f t="shared" si="15"/>
        <v>N/A</v>
      </c>
      <c r="T35" s="247">
        <v>0.8</v>
      </c>
      <c r="U35" s="13">
        <v>150</v>
      </c>
      <c r="V35" s="13">
        <v>550</v>
      </c>
      <c r="W35" s="430">
        <f t="shared" si="0"/>
        <v>400</v>
      </c>
      <c r="X35" s="430">
        <f t="shared" si="1"/>
        <v>120</v>
      </c>
      <c r="Y35" s="13">
        <v>150</v>
      </c>
      <c r="Z35" s="13">
        <v>550</v>
      </c>
      <c r="AA35" s="430">
        <f t="shared" si="16"/>
        <v>400</v>
      </c>
      <c r="AB35" s="430">
        <f t="shared" si="17"/>
        <v>120</v>
      </c>
      <c r="AC35" s="430" t="str">
        <f t="shared" si="18"/>
        <v>N/A</v>
      </c>
      <c r="AD35" s="430">
        <f t="shared" si="19"/>
        <v>67</v>
      </c>
      <c r="AE35" s="431">
        <f t="shared" si="20"/>
        <v>1.0948</v>
      </c>
      <c r="AF35" s="431"/>
      <c r="AG35" s="431">
        <f t="shared" si="21"/>
        <v>0.99298762886597935</v>
      </c>
      <c r="AH35" s="431">
        <f t="shared" si="22"/>
        <v>1.0525668865979381</v>
      </c>
      <c r="AI35" s="432">
        <f t="shared" si="23"/>
        <v>876.64628800000003</v>
      </c>
      <c r="AJ35" s="432">
        <f t="shared" si="24"/>
        <v>152.69063576896059</v>
      </c>
      <c r="AK35" s="432">
        <f t="shared" si="25"/>
        <v>166.95543170514082</v>
      </c>
      <c r="AL35" s="432">
        <f t="shared" si="26"/>
        <v>331.88330690159069</v>
      </c>
      <c r="AM35" s="250">
        <v>120</v>
      </c>
      <c r="AN35" s="432">
        <f t="shared" si="27"/>
        <v>116.4</v>
      </c>
      <c r="AO35" s="432">
        <f t="shared" si="28"/>
        <v>122.5187856</v>
      </c>
      <c r="AP35" s="432">
        <f t="shared" si="29"/>
        <v>408.39595200000002</v>
      </c>
      <c r="AQ35" s="279">
        <v>45069</v>
      </c>
      <c r="AR35" s="255" t="s">
        <v>267</v>
      </c>
      <c r="AS35" s="434" t="s">
        <v>268</v>
      </c>
      <c r="AT35" s="429"/>
      <c r="AU35" s="280"/>
      <c r="AV35" s="281"/>
      <c r="AX35" s="243"/>
      <c r="AY35" s="103">
        <f t="shared" si="31"/>
        <v>0.5670103092783505</v>
      </c>
      <c r="BA35" s="13" t="str">
        <f t="shared" si="32"/>
        <v>W22</v>
      </c>
      <c r="BC35" s="264"/>
      <c r="BD35" s="253"/>
      <c r="BE35" s="253"/>
      <c r="BF35" s="138"/>
      <c r="BG35" s="253"/>
      <c r="BH35" s="253"/>
      <c r="BI35" s="138"/>
      <c r="BJ35" s="123"/>
      <c r="BK35" s="123"/>
      <c r="BL35" s="126"/>
      <c r="BM35" s="108"/>
      <c r="BN35" s="71"/>
      <c r="BO35" s="71"/>
      <c r="BP35" s="71"/>
      <c r="BQ35" s="159"/>
      <c r="BR35" s="159"/>
      <c r="BS35" s="100"/>
      <c r="BT35" s="77"/>
      <c r="BU35" s="282"/>
      <c r="BV35" s="264"/>
      <c r="BW35" s="169"/>
      <c r="BX35" s="282"/>
      <c r="BY35" s="282"/>
      <c r="BZ35" s="169"/>
      <c r="CA35" s="271"/>
    </row>
    <row r="36" spans="1:79" s="22" customFormat="1">
      <c r="A36" s="13" t="s">
        <v>116</v>
      </c>
      <c r="B36" s="13" t="s">
        <v>263</v>
      </c>
      <c r="C36" s="13" t="s">
        <v>269</v>
      </c>
      <c r="D36" s="429" t="s">
        <v>270</v>
      </c>
      <c r="E36" s="13" t="s">
        <v>137</v>
      </c>
      <c r="F36" s="13" t="s">
        <v>186</v>
      </c>
      <c r="G36" s="13" t="s">
        <v>271</v>
      </c>
      <c r="H36" s="13" t="s">
        <v>272</v>
      </c>
      <c r="I36" s="13" t="s">
        <v>273</v>
      </c>
      <c r="J36" s="13" t="s">
        <v>274</v>
      </c>
      <c r="K36" s="13" t="s">
        <v>140</v>
      </c>
      <c r="L36" s="13" t="s">
        <v>275</v>
      </c>
      <c r="M36" s="13" t="s">
        <v>276</v>
      </c>
      <c r="N36" s="13" t="s">
        <v>142</v>
      </c>
      <c r="O36" s="247">
        <v>0.49</v>
      </c>
      <c r="P36" s="13">
        <v>104</v>
      </c>
      <c r="Q36" s="13">
        <v>38</v>
      </c>
      <c r="R36" s="13">
        <v>20</v>
      </c>
      <c r="S36" s="430">
        <f t="shared" si="15"/>
        <v>84</v>
      </c>
      <c r="T36" s="247">
        <v>0.76</v>
      </c>
      <c r="U36" s="13" t="s">
        <v>127</v>
      </c>
      <c r="V36" s="13" t="s">
        <v>127</v>
      </c>
      <c r="W36" s="430" t="e">
        <f t="shared" si="0"/>
        <v>#VALUE!</v>
      </c>
      <c r="X36" s="430" t="e">
        <f t="shared" si="1"/>
        <v>#VALUE!</v>
      </c>
      <c r="Y36" s="13" t="str">
        <f t="shared" ref="Y36:Z39" si="33">U36</f>
        <v>N/A</v>
      </c>
      <c r="Z36" s="13" t="str">
        <f t="shared" si="33"/>
        <v>N/A</v>
      </c>
      <c r="AA36" s="430" t="e">
        <f t="shared" si="16"/>
        <v>#VALUE!</v>
      </c>
      <c r="AB36" s="430" t="e">
        <f t="shared" si="17"/>
        <v>#VALUE!</v>
      </c>
      <c r="AC36" s="430">
        <f t="shared" si="18"/>
        <v>180</v>
      </c>
      <c r="AD36" s="430">
        <f t="shared" si="19"/>
        <v>66</v>
      </c>
      <c r="AE36" s="431">
        <f t="shared" si="20"/>
        <v>1.0833999999999999</v>
      </c>
      <c r="AF36" s="431"/>
      <c r="AG36" s="431">
        <f t="shared" si="21"/>
        <v>0.98078269230769222</v>
      </c>
      <c r="AH36" s="431">
        <f t="shared" si="22"/>
        <v>1.0445335673076923</v>
      </c>
      <c r="AI36" s="432">
        <f t="shared" si="23"/>
        <v>841.45202700000004</v>
      </c>
      <c r="AJ36" s="432">
        <f t="shared" si="24"/>
        <v>154.297312202195</v>
      </c>
      <c r="AK36" s="432">
        <f t="shared" si="25"/>
        <v>168.71220844636161</v>
      </c>
      <c r="AL36" s="432">
        <f t="shared" si="26"/>
        <v>335.37552556383741</v>
      </c>
      <c r="AM36" s="250">
        <v>335</v>
      </c>
      <c r="AN36" s="432">
        <f t="shared" si="27"/>
        <v>348.4</v>
      </c>
      <c r="AO36" s="432">
        <f t="shared" si="28"/>
        <v>363.91549484999996</v>
      </c>
      <c r="AP36" s="432">
        <f t="shared" si="29"/>
        <v>957.67235486842094</v>
      </c>
      <c r="AQ36" s="279" t="s">
        <v>277</v>
      </c>
      <c r="AR36" s="255" t="s">
        <v>238</v>
      </c>
      <c r="AS36" s="434" t="s">
        <v>278</v>
      </c>
      <c r="AT36" s="429"/>
      <c r="AU36" s="283"/>
      <c r="AV36" s="279"/>
      <c r="AW36" s="13" t="s">
        <v>279</v>
      </c>
      <c r="AX36" s="255"/>
      <c r="AY36" s="103"/>
      <c r="AZ36" s="13"/>
      <c r="BA36" s="13" t="str">
        <f t="shared" si="32"/>
        <v>W51</v>
      </c>
      <c r="BB36" s="13" t="str">
        <f>IF(R36="n/a","Clear","S/B")</f>
        <v>S/B</v>
      </c>
      <c r="BC36" s="29">
        <f>IF(Q36="","",((P36/100*O36)+T36))</f>
        <v>1.2696000000000001</v>
      </c>
      <c r="BD36" s="250">
        <f>IF(BC36="","",((PI()*((51/2)^2-(16.545/2)^2)/(BC36/10))/100))</f>
        <v>143.968814296462</v>
      </c>
      <c r="BE36" s="250">
        <f>IF(BC36="","",(BD36-AK36))</f>
        <v>-24.743394149899615</v>
      </c>
      <c r="BF36" s="103">
        <f>IF(BC36="","",(BE36/AK36))</f>
        <v>-0.14666036546943928</v>
      </c>
      <c r="BG36" s="250">
        <f>IF(BF36="","",((PI()*((70/2)^2-(16.545/2)^2)/(BC36/10))/100))</f>
        <v>286.18922841513972</v>
      </c>
      <c r="BH36" s="250">
        <f>IF(BF36="","",(BG36-AL36))</f>
        <v>-49.18629714869769</v>
      </c>
      <c r="BI36" s="103">
        <f>IF(BG36="","",(BH36/AL36))</f>
        <v>-0.14666036546943934</v>
      </c>
      <c r="BJ36" s="111"/>
      <c r="BK36" s="111"/>
      <c r="BL36" s="112"/>
      <c r="BM36" s="83"/>
      <c r="BN36" s="103"/>
      <c r="BO36" s="103"/>
      <c r="BP36" s="103"/>
      <c r="BQ36" s="105"/>
      <c r="BR36" s="106"/>
      <c r="BS36" s="106"/>
      <c r="BT36" s="262"/>
      <c r="BU36" s="269"/>
      <c r="BV36" s="263"/>
      <c r="BW36" s="132"/>
      <c r="BX36" s="269"/>
      <c r="BY36" s="269"/>
      <c r="BZ36" s="132"/>
      <c r="CA36" s="271"/>
    </row>
    <row r="37" spans="1:79" s="22" customFormat="1">
      <c r="A37" s="13" t="s">
        <v>116</v>
      </c>
      <c r="B37" s="13" t="s">
        <v>263</v>
      </c>
      <c r="C37" s="13" t="s">
        <v>280</v>
      </c>
      <c r="D37" s="13" t="s">
        <v>281</v>
      </c>
      <c r="E37" s="13" t="s">
        <v>137</v>
      </c>
      <c r="F37" s="13" t="s">
        <v>167</v>
      </c>
      <c r="G37" s="13" t="s">
        <v>282</v>
      </c>
      <c r="H37" s="13" t="s">
        <v>272</v>
      </c>
      <c r="I37" s="13" t="s">
        <v>139</v>
      </c>
      <c r="J37" s="13" t="s">
        <v>274</v>
      </c>
      <c r="K37" s="13" t="s">
        <v>140</v>
      </c>
      <c r="L37" s="13" t="s">
        <v>283</v>
      </c>
      <c r="M37" s="13" t="s">
        <v>276</v>
      </c>
      <c r="N37" s="13" t="s">
        <v>142</v>
      </c>
      <c r="O37" s="247">
        <v>0.42</v>
      </c>
      <c r="P37" s="13">
        <v>104</v>
      </c>
      <c r="Q37" s="13">
        <v>37</v>
      </c>
      <c r="R37" s="13">
        <v>17</v>
      </c>
      <c r="S37" s="430">
        <f t="shared" si="15"/>
        <v>87</v>
      </c>
      <c r="T37" s="247">
        <v>0.76</v>
      </c>
      <c r="U37" s="13" t="s">
        <v>127</v>
      </c>
      <c r="V37" s="13" t="s">
        <v>127</v>
      </c>
      <c r="W37" s="430" t="e">
        <f t="shared" si="0"/>
        <v>#VALUE!</v>
      </c>
      <c r="X37" s="430" t="e">
        <f t="shared" si="1"/>
        <v>#VALUE!</v>
      </c>
      <c r="Y37" s="13" t="str">
        <f t="shared" si="33"/>
        <v>N/A</v>
      </c>
      <c r="Z37" s="13" t="str">
        <f t="shared" si="33"/>
        <v>N/A</v>
      </c>
      <c r="AA37" s="430" t="e">
        <f t="shared" si="16"/>
        <v>#VALUE!</v>
      </c>
      <c r="AB37" s="430" t="e">
        <f t="shared" si="17"/>
        <v>#VALUE!</v>
      </c>
      <c r="AC37" s="430">
        <f t="shared" si="18"/>
        <v>200</v>
      </c>
      <c r="AD37" s="430">
        <f t="shared" si="19"/>
        <v>67</v>
      </c>
      <c r="AE37" s="431">
        <f t="shared" si="20"/>
        <v>1.0413999999999999</v>
      </c>
      <c r="AF37" s="431"/>
      <c r="AG37" s="431">
        <f t="shared" si="21"/>
        <v>0.95075673076923073</v>
      </c>
      <c r="AH37" s="431">
        <f t="shared" si="22"/>
        <v>1.0125559182692307</v>
      </c>
      <c r="AI37" s="432">
        <f t="shared" si="23"/>
        <v>836.87316600000008</v>
      </c>
      <c r="AJ37" s="432">
        <f t="shared" si="24"/>
        <v>160.52017288252165</v>
      </c>
      <c r="AK37" s="432">
        <f t="shared" si="25"/>
        <v>175.51642657075877</v>
      </c>
      <c r="AL37" s="432">
        <f t="shared" si="26"/>
        <v>348.90132936034331</v>
      </c>
      <c r="AM37" s="250">
        <v>335</v>
      </c>
      <c r="AN37" s="432">
        <f t="shared" si="27"/>
        <v>348.4</v>
      </c>
      <c r="AO37" s="432">
        <f t="shared" si="28"/>
        <v>352.77448192499998</v>
      </c>
      <c r="AP37" s="432">
        <f t="shared" si="29"/>
        <v>953.44454574324322</v>
      </c>
      <c r="AQ37" s="279" t="s">
        <v>284</v>
      </c>
      <c r="AR37" s="255" t="s">
        <v>238</v>
      </c>
      <c r="AS37" s="434" t="s">
        <v>285</v>
      </c>
      <c r="AT37" s="429"/>
      <c r="AU37" s="280"/>
      <c r="AV37" s="281"/>
      <c r="AW37" s="72" t="s">
        <v>286</v>
      </c>
      <c r="AX37" s="243"/>
      <c r="AY37" s="103"/>
      <c r="AZ37" s="72"/>
      <c r="BA37" s="13" t="str">
        <f t="shared" si="32"/>
        <v>W51</v>
      </c>
      <c r="BB37" s="72" t="str">
        <f>IF(R37="n/a","Clear","S/B")</f>
        <v>S/B</v>
      </c>
      <c r="BC37" s="32">
        <f>IF(Q37="","",((P37/100*O37)+T37))</f>
        <v>1.1968000000000001</v>
      </c>
      <c r="BD37" s="241">
        <f>IF(BC37="","",((PI()*((51/2)^2-(16.545/2)^2)/(BC37/10))/100))</f>
        <v>152.72627559390722</v>
      </c>
      <c r="BE37" s="241">
        <f>IF(BC37="","",(BD37-AK37))</f>
        <v>-22.79015097685155</v>
      </c>
      <c r="BF37" s="71">
        <f>IF(BC37="","",(BE37/AK37))</f>
        <v>-0.1298462566844921</v>
      </c>
      <c r="BG37" s="241">
        <f>IF(BF37="","",((PI()*((70/2)^2-(16.545/2)^2)/(BC37/10))/100))</f>
        <v>303.59779779065963</v>
      </c>
      <c r="BH37" s="241">
        <f>IF(BF37="","",(BG37-AL37))</f>
        <v>-45.303531569683685</v>
      </c>
      <c r="BI37" s="71">
        <f>IF(BG37="","",(BH37/AL37))</f>
        <v>-0.12984625668449218</v>
      </c>
      <c r="BJ37" s="123"/>
      <c r="BK37" s="123"/>
      <c r="BL37" s="126"/>
      <c r="BM37" s="108"/>
      <c r="BN37" s="71"/>
      <c r="BO37" s="71"/>
      <c r="BP37" s="71"/>
      <c r="BQ37" s="88"/>
      <c r="BR37" s="80"/>
      <c r="BS37" s="80"/>
      <c r="BU37" s="87"/>
      <c r="BV37" s="73"/>
      <c r="BW37" s="109"/>
      <c r="BX37" s="87"/>
      <c r="BY37" s="87"/>
      <c r="BZ37" s="109"/>
      <c r="CA37" s="76"/>
    </row>
    <row r="38" spans="1:79" s="22" customFormat="1">
      <c r="A38" s="13" t="s">
        <v>116</v>
      </c>
      <c r="B38" s="13" t="s">
        <v>263</v>
      </c>
      <c r="C38" s="13" t="s">
        <v>287</v>
      </c>
      <c r="D38" s="429" t="s">
        <v>288</v>
      </c>
      <c r="E38" s="13" t="s">
        <v>137</v>
      </c>
      <c r="F38" s="13" t="s">
        <v>186</v>
      </c>
      <c r="G38" s="13" t="s">
        <v>289</v>
      </c>
      <c r="H38" s="13" t="s">
        <v>272</v>
      </c>
      <c r="I38" s="13" t="s">
        <v>290</v>
      </c>
      <c r="J38" s="13" t="s">
        <v>274</v>
      </c>
      <c r="K38" s="13" t="s">
        <v>140</v>
      </c>
      <c r="L38" s="13" t="s">
        <v>291</v>
      </c>
      <c r="M38" s="13" t="s">
        <v>276</v>
      </c>
      <c r="N38" s="13" t="s">
        <v>142</v>
      </c>
      <c r="O38" s="247">
        <v>0.24</v>
      </c>
      <c r="P38" s="13">
        <v>111</v>
      </c>
      <c r="Q38" s="13">
        <v>37</v>
      </c>
      <c r="R38" s="13">
        <v>25</v>
      </c>
      <c r="S38" s="430">
        <f t="shared" si="15"/>
        <v>86</v>
      </c>
      <c r="T38" s="247">
        <v>0.76</v>
      </c>
      <c r="U38" s="13" t="s">
        <v>127</v>
      </c>
      <c r="V38" s="13" t="s">
        <v>127</v>
      </c>
      <c r="W38" s="430" t="e">
        <f t="shared" si="0"/>
        <v>#VALUE!</v>
      </c>
      <c r="X38" s="430" t="e">
        <f t="shared" si="1"/>
        <v>#VALUE!</v>
      </c>
      <c r="Y38" s="13" t="str">
        <f t="shared" si="33"/>
        <v>N/A</v>
      </c>
      <c r="Z38" s="13" t="str">
        <f t="shared" si="33"/>
        <v>N/A</v>
      </c>
      <c r="AA38" s="430" t="e">
        <f t="shared" si="16"/>
        <v>#VALUE!</v>
      </c>
      <c r="AB38" s="430" t="e">
        <f t="shared" si="17"/>
        <v>#VALUE!</v>
      </c>
      <c r="AC38" s="430">
        <f t="shared" si="18"/>
        <v>120</v>
      </c>
      <c r="AD38" s="430">
        <f t="shared" si="19"/>
        <v>74</v>
      </c>
      <c r="AE38" s="431">
        <f t="shared" si="20"/>
        <v>0.93759999999999999</v>
      </c>
      <c r="AF38" s="431"/>
      <c r="AG38" s="431">
        <f t="shared" si="21"/>
        <v>0.87839999999999996</v>
      </c>
      <c r="AH38" s="431">
        <f t="shared" si="22"/>
        <v>0.93549599999999999</v>
      </c>
      <c r="AI38" s="432">
        <f t="shared" si="23"/>
        <v>825.09895200000005</v>
      </c>
      <c r="AJ38" s="432">
        <f t="shared" si="24"/>
        <v>178.29107086162333</v>
      </c>
      <c r="AK38" s="432">
        <f t="shared" si="25"/>
        <v>194.94753266935601</v>
      </c>
      <c r="AL38" s="432">
        <f t="shared" si="26"/>
        <v>387.52756441538128</v>
      </c>
      <c r="AM38" s="250">
        <v>335</v>
      </c>
      <c r="AN38" s="432">
        <f t="shared" si="27"/>
        <v>371.85</v>
      </c>
      <c r="AO38" s="432">
        <f t="shared" si="28"/>
        <v>347.86418760000004</v>
      </c>
      <c r="AP38" s="432">
        <f t="shared" si="29"/>
        <v>940.17348000000015</v>
      </c>
      <c r="AQ38" s="279" t="s">
        <v>277</v>
      </c>
      <c r="AR38" s="255" t="s">
        <v>238</v>
      </c>
      <c r="AS38" s="434"/>
      <c r="AT38" s="429"/>
      <c r="AU38" s="283"/>
      <c r="AV38" s="279"/>
      <c r="AW38" s="13" t="s">
        <v>292</v>
      </c>
      <c r="AX38" s="255"/>
      <c r="AY38" s="103"/>
      <c r="AZ38" s="13"/>
      <c r="BA38" s="13" t="str">
        <f t="shared" si="32"/>
        <v>W51</v>
      </c>
      <c r="BB38" s="13" t="str">
        <f>IF(R38="n/a","Clear","S/B")</f>
        <v>S/B</v>
      </c>
      <c r="BC38" s="264">
        <f>IF(Q38="","",((P38/100*O38)+T38))</f>
        <v>1.0264</v>
      </c>
      <c r="BD38" s="253">
        <f>IF(BC38="","",((PI()*((51/2)^2-(16.545/2)^2)/(BC38/10))/100))</f>
        <v>178.08145618743976</v>
      </c>
      <c r="BE38" s="253">
        <f>IF(BC38="","",(BD38-AK38))</f>
        <v>-16.866076481916252</v>
      </c>
      <c r="BF38" s="138">
        <f>IF(BC38="","",(BE38/AK38))</f>
        <v>-8.6515978176149783E-2</v>
      </c>
      <c r="BG38" s="253">
        <f>IF(BF38="","",((PI()*((70/2)^2-(16.545/2)^2)/(BC38/10))/100))</f>
        <v>354.00023810976376</v>
      </c>
      <c r="BH38" s="253">
        <f>IF(BF38="","",(BG38-AL38))</f>
        <v>-33.527326305617521</v>
      </c>
      <c r="BI38" s="138">
        <f>IF(BG38="","",(BH38/AL38))</f>
        <v>-8.6515978176149561E-2</v>
      </c>
      <c r="BJ38" s="123"/>
      <c r="BK38" s="123"/>
      <c r="BL38" s="126"/>
      <c r="BM38" s="108"/>
      <c r="BN38" s="71"/>
      <c r="BO38" s="71"/>
      <c r="BP38" s="71"/>
      <c r="BQ38" s="111"/>
      <c r="BR38" s="193"/>
      <c r="BS38" s="193"/>
      <c r="BT38" s="13"/>
      <c r="BU38" s="79"/>
      <c r="BV38" s="29"/>
      <c r="BW38" s="86"/>
      <c r="BX38" s="79"/>
      <c r="BY38" s="79"/>
      <c r="BZ38" s="86"/>
      <c r="CA38" s="247"/>
    </row>
    <row r="39" spans="1:79" s="22" customFormat="1">
      <c r="A39" s="13" t="s">
        <v>116</v>
      </c>
      <c r="B39" s="13" t="s">
        <v>263</v>
      </c>
      <c r="C39" s="13" t="s">
        <v>287</v>
      </c>
      <c r="D39" s="429" t="s">
        <v>293</v>
      </c>
      <c r="E39" s="13" t="s">
        <v>137</v>
      </c>
      <c r="F39" s="13" t="s">
        <v>186</v>
      </c>
      <c r="G39" s="13" t="s">
        <v>294</v>
      </c>
      <c r="H39" s="13" t="s">
        <v>272</v>
      </c>
      <c r="I39" s="13" t="s">
        <v>139</v>
      </c>
      <c r="J39" s="13" t="s">
        <v>274</v>
      </c>
      <c r="K39" s="13" t="s">
        <v>140</v>
      </c>
      <c r="L39" s="13" t="s">
        <v>295</v>
      </c>
      <c r="M39" s="13" t="s">
        <v>276</v>
      </c>
      <c r="N39" s="13" t="s">
        <v>142</v>
      </c>
      <c r="O39" s="247">
        <v>0.21</v>
      </c>
      <c r="P39" s="13">
        <v>108</v>
      </c>
      <c r="Q39" s="13">
        <v>37</v>
      </c>
      <c r="R39" s="13">
        <v>17</v>
      </c>
      <c r="S39" s="430">
        <f t="shared" si="15"/>
        <v>91</v>
      </c>
      <c r="T39" s="247">
        <v>0.76</v>
      </c>
      <c r="U39" s="13" t="s">
        <v>127</v>
      </c>
      <c r="V39" s="13" t="s">
        <v>127</v>
      </c>
      <c r="W39" s="430" t="e">
        <f t="shared" si="0"/>
        <v>#VALUE!</v>
      </c>
      <c r="X39" s="430" t="e">
        <f t="shared" si="1"/>
        <v>#VALUE!</v>
      </c>
      <c r="Y39" s="13" t="str">
        <f t="shared" si="33"/>
        <v>N/A</v>
      </c>
      <c r="Z39" s="13" t="str">
        <f t="shared" si="33"/>
        <v>N/A</v>
      </c>
      <c r="AA39" s="430" t="e">
        <f t="shared" si="16"/>
        <v>#VALUE!</v>
      </c>
      <c r="AB39" s="430" t="e">
        <f t="shared" si="17"/>
        <v>#VALUE!</v>
      </c>
      <c r="AC39" s="430">
        <f t="shared" si="18"/>
        <v>200</v>
      </c>
      <c r="AD39" s="430">
        <f t="shared" si="19"/>
        <v>71</v>
      </c>
      <c r="AE39" s="431">
        <f t="shared" si="20"/>
        <v>0.90910000000000002</v>
      </c>
      <c r="AF39" s="431"/>
      <c r="AG39" s="431">
        <f t="shared" si="21"/>
        <v>0.86009027777777769</v>
      </c>
      <c r="AH39" s="431">
        <f t="shared" si="22"/>
        <v>0.91599614583333322</v>
      </c>
      <c r="AI39" s="432">
        <f t="shared" si="23"/>
        <v>823.13658299999997</v>
      </c>
      <c r="AJ39" s="432">
        <f t="shared" si="24"/>
        <v>183.88044003944341</v>
      </c>
      <c r="AK39" s="432">
        <f t="shared" si="25"/>
        <v>201.05907670309998</v>
      </c>
      <c r="AL39" s="432">
        <f t="shared" si="26"/>
        <v>399.6764320711269</v>
      </c>
      <c r="AM39" s="250">
        <v>335</v>
      </c>
      <c r="AN39" s="432">
        <f t="shared" si="27"/>
        <v>361.8</v>
      </c>
      <c r="AO39" s="432">
        <f t="shared" si="28"/>
        <v>331.40740556249995</v>
      </c>
      <c r="AP39" s="432">
        <f t="shared" si="29"/>
        <v>895.69569070945931</v>
      </c>
      <c r="AQ39" s="279" t="s">
        <v>284</v>
      </c>
      <c r="AR39" s="255" t="s">
        <v>238</v>
      </c>
      <c r="AS39" s="434" t="s">
        <v>296</v>
      </c>
      <c r="AT39" s="429" t="s">
        <v>297</v>
      </c>
      <c r="AU39" s="283"/>
      <c r="AV39" s="279"/>
      <c r="AW39" s="13" t="s">
        <v>298</v>
      </c>
      <c r="AX39" s="255"/>
      <c r="AY39" s="103"/>
      <c r="AZ39" s="13"/>
      <c r="BA39" s="13" t="str">
        <f t="shared" si="32"/>
        <v>W51</v>
      </c>
      <c r="BB39" s="13" t="str">
        <f>IF(R39="n/a","Clear","S/B")</f>
        <v>S/B</v>
      </c>
      <c r="BC39" s="264">
        <f>IF(Q39="","",((P39/100*O39)+T39))</f>
        <v>0.98680000000000001</v>
      </c>
      <c r="BD39" s="253">
        <f>IF(BC39="","",((PI()*((51/2)^2-(16.545/2)^2)/(BC39/10))/100))</f>
        <v>185.2278137725863</v>
      </c>
      <c r="BE39" s="253">
        <f>IF(BC39="","",(BD39-AK39))</f>
        <v>-15.831262930513674</v>
      </c>
      <c r="BF39" s="138">
        <f>IF(BC39="","",(BE39/AK39))</f>
        <v>-7.8739359546007429E-2</v>
      </c>
      <c r="BG39" s="253">
        <f>IF(BF39="","",((PI()*((70/2)^2-(16.545/2)^2)/(BC39/10))/100))</f>
        <v>368.20616578421306</v>
      </c>
      <c r="BH39" s="253">
        <f>IF(BF39="","",(BG39-AL39))</f>
        <v>-31.470266286913841</v>
      </c>
      <c r="BI39" s="138">
        <f>IF(BG39="","",(BH39/AL39))</f>
        <v>-7.8739359546007345E-2</v>
      </c>
      <c r="BJ39" s="123"/>
      <c r="BK39" s="123"/>
      <c r="BL39" s="126"/>
      <c r="BM39" s="108"/>
      <c r="BN39" s="71"/>
      <c r="BO39" s="71"/>
      <c r="BP39" s="71"/>
      <c r="BQ39" s="159"/>
      <c r="BR39" s="159"/>
      <c r="BS39" s="100"/>
      <c r="BT39" s="72"/>
      <c r="BU39" s="78"/>
      <c r="BV39" s="32"/>
      <c r="BW39" s="127"/>
      <c r="BX39" s="78"/>
      <c r="BY39" s="78"/>
      <c r="BZ39" s="127"/>
      <c r="CA39" s="76"/>
    </row>
    <row r="40" spans="1:79" s="297" customFormat="1">
      <c r="A40" s="13" t="s">
        <v>116</v>
      </c>
      <c r="B40" s="387" t="s">
        <v>299</v>
      </c>
      <c r="C40" s="13" t="s">
        <v>208</v>
      </c>
      <c r="D40" s="13" t="s">
        <v>300</v>
      </c>
      <c r="E40" s="13" t="s">
        <v>118</v>
      </c>
      <c r="F40" s="13" t="s">
        <v>167</v>
      </c>
      <c r="G40" s="13" t="s">
        <v>301</v>
      </c>
      <c r="H40" s="13" t="s">
        <v>121</v>
      </c>
      <c r="I40" s="13" t="s">
        <v>122</v>
      </c>
      <c r="J40" s="13" t="s">
        <v>5</v>
      </c>
      <c r="K40" s="13" t="s">
        <v>123</v>
      </c>
      <c r="L40" s="429" t="s">
        <v>302</v>
      </c>
      <c r="M40" s="13" t="s">
        <v>125</v>
      </c>
      <c r="N40" s="13" t="s">
        <v>126</v>
      </c>
      <c r="O40" s="247">
        <v>0.6</v>
      </c>
      <c r="P40" s="13">
        <v>93</v>
      </c>
      <c r="Q40" s="13">
        <v>29</v>
      </c>
      <c r="R40" s="13" t="s">
        <v>127</v>
      </c>
      <c r="S40" s="430" t="str">
        <f t="shared" si="15"/>
        <v>N/A</v>
      </c>
      <c r="T40" s="247">
        <v>0.8</v>
      </c>
      <c r="U40" s="13">
        <v>256</v>
      </c>
      <c r="V40" s="13">
        <v>520</v>
      </c>
      <c r="W40" s="430">
        <f t="shared" si="0"/>
        <v>264</v>
      </c>
      <c r="X40" s="430">
        <f t="shared" si="1"/>
        <v>120</v>
      </c>
      <c r="Y40" s="13">
        <v>150</v>
      </c>
      <c r="Z40" s="13">
        <v>550</v>
      </c>
      <c r="AA40" s="430">
        <f t="shared" si="16"/>
        <v>400</v>
      </c>
      <c r="AB40" s="430">
        <f t="shared" si="17"/>
        <v>90</v>
      </c>
      <c r="AC40" s="430" t="str">
        <f t="shared" si="18"/>
        <v>N/A</v>
      </c>
      <c r="AD40" s="430">
        <f t="shared" si="19"/>
        <v>64</v>
      </c>
      <c r="AE40" s="431">
        <f t="shared" si="20"/>
        <v>1.1840000000000002</v>
      </c>
      <c r="AF40" s="431"/>
      <c r="AG40" s="431">
        <f t="shared" si="21"/>
        <v>1.0518709677419356</v>
      </c>
      <c r="AH40" s="431">
        <f t="shared" si="22"/>
        <v>1.1149832258064516</v>
      </c>
      <c r="AI40" s="432">
        <f t="shared" si="23"/>
        <v>887.06312000000003</v>
      </c>
      <c r="AJ40" s="432">
        <f t="shared" si="24"/>
        <v>141.18725341204222</v>
      </c>
      <c r="AK40" s="432">
        <f t="shared" si="25"/>
        <v>154.37737046519268</v>
      </c>
      <c r="AL40" s="432">
        <f t="shared" si="26"/>
        <v>306.87993614515324</v>
      </c>
      <c r="AM40" s="250">
        <v>307</v>
      </c>
      <c r="AN40" s="432">
        <f t="shared" si="27"/>
        <v>285.51</v>
      </c>
      <c r="AO40" s="432">
        <f t="shared" si="28"/>
        <v>318.33886079999996</v>
      </c>
      <c r="AP40" s="432">
        <f t="shared" si="29"/>
        <v>1097.7202096551723</v>
      </c>
      <c r="AQ40" s="255">
        <v>45139</v>
      </c>
      <c r="AR40" s="18" t="s">
        <v>303</v>
      </c>
      <c r="AS40" s="433" t="s">
        <v>304</v>
      </c>
      <c r="AT40" s="429" t="s">
        <v>305</v>
      </c>
      <c r="AU40" s="242"/>
      <c r="AV40" s="364"/>
      <c r="AX40" s="364"/>
      <c r="AY40" s="177">
        <f>(V40/10)/P40</f>
        <v>0.55913978494623651</v>
      </c>
      <c r="BA40" s="297" t="str">
        <f t="shared" si="32"/>
        <v>W22</v>
      </c>
      <c r="BC40" s="299"/>
      <c r="BD40" s="242"/>
      <c r="BE40" s="242"/>
      <c r="BF40" s="177"/>
      <c r="BG40" s="242"/>
      <c r="BH40" s="242"/>
      <c r="BI40" s="177"/>
      <c r="BJ40" s="365"/>
      <c r="BK40" s="365"/>
      <c r="BL40" s="366"/>
      <c r="BM40" s="367"/>
      <c r="BN40" s="365"/>
      <c r="BO40" s="367"/>
      <c r="BP40" s="365"/>
      <c r="BQ40" s="179"/>
      <c r="BR40" s="179">
        <v>2124</v>
      </c>
      <c r="BS40" s="177"/>
      <c r="BU40" s="317"/>
      <c r="BV40" s="299"/>
      <c r="BW40" s="180"/>
      <c r="BX40" s="317"/>
      <c r="BY40" s="317"/>
      <c r="BZ40" s="180"/>
      <c r="CA40" s="318"/>
    </row>
    <row r="41" spans="1:79" s="72" customFormat="1">
      <c r="A41" s="13" t="s">
        <v>116</v>
      </c>
      <c r="B41" s="387" t="s">
        <v>299</v>
      </c>
      <c r="C41" s="13" t="s">
        <v>208</v>
      </c>
      <c r="D41" s="13" t="s">
        <v>300</v>
      </c>
      <c r="E41" s="13" t="s">
        <v>118</v>
      </c>
      <c r="F41" s="13" t="s">
        <v>119</v>
      </c>
      <c r="G41" s="13" t="s">
        <v>306</v>
      </c>
      <c r="H41" s="13" t="s">
        <v>121</v>
      </c>
      <c r="I41" s="13" t="s">
        <v>122</v>
      </c>
      <c r="J41" s="13" t="s">
        <v>5</v>
      </c>
      <c r="K41" s="13" t="s">
        <v>123</v>
      </c>
      <c r="L41" s="429"/>
      <c r="M41" s="13" t="s">
        <v>125</v>
      </c>
      <c r="N41" s="13" t="s">
        <v>12</v>
      </c>
      <c r="O41" s="247">
        <v>0.63</v>
      </c>
      <c r="P41" s="13">
        <v>93</v>
      </c>
      <c r="Q41" s="13">
        <v>29</v>
      </c>
      <c r="R41" s="13" t="s">
        <v>127</v>
      </c>
      <c r="S41" s="430" t="str">
        <f t="shared" si="15"/>
        <v>N/A</v>
      </c>
      <c r="T41" s="247">
        <v>0.8</v>
      </c>
      <c r="U41" s="13">
        <v>200</v>
      </c>
      <c r="V41" s="13">
        <v>450</v>
      </c>
      <c r="W41" s="430">
        <f t="shared" si="0"/>
        <v>250</v>
      </c>
      <c r="X41" s="430">
        <f t="shared" si="1"/>
        <v>190</v>
      </c>
      <c r="Y41" s="13">
        <v>150</v>
      </c>
      <c r="Z41" s="13">
        <v>550</v>
      </c>
      <c r="AA41" s="430">
        <f t="shared" si="16"/>
        <v>400</v>
      </c>
      <c r="AB41" s="430">
        <f t="shared" si="17"/>
        <v>90</v>
      </c>
      <c r="AC41" s="430" t="str">
        <f t="shared" si="18"/>
        <v>N/A</v>
      </c>
      <c r="AD41" s="430">
        <f t="shared" si="19"/>
        <v>64</v>
      </c>
      <c r="AE41" s="431">
        <f t="shared" si="20"/>
        <v>1.2032</v>
      </c>
      <c r="AF41" s="431"/>
      <c r="AG41" s="431">
        <f t="shared" si="21"/>
        <v>1.0644645161290325</v>
      </c>
      <c r="AH41" s="431">
        <f t="shared" si="22"/>
        <v>1.1283323870967745</v>
      </c>
      <c r="AI41" s="432">
        <f t="shared" si="23"/>
        <v>889.01627600000006</v>
      </c>
      <c r="AJ41" s="432">
        <f t="shared" si="24"/>
        <v>138.93426532567986</v>
      </c>
      <c r="AK41" s="432">
        <f t="shared" si="25"/>
        <v>151.91390178755665</v>
      </c>
      <c r="AL41" s="432">
        <f t="shared" si="26"/>
        <v>301.98291588751783</v>
      </c>
      <c r="AM41" s="250">
        <v>152</v>
      </c>
      <c r="AN41" s="432">
        <f t="shared" si="27"/>
        <v>141.36000000000001</v>
      </c>
      <c r="AO41" s="432">
        <f t="shared" si="28"/>
        <v>159.50106624000006</v>
      </c>
      <c r="AP41" s="432">
        <f t="shared" si="29"/>
        <v>550.00367668965544</v>
      </c>
      <c r="AQ41" s="255">
        <v>45597</v>
      </c>
      <c r="AR41" s="18" t="s">
        <v>307</v>
      </c>
      <c r="AS41" s="433"/>
      <c r="AT41" s="429"/>
      <c r="AU41" s="250"/>
      <c r="AV41" s="255"/>
      <c r="AW41" s="13"/>
      <c r="AX41" s="255"/>
      <c r="AY41" s="103"/>
      <c r="AZ41" s="22"/>
      <c r="BA41" s="13" t="str">
        <f t="shared" si="32"/>
        <v>W22</v>
      </c>
      <c r="BC41" s="73"/>
      <c r="BD41" s="252"/>
      <c r="BE41" s="252"/>
      <c r="BF41" s="80"/>
      <c r="BG41" s="252"/>
      <c r="BH41" s="252"/>
      <c r="BI41" s="80"/>
      <c r="BJ41" s="114"/>
      <c r="BK41" s="114"/>
      <c r="BL41" s="128"/>
      <c r="BM41" s="88"/>
      <c r="BN41" s="114"/>
      <c r="BO41" s="88"/>
      <c r="BP41" s="114"/>
      <c r="BQ41" s="141"/>
      <c r="BR41" s="71"/>
      <c r="BS41" s="71"/>
      <c r="BT41" s="72">
        <f>P41-V41/10-120/10</f>
        <v>36</v>
      </c>
      <c r="BU41" s="78">
        <f>BT41-Q41</f>
        <v>7</v>
      </c>
      <c r="BV41" s="32">
        <f>T41+(O41/100*(P41-BT41))</f>
        <v>1.1591</v>
      </c>
      <c r="BW41" s="127">
        <f>(AE41-BV41)/AE41</f>
        <v>3.6652260638297893E-2</v>
      </c>
      <c r="BX41" s="78">
        <f>(PI()*((51/2)^2-(16.545/2)^2)/(BV41/10))/100</f>
        <v>157.69373361296539</v>
      </c>
      <c r="BY41" s="78">
        <f>BX41-AK41</f>
        <v>5.7798318254087349</v>
      </c>
      <c r="BZ41" s="127">
        <f>BY41/AK41</f>
        <v>3.8046760417565446E-2</v>
      </c>
      <c r="CA41" s="76"/>
    </row>
    <row r="42" spans="1:79" s="72" customFormat="1">
      <c r="A42" s="13" t="s">
        <v>116</v>
      </c>
      <c r="B42" s="13" t="s">
        <v>308</v>
      </c>
      <c r="C42" s="13" t="s">
        <v>309</v>
      </c>
      <c r="D42" s="13" t="s">
        <v>310</v>
      </c>
      <c r="E42" s="13" t="s">
        <v>137</v>
      </c>
      <c r="F42" s="13" t="s">
        <v>119</v>
      </c>
      <c r="G42" s="13" t="s">
        <v>311</v>
      </c>
      <c r="H42" s="13" t="s">
        <v>121</v>
      </c>
      <c r="I42" s="13" t="s">
        <v>312</v>
      </c>
      <c r="J42" s="13" t="s">
        <v>5</v>
      </c>
      <c r="K42" s="13" t="s">
        <v>123</v>
      </c>
      <c r="L42" s="13" t="s">
        <v>313</v>
      </c>
      <c r="M42" s="13" t="s">
        <v>125</v>
      </c>
      <c r="N42" s="13" t="s">
        <v>12</v>
      </c>
      <c r="O42" s="247">
        <v>0.55000000000000004</v>
      </c>
      <c r="P42" s="13">
        <v>100</v>
      </c>
      <c r="Q42" s="13">
        <v>20</v>
      </c>
      <c r="R42" s="13" t="s">
        <v>127</v>
      </c>
      <c r="S42" s="430" t="str">
        <f t="shared" si="15"/>
        <v>N/A</v>
      </c>
      <c r="T42" s="247">
        <v>0.8</v>
      </c>
      <c r="U42" s="13">
        <v>200</v>
      </c>
      <c r="V42" s="13">
        <v>600</v>
      </c>
      <c r="W42" s="430">
        <f t="shared" si="0"/>
        <v>400</v>
      </c>
      <c r="X42" s="430">
        <f t="shared" si="1"/>
        <v>200</v>
      </c>
      <c r="Y42" s="13">
        <v>200</v>
      </c>
      <c r="Z42" s="13">
        <v>600</v>
      </c>
      <c r="AA42" s="430">
        <f t="shared" si="16"/>
        <v>400</v>
      </c>
      <c r="AB42" s="430">
        <f t="shared" si="17"/>
        <v>200</v>
      </c>
      <c r="AC42" s="430" t="str">
        <f t="shared" si="18"/>
        <v>N/A</v>
      </c>
      <c r="AD42" s="430">
        <f t="shared" si="19"/>
        <v>80</v>
      </c>
      <c r="AE42" s="431">
        <f t="shared" si="20"/>
        <v>1.2400000000000002</v>
      </c>
      <c r="AF42" s="431"/>
      <c r="AG42" s="431">
        <f t="shared" si="21"/>
        <v>1.0640000000000001</v>
      </c>
      <c r="AH42" s="431">
        <f t="shared" si="22"/>
        <v>1.12784</v>
      </c>
      <c r="AI42" s="432">
        <f t="shared" si="23"/>
        <v>883.80786000000012</v>
      </c>
      <c r="AJ42" s="432">
        <f t="shared" si="24"/>
        <v>134.81105487085321</v>
      </c>
      <c r="AK42" s="432">
        <f t="shared" si="25"/>
        <v>147.40548921837754</v>
      </c>
      <c r="AL42" s="432">
        <f t="shared" si="26"/>
        <v>293.02084225472692</v>
      </c>
      <c r="AM42" s="250">
        <v>147</v>
      </c>
      <c r="AN42" s="432">
        <f t="shared" si="27"/>
        <v>147</v>
      </c>
      <c r="AO42" s="432">
        <f t="shared" si="28"/>
        <v>165.79247999999998</v>
      </c>
      <c r="AP42" s="432">
        <f t="shared" si="29"/>
        <v>828.96239999999989</v>
      </c>
      <c r="AQ42" s="279">
        <v>45352</v>
      </c>
      <c r="AR42" s="255" t="s">
        <v>314</v>
      </c>
      <c r="AS42" s="434" t="s">
        <v>315</v>
      </c>
      <c r="AT42" s="429" t="s">
        <v>316</v>
      </c>
      <c r="AU42" s="277"/>
      <c r="AV42" s="275"/>
      <c r="AW42" s="14"/>
      <c r="AX42" s="255"/>
      <c r="AY42" s="103">
        <f t="shared" ref="AY42:AY55" si="34">(V42/10)/P42</f>
        <v>0.6</v>
      </c>
      <c r="AZ42" s="14"/>
      <c r="BA42" s="13" t="str">
        <f t="shared" si="32"/>
        <v>W22</v>
      </c>
      <c r="BB42" s="72" t="str">
        <f>IF(R42="n/a","Clear","S/B")</f>
        <v>Clear</v>
      </c>
      <c r="BC42" s="32"/>
      <c r="BD42" s="241"/>
      <c r="BE42" s="241"/>
      <c r="BF42" s="71"/>
      <c r="BG42" s="241"/>
      <c r="BH42" s="241"/>
      <c r="BI42" s="71"/>
      <c r="BJ42" s="114"/>
      <c r="BK42" s="111"/>
      <c r="BL42" s="112"/>
      <c r="BM42" s="111"/>
      <c r="BN42" s="123"/>
      <c r="BO42" s="103"/>
      <c r="BP42" s="141"/>
      <c r="BQ42" s="115"/>
      <c r="BR42" s="113"/>
      <c r="BS42" s="80"/>
      <c r="BT42" s="22"/>
      <c r="BU42" s="87"/>
      <c r="BV42" s="73"/>
      <c r="BW42" s="109"/>
      <c r="BX42" s="87"/>
      <c r="BY42" s="87"/>
      <c r="BZ42" s="109"/>
      <c r="CA42" s="76"/>
    </row>
    <row r="43" spans="1:79" s="72" customFormat="1">
      <c r="A43" s="13" t="s">
        <v>116</v>
      </c>
      <c r="B43" s="13" t="s">
        <v>308</v>
      </c>
      <c r="C43" s="13" t="s">
        <v>151</v>
      </c>
      <c r="D43" s="13" t="s">
        <v>317</v>
      </c>
      <c r="E43" s="13" t="s">
        <v>137</v>
      </c>
      <c r="F43" s="13" t="s">
        <v>167</v>
      </c>
      <c r="G43" s="13" t="s">
        <v>318</v>
      </c>
      <c r="H43" s="13" t="s">
        <v>121</v>
      </c>
      <c r="I43" s="13" t="s">
        <v>122</v>
      </c>
      <c r="J43" s="13" t="s">
        <v>5</v>
      </c>
      <c r="K43" s="13" t="s">
        <v>140</v>
      </c>
      <c r="L43" s="13" t="s">
        <v>319</v>
      </c>
      <c r="M43" s="13" t="s">
        <v>125</v>
      </c>
      <c r="N43" s="13" t="s">
        <v>12</v>
      </c>
      <c r="O43" s="247">
        <v>0.3</v>
      </c>
      <c r="P43" s="13">
        <v>98</v>
      </c>
      <c r="Q43" s="13">
        <v>30</v>
      </c>
      <c r="R43" s="13" t="s">
        <v>127</v>
      </c>
      <c r="S43" s="430" t="str">
        <f t="shared" si="15"/>
        <v>N/A</v>
      </c>
      <c r="T43" s="247">
        <v>0.76</v>
      </c>
      <c r="U43" s="13">
        <v>265</v>
      </c>
      <c r="V43" s="13">
        <v>505</v>
      </c>
      <c r="W43" s="430">
        <f t="shared" si="0"/>
        <v>240</v>
      </c>
      <c r="X43" s="430">
        <f t="shared" si="1"/>
        <v>175</v>
      </c>
      <c r="Y43" s="13"/>
      <c r="Z43" s="13"/>
      <c r="AA43" s="430">
        <f t="shared" si="16"/>
        <v>0</v>
      </c>
      <c r="AB43" s="430">
        <f t="shared" si="17"/>
        <v>680</v>
      </c>
      <c r="AC43" s="430" t="str">
        <f t="shared" si="18"/>
        <v>N/A</v>
      </c>
      <c r="AD43" s="430">
        <f t="shared" si="19"/>
        <v>68</v>
      </c>
      <c r="AE43" s="431">
        <f t="shared" si="20"/>
        <v>0.96399999999999997</v>
      </c>
      <c r="AF43" s="431"/>
      <c r="AG43" s="431">
        <f t="shared" si="21"/>
        <v>0.8932244897959184</v>
      </c>
      <c r="AH43" s="431">
        <f t="shared" si="22"/>
        <v>0</v>
      </c>
      <c r="AI43" s="432">
        <f t="shared" si="23"/>
        <v>0</v>
      </c>
      <c r="AJ43" s="432">
        <f t="shared" si="24"/>
        <v>173.40841082972824</v>
      </c>
      <c r="AK43" s="432">
        <f t="shared" si="25"/>
        <v>189.60872057135705</v>
      </c>
      <c r="AL43" s="432">
        <f t="shared" si="26"/>
        <v>376.91477634425462</v>
      </c>
      <c r="AM43" s="250">
        <v>190</v>
      </c>
      <c r="AN43" s="432">
        <f t="shared" si="27"/>
        <v>186.2</v>
      </c>
      <c r="AO43" s="432">
        <f t="shared" si="28"/>
        <v>0</v>
      </c>
      <c r="AP43" s="432">
        <f t="shared" si="29"/>
        <v>0</v>
      </c>
      <c r="AQ43" s="255" t="s">
        <v>320</v>
      </c>
      <c r="AR43" s="255" t="s">
        <v>321</v>
      </c>
      <c r="AS43" s="434" t="s">
        <v>322</v>
      </c>
      <c r="AT43" s="429" t="s">
        <v>323</v>
      </c>
      <c r="AU43" s="241"/>
      <c r="AV43" s="243"/>
      <c r="AW43" s="72" t="s">
        <v>127</v>
      </c>
      <c r="AX43" s="243" t="s">
        <v>324</v>
      </c>
      <c r="AY43" s="103">
        <f t="shared" si="34"/>
        <v>0.51530612244897955</v>
      </c>
      <c r="BA43" s="13" t="str">
        <f t="shared" si="32"/>
        <v>W10</v>
      </c>
      <c r="BB43" s="72" t="str">
        <f>IF(R43="n/a","Clear","S/B")</f>
        <v>Clear</v>
      </c>
      <c r="BC43" s="32">
        <f>IF(Q43="","",((P43/100*O43)+T43))</f>
        <v>1.054</v>
      </c>
      <c r="BD43" s="241">
        <f>IF(BC43="","",((PI()*((51/2)^2-(16.545/2)^2)/(BC43/10))/100))</f>
        <v>173.41822260985595</v>
      </c>
      <c r="BE43" s="241">
        <f>IF(BC43="","",(BD43-AK43))</f>
        <v>-16.190497961501109</v>
      </c>
      <c r="BF43" s="71">
        <f>IF(BC43="","",(BE43/AK43))</f>
        <v>-8.5388994307400545E-2</v>
      </c>
      <c r="BG43" s="241">
        <f>IF(BF43="","",((PI()*((70/2)^2-(16.545/2)^2)/(BC43/10))/100))</f>
        <v>344.73040265261994</v>
      </c>
      <c r="BH43" s="241">
        <f>IF(BF43="","",(BG43-AL43))</f>
        <v>-32.184373691634676</v>
      </c>
      <c r="BI43" s="71">
        <f>IF(BG43="","",(BH43/AL43))</f>
        <v>-8.5388994307400462E-2</v>
      </c>
      <c r="BJ43" s="111"/>
      <c r="BK43" s="111"/>
      <c r="BL43" s="83"/>
      <c r="BM43" s="83"/>
      <c r="BN43" s="71"/>
      <c r="BO43" s="103"/>
      <c r="BP43" s="103"/>
      <c r="BQ43" s="115"/>
      <c r="BR43" s="140"/>
      <c r="BS43" s="100"/>
      <c r="BT43" s="13"/>
      <c r="BU43" s="79"/>
      <c r="BV43" s="29"/>
      <c r="BW43" s="86"/>
      <c r="BX43" s="79"/>
      <c r="BY43" s="79"/>
      <c r="BZ43" s="86"/>
      <c r="CA43" s="76"/>
    </row>
    <row r="44" spans="1:79" s="77" customFormat="1">
      <c r="A44" s="13" t="s">
        <v>116</v>
      </c>
      <c r="B44" s="13" t="s">
        <v>308</v>
      </c>
      <c r="C44" s="13" t="s">
        <v>325</v>
      </c>
      <c r="D44" s="13" t="s">
        <v>326</v>
      </c>
      <c r="E44" s="13" t="s">
        <v>137</v>
      </c>
      <c r="F44" s="13" t="s">
        <v>167</v>
      </c>
      <c r="G44" s="13" t="s">
        <v>327</v>
      </c>
      <c r="H44" s="13" t="s">
        <v>121</v>
      </c>
      <c r="I44" s="13" t="s">
        <v>147</v>
      </c>
      <c r="J44" s="13" t="s">
        <v>5</v>
      </c>
      <c r="K44" s="13" t="s">
        <v>123</v>
      </c>
      <c r="L44" s="13" t="s">
        <v>328</v>
      </c>
      <c r="M44" s="13" t="s">
        <v>125</v>
      </c>
      <c r="N44" s="13" t="s">
        <v>12</v>
      </c>
      <c r="O44" s="247">
        <v>0.35</v>
      </c>
      <c r="P44" s="13">
        <v>102</v>
      </c>
      <c r="Q44" s="13">
        <v>32</v>
      </c>
      <c r="R44" s="13" t="s">
        <v>127</v>
      </c>
      <c r="S44" s="430" t="str">
        <f t="shared" si="15"/>
        <v>N/A</v>
      </c>
      <c r="T44" s="247">
        <v>0.8</v>
      </c>
      <c r="U44" s="13">
        <v>150</v>
      </c>
      <c r="V44" s="13">
        <v>550</v>
      </c>
      <c r="W44" s="430">
        <f t="shared" si="0"/>
        <v>400</v>
      </c>
      <c r="X44" s="430">
        <f t="shared" si="1"/>
        <v>150</v>
      </c>
      <c r="Y44" s="13"/>
      <c r="Z44" s="13"/>
      <c r="AA44" s="430">
        <f t="shared" si="16"/>
        <v>0</v>
      </c>
      <c r="AB44" s="430">
        <f t="shared" si="17"/>
        <v>700</v>
      </c>
      <c r="AC44" s="430" t="str">
        <f t="shared" si="18"/>
        <v>N/A</v>
      </c>
      <c r="AD44" s="430">
        <f t="shared" si="19"/>
        <v>70</v>
      </c>
      <c r="AE44" s="431">
        <f t="shared" si="20"/>
        <v>1.0449999999999999</v>
      </c>
      <c r="AF44" s="431"/>
      <c r="AG44" s="431">
        <f t="shared" si="21"/>
        <v>0.96093137254901961</v>
      </c>
      <c r="AH44" s="431">
        <f t="shared" si="22"/>
        <v>0</v>
      </c>
      <c r="AI44" s="432">
        <f t="shared" si="23"/>
        <v>0</v>
      </c>
      <c r="AJ44" s="432">
        <f t="shared" si="24"/>
        <v>159.9671847271369</v>
      </c>
      <c r="AK44" s="432">
        <f t="shared" si="25"/>
        <v>174.91177668018008</v>
      </c>
      <c r="AL44" s="432">
        <f t="shared" si="26"/>
        <v>347.69937262761863</v>
      </c>
      <c r="AM44" s="250" t="s">
        <v>329</v>
      </c>
      <c r="AN44" s="432" t="e">
        <f t="shared" si="27"/>
        <v>#VALUE!</v>
      </c>
      <c r="AO44" s="432" t="e">
        <f t="shared" si="28"/>
        <v>#VALUE!</v>
      </c>
      <c r="AP44" s="432" t="e">
        <f t="shared" si="29"/>
        <v>#VALUE!</v>
      </c>
      <c r="AQ44" s="255">
        <v>43497</v>
      </c>
      <c r="AR44" s="255" t="s">
        <v>238</v>
      </c>
      <c r="AS44" s="434"/>
      <c r="AT44" s="429" t="s">
        <v>330</v>
      </c>
      <c r="AU44" s="241">
        <v>1</v>
      </c>
      <c r="AV44" s="243" t="s">
        <v>331</v>
      </c>
      <c r="AW44" s="72" t="s">
        <v>127</v>
      </c>
      <c r="AX44" s="243" t="s">
        <v>324</v>
      </c>
      <c r="AY44" s="103">
        <f t="shared" si="34"/>
        <v>0.53921568627450978</v>
      </c>
      <c r="AZ44" s="72"/>
      <c r="BA44" s="13" t="str">
        <f t="shared" si="32"/>
        <v>W12</v>
      </c>
      <c r="BB44" s="72" t="str">
        <f>IF(R44="n/a","Clear","S/B")</f>
        <v>Clear</v>
      </c>
      <c r="BC44" s="32">
        <f>IF(Q44="","",((P44/100*O44)+T44))</f>
        <v>1.157</v>
      </c>
      <c r="BD44" s="241">
        <f>IF(BC44="","",((PI()*((51/2)^2-(16.545/2)^2)/(BC44/10))/100))</f>
        <v>157.97995387276421</v>
      </c>
      <c r="BE44" s="241">
        <f>IF(BC44="","",(BD44-AK44))</f>
        <v>-16.93182280741587</v>
      </c>
      <c r="BF44" s="71">
        <f>IF(BC44="","",(BE44/AK44))</f>
        <v>-9.6802074330164176E-2</v>
      </c>
      <c r="BG44" s="241">
        <f>IF(BF44="","",((PI()*((70/2)^2-(16.545/2)^2)/(BC44/10))/100))</f>
        <v>314.0413521139684</v>
      </c>
      <c r="BH44" s="241">
        <f>IF(BF44="","",(BG44-AL44))</f>
        <v>-33.658020513650229</v>
      </c>
      <c r="BI44" s="71">
        <f>IF(BG44="","",(BH44/AL44))</f>
        <v>-9.6802074330164287E-2</v>
      </c>
      <c r="BJ44" s="111"/>
      <c r="BK44" s="111"/>
      <c r="BL44" s="83"/>
      <c r="BM44" s="83"/>
      <c r="BN44" s="71"/>
      <c r="BO44" s="83"/>
      <c r="BP44" s="83"/>
      <c r="BQ44" s="103"/>
      <c r="BR44" s="71"/>
      <c r="BS44" s="71"/>
      <c r="BT44" s="13"/>
      <c r="BU44" s="79"/>
      <c r="BV44" s="29"/>
      <c r="BW44" s="86"/>
      <c r="BX44" s="79"/>
      <c r="BY44" s="79"/>
      <c r="BZ44" s="86"/>
      <c r="CA44" s="76"/>
    </row>
    <row r="45" spans="1:79" s="72" customFormat="1" ht="15" customHeight="1">
      <c r="A45" s="13" t="s">
        <v>116</v>
      </c>
      <c r="B45" s="13" t="s">
        <v>308</v>
      </c>
      <c r="C45" s="13" t="s">
        <v>325</v>
      </c>
      <c r="D45" s="13" t="s">
        <v>326</v>
      </c>
      <c r="E45" s="13" t="s">
        <v>137</v>
      </c>
      <c r="F45" s="13" t="s">
        <v>167</v>
      </c>
      <c r="G45" s="13" t="s">
        <v>332</v>
      </c>
      <c r="H45" s="13" t="s">
        <v>121</v>
      </c>
      <c r="I45" s="13" t="s">
        <v>147</v>
      </c>
      <c r="J45" s="13" t="s">
        <v>5</v>
      </c>
      <c r="K45" s="13" t="s">
        <v>123</v>
      </c>
      <c r="L45" s="13" t="s">
        <v>333</v>
      </c>
      <c r="M45" s="13" t="s">
        <v>125</v>
      </c>
      <c r="N45" s="13" t="s">
        <v>12</v>
      </c>
      <c r="O45" s="247">
        <v>0.41</v>
      </c>
      <c r="P45" s="13">
        <v>102</v>
      </c>
      <c r="Q45" s="13">
        <v>32</v>
      </c>
      <c r="R45" s="13" t="s">
        <v>127</v>
      </c>
      <c r="S45" s="430" t="str">
        <f t="shared" si="15"/>
        <v>N/A</v>
      </c>
      <c r="T45" s="247">
        <v>0.8</v>
      </c>
      <c r="U45" s="13">
        <v>150</v>
      </c>
      <c r="V45" s="13">
        <v>550</v>
      </c>
      <c r="W45" s="430">
        <f t="shared" si="0"/>
        <v>400</v>
      </c>
      <c r="X45" s="430">
        <f t="shared" si="1"/>
        <v>150</v>
      </c>
      <c r="Y45" s="13"/>
      <c r="Z45" s="13"/>
      <c r="AA45" s="430">
        <f t="shared" si="16"/>
        <v>0</v>
      </c>
      <c r="AB45" s="430">
        <f t="shared" si="17"/>
        <v>700</v>
      </c>
      <c r="AC45" s="430" t="str">
        <f t="shared" si="18"/>
        <v>N/A</v>
      </c>
      <c r="AD45" s="430">
        <f t="shared" si="19"/>
        <v>70</v>
      </c>
      <c r="AE45" s="431">
        <f t="shared" si="20"/>
        <v>1.087</v>
      </c>
      <c r="AF45" s="431"/>
      <c r="AG45" s="431">
        <f t="shared" si="21"/>
        <v>0.9885196078431373</v>
      </c>
      <c r="AH45" s="431">
        <f t="shared" si="22"/>
        <v>0</v>
      </c>
      <c r="AI45" s="432">
        <f t="shared" si="23"/>
        <v>0</v>
      </c>
      <c r="AJ45" s="432">
        <f t="shared" si="24"/>
        <v>153.78629994467161</v>
      </c>
      <c r="AK45" s="432">
        <f t="shared" si="25"/>
        <v>168.15345596208667</v>
      </c>
      <c r="AL45" s="432">
        <f t="shared" si="26"/>
        <v>334.2648062519425</v>
      </c>
      <c r="AM45" s="250" t="s">
        <v>334</v>
      </c>
      <c r="AN45" s="432" t="e">
        <f t="shared" si="27"/>
        <v>#VALUE!</v>
      </c>
      <c r="AO45" s="432" t="e">
        <f t="shared" si="28"/>
        <v>#VALUE!</v>
      </c>
      <c r="AP45" s="432" t="e">
        <f t="shared" si="29"/>
        <v>#VALUE!</v>
      </c>
      <c r="AQ45" s="255">
        <v>43497</v>
      </c>
      <c r="AR45" s="255" t="s">
        <v>238</v>
      </c>
      <c r="AS45" s="429" t="s">
        <v>335</v>
      </c>
      <c r="AT45" s="429" t="s">
        <v>330</v>
      </c>
      <c r="AU45" s="241">
        <v>1</v>
      </c>
      <c r="AV45" s="243" t="s">
        <v>331</v>
      </c>
      <c r="AW45" s="72" t="s">
        <v>127</v>
      </c>
      <c r="AX45" s="243" t="s">
        <v>324</v>
      </c>
      <c r="AY45" s="103">
        <f t="shared" si="34"/>
        <v>0.53921568627450978</v>
      </c>
      <c r="BA45" s="13" t="str">
        <f t="shared" si="32"/>
        <v>W12</v>
      </c>
      <c r="BB45" s="72" t="str">
        <f>IF(R45="n/a","Clear","S/B")</f>
        <v>Clear</v>
      </c>
      <c r="BC45" s="32">
        <f>IF(Q45="","",((P45/100*O45)+T45))</f>
        <v>1.2181999999999999</v>
      </c>
      <c r="BD45" s="241">
        <f>IF(BC45="","",((PI()*((51/2)^2-(16.545/2)^2)/(BC45/10))/100))</f>
        <v>150.04334807978015</v>
      </c>
      <c r="BE45" s="241">
        <f>IF(BC45="","",(BD45-AK45))</f>
        <v>-18.110107882306522</v>
      </c>
      <c r="BF45" s="71">
        <f>IF(BC45="","",(BE45/AK45))</f>
        <v>-0.10769988507634232</v>
      </c>
      <c r="BG45" s="241">
        <f>IF(BF45="","",((PI()*((70/2)^2-(16.545/2)^2)/(BC45/10))/100))</f>
        <v>298.2645250335425</v>
      </c>
      <c r="BH45" s="241">
        <f>IF(BF45="","",(BG45-AL45))</f>
        <v>-36.000281218400005</v>
      </c>
      <c r="BI45" s="71">
        <f>IF(BG45="","",(BH45/AL45))</f>
        <v>-0.10769988507634222</v>
      </c>
      <c r="BJ45" s="111"/>
      <c r="BK45" s="111"/>
      <c r="BL45" s="83"/>
      <c r="BM45" s="83"/>
      <c r="BN45" s="71"/>
      <c r="BO45" s="83"/>
      <c r="BP45" s="83"/>
      <c r="BQ45" s="115"/>
      <c r="BR45" s="113"/>
      <c r="BS45" s="80"/>
      <c r="BT45" s="22"/>
      <c r="BU45" s="87"/>
      <c r="BV45" s="73"/>
      <c r="BW45" s="109"/>
      <c r="BX45" s="87"/>
      <c r="BY45" s="87"/>
      <c r="BZ45" s="109"/>
      <c r="CA45" s="76"/>
    </row>
    <row r="46" spans="1:79" s="72" customFormat="1">
      <c r="A46" s="13" t="s">
        <v>116</v>
      </c>
      <c r="B46" s="13" t="s">
        <v>308</v>
      </c>
      <c r="C46" s="13" t="s">
        <v>325</v>
      </c>
      <c r="D46" s="13" t="s">
        <v>326</v>
      </c>
      <c r="E46" s="13" t="s">
        <v>137</v>
      </c>
      <c r="F46" s="13" t="s">
        <v>167</v>
      </c>
      <c r="G46" s="13" t="s">
        <v>336</v>
      </c>
      <c r="H46" s="13" t="s">
        <v>121</v>
      </c>
      <c r="I46" s="13" t="s">
        <v>147</v>
      </c>
      <c r="J46" s="13" t="s">
        <v>5</v>
      </c>
      <c r="K46" s="13" t="s">
        <v>123</v>
      </c>
      <c r="L46" s="13" t="s">
        <v>337</v>
      </c>
      <c r="M46" s="13" t="s">
        <v>125</v>
      </c>
      <c r="N46" s="13" t="s">
        <v>12</v>
      </c>
      <c r="O46" s="247">
        <v>0.47</v>
      </c>
      <c r="P46" s="13">
        <v>102</v>
      </c>
      <c r="Q46" s="13">
        <v>32</v>
      </c>
      <c r="R46" s="13" t="s">
        <v>127</v>
      </c>
      <c r="S46" s="430" t="str">
        <f t="shared" si="15"/>
        <v>N/A</v>
      </c>
      <c r="T46" s="247">
        <v>0.8</v>
      </c>
      <c r="U46" s="13">
        <v>150</v>
      </c>
      <c r="V46" s="13">
        <v>550</v>
      </c>
      <c r="W46" s="430">
        <f t="shared" si="0"/>
        <v>400</v>
      </c>
      <c r="X46" s="430">
        <f t="shared" si="1"/>
        <v>150</v>
      </c>
      <c r="Y46" s="13"/>
      <c r="Z46" s="13"/>
      <c r="AA46" s="430">
        <f t="shared" si="16"/>
        <v>0</v>
      </c>
      <c r="AB46" s="430">
        <f t="shared" si="17"/>
        <v>700</v>
      </c>
      <c r="AC46" s="430" t="str">
        <f t="shared" si="18"/>
        <v>N/A</v>
      </c>
      <c r="AD46" s="430">
        <f t="shared" si="19"/>
        <v>70</v>
      </c>
      <c r="AE46" s="431">
        <f t="shared" si="20"/>
        <v>1.129</v>
      </c>
      <c r="AF46" s="431"/>
      <c r="AG46" s="431">
        <f t="shared" si="21"/>
        <v>1.016107843137255</v>
      </c>
      <c r="AH46" s="431">
        <f t="shared" si="22"/>
        <v>0</v>
      </c>
      <c r="AI46" s="432">
        <f t="shared" si="23"/>
        <v>0</v>
      </c>
      <c r="AJ46" s="432">
        <f t="shared" si="24"/>
        <v>148.06528612919223</v>
      </c>
      <c r="AK46" s="432">
        <f t="shared" si="25"/>
        <v>161.89796867208872</v>
      </c>
      <c r="AL46" s="432">
        <f t="shared" si="26"/>
        <v>321.82980017348223</v>
      </c>
      <c r="AM46" s="250" t="s">
        <v>334</v>
      </c>
      <c r="AN46" s="432" t="e">
        <f t="shared" si="27"/>
        <v>#VALUE!</v>
      </c>
      <c r="AO46" s="432" t="e">
        <f t="shared" si="28"/>
        <v>#VALUE!</v>
      </c>
      <c r="AP46" s="432" t="e">
        <f t="shared" si="29"/>
        <v>#VALUE!</v>
      </c>
      <c r="AQ46" s="255">
        <v>43497</v>
      </c>
      <c r="AR46" s="255" t="s">
        <v>238</v>
      </c>
      <c r="AS46" s="434" t="s">
        <v>338</v>
      </c>
      <c r="AT46" s="429" t="s">
        <v>330</v>
      </c>
      <c r="AU46" s="241">
        <v>1</v>
      </c>
      <c r="AV46" s="243" t="s">
        <v>331</v>
      </c>
      <c r="AW46" s="72" t="s">
        <v>127</v>
      </c>
      <c r="AX46" s="243" t="s">
        <v>324</v>
      </c>
      <c r="AY46" s="103">
        <f t="shared" si="34"/>
        <v>0.53921568627450978</v>
      </c>
      <c r="BA46" s="13" t="str">
        <f t="shared" si="32"/>
        <v>W12</v>
      </c>
      <c r="BB46" s="72" t="str">
        <f>IF(R46="n/a","Clear","S/B")</f>
        <v>Clear</v>
      </c>
      <c r="BC46" s="32">
        <f>IF(Q46="","",((P46/100*O46)+T46))</f>
        <v>1.2794000000000001</v>
      </c>
      <c r="BD46" s="241">
        <f>IF(BC46="","",((PI()*((51/2)^2-(16.545/2)^2)/(BC46/10))/100))</f>
        <v>142.86603613474142</v>
      </c>
      <c r="BE46" s="241">
        <f>IF(BC46="","",(BD46-AK46))</f>
        <v>-19.031932537347302</v>
      </c>
      <c r="BF46" s="71">
        <f>IF(BC46="","",(BE46/AK46))</f>
        <v>-0.11755510395497887</v>
      </c>
      <c r="BG46" s="241">
        <f>IF(BF46="","",((PI()*((70/2)^2-(16.545/2)^2)/(BC46/10))/100))</f>
        <v>283.99706455827845</v>
      </c>
      <c r="BH46" s="241">
        <f>IF(BF46="","",(BG46-AL46))</f>
        <v>-37.832735615203774</v>
      </c>
      <c r="BI46" s="71">
        <f>IF(BG46="","",(BH46/AL46))</f>
        <v>-0.11755510395497885</v>
      </c>
      <c r="BJ46" s="111"/>
      <c r="BK46" s="111"/>
      <c r="BL46" s="83"/>
      <c r="BM46" s="83"/>
      <c r="BN46" s="71"/>
      <c r="BO46" s="83"/>
      <c r="BP46" s="83"/>
      <c r="BQ46" s="80"/>
      <c r="BR46" s="80"/>
      <c r="BS46" s="80"/>
      <c r="BT46" s="22"/>
      <c r="BU46" s="87"/>
      <c r="BV46" s="73"/>
      <c r="BW46" s="109"/>
      <c r="BX46" s="87"/>
      <c r="BY46" s="87"/>
      <c r="BZ46" s="109"/>
      <c r="CA46" s="76"/>
    </row>
    <row r="47" spans="1:79" s="14" customFormat="1">
      <c r="A47" s="13" t="s">
        <v>116</v>
      </c>
      <c r="B47" s="13" t="s">
        <v>339</v>
      </c>
      <c r="C47" s="13" t="s">
        <v>151</v>
      </c>
      <c r="D47" s="13" t="s">
        <v>340</v>
      </c>
      <c r="E47" s="13" t="s">
        <v>118</v>
      </c>
      <c r="F47" s="13" t="s">
        <v>119</v>
      </c>
      <c r="G47" s="13" t="s">
        <v>341</v>
      </c>
      <c r="H47" s="13" t="s">
        <v>121</v>
      </c>
      <c r="I47" s="13" t="s">
        <v>147</v>
      </c>
      <c r="J47" s="13" t="s">
        <v>5</v>
      </c>
      <c r="K47" s="13" t="s">
        <v>123</v>
      </c>
      <c r="L47" s="434" t="s">
        <v>342</v>
      </c>
      <c r="M47" s="13" t="s">
        <v>125</v>
      </c>
      <c r="N47" s="13" t="s">
        <v>126</v>
      </c>
      <c r="O47" s="247">
        <v>0.28000000000000003</v>
      </c>
      <c r="P47" s="13">
        <v>98</v>
      </c>
      <c r="Q47" s="13">
        <v>15</v>
      </c>
      <c r="R47" s="13" t="s">
        <v>127</v>
      </c>
      <c r="S47" s="430" t="str">
        <f t="shared" si="15"/>
        <v>N/A</v>
      </c>
      <c r="T47" s="247">
        <v>0.8</v>
      </c>
      <c r="U47" s="13">
        <v>200</v>
      </c>
      <c r="V47" s="13">
        <v>700</v>
      </c>
      <c r="W47" s="430">
        <f t="shared" si="0"/>
        <v>500</v>
      </c>
      <c r="X47" s="430">
        <f t="shared" si="1"/>
        <v>130</v>
      </c>
      <c r="Y47" s="13">
        <v>200</v>
      </c>
      <c r="Z47" s="13">
        <v>700</v>
      </c>
      <c r="AA47" s="430">
        <f t="shared" si="16"/>
        <v>500</v>
      </c>
      <c r="AB47" s="430">
        <f t="shared" si="17"/>
        <v>130</v>
      </c>
      <c r="AC47" s="430" t="str">
        <f t="shared" si="18"/>
        <v>N/A</v>
      </c>
      <c r="AD47" s="430">
        <f t="shared" si="19"/>
        <v>83</v>
      </c>
      <c r="AE47" s="431">
        <f t="shared" si="20"/>
        <v>1.0324</v>
      </c>
      <c r="AF47" s="431"/>
      <c r="AG47" s="431">
        <f t="shared" si="21"/>
        <v>0.93398571428571431</v>
      </c>
      <c r="AH47" s="431">
        <f t="shared" si="22"/>
        <v>0.99002485714285715</v>
      </c>
      <c r="AI47" s="432">
        <f t="shared" si="23"/>
        <v>866.22945600000003</v>
      </c>
      <c r="AJ47" s="432">
        <f t="shared" si="24"/>
        <v>161.91951573019958</v>
      </c>
      <c r="AK47" s="432">
        <f t="shared" si="25"/>
        <v>177.04650002982194</v>
      </c>
      <c r="AL47" s="432">
        <f t="shared" si="26"/>
        <v>351.94289461048191</v>
      </c>
      <c r="AM47" s="250">
        <v>177</v>
      </c>
      <c r="AN47" s="432">
        <f t="shared" si="27"/>
        <v>173.46</v>
      </c>
      <c r="AO47" s="432">
        <f t="shared" si="28"/>
        <v>171.72971172000001</v>
      </c>
      <c r="AP47" s="432">
        <f t="shared" si="29"/>
        <v>1144.8647448000002</v>
      </c>
      <c r="AQ47" s="255" t="s">
        <v>132</v>
      </c>
      <c r="AR47" s="255" t="s">
        <v>343</v>
      </c>
      <c r="AS47" s="434"/>
      <c r="AT47" s="429"/>
      <c r="AU47" s="274"/>
      <c r="AV47" s="276"/>
      <c r="AX47" s="276"/>
      <c r="AY47" s="185"/>
      <c r="BC47" s="266"/>
      <c r="BD47" s="274"/>
      <c r="BE47" s="274"/>
      <c r="BF47" s="185"/>
      <c r="BG47" s="274"/>
      <c r="BH47" s="274"/>
      <c r="BI47" s="185"/>
      <c r="BJ47" s="186"/>
      <c r="BK47" s="186"/>
      <c r="BL47" s="187"/>
      <c r="BM47" s="187"/>
      <c r="BN47" s="185"/>
      <c r="BO47" s="187"/>
      <c r="BP47" s="187"/>
      <c r="BQ47" s="185"/>
      <c r="BR47" s="185"/>
      <c r="BS47" s="185"/>
      <c r="BU47" s="270"/>
      <c r="BV47" s="266"/>
      <c r="BW47" s="189"/>
      <c r="BX47" s="270"/>
      <c r="BY47" s="270"/>
      <c r="BZ47" s="189"/>
      <c r="CA47" s="272"/>
    </row>
    <row r="48" spans="1:79" s="14" customFormat="1">
      <c r="A48" s="13" t="s">
        <v>116</v>
      </c>
      <c r="B48" s="13" t="s">
        <v>344</v>
      </c>
      <c r="C48" s="13" t="s">
        <v>151</v>
      </c>
      <c r="D48" s="13" t="s">
        <v>345</v>
      </c>
      <c r="E48" s="13" t="s">
        <v>118</v>
      </c>
      <c r="F48" s="13" t="s">
        <v>119</v>
      </c>
      <c r="G48" s="13" t="s">
        <v>346</v>
      </c>
      <c r="H48" s="13" t="s">
        <v>121</v>
      </c>
      <c r="I48" s="13" t="s">
        <v>147</v>
      </c>
      <c r="J48" s="13" t="s">
        <v>5</v>
      </c>
      <c r="K48" s="13" t="s">
        <v>123</v>
      </c>
      <c r="L48" s="13"/>
      <c r="M48" s="13" t="s">
        <v>125</v>
      </c>
      <c r="N48" s="13" t="s">
        <v>126</v>
      </c>
      <c r="O48" s="247">
        <v>0.14000000000000001</v>
      </c>
      <c r="P48" s="13">
        <v>111</v>
      </c>
      <c r="Q48" s="13">
        <v>22</v>
      </c>
      <c r="R48" s="13" t="s">
        <v>127</v>
      </c>
      <c r="S48" s="430" t="str">
        <f t="shared" si="15"/>
        <v>N/A</v>
      </c>
      <c r="T48" s="247">
        <v>0.8</v>
      </c>
      <c r="U48" s="13">
        <v>200</v>
      </c>
      <c r="V48" s="13">
        <v>760</v>
      </c>
      <c r="W48" s="430">
        <f t="shared" si="0"/>
        <v>560</v>
      </c>
      <c r="X48" s="430">
        <f t="shared" si="1"/>
        <v>130</v>
      </c>
      <c r="Y48" s="13">
        <v>200</v>
      </c>
      <c r="Z48" s="13">
        <v>760</v>
      </c>
      <c r="AA48" s="430">
        <f t="shared" si="16"/>
        <v>560</v>
      </c>
      <c r="AB48" s="430">
        <f t="shared" si="17"/>
        <v>130</v>
      </c>
      <c r="AC48" s="430" t="str">
        <f t="shared" si="18"/>
        <v>N/A</v>
      </c>
      <c r="AD48" s="430">
        <f t="shared" si="19"/>
        <v>89</v>
      </c>
      <c r="AE48" s="431">
        <f t="shared" si="20"/>
        <v>0.92460000000000009</v>
      </c>
      <c r="AF48" s="431"/>
      <c r="AG48" s="431">
        <f t="shared" si="21"/>
        <v>0.87464774774774778</v>
      </c>
      <c r="AH48" s="431">
        <f t="shared" si="22"/>
        <v>0.92712661261261264</v>
      </c>
      <c r="AI48" s="432">
        <f t="shared" si="23"/>
        <v>857.11472800000001</v>
      </c>
      <c r="AJ48" s="432">
        <f t="shared" si="24"/>
        <v>180.79786722891845</v>
      </c>
      <c r="AK48" s="432">
        <f t="shared" si="25"/>
        <v>197.68852112350004</v>
      </c>
      <c r="AL48" s="432">
        <f t="shared" si="26"/>
        <v>392.97625394317691</v>
      </c>
      <c r="AM48" s="250">
        <v>198</v>
      </c>
      <c r="AN48" s="432">
        <f t="shared" si="27"/>
        <v>219.78</v>
      </c>
      <c r="AO48" s="432">
        <f t="shared" si="28"/>
        <v>203.76388692</v>
      </c>
      <c r="AP48" s="432">
        <f t="shared" si="29"/>
        <v>926.19948599999998</v>
      </c>
      <c r="AQ48" s="255"/>
      <c r="AR48" s="255" t="s">
        <v>347</v>
      </c>
      <c r="AS48" s="434"/>
      <c r="AT48" s="429"/>
      <c r="AU48" s="274"/>
      <c r="AV48" s="276"/>
      <c r="AX48" s="276"/>
      <c r="AY48" s="185"/>
      <c r="BC48" s="266"/>
      <c r="BD48" s="274"/>
      <c r="BE48" s="274"/>
      <c r="BF48" s="185"/>
      <c r="BG48" s="274"/>
      <c r="BH48" s="274"/>
      <c r="BI48" s="185"/>
      <c r="BJ48" s="186"/>
      <c r="BK48" s="186"/>
      <c r="BL48" s="187"/>
      <c r="BM48" s="187"/>
      <c r="BN48" s="185"/>
      <c r="BO48" s="187"/>
      <c r="BP48" s="187"/>
      <c r="BQ48" s="185"/>
      <c r="BR48" s="185"/>
      <c r="BS48" s="185"/>
      <c r="BU48" s="270"/>
      <c r="BV48" s="266"/>
      <c r="BW48" s="189"/>
      <c r="BX48" s="270"/>
      <c r="BY48" s="270"/>
      <c r="BZ48" s="189"/>
      <c r="CA48" s="272"/>
    </row>
    <row r="49" spans="1:79" s="14" customFormat="1">
      <c r="A49" s="13" t="s">
        <v>116</v>
      </c>
      <c r="B49" s="13" t="s">
        <v>344</v>
      </c>
      <c r="C49" s="13" t="s">
        <v>348</v>
      </c>
      <c r="D49" s="13" t="s">
        <v>348</v>
      </c>
      <c r="E49" s="13" t="s">
        <v>127</v>
      </c>
      <c r="F49" s="13" t="s">
        <v>119</v>
      </c>
      <c r="G49" s="13" t="s">
        <v>349</v>
      </c>
      <c r="H49" s="13" t="s">
        <v>121</v>
      </c>
      <c r="I49" s="13" t="s">
        <v>147</v>
      </c>
      <c r="J49" s="13" t="s">
        <v>5</v>
      </c>
      <c r="K49" s="13" t="s">
        <v>123</v>
      </c>
      <c r="L49" s="13"/>
      <c r="M49" s="13"/>
      <c r="N49" s="13" t="s">
        <v>126</v>
      </c>
      <c r="O49" s="247">
        <v>0.18</v>
      </c>
      <c r="P49" s="13">
        <v>115</v>
      </c>
      <c r="Q49" s="13">
        <v>27</v>
      </c>
      <c r="R49" s="13" t="s">
        <v>127</v>
      </c>
      <c r="S49" s="430" t="str">
        <f t="shared" si="15"/>
        <v>N/A</v>
      </c>
      <c r="T49" s="247">
        <v>0.8</v>
      </c>
      <c r="U49" s="13">
        <v>250</v>
      </c>
      <c r="V49" s="13">
        <v>750</v>
      </c>
      <c r="W49" s="430">
        <f t="shared" si="0"/>
        <v>500</v>
      </c>
      <c r="X49" s="430">
        <f t="shared" si="1"/>
        <v>130</v>
      </c>
      <c r="Y49" s="13">
        <v>200</v>
      </c>
      <c r="Z49" s="13">
        <v>750</v>
      </c>
      <c r="AA49" s="430">
        <f t="shared" si="16"/>
        <v>550</v>
      </c>
      <c r="AB49" s="430">
        <f t="shared" si="17"/>
        <v>130</v>
      </c>
      <c r="AC49" s="430" t="str">
        <f t="shared" si="18"/>
        <v>N/A</v>
      </c>
      <c r="AD49" s="430">
        <f t="shared" si="19"/>
        <v>88</v>
      </c>
      <c r="AE49" s="431">
        <f t="shared" si="20"/>
        <v>0.95840000000000003</v>
      </c>
      <c r="AF49" s="431"/>
      <c r="AG49" s="431">
        <f t="shared" si="21"/>
        <v>0.89779478260869561</v>
      </c>
      <c r="AH49" s="431">
        <f t="shared" si="22"/>
        <v>0.95166246956521727</v>
      </c>
      <c r="AI49" s="432">
        <f t="shared" si="23"/>
        <v>859.7189360000001</v>
      </c>
      <c r="AJ49" s="432">
        <f t="shared" si="24"/>
        <v>174.42164862255635</v>
      </c>
      <c r="AK49" s="432">
        <f t="shared" si="25"/>
        <v>190.71661793696592</v>
      </c>
      <c r="AL49" s="432">
        <f t="shared" si="26"/>
        <v>379.11711643975525</v>
      </c>
      <c r="AM49" s="250">
        <v>191</v>
      </c>
      <c r="AN49" s="432">
        <f t="shared" si="27"/>
        <v>219.65</v>
      </c>
      <c r="AO49" s="432">
        <f t="shared" si="28"/>
        <v>209.03266143999997</v>
      </c>
      <c r="AP49" s="432">
        <f t="shared" si="29"/>
        <v>774.19504237037017</v>
      </c>
      <c r="AQ49" s="255"/>
      <c r="AR49" s="255"/>
      <c r="AS49" s="434"/>
      <c r="AT49" s="429"/>
      <c r="AU49" s="274"/>
      <c r="AV49" s="276"/>
      <c r="AX49" s="276"/>
      <c r="AY49" s="185"/>
      <c r="BC49" s="266"/>
      <c r="BD49" s="274"/>
      <c r="BE49" s="274"/>
      <c r="BF49" s="185"/>
      <c r="BG49" s="274"/>
      <c r="BH49" s="274"/>
      <c r="BI49" s="185"/>
      <c r="BJ49" s="186"/>
      <c r="BK49" s="186"/>
      <c r="BL49" s="187"/>
      <c r="BM49" s="187"/>
      <c r="BN49" s="185"/>
      <c r="BO49" s="187"/>
      <c r="BP49" s="187"/>
      <c r="BQ49" s="185"/>
      <c r="BR49" s="185"/>
      <c r="BS49" s="185"/>
      <c r="BU49" s="270"/>
      <c r="BV49" s="266"/>
      <c r="BW49" s="189"/>
      <c r="BX49" s="270"/>
      <c r="BY49" s="270"/>
      <c r="BZ49" s="189"/>
      <c r="CA49" s="272"/>
    </row>
    <row r="50" spans="1:79" s="14" customFormat="1">
      <c r="A50" s="13" t="s">
        <v>116</v>
      </c>
      <c r="B50" s="13" t="s">
        <v>344</v>
      </c>
      <c r="C50" s="13" t="s">
        <v>132</v>
      </c>
      <c r="D50" s="13" t="s">
        <v>132</v>
      </c>
      <c r="E50" s="13" t="s">
        <v>127</v>
      </c>
      <c r="F50" s="13" t="s">
        <v>119</v>
      </c>
      <c r="G50" s="13" t="s">
        <v>350</v>
      </c>
      <c r="H50" s="13" t="s">
        <v>121</v>
      </c>
      <c r="I50" s="13" t="s">
        <v>147</v>
      </c>
      <c r="J50" s="13" t="s">
        <v>5</v>
      </c>
      <c r="K50" s="13" t="s">
        <v>123</v>
      </c>
      <c r="L50" s="13"/>
      <c r="M50" s="13" t="s">
        <v>125</v>
      </c>
      <c r="N50" s="13" t="s">
        <v>126</v>
      </c>
      <c r="O50" s="247">
        <v>0.24</v>
      </c>
      <c r="P50" s="13">
        <v>105</v>
      </c>
      <c r="Q50" s="13">
        <v>17</v>
      </c>
      <c r="R50" s="13" t="s">
        <v>127</v>
      </c>
      <c r="S50" s="430" t="str">
        <f t="shared" si="15"/>
        <v>N/A</v>
      </c>
      <c r="T50" s="247">
        <v>0.8</v>
      </c>
      <c r="U50" s="13">
        <v>300</v>
      </c>
      <c r="V50" s="13">
        <v>750</v>
      </c>
      <c r="W50" s="430">
        <f t="shared" si="0"/>
        <v>450</v>
      </c>
      <c r="X50" s="430">
        <f t="shared" si="1"/>
        <v>130</v>
      </c>
      <c r="Y50" s="13">
        <v>300</v>
      </c>
      <c r="Z50" s="13">
        <v>750</v>
      </c>
      <c r="AA50" s="430">
        <f t="shared" si="16"/>
        <v>450</v>
      </c>
      <c r="AB50" s="430">
        <f t="shared" si="17"/>
        <v>130</v>
      </c>
      <c r="AC50" s="430" t="str">
        <f t="shared" si="18"/>
        <v>N/A</v>
      </c>
      <c r="AD50" s="430">
        <f t="shared" si="19"/>
        <v>88</v>
      </c>
      <c r="AE50" s="431">
        <f t="shared" si="20"/>
        <v>1.0112000000000001</v>
      </c>
      <c r="AF50" s="431"/>
      <c r="AG50" s="431">
        <f t="shared" si="21"/>
        <v>0.92269714285714288</v>
      </c>
      <c r="AH50" s="431">
        <f t="shared" si="22"/>
        <v>0.97805897142857146</v>
      </c>
      <c r="AI50" s="432">
        <f t="shared" si="23"/>
        <v>863.62524800000006</v>
      </c>
      <c r="AJ50" s="432">
        <f t="shared" si="24"/>
        <v>165.31418912169502</v>
      </c>
      <c r="AK50" s="432">
        <f t="shared" si="25"/>
        <v>180.7583135193712</v>
      </c>
      <c r="AL50" s="432">
        <f t="shared" si="26"/>
        <v>359.32144422059076</v>
      </c>
      <c r="AM50" s="250">
        <v>181</v>
      </c>
      <c r="AN50" s="432">
        <f t="shared" si="27"/>
        <v>190.05</v>
      </c>
      <c r="AO50" s="432">
        <f t="shared" si="28"/>
        <v>185.88010752000002</v>
      </c>
      <c r="AP50" s="432">
        <f t="shared" si="29"/>
        <v>1093.4123971764707</v>
      </c>
      <c r="AQ50" s="255"/>
      <c r="AR50" s="255"/>
      <c r="AS50" s="434"/>
      <c r="AT50" s="429"/>
      <c r="AU50" s="274"/>
      <c r="AV50" s="276"/>
      <c r="AX50" s="276"/>
      <c r="AY50" s="185"/>
      <c r="BC50" s="266"/>
      <c r="BD50" s="274"/>
      <c r="BE50" s="274"/>
      <c r="BF50" s="185"/>
      <c r="BG50" s="274"/>
      <c r="BH50" s="274"/>
      <c r="BI50" s="185"/>
      <c r="BJ50" s="186"/>
      <c r="BK50" s="186"/>
      <c r="BL50" s="187"/>
      <c r="BM50" s="187"/>
      <c r="BN50" s="185"/>
      <c r="BO50" s="187"/>
      <c r="BP50" s="187"/>
      <c r="BQ50" s="185"/>
      <c r="BR50" s="185"/>
      <c r="BS50" s="185"/>
      <c r="BU50" s="270"/>
      <c r="BV50" s="266"/>
      <c r="BW50" s="189"/>
      <c r="BX50" s="270"/>
      <c r="BY50" s="270"/>
      <c r="BZ50" s="189"/>
      <c r="CA50" s="272"/>
    </row>
    <row r="51" spans="1:79" s="14" customFormat="1">
      <c r="A51" s="13" t="s">
        <v>116</v>
      </c>
      <c r="B51" s="13" t="s">
        <v>344</v>
      </c>
      <c r="C51" s="13" t="s">
        <v>260</v>
      </c>
      <c r="D51" s="13" t="s">
        <v>351</v>
      </c>
      <c r="E51" s="13" t="s">
        <v>118</v>
      </c>
      <c r="F51" s="13" t="s">
        <v>119</v>
      </c>
      <c r="G51" s="13" t="s">
        <v>352</v>
      </c>
      <c r="H51" s="13" t="s">
        <v>121</v>
      </c>
      <c r="I51" s="13" t="s">
        <v>147</v>
      </c>
      <c r="J51" s="13" t="s">
        <v>5</v>
      </c>
      <c r="K51" s="13" t="s">
        <v>123</v>
      </c>
      <c r="L51" s="13"/>
      <c r="M51" s="13" t="s">
        <v>125</v>
      </c>
      <c r="N51" s="13" t="s">
        <v>126</v>
      </c>
      <c r="O51" s="247">
        <v>0.33</v>
      </c>
      <c r="P51" s="13">
        <v>103</v>
      </c>
      <c r="Q51" s="13">
        <v>30</v>
      </c>
      <c r="R51" s="13" t="s">
        <v>127</v>
      </c>
      <c r="S51" s="430" t="str">
        <f t="shared" si="15"/>
        <v>N/A</v>
      </c>
      <c r="T51" s="247">
        <v>0.8</v>
      </c>
      <c r="U51" s="13">
        <v>200</v>
      </c>
      <c r="V51" s="13">
        <v>600</v>
      </c>
      <c r="W51" s="430">
        <f t="shared" si="0"/>
        <v>400</v>
      </c>
      <c r="X51" s="430">
        <f t="shared" si="1"/>
        <v>130</v>
      </c>
      <c r="Y51" s="13">
        <v>200</v>
      </c>
      <c r="Z51" s="13">
        <v>600</v>
      </c>
      <c r="AA51" s="430">
        <f t="shared" si="16"/>
        <v>400</v>
      </c>
      <c r="AB51" s="430">
        <f t="shared" si="17"/>
        <v>130</v>
      </c>
      <c r="AC51" s="430" t="str">
        <f t="shared" si="18"/>
        <v>N/A</v>
      </c>
      <c r="AD51" s="430">
        <f t="shared" si="19"/>
        <v>73</v>
      </c>
      <c r="AE51" s="431">
        <f t="shared" si="20"/>
        <v>1.0409000000000002</v>
      </c>
      <c r="AF51" s="431"/>
      <c r="AG51" s="431">
        <f t="shared" si="21"/>
        <v>0.95553252427184476</v>
      </c>
      <c r="AH51" s="431">
        <f t="shared" si="22"/>
        <v>1.0128644757281553</v>
      </c>
      <c r="AI51" s="432">
        <f t="shared" si="23"/>
        <v>869.48471600000005</v>
      </c>
      <c r="AJ51" s="432">
        <f t="shared" si="24"/>
        <v>160.59727931584015</v>
      </c>
      <c r="AK51" s="432">
        <f t="shared" si="25"/>
        <v>175.60073650762624</v>
      </c>
      <c r="AL51" s="432">
        <f t="shared" si="26"/>
        <v>349.06892534908388</v>
      </c>
      <c r="AM51" s="250">
        <v>176</v>
      </c>
      <c r="AN51" s="432">
        <f t="shared" si="27"/>
        <v>181.28</v>
      </c>
      <c r="AO51" s="432">
        <f t="shared" si="28"/>
        <v>183.61207216</v>
      </c>
      <c r="AP51" s="432">
        <f t="shared" si="29"/>
        <v>612.0402405333333</v>
      </c>
      <c r="AQ51" s="255" t="s">
        <v>353</v>
      </c>
      <c r="AR51" s="255" t="s">
        <v>354</v>
      </c>
      <c r="AS51" s="436" t="s">
        <v>355</v>
      </c>
      <c r="AT51" s="429" t="s">
        <v>356</v>
      </c>
      <c r="AU51" s="274"/>
      <c r="AV51" s="276"/>
      <c r="AX51" s="276"/>
      <c r="AY51" s="185"/>
      <c r="BC51" s="266"/>
      <c r="BD51" s="274"/>
      <c r="BE51" s="274"/>
      <c r="BF51" s="185"/>
      <c r="BG51" s="274"/>
      <c r="BH51" s="274"/>
      <c r="BI51" s="185"/>
      <c r="BJ51" s="186"/>
      <c r="BK51" s="186"/>
      <c r="BL51" s="187"/>
      <c r="BM51" s="187"/>
      <c r="BN51" s="185"/>
      <c r="BO51" s="187"/>
      <c r="BP51" s="187"/>
      <c r="BQ51" s="185"/>
      <c r="BR51" s="185"/>
      <c r="BS51" s="185"/>
      <c r="BU51" s="270"/>
      <c r="BV51" s="266"/>
      <c r="BW51" s="189"/>
      <c r="BX51" s="270"/>
      <c r="BY51" s="270"/>
      <c r="BZ51" s="189"/>
      <c r="CA51" s="272"/>
    </row>
    <row r="52" spans="1:79" s="14" customFormat="1">
      <c r="A52" s="13" t="s">
        <v>116</v>
      </c>
      <c r="B52" s="13" t="s">
        <v>344</v>
      </c>
      <c r="C52" s="13" t="s">
        <v>357</v>
      </c>
      <c r="D52" s="13" t="s">
        <v>358</v>
      </c>
      <c r="E52" s="13" t="s">
        <v>118</v>
      </c>
      <c r="F52" s="13" t="s">
        <v>119</v>
      </c>
      <c r="G52" s="13" t="s">
        <v>359</v>
      </c>
      <c r="H52" s="13" t="s">
        <v>121</v>
      </c>
      <c r="I52" s="13" t="s">
        <v>147</v>
      </c>
      <c r="J52" s="13" t="s">
        <v>5</v>
      </c>
      <c r="K52" s="13" t="s">
        <v>123</v>
      </c>
      <c r="L52" s="13"/>
      <c r="M52" s="13" t="s">
        <v>125</v>
      </c>
      <c r="N52" s="13" t="s">
        <v>126</v>
      </c>
      <c r="O52" s="247">
        <v>0.33</v>
      </c>
      <c r="P52" s="13">
        <v>113</v>
      </c>
      <c r="Q52" s="13">
        <v>25</v>
      </c>
      <c r="R52" s="13" t="s">
        <v>127</v>
      </c>
      <c r="S52" s="430" t="str">
        <f t="shared" si="15"/>
        <v>N/A</v>
      </c>
      <c r="T52" s="247">
        <v>0.8</v>
      </c>
      <c r="U52" s="13">
        <v>200</v>
      </c>
      <c r="V52" s="13">
        <v>750</v>
      </c>
      <c r="W52" s="430">
        <f t="shared" si="0"/>
        <v>550</v>
      </c>
      <c r="X52" s="430">
        <f t="shared" si="1"/>
        <v>130</v>
      </c>
      <c r="Y52" s="13">
        <v>200</v>
      </c>
      <c r="Z52" s="13">
        <v>750</v>
      </c>
      <c r="AA52" s="430">
        <f t="shared" si="16"/>
        <v>550</v>
      </c>
      <c r="AB52" s="430">
        <f t="shared" si="17"/>
        <v>130</v>
      </c>
      <c r="AC52" s="430" t="str">
        <f t="shared" si="18"/>
        <v>N/A</v>
      </c>
      <c r="AD52" s="430">
        <f t="shared" si="19"/>
        <v>88</v>
      </c>
      <c r="AE52" s="431">
        <f t="shared" si="20"/>
        <v>1.0904</v>
      </c>
      <c r="AF52" s="431"/>
      <c r="AG52" s="431">
        <f t="shared" si="21"/>
        <v>0.97732389380530982</v>
      </c>
      <c r="AH52" s="431">
        <f t="shared" si="22"/>
        <v>1.0359633274336286</v>
      </c>
      <c r="AI52" s="432">
        <f t="shared" si="23"/>
        <v>869.48471600000005</v>
      </c>
      <c r="AJ52" s="432">
        <f t="shared" si="24"/>
        <v>153.30677553178469</v>
      </c>
      <c r="AK52" s="432">
        <f t="shared" si="25"/>
        <v>167.62913300695908</v>
      </c>
      <c r="AL52" s="432">
        <f t="shared" si="26"/>
        <v>333.22252787588178</v>
      </c>
      <c r="AM52" s="250">
        <v>168</v>
      </c>
      <c r="AN52" s="432">
        <f t="shared" si="27"/>
        <v>189.84</v>
      </c>
      <c r="AO52" s="432">
        <f t="shared" si="28"/>
        <v>196.66727808000007</v>
      </c>
      <c r="AP52" s="432">
        <f t="shared" si="29"/>
        <v>786.66911232000029</v>
      </c>
      <c r="AQ52" s="255"/>
      <c r="AR52" s="255"/>
      <c r="AS52" s="436"/>
      <c r="AT52" s="429"/>
      <c r="AU52" s="274"/>
      <c r="AV52" s="276"/>
      <c r="AX52" s="276"/>
      <c r="AY52" s="185"/>
      <c r="BC52" s="266"/>
      <c r="BD52" s="274"/>
      <c r="BE52" s="274"/>
      <c r="BF52" s="185"/>
      <c r="BG52" s="274"/>
      <c r="BH52" s="274"/>
      <c r="BI52" s="185"/>
      <c r="BJ52" s="186"/>
      <c r="BK52" s="186"/>
      <c r="BL52" s="187"/>
      <c r="BM52" s="187"/>
      <c r="BN52" s="185"/>
      <c r="BO52" s="187"/>
      <c r="BP52" s="187"/>
      <c r="BQ52" s="185"/>
      <c r="BR52" s="185"/>
      <c r="BS52" s="185"/>
      <c r="BU52" s="270"/>
      <c r="BV52" s="266"/>
      <c r="BW52" s="189"/>
      <c r="BX52" s="270"/>
      <c r="BY52" s="270"/>
      <c r="BZ52" s="189"/>
      <c r="CA52" s="272"/>
    </row>
    <row r="53" spans="1:79" s="22" customFormat="1">
      <c r="A53" s="13" t="s">
        <v>116</v>
      </c>
      <c r="B53" s="13" t="s">
        <v>344</v>
      </c>
      <c r="C53" s="13" t="s">
        <v>132</v>
      </c>
      <c r="D53" s="387" t="s">
        <v>132</v>
      </c>
      <c r="E53" s="13" t="s">
        <v>132</v>
      </c>
      <c r="F53" s="13" t="s">
        <v>119</v>
      </c>
      <c r="G53" s="13" t="s">
        <v>360</v>
      </c>
      <c r="H53" s="13" t="s">
        <v>121</v>
      </c>
      <c r="I53" s="13" t="s">
        <v>147</v>
      </c>
      <c r="J53" s="13" t="s">
        <v>5</v>
      </c>
      <c r="K53" s="13" t="s">
        <v>123</v>
      </c>
      <c r="L53" s="13" t="s">
        <v>361</v>
      </c>
      <c r="M53" s="13" t="s">
        <v>125</v>
      </c>
      <c r="N53" s="13" t="s">
        <v>126</v>
      </c>
      <c r="O53" s="247">
        <v>0.39</v>
      </c>
      <c r="P53" s="13">
        <v>113</v>
      </c>
      <c r="Q53" s="13">
        <v>30</v>
      </c>
      <c r="R53" s="13" t="s">
        <v>127</v>
      </c>
      <c r="S53" s="430" t="str">
        <f t="shared" si="15"/>
        <v>N/A</v>
      </c>
      <c r="T53" s="247">
        <v>0.8</v>
      </c>
      <c r="U53" s="13">
        <v>228</v>
      </c>
      <c r="V53" s="13">
        <v>622</v>
      </c>
      <c r="W53" s="430">
        <f t="shared" si="0"/>
        <v>394</v>
      </c>
      <c r="X53" s="430">
        <f t="shared" si="1"/>
        <v>208</v>
      </c>
      <c r="Y53" s="13">
        <v>200</v>
      </c>
      <c r="Z53" s="13">
        <v>650</v>
      </c>
      <c r="AA53" s="430">
        <f t="shared" si="16"/>
        <v>450</v>
      </c>
      <c r="AB53" s="430">
        <f t="shared" si="17"/>
        <v>180</v>
      </c>
      <c r="AC53" s="430" t="str">
        <f t="shared" si="18"/>
        <v>N/A</v>
      </c>
      <c r="AD53" s="430">
        <f t="shared" si="19"/>
        <v>83</v>
      </c>
      <c r="AE53" s="431">
        <f t="shared" si="20"/>
        <v>1.1237000000000001</v>
      </c>
      <c r="AF53" s="431"/>
      <c r="AG53" s="431">
        <f t="shared" si="21"/>
        <v>1.0048190265486727</v>
      </c>
      <c r="AH53" s="431">
        <f t="shared" si="22"/>
        <v>1.065108168141593</v>
      </c>
      <c r="AI53" s="432">
        <f t="shared" si="23"/>
        <v>873.39102800000012</v>
      </c>
      <c r="AJ53" s="432">
        <f t="shared" si="24"/>
        <v>148.76364513647593</v>
      </c>
      <c r="AK53" s="432">
        <f t="shared" si="25"/>
        <v>162.66157037535655</v>
      </c>
      <c r="AL53" s="432">
        <f t="shared" si="26"/>
        <v>323.34773017341058</v>
      </c>
      <c r="AM53" s="250">
        <v>120</v>
      </c>
      <c r="AN53" s="432">
        <f t="shared" si="27"/>
        <v>135.6</v>
      </c>
      <c r="AO53" s="432">
        <f t="shared" si="28"/>
        <v>144.42866760000001</v>
      </c>
      <c r="AP53" s="432">
        <f t="shared" si="29"/>
        <v>481.42889200000008</v>
      </c>
      <c r="AQ53" s="255">
        <v>45444</v>
      </c>
      <c r="AR53" s="13" t="s">
        <v>362</v>
      </c>
      <c r="AS53" s="429" t="s">
        <v>363</v>
      </c>
      <c r="AT53" s="13"/>
      <c r="AU53" s="252"/>
      <c r="AV53" s="260"/>
      <c r="AW53" s="72"/>
      <c r="AX53" s="243"/>
      <c r="AY53" s="103">
        <f t="shared" si="34"/>
        <v>0.55044247787610623</v>
      </c>
      <c r="AZ53" s="72"/>
      <c r="BA53" s="13"/>
      <c r="BB53" s="72"/>
      <c r="BC53" s="32"/>
      <c r="BD53" s="241"/>
      <c r="BE53" s="241"/>
      <c r="BF53" s="71"/>
      <c r="BG53" s="241"/>
      <c r="BH53" s="241"/>
      <c r="BI53" s="71"/>
      <c r="BJ53" s="114"/>
      <c r="BK53" s="111"/>
      <c r="BL53" s="112"/>
      <c r="BM53" s="111"/>
      <c r="BN53" s="123"/>
      <c r="BO53" s="83"/>
      <c r="BP53" s="88"/>
      <c r="BQ53" s="151"/>
      <c r="BR53" s="113"/>
      <c r="BS53" s="80"/>
      <c r="BU53" s="87"/>
      <c r="BV53" s="73"/>
      <c r="BW53" s="109"/>
      <c r="BX53" s="87"/>
      <c r="BY53" s="87"/>
      <c r="BZ53" s="109"/>
      <c r="CA53" s="76"/>
    </row>
    <row r="54" spans="1:79" s="72" customFormat="1">
      <c r="A54" s="13" t="s">
        <v>364</v>
      </c>
      <c r="B54" s="13" t="s">
        <v>365</v>
      </c>
      <c r="C54" s="13" t="s">
        <v>366</v>
      </c>
      <c r="D54" s="13" t="s">
        <v>366</v>
      </c>
      <c r="E54" s="13" t="s">
        <v>127</v>
      </c>
      <c r="F54" s="13" t="s">
        <v>167</v>
      </c>
      <c r="G54" s="13" t="s">
        <v>367</v>
      </c>
      <c r="H54" s="13" t="s">
        <v>146</v>
      </c>
      <c r="I54" s="13" t="s">
        <v>147</v>
      </c>
      <c r="J54" s="13" t="s">
        <v>5</v>
      </c>
      <c r="K54" s="13" t="s">
        <v>123</v>
      </c>
      <c r="L54" s="13" t="s">
        <v>368</v>
      </c>
      <c r="M54" s="13" t="s">
        <v>125</v>
      </c>
      <c r="N54" s="13" t="s">
        <v>12</v>
      </c>
      <c r="O54" s="247">
        <v>0.52</v>
      </c>
      <c r="P54" s="13">
        <v>115</v>
      </c>
      <c r="Q54" s="13">
        <v>30</v>
      </c>
      <c r="R54" s="13" t="s">
        <v>127</v>
      </c>
      <c r="S54" s="430" t="str">
        <f t="shared" si="15"/>
        <v>N/A</v>
      </c>
      <c r="T54" s="247">
        <v>0.8</v>
      </c>
      <c r="U54" s="13">
        <v>270</v>
      </c>
      <c r="V54" s="13">
        <v>570</v>
      </c>
      <c r="W54" s="430">
        <f t="shared" si="0"/>
        <v>300</v>
      </c>
      <c r="X54" s="430">
        <f t="shared" si="1"/>
        <v>280</v>
      </c>
      <c r="Y54" s="13"/>
      <c r="Z54" s="13"/>
      <c r="AA54" s="430">
        <f t="shared" si="16"/>
        <v>0</v>
      </c>
      <c r="AB54" s="430">
        <f t="shared" si="17"/>
        <v>850</v>
      </c>
      <c r="AC54" s="430" t="str">
        <f t="shared" si="18"/>
        <v>N/A</v>
      </c>
      <c r="AD54" s="430">
        <f t="shared" si="19"/>
        <v>85</v>
      </c>
      <c r="AE54" s="431">
        <f t="shared" si="20"/>
        <v>1.242</v>
      </c>
      <c r="AF54" s="431"/>
      <c r="AG54" s="431">
        <f t="shared" si="21"/>
        <v>1.0786521739130435</v>
      </c>
      <c r="AH54" s="431">
        <f t="shared" si="22"/>
        <v>1.1433713043478262</v>
      </c>
      <c r="AI54" s="432">
        <f t="shared" si="23"/>
        <v>881.85470400000008</v>
      </c>
      <c r="AJ54" s="432">
        <f t="shared" si="24"/>
        <v>134.59396782597264</v>
      </c>
      <c r="AK54" s="432">
        <f t="shared" si="25"/>
        <v>147.16812128082785</v>
      </c>
      <c r="AL54" s="432">
        <f t="shared" si="26"/>
        <v>292.54898904658734</v>
      </c>
      <c r="AM54" s="250">
        <v>147</v>
      </c>
      <c r="AN54" s="432">
        <f t="shared" si="27"/>
        <v>169.05</v>
      </c>
      <c r="AO54" s="432">
        <f t="shared" si="28"/>
        <v>193.28691900000004</v>
      </c>
      <c r="AP54" s="432">
        <f t="shared" si="29"/>
        <v>644.28973000000019</v>
      </c>
      <c r="AQ54" s="255">
        <v>44075</v>
      </c>
      <c r="AR54" s="255" t="s">
        <v>369</v>
      </c>
      <c r="AS54" s="434"/>
      <c r="AT54" s="429"/>
      <c r="AU54" s="241"/>
      <c r="AV54" s="243"/>
      <c r="AW54" s="72" t="s">
        <v>127</v>
      </c>
      <c r="AX54" s="243">
        <v>44075</v>
      </c>
      <c r="AY54" s="103">
        <f t="shared" si="34"/>
        <v>0.4956521739130435</v>
      </c>
      <c r="BA54" s="13" t="str">
        <f t="shared" ref="BA54:BA62" si="35">LEFT(G54,3)</f>
        <v>W22</v>
      </c>
      <c r="BB54" s="72" t="str">
        <f>IF(R54="n/a","Clear","S/B")</f>
        <v>Clear</v>
      </c>
      <c r="BC54" s="32">
        <f>IF(Q54="","",((P54/100*O54)+T54))</f>
        <v>1.3980000000000001</v>
      </c>
      <c r="BD54" s="241">
        <f>IF(BC54="","",((PI()*((51/2)^2-(16.545/2)^2)/(BC54/10))/100))</f>
        <v>130.74592748983414</v>
      </c>
      <c r="BE54" s="241">
        <f>IF(BC54="","",(BD54-AK54))</f>
        <v>-16.422193790993703</v>
      </c>
      <c r="BF54" s="71">
        <f>IF(BC54="","",(BE54/AK54))</f>
        <v>-0.11158798283261828</v>
      </c>
      <c r="BG54" s="241">
        <f>IF(BF54="","",((PI()*((70/2)^2-(16.545/2)^2)/(BC54/10))/100))</f>
        <v>259.90403747915695</v>
      </c>
      <c r="BH54" s="241">
        <f>IF(BF54="","",(BG54-AL54))</f>
        <v>-32.644951567430383</v>
      </c>
      <c r="BI54" s="71">
        <f>IF(BG54="","",(BH54/AL54))</f>
        <v>-0.11158798283261814</v>
      </c>
      <c r="BJ54" s="111"/>
      <c r="BK54" s="83"/>
      <c r="BL54" s="83"/>
      <c r="BM54" s="83"/>
      <c r="BN54" s="71"/>
      <c r="BO54" s="83"/>
      <c r="BP54" s="83"/>
      <c r="BQ54" s="144"/>
      <c r="BR54" s="140"/>
      <c r="BS54" s="106"/>
      <c r="BT54" s="22"/>
      <c r="BU54" s="87"/>
      <c r="BV54" s="73"/>
      <c r="BW54" s="109"/>
      <c r="BX54" s="87"/>
      <c r="BY54" s="87"/>
      <c r="BZ54" s="109"/>
      <c r="CA54" s="284"/>
    </row>
    <row r="55" spans="1:79" s="22" customFormat="1" ht="14.65" customHeight="1">
      <c r="A55" s="13" t="s">
        <v>364</v>
      </c>
      <c r="B55" s="13" t="s">
        <v>370</v>
      </c>
      <c r="C55" s="13" t="s">
        <v>366</v>
      </c>
      <c r="D55" s="13" t="s">
        <v>366</v>
      </c>
      <c r="E55" s="13" t="s">
        <v>127</v>
      </c>
      <c r="F55" s="13" t="s">
        <v>167</v>
      </c>
      <c r="G55" s="13" t="s">
        <v>371</v>
      </c>
      <c r="H55" s="13" t="s">
        <v>146</v>
      </c>
      <c r="I55" s="13" t="s">
        <v>147</v>
      </c>
      <c r="J55" s="13" t="s">
        <v>5</v>
      </c>
      <c r="K55" s="13" t="s">
        <v>123</v>
      </c>
      <c r="L55" s="13" t="s">
        <v>372</v>
      </c>
      <c r="M55" s="13" t="s">
        <v>125</v>
      </c>
      <c r="N55" s="13" t="s">
        <v>12</v>
      </c>
      <c r="O55" s="247">
        <v>0.5</v>
      </c>
      <c r="P55" s="13">
        <v>120</v>
      </c>
      <c r="Q55" s="13">
        <v>30</v>
      </c>
      <c r="R55" s="13" t="s">
        <v>127</v>
      </c>
      <c r="S55" s="430" t="str">
        <f t="shared" si="15"/>
        <v>N/A</v>
      </c>
      <c r="T55" s="247">
        <v>0.8</v>
      </c>
      <c r="U55" s="13">
        <v>275</v>
      </c>
      <c r="V55" s="13">
        <v>550</v>
      </c>
      <c r="W55" s="430">
        <f t="shared" si="0"/>
        <v>275</v>
      </c>
      <c r="X55" s="430">
        <f t="shared" si="1"/>
        <v>350</v>
      </c>
      <c r="Y55" s="13"/>
      <c r="Z55" s="13"/>
      <c r="AA55" s="430">
        <f t="shared" si="16"/>
        <v>0</v>
      </c>
      <c r="AB55" s="430">
        <f t="shared" si="17"/>
        <v>900</v>
      </c>
      <c r="AC55" s="430" t="str">
        <f t="shared" si="18"/>
        <v>N/A</v>
      </c>
      <c r="AD55" s="430">
        <f t="shared" si="19"/>
        <v>90</v>
      </c>
      <c r="AE55" s="431">
        <f t="shared" si="20"/>
        <v>1.25</v>
      </c>
      <c r="AF55" s="431"/>
      <c r="AG55" s="431">
        <f t="shared" si="21"/>
        <v>1.08125</v>
      </c>
      <c r="AH55" s="431">
        <f t="shared" si="22"/>
        <v>1.1461250000000001</v>
      </c>
      <c r="AI55" s="432">
        <f t="shared" si="23"/>
        <v>880.5526000000001</v>
      </c>
      <c r="AJ55" s="432">
        <f t="shared" si="24"/>
        <v>133.73256643188643</v>
      </c>
      <c r="AK55" s="432">
        <f t="shared" si="25"/>
        <v>146.22624530463054</v>
      </c>
      <c r="AL55" s="432">
        <f t="shared" si="26"/>
        <v>290.67667551668916</v>
      </c>
      <c r="AM55" s="250">
        <v>50</v>
      </c>
      <c r="AN55" s="432">
        <f t="shared" si="27"/>
        <v>60</v>
      </c>
      <c r="AO55" s="432">
        <f t="shared" si="28"/>
        <v>68.767499999999998</v>
      </c>
      <c r="AP55" s="432">
        <f t="shared" si="29"/>
        <v>229.22499999999999</v>
      </c>
      <c r="AQ55" s="255">
        <v>43831</v>
      </c>
      <c r="AR55" s="255" t="s">
        <v>373</v>
      </c>
      <c r="AS55" s="434" t="s">
        <v>374</v>
      </c>
      <c r="AT55" s="429" t="s">
        <v>375</v>
      </c>
      <c r="AU55" s="241">
        <v>1</v>
      </c>
      <c r="AV55" s="243" t="s">
        <v>376</v>
      </c>
      <c r="AW55" s="72" t="s">
        <v>127</v>
      </c>
      <c r="AX55" s="285">
        <v>43862</v>
      </c>
      <c r="AY55" s="103">
        <f t="shared" si="34"/>
        <v>0.45833333333333331</v>
      </c>
      <c r="AZ55" s="72"/>
      <c r="BA55" s="13" t="str">
        <f t="shared" si="35"/>
        <v>W22</v>
      </c>
      <c r="BB55" s="72" t="str">
        <f>IF(R55="n/a","Clear","S/B")</f>
        <v>Clear</v>
      </c>
      <c r="BC55" s="32">
        <f>IF(Q55="","",((P55/100*O55)+T55))</f>
        <v>1.4</v>
      </c>
      <c r="BD55" s="241">
        <f>IF(BC55="","",((PI()*((51/2)^2-(16.545/2)^2)/(BC55/10))/100))</f>
        <v>130.55914759342014</v>
      </c>
      <c r="BE55" s="241">
        <f>IF(BC55="","",(BD55-AK55))</f>
        <v>-15.667097711210403</v>
      </c>
      <c r="BF55" s="71">
        <f>IF(BC55="","",(BE55/AK55))</f>
        <v>-0.10714285714285705</v>
      </c>
      <c r="BG55" s="241">
        <f>IF(BF55="","",((PI()*((70/2)^2-(16.545/2)^2)/(BC55/10))/100))</f>
        <v>259.53274599704395</v>
      </c>
      <c r="BH55" s="241">
        <f>IF(BF55="","",(BG55-AL55))</f>
        <v>-31.143929519645212</v>
      </c>
      <c r="BI55" s="71">
        <f>IF(BG55="","",(BH55/AL55))</f>
        <v>-0.10714285714285696</v>
      </c>
      <c r="BJ55" s="111"/>
      <c r="BK55" s="83"/>
      <c r="BL55" s="83"/>
      <c r="BM55" s="83"/>
      <c r="BN55" s="71"/>
      <c r="BO55" s="83"/>
      <c r="BP55" s="83"/>
      <c r="BQ55" s="130"/>
      <c r="BR55" s="100"/>
      <c r="BS55" s="100"/>
      <c r="BT55" s="72"/>
      <c r="BU55" s="78"/>
      <c r="BV55" s="32"/>
      <c r="BW55" s="127"/>
      <c r="BX55" s="78"/>
      <c r="BY55" s="78"/>
      <c r="BZ55" s="127"/>
      <c r="CA55" s="76"/>
    </row>
    <row r="56" spans="1:79" s="72" customFormat="1">
      <c r="A56" s="13" t="s">
        <v>364</v>
      </c>
      <c r="B56" s="13" t="s">
        <v>377</v>
      </c>
      <c r="C56" s="13" t="s">
        <v>378</v>
      </c>
      <c r="D56" s="13" t="s">
        <v>379</v>
      </c>
      <c r="E56" s="13" t="s">
        <v>118</v>
      </c>
      <c r="F56" s="13" t="s">
        <v>167</v>
      </c>
      <c r="G56" s="13" t="s">
        <v>380</v>
      </c>
      <c r="H56" s="13" t="s">
        <v>121</v>
      </c>
      <c r="I56" s="13" t="s">
        <v>147</v>
      </c>
      <c r="J56" s="13" t="s">
        <v>5</v>
      </c>
      <c r="K56" s="13" t="s">
        <v>123</v>
      </c>
      <c r="L56" s="13" t="s">
        <v>381</v>
      </c>
      <c r="M56" s="13" t="s">
        <v>125</v>
      </c>
      <c r="N56" s="13" t="s">
        <v>126</v>
      </c>
      <c r="O56" s="247">
        <v>0.64</v>
      </c>
      <c r="P56" s="13">
        <v>130</v>
      </c>
      <c r="Q56" s="13">
        <v>30</v>
      </c>
      <c r="R56" s="13" t="s">
        <v>127</v>
      </c>
      <c r="S56" s="430" t="str">
        <f t="shared" si="15"/>
        <v>N/A</v>
      </c>
      <c r="T56" s="247">
        <v>0.8</v>
      </c>
      <c r="U56" s="13" t="s">
        <v>127</v>
      </c>
      <c r="V56" s="13" t="s">
        <v>127</v>
      </c>
      <c r="W56" s="430" t="e">
        <f t="shared" si="0"/>
        <v>#VALUE!</v>
      </c>
      <c r="X56" s="430" t="e">
        <f t="shared" si="1"/>
        <v>#VALUE!</v>
      </c>
      <c r="Y56" s="13" t="str">
        <f>U56</f>
        <v>N/A</v>
      </c>
      <c r="Z56" s="13" t="str">
        <f>V56</f>
        <v>N/A</v>
      </c>
      <c r="AA56" s="430" t="e">
        <f t="shared" si="16"/>
        <v>#VALUE!</v>
      </c>
      <c r="AB56" s="430" t="e">
        <f t="shared" si="17"/>
        <v>#VALUE!</v>
      </c>
      <c r="AC56" s="430" t="str">
        <f t="shared" si="18"/>
        <v>N/A</v>
      </c>
      <c r="AD56" s="430">
        <f t="shared" si="19"/>
        <v>100</v>
      </c>
      <c r="AE56" s="431">
        <f t="shared" si="20"/>
        <v>1.44</v>
      </c>
      <c r="AF56" s="431"/>
      <c r="AG56" s="431">
        <f t="shared" si="21"/>
        <v>1.193846153846154</v>
      </c>
      <c r="AH56" s="431">
        <f t="shared" si="22"/>
        <v>1.2654769230769234</v>
      </c>
      <c r="AI56" s="432">
        <f t="shared" si="23"/>
        <v>889.66732800000011</v>
      </c>
      <c r="AJ56" s="432">
        <f t="shared" si="24"/>
        <v>116.08729724990143</v>
      </c>
      <c r="AK56" s="432">
        <f t="shared" si="25"/>
        <v>126.93250460471401</v>
      </c>
      <c r="AL56" s="432">
        <f t="shared" si="26"/>
        <v>252.32350305268159</v>
      </c>
      <c r="AM56" s="250">
        <v>125</v>
      </c>
      <c r="AN56" s="432">
        <f t="shared" si="27"/>
        <v>162.5</v>
      </c>
      <c r="AO56" s="432">
        <f t="shared" si="28"/>
        <v>205.64000000000004</v>
      </c>
      <c r="AP56" s="432">
        <f t="shared" si="29"/>
        <v>685.46666666666681</v>
      </c>
      <c r="AQ56" s="279">
        <v>44409</v>
      </c>
      <c r="AR56" s="13" t="s">
        <v>382</v>
      </c>
      <c r="AS56" s="437" t="s">
        <v>383</v>
      </c>
      <c r="AT56" s="429" t="s">
        <v>384</v>
      </c>
      <c r="AU56" s="280"/>
      <c r="AV56" s="281"/>
      <c r="AW56" s="72" t="s">
        <v>127</v>
      </c>
      <c r="AX56" s="243">
        <v>44409</v>
      </c>
      <c r="AY56" s="71"/>
      <c r="AZ56" s="72" t="s">
        <v>385</v>
      </c>
      <c r="BA56" s="72" t="str">
        <f t="shared" si="35"/>
        <v>W22</v>
      </c>
      <c r="BB56" s="72" t="str">
        <f>IF(R56="n/a","Clear","S/B")</f>
        <v>Clear</v>
      </c>
      <c r="BC56" s="32">
        <f>IF(Q56="","",((P56/100*O56)+T56))</f>
        <v>1.6320000000000001</v>
      </c>
      <c r="BD56" s="241">
        <f>IF(BC56="","",((PI()*((51/2)^2-(16.545/2)^2)/(BC56/10))/100))</f>
        <v>111.99926876886529</v>
      </c>
      <c r="BE56" s="241">
        <f>IF(BC56="","",(BD56-AK56))</f>
        <v>-14.93323583584872</v>
      </c>
      <c r="BF56" s="71">
        <f>IF(BC56="","",(BE56/AK56))</f>
        <v>-0.11764705882352951</v>
      </c>
      <c r="BG56" s="241">
        <f>IF(BF56="","",((PI()*((70/2)^2-(16.545/2)^2)/(BC56/10))/100))</f>
        <v>222.63838504648371</v>
      </c>
      <c r="BH56" s="241">
        <f>IF(BF56="","",(BG56-AL56))</f>
        <v>-29.685118006197882</v>
      </c>
      <c r="BI56" s="71">
        <f>IF(BG56="","",(BH56/AL56))</f>
        <v>-0.1176470588235296</v>
      </c>
      <c r="BJ56" s="123">
        <v>22</v>
      </c>
      <c r="BK56" s="123"/>
      <c r="BL56" s="126"/>
      <c r="BM56" s="123"/>
      <c r="BN56" s="123"/>
      <c r="BO56" s="108"/>
      <c r="BP56" s="108"/>
      <c r="BQ56" s="159">
        <v>171000</v>
      </c>
      <c r="BR56" s="159">
        <v>71250</v>
      </c>
      <c r="BS56" s="100"/>
      <c r="BT56" s="77" t="e">
        <f>P56-V56/10-120/10</f>
        <v>#VALUE!</v>
      </c>
      <c r="BU56" s="282" t="e">
        <f>BT56-Q56</f>
        <v>#VALUE!</v>
      </c>
      <c r="BV56" s="264" t="e">
        <f>T56+(O56/100*(P56-BT56))</f>
        <v>#VALUE!</v>
      </c>
      <c r="BW56" s="169" t="e">
        <f>(AE56-BV56)/AE56</f>
        <v>#VALUE!</v>
      </c>
      <c r="BX56" s="282" t="e">
        <f>(PI()*((51/2)^2-(16.545/2)^2)/(BV56/10))/100</f>
        <v>#VALUE!</v>
      </c>
      <c r="BY56" s="282" t="e">
        <f>BX56-AK56</f>
        <v>#VALUE!</v>
      </c>
      <c r="BZ56" s="169" t="e">
        <f>BY56/AK56</f>
        <v>#VALUE!</v>
      </c>
      <c r="CA56" s="271"/>
    </row>
    <row r="57" spans="1:79" s="72" customFormat="1">
      <c r="A57" s="13" t="s">
        <v>364</v>
      </c>
      <c r="B57" s="13" t="s">
        <v>377</v>
      </c>
      <c r="C57" s="13" t="s">
        <v>386</v>
      </c>
      <c r="D57" s="13" t="s">
        <v>387</v>
      </c>
      <c r="E57" s="13" t="s">
        <v>118</v>
      </c>
      <c r="F57" s="13" t="s">
        <v>119</v>
      </c>
      <c r="G57" s="13" t="s">
        <v>388</v>
      </c>
      <c r="H57" s="13" t="s">
        <v>389</v>
      </c>
      <c r="I57" s="13" t="s">
        <v>139</v>
      </c>
      <c r="J57" s="13" t="s">
        <v>5</v>
      </c>
      <c r="K57" s="13" t="s">
        <v>140</v>
      </c>
      <c r="L57" s="13" t="s">
        <v>390</v>
      </c>
      <c r="M57" s="13" t="s">
        <v>276</v>
      </c>
      <c r="N57" s="13" t="s">
        <v>391</v>
      </c>
      <c r="O57" s="247">
        <v>0.25</v>
      </c>
      <c r="P57" s="438">
        <v>181</v>
      </c>
      <c r="Q57" s="13">
        <v>68</v>
      </c>
      <c r="R57" s="13" t="s">
        <v>127</v>
      </c>
      <c r="S57" s="430" t="str">
        <f t="shared" si="15"/>
        <v>N/A</v>
      </c>
      <c r="T57" s="247">
        <v>0.38</v>
      </c>
      <c r="U57" s="13" t="s">
        <v>127</v>
      </c>
      <c r="V57" s="13" t="s">
        <v>127</v>
      </c>
      <c r="W57" s="430" t="e">
        <f t="shared" si="0"/>
        <v>#VALUE!</v>
      </c>
      <c r="X57" s="430" t="e">
        <f t="shared" si="1"/>
        <v>#VALUE!</v>
      </c>
      <c r="Y57" s="13" t="str">
        <f>U57</f>
        <v>N/A</v>
      </c>
      <c r="Z57" s="13" t="str">
        <f>V57</f>
        <v>N/A</v>
      </c>
      <c r="AA57" s="430" t="e">
        <f t="shared" si="16"/>
        <v>#VALUE!</v>
      </c>
      <c r="AB57" s="430" t="e">
        <f t="shared" si="17"/>
        <v>#VALUE!</v>
      </c>
      <c r="AC57" s="430" t="str">
        <f t="shared" si="18"/>
        <v>N/A</v>
      </c>
      <c r="AD57" s="430">
        <f t="shared" si="19"/>
        <v>113</v>
      </c>
      <c r="AE57" s="431">
        <f t="shared" si="20"/>
        <v>0.66250000000000009</v>
      </c>
      <c r="AF57" s="431"/>
      <c r="AG57" s="431">
        <f t="shared" si="21"/>
        <v>0.5743162983425415</v>
      </c>
      <c r="AH57" s="431">
        <f t="shared" si="22"/>
        <v>0.61164685773480665</v>
      </c>
      <c r="AI57" s="432">
        <f t="shared" si="23"/>
        <v>421.05307500000004</v>
      </c>
      <c r="AJ57" s="432">
        <f t="shared" si="24"/>
        <v>252.32559704129511</v>
      </c>
      <c r="AK57" s="432">
        <f t="shared" si="25"/>
        <v>275.89857604647273</v>
      </c>
      <c r="AL57" s="432">
        <f t="shared" si="26"/>
        <v>548.44655757865871</v>
      </c>
      <c r="AM57" s="250">
        <v>276</v>
      </c>
      <c r="AN57" s="432">
        <f t="shared" si="27"/>
        <v>499.56</v>
      </c>
      <c r="AO57" s="432">
        <f t="shared" si="28"/>
        <v>305.55430425000003</v>
      </c>
      <c r="AP57" s="432">
        <f t="shared" si="29"/>
        <v>449.3445650735294</v>
      </c>
      <c r="AQ57" s="279" t="s">
        <v>132</v>
      </c>
      <c r="AR57" s="255" t="s">
        <v>392</v>
      </c>
      <c r="AS57" s="429"/>
      <c r="AT57" s="429" t="s">
        <v>384</v>
      </c>
      <c r="AU57" s="286"/>
      <c r="AV57" s="287"/>
      <c r="AW57" s="22" t="s">
        <v>127</v>
      </c>
      <c r="AX57" s="260"/>
      <c r="AY57" s="103"/>
      <c r="AZ57" s="22"/>
      <c r="BA57" s="13" t="str">
        <f t="shared" si="35"/>
        <v>W50</v>
      </c>
      <c r="BC57" s="32"/>
      <c r="BD57" s="241"/>
      <c r="BE57" s="241"/>
      <c r="BF57" s="71"/>
      <c r="BG57" s="241"/>
      <c r="BH57" s="241"/>
      <c r="BI57" s="71"/>
      <c r="BJ57" s="114"/>
      <c r="BK57" s="88"/>
      <c r="BL57" s="128"/>
      <c r="BM57" s="88"/>
      <c r="BN57" s="80"/>
      <c r="BO57" s="80"/>
      <c r="BP57" s="80"/>
      <c r="BQ57" s="141"/>
      <c r="BR57" s="71"/>
      <c r="BS57" s="71"/>
      <c r="BT57" s="13" t="e">
        <f>P57-V57/10-120/10</f>
        <v>#VALUE!</v>
      </c>
      <c r="BU57" s="79" t="e">
        <f>BT57-Q57</f>
        <v>#VALUE!</v>
      </c>
      <c r="BV57" s="29" t="e">
        <f>T57+(O57/100*(P57-BT57))</f>
        <v>#VALUE!</v>
      </c>
      <c r="BW57" s="86" t="e">
        <f>(AE57-BV57)/AE57</f>
        <v>#VALUE!</v>
      </c>
      <c r="BX57" s="79" t="e">
        <f>(PI()*((51/2)^2-(16.545/2)^2)/(BV57/10))/100</f>
        <v>#VALUE!</v>
      </c>
      <c r="BY57" s="79" t="e">
        <f>BX57-AK57</f>
        <v>#VALUE!</v>
      </c>
      <c r="BZ57" s="86" t="e">
        <f>BY57/AK57</f>
        <v>#VALUE!</v>
      </c>
      <c r="CA57" s="76"/>
    </row>
    <row r="58" spans="1:79" s="22" customFormat="1">
      <c r="A58" s="13" t="s">
        <v>364</v>
      </c>
      <c r="B58" s="13" t="s">
        <v>377</v>
      </c>
      <c r="C58" s="13" t="s">
        <v>386</v>
      </c>
      <c r="D58" s="13" t="s">
        <v>387</v>
      </c>
      <c r="E58" s="13" t="s">
        <v>118</v>
      </c>
      <c r="F58" s="13" t="s">
        <v>167</v>
      </c>
      <c r="G58" s="13" t="s">
        <v>393</v>
      </c>
      <c r="H58" s="13" t="s">
        <v>121</v>
      </c>
      <c r="I58" s="13" t="s">
        <v>147</v>
      </c>
      <c r="J58" s="13" t="s">
        <v>5</v>
      </c>
      <c r="K58" s="13" t="s">
        <v>123</v>
      </c>
      <c r="L58" s="13" t="s">
        <v>394</v>
      </c>
      <c r="M58" s="13" t="s">
        <v>125</v>
      </c>
      <c r="N58" s="13" t="s">
        <v>126</v>
      </c>
      <c r="O58" s="247">
        <v>0.25</v>
      </c>
      <c r="P58" s="13">
        <v>194</v>
      </c>
      <c r="Q58" s="13">
        <v>86</v>
      </c>
      <c r="R58" s="13" t="s">
        <v>127</v>
      </c>
      <c r="S58" s="430" t="str">
        <f t="shared" si="15"/>
        <v>N/A</v>
      </c>
      <c r="T58" s="247">
        <v>0.38</v>
      </c>
      <c r="U58" s="13" t="s">
        <v>127</v>
      </c>
      <c r="V58" s="13" t="s">
        <v>127</v>
      </c>
      <c r="W58" s="430" t="e">
        <f t="shared" si="0"/>
        <v>#VALUE!</v>
      </c>
      <c r="X58" s="430" t="e">
        <f t="shared" si="1"/>
        <v>#VALUE!</v>
      </c>
      <c r="Y58" s="13">
        <v>200</v>
      </c>
      <c r="Z58" s="13">
        <v>700</v>
      </c>
      <c r="AA58" s="430">
        <f t="shared" si="16"/>
        <v>500</v>
      </c>
      <c r="AB58" s="430">
        <f t="shared" si="17"/>
        <v>380</v>
      </c>
      <c r="AC58" s="430" t="str">
        <f t="shared" si="18"/>
        <v>N/A</v>
      </c>
      <c r="AD58" s="430">
        <f t="shared" si="19"/>
        <v>108</v>
      </c>
      <c r="AE58" s="431">
        <f t="shared" si="20"/>
        <v>0.65</v>
      </c>
      <c r="AF58" s="431"/>
      <c r="AG58" s="431">
        <f t="shared" si="21"/>
        <v>0.57484536082474236</v>
      </c>
      <c r="AH58" s="431">
        <f t="shared" si="22"/>
        <v>0.60933608247422688</v>
      </c>
      <c r="AI58" s="432">
        <f t="shared" si="23"/>
        <v>419.0763</v>
      </c>
      <c r="AJ58" s="432">
        <f t="shared" si="24"/>
        <v>257.17801236901238</v>
      </c>
      <c r="AK58" s="432">
        <f t="shared" si="25"/>
        <v>281.20431789352028</v>
      </c>
      <c r="AL58" s="432">
        <f t="shared" si="26"/>
        <v>558.99360676286381</v>
      </c>
      <c r="AM58" s="250">
        <v>281</v>
      </c>
      <c r="AN58" s="432">
        <f t="shared" si="27"/>
        <v>545.14</v>
      </c>
      <c r="AO58" s="432">
        <f t="shared" si="28"/>
        <v>332.17347200000006</v>
      </c>
      <c r="AP58" s="432">
        <f t="shared" si="29"/>
        <v>386.24822325581403</v>
      </c>
      <c r="AQ58" s="279" t="s">
        <v>170</v>
      </c>
      <c r="AR58" s="344" t="s">
        <v>395</v>
      </c>
      <c r="AS58" s="434"/>
      <c r="AT58" s="429" t="s">
        <v>384</v>
      </c>
      <c r="AU58" s="241"/>
      <c r="AV58" s="243"/>
      <c r="AW58" s="72" t="s">
        <v>127</v>
      </c>
      <c r="AX58" s="243"/>
      <c r="AY58" s="103"/>
      <c r="AZ58" s="72"/>
      <c r="BA58" s="13" t="str">
        <f t="shared" si="35"/>
        <v>W22</v>
      </c>
      <c r="BB58" s="72" t="str">
        <f>IF(R58="n/a","Clear","S/B")</f>
        <v>Clear</v>
      </c>
      <c r="BC58" s="32">
        <f>IF(Q58="","",((P58/100*O58)+T58))</f>
        <v>0.86499999999999999</v>
      </c>
      <c r="BD58" s="241">
        <f>IF(BC58="","",((PI()*((51/2)^2-(16.545/2)^2)/(BC58/10))/100))</f>
        <v>211.30960304137363</v>
      </c>
      <c r="BE58" s="241">
        <f>IF(BC58="","",(BD58-AK58))</f>
        <v>-69.894714852146649</v>
      </c>
      <c r="BF58" s="71">
        <f>IF(BC58="","",(BE58/AK58))</f>
        <v>-0.24855491329479765</v>
      </c>
      <c r="BG58" s="241">
        <f>IF(BF58="","",((PI()*((70/2)^2-(16.545/2)^2)/(BC58/10))/100))</f>
        <v>420.052999301574</v>
      </c>
      <c r="BH58" s="241">
        <f>IF(BF58="","",(BG58-AL58))</f>
        <v>-138.9406074612898</v>
      </c>
      <c r="BI58" s="71">
        <f>IF(BG58="","",(BH58/AL58))</f>
        <v>-0.24855491329479759</v>
      </c>
      <c r="BJ58" s="123"/>
      <c r="BK58" s="108"/>
      <c r="BL58" s="126"/>
      <c r="BM58" s="108"/>
      <c r="BN58" s="71"/>
      <c r="BO58" s="108"/>
      <c r="BP58" s="108"/>
      <c r="BQ58" s="124"/>
      <c r="BR58" s="159"/>
      <c r="BS58" s="71"/>
      <c r="BT58" s="72"/>
      <c r="BU58" s="78"/>
      <c r="BV58" s="32"/>
      <c r="BW58" s="127"/>
      <c r="BX58" s="78"/>
      <c r="BY58" s="78"/>
      <c r="BZ58" s="127"/>
      <c r="CA58" s="76"/>
    </row>
    <row r="59" spans="1:79" s="262" customFormat="1" ht="15" customHeight="1">
      <c r="A59" s="13" t="s">
        <v>364</v>
      </c>
      <c r="B59" s="13" t="s">
        <v>377</v>
      </c>
      <c r="C59" s="13" t="s">
        <v>396</v>
      </c>
      <c r="D59" s="13" t="s">
        <v>397</v>
      </c>
      <c r="E59" s="13" t="s">
        <v>118</v>
      </c>
      <c r="F59" s="13" t="s">
        <v>167</v>
      </c>
      <c r="G59" s="13" t="s">
        <v>398</v>
      </c>
      <c r="H59" s="13" t="s">
        <v>121</v>
      </c>
      <c r="I59" s="13" t="s">
        <v>122</v>
      </c>
      <c r="J59" s="13" t="s">
        <v>5</v>
      </c>
      <c r="K59" s="13" t="s">
        <v>123</v>
      </c>
      <c r="L59" s="13" t="s">
        <v>399</v>
      </c>
      <c r="M59" s="13" t="s">
        <v>400</v>
      </c>
      <c r="N59" s="13" t="s">
        <v>126</v>
      </c>
      <c r="O59" s="247">
        <v>0.6</v>
      </c>
      <c r="P59" s="13">
        <v>183</v>
      </c>
      <c r="Q59" s="13">
        <v>65</v>
      </c>
      <c r="R59" s="13" t="s">
        <v>127</v>
      </c>
      <c r="S59" s="430" t="str">
        <f t="shared" si="15"/>
        <v>N/A</v>
      </c>
      <c r="T59" s="247">
        <v>0.38</v>
      </c>
      <c r="U59" s="13" t="s">
        <v>127</v>
      </c>
      <c r="V59" s="13" t="s">
        <v>127</v>
      </c>
      <c r="W59" s="430" t="e">
        <f t="shared" si="0"/>
        <v>#VALUE!</v>
      </c>
      <c r="X59" s="430" t="e">
        <f t="shared" si="1"/>
        <v>#VALUE!</v>
      </c>
      <c r="Y59" s="13" t="str">
        <f t="shared" ref="Y59:Z61" si="36">U59</f>
        <v>N/A</v>
      </c>
      <c r="Z59" s="13" t="str">
        <f t="shared" si="36"/>
        <v>N/A</v>
      </c>
      <c r="AA59" s="430" t="e">
        <f t="shared" si="16"/>
        <v>#VALUE!</v>
      </c>
      <c r="AB59" s="430" t="e">
        <f t="shared" si="17"/>
        <v>#VALUE!</v>
      </c>
      <c r="AC59" s="430" t="str">
        <f t="shared" si="18"/>
        <v>N/A</v>
      </c>
      <c r="AD59" s="430">
        <f t="shared" si="19"/>
        <v>118</v>
      </c>
      <c r="AE59" s="431">
        <f t="shared" si="20"/>
        <v>1.0880000000000001</v>
      </c>
      <c r="AF59" s="431"/>
      <c r="AG59" s="431">
        <f t="shared" si="21"/>
        <v>0.8597377049180327</v>
      </c>
      <c r="AH59" s="431">
        <f t="shared" si="22"/>
        <v>0</v>
      </c>
      <c r="AI59" s="432">
        <f t="shared" si="23"/>
        <v>0</v>
      </c>
      <c r="AJ59" s="432">
        <f t="shared" si="24"/>
        <v>153.64495224251655</v>
      </c>
      <c r="AK59" s="432">
        <f t="shared" si="25"/>
        <v>167.99890315329793</v>
      </c>
      <c r="AL59" s="432">
        <f t="shared" si="26"/>
        <v>333.95757756972563</v>
      </c>
      <c r="AM59" s="439">
        <v>166</v>
      </c>
      <c r="AN59" s="432">
        <f t="shared" si="27"/>
        <v>303.77999999999997</v>
      </c>
      <c r="AO59" s="432">
        <f t="shared" si="28"/>
        <v>0</v>
      </c>
      <c r="AP59" s="432">
        <f t="shared" si="29"/>
        <v>0</v>
      </c>
      <c r="AQ59" s="255">
        <v>43862</v>
      </c>
      <c r="AR59" s="344" t="s">
        <v>401</v>
      </c>
      <c r="AS59" s="434" t="s">
        <v>402</v>
      </c>
      <c r="AT59" s="429" t="s">
        <v>403</v>
      </c>
      <c r="AU59" s="241" t="s">
        <v>404</v>
      </c>
      <c r="AV59" s="243" t="s">
        <v>405</v>
      </c>
      <c r="AW59" s="72" t="s">
        <v>127</v>
      </c>
      <c r="AX59" s="285">
        <v>43862</v>
      </c>
      <c r="AY59" s="103"/>
      <c r="AZ59" s="72"/>
      <c r="BA59" s="13" t="str">
        <f t="shared" si="35"/>
        <v>W12</v>
      </c>
      <c r="BB59" s="72" t="str">
        <f>IF(R59="n/a","Clear","S/B")</f>
        <v>Clear</v>
      </c>
      <c r="BC59" s="32">
        <f>IF(Q59="","",((P59/100*O59)+T59))</f>
        <v>1.4780000000000002</v>
      </c>
      <c r="BD59" s="241">
        <f>IF(BC59="","",((PI()*((51/2)^2-(16.545/2)^2)/(BC59/10))/100))</f>
        <v>123.66901666494464</v>
      </c>
      <c r="BE59" s="241">
        <f>IF(BC59="","",(BD59-AK59))</f>
        <v>-44.329886488353296</v>
      </c>
      <c r="BF59" s="71">
        <f>IF(BC59="","",(BE59/AK59))</f>
        <v>-0.26387009472259804</v>
      </c>
      <c r="BG59" s="241">
        <f>IF(BF59="","",((PI()*((70/2)^2-(16.545/2)^2)/(BC59/10))/100))</f>
        <v>245.83615994307266</v>
      </c>
      <c r="BH59" s="241">
        <f>IF(BF59="","",(BG59-AL59))</f>
        <v>-88.121417626652971</v>
      </c>
      <c r="BI59" s="71">
        <f>IF(BG59="","",(BH59/AL59))</f>
        <v>-0.26387009472259831</v>
      </c>
      <c r="BJ59" s="123"/>
      <c r="BK59" s="123"/>
      <c r="BL59" s="126"/>
      <c r="BM59" s="108"/>
      <c r="BN59" s="123"/>
      <c r="BO59" s="108"/>
      <c r="BP59" s="108"/>
      <c r="BQ59" s="83"/>
      <c r="BR59" s="71"/>
      <c r="BS59" s="71"/>
      <c r="BT59" s="13" t="e">
        <f>P59-V59/10-120/10</f>
        <v>#VALUE!</v>
      </c>
      <c r="BU59" s="79" t="e">
        <f>BT59-Q59</f>
        <v>#VALUE!</v>
      </c>
      <c r="BV59" s="29" t="e">
        <f>T59+(O59/100*(P59-BT59))</f>
        <v>#VALUE!</v>
      </c>
      <c r="BW59" s="86" t="e">
        <f>(AE59-BV59)/AE59</f>
        <v>#VALUE!</v>
      </c>
      <c r="BX59" s="79" t="e">
        <f>(PI()*((51/2)^2-(16.545/2)^2)/(BV59/10))/100</f>
        <v>#VALUE!</v>
      </c>
      <c r="BY59" s="79" t="e">
        <f>BX59-AK59</f>
        <v>#VALUE!</v>
      </c>
      <c r="BZ59" s="86" t="e">
        <f>BY59/AK59</f>
        <v>#VALUE!</v>
      </c>
      <c r="CA59" s="76"/>
    </row>
    <row r="60" spans="1:79" s="77" customFormat="1">
      <c r="A60" s="13" t="s">
        <v>364</v>
      </c>
      <c r="B60" s="13" t="s">
        <v>377</v>
      </c>
      <c r="C60" s="13" t="s">
        <v>386</v>
      </c>
      <c r="D60" s="13" t="s">
        <v>387</v>
      </c>
      <c r="E60" s="13" t="s">
        <v>118</v>
      </c>
      <c r="F60" s="13" t="s">
        <v>167</v>
      </c>
      <c r="G60" s="13" t="s">
        <v>406</v>
      </c>
      <c r="H60" s="13" t="s">
        <v>389</v>
      </c>
      <c r="I60" s="13" t="s">
        <v>139</v>
      </c>
      <c r="J60" s="13" t="s">
        <v>5</v>
      </c>
      <c r="K60" s="13" t="s">
        <v>140</v>
      </c>
      <c r="L60" s="13" t="s">
        <v>407</v>
      </c>
      <c r="M60" s="13" t="s">
        <v>276</v>
      </c>
      <c r="N60" s="13" t="s">
        <v>391</v>
      </c>
      <c r="O60" s="247">
        <v>0.25</v>
      </c>
      <c r="P60" s="438">
        <v>194</v>
      </c>
      <c r="Q60" s="13">
        <v>86</v>
      </c>
      <c r="R60" s="13" t="s">
        <v>127</v>
      </c>
      <c r="S60" s="430" t="str">
        <f t="shared" si="15"/>
        <v>N/A</v>
      </c>
      <c r="T60" s="247">
        <v>0.38</v>
      </c>
      <c r="U60" s="13" t="s">
        <v>127</v>
      </c>
      <c r="V60" s="13" t="s">
        <v>127</v>
      </c>
      <c r="W60" s="430" t="e">
        <f t="shared" si="0"/>
        <v>#VALUE!</v>
      </c>
      <c r="X60" s="430" t="e">
        <f t="shared" si="1"/>
        <v>#VALUE!</v>
      </c>
      <c r="Y60" s="13" t="str">
        <f t="shared" si="36"/>
        <v>N/A</v>
      </c>
      <c r="Z60" s="13" t="str">
        <f t="shared" si="36"/>
        <v>N/A</v>
      </c>
      <c r="AA60" s="430" t="e">
        <f t="shared" si="16"/>
        <v>#VALUE!</v>
      </c>
      <c r="AB60" s="430" t="e">
        <f t="shared" si="17"/>
        <v>#VALUE!</v>
      </c>
      <c r="AC60" s="430" t="str">
        <f t="shared" si="18"/>
        <v>N/A</v>
      </c>
      <c r="AD60" s="430">
        <f t="shared" si="19"/>
        <v>108</v>
      </c>
      <c r="AE60" s="431">
        <f t="shared" si="20"/>
        <v>0.65</v>
      </c>
      <c r="AF60" s="431"/>
      <c r="AG60" s="431">
        <f t="shared" si="21"/>
        <v>0.57484536082474236</v>
      </c>
      <c r="AH60" s="431">
        <f t="shared" si="22"/>
        <v>0.61221030927835052</v>
      </c>
      <c r="AI60" s="432">
        <f t="shared" si="23"/>
        <v>421.05307500000004</v>
      </c>
      <c r="AJ60" s="432">
        <f t="shared" si="24"/>
        <v>257.17801236901238</v>
      </c>
      <c r="AK60" s="432">
        <f t="shared" si="25"/>
        <v>281.20431789352028</v>
      </c>
      <c r="AL60" s="432">
        <f t="shared" si="26"/>
        <v>558.99360676286381</v>
      </c>
      <c r="AM60" s="250">
        <v>281</v>
      </c>
      <c r="AN60" s="432">
        <f t="shared" si="27"/>
        <v>545.14</v>
      </c>
      <c r="AO60" s="432">
        <f t="shared" si="28"/>
        <v>333.74032799999998</v>
      </c>
      <c r="AP60" s="432">
        <f t="shared" si="29"/>
        <v>388.07014883720927</v>
      </c>
      <c r="AQ60" s="279">
        <v>44958</v>
      </c>
      <c r="AR60" s="255" t="s">
        <v>408</v>
      </c>
      <c r="AS60" s="429" t="s">
        <v>409</v>
      </c>
      <c r="AT60" s="429" t="s">
        <v>410</v>
      </c>
      <c r="AU60" s="280"/>
      <c r="AV60" s="281"/>
      <c r="AW60" s="72" t="s">
        <v>127</v>
      </c>
      <c r="AX60" s="243"/>
      <c r="AY60" s="103"/>
      <c r="AZ60" s="72"/>
      <c r="BA60" s="13" t="str">
        <f t="shared" si="35"/>
        <v>W50</v>
      </c>
      <c r="BB60" s="72" t="str">
        <f>IF(R60="n/a","Clear","S/B")</f>
        <v>Clear</v>
      </c>
      <c r="BC60" s="32">
        <f>IF(Q60="","",((P60/100*O60)+T60))</f>
        <v>0.86499999999999999</v>
      </c>
      <c r="BD60" s="241">
        <f>IF(BC60="","",((PI()*((51/2)^2-(16.545/2)^2)/(BC60/10))/100))</f>
        <v>211.30960304137363</v>
      </c>
      <c r="BE60" s="241">
        <f>IF(BC60="","",(BD60-AK60))</f>
        <v>-69.894714852146649</v>
      </c>
      <c r="BF60" s="71">
        <f>IF(BC60="","",(BE60/AK60))</f>
        <v>-0.24855491329479765</v>
      </c>
      <c r="BG60" s="241">
        <f>IF(BF60="","",((PI()*((70/2)^2-(16.545/2)^2)/(BC60/10))/100))</f>
        <v>420.052999301574</v>
      </c>
      <c r="BH60" s="241">
        <f>IF(BF60="","",(BG60-AL60))</f>
        <v>-138.9406074612898</v>
      </c>
      <c r="BI60" s="71">
        <f>IF(BG60="","",(BH60/AL60))</f>
        <v>-0.24855491329479759</v>
      </c>
      <c r="BJ60" s="123"/>
      <c r="BK60" s="108"/>
      <c r="BL60" s="126"/>
      <c r="BM60" s="108"/>
      <c r="BN60" s="71"/>
      <c r="BO60" s="71"/>
      <c r="BP60" s="71"/>
      <c r="BQ60" s="124"/>
      <c r="BR60" s="124"/>
      <c r="BS60" s="71"/>
      <c r="BT60" s="72"/>
      <c r="BU60" s="78"/>
      <c r="BV60" s="32"/>
      <c r="BW60" s="127"/>
      <c r="BX60" s="78"/>
      <c r="BY60" s="78"/>
      <c r="BZ60" s="127"/>
      <c r="CA60" s="76"/>
    </row>
    <row r="61" spans="1:79" s="22" customFormat="1">
      <c r="A61" s="13" t="s">
        <v>364</v>
      </c>
      <c r="B61" s="13" t="s">
        <v>377</v>
      </c>
      <c r="C61" s="13" t="s">
        <v>396</v>
      </c>
      <c r="D61" s="13" t="s">
        <v>397</v>
      </c>
      <c r="E61" s="13" t="s">
        <v>137</v>
      </c>
      <c r="F61" s="13" t="s">
        <v>186</v>
      </c>
      <c r="G61" s="13" t="s">
        <v>411</v>
      </c>
      <c r="H61" s="13" t="s">
        <v>389</v>
      </c>
      <c r="I61" s="13" t="s">
        <v>139</v>
      </c>
      <c r="J61" s="13" t="s">
        <v>5</v>
      </c>
      <c r="K61" s="13" t="s">
        <v>140</v>
      </c>
      <c r="L61" s="13" t="s">
        <v>412</v>
      </c>
      <c r="M61" s="13" t="s">
        <v>276</v>
      </c>
      <c r="N61" s="13" t="s">
        <v>391</v>
      </c>
      <c r="O61" s="247">
        <v>0.6</v>
      </c>
      <c r="P61" s="438">
        <v>183</v>
      </c>
      <c r="Q61" s="13">
        <v>65</v>
      </c>
      <c r="R61" s="13" t="s">
        <v>127</v>
      </c>
      <c r="S61" s="430" t="str">
        <f t="shared" si="15"/>
        <v>N/A</v>
      </c>
      <c r="T61" s="247">
        <v>0.38</v>
      </c>
      <c r="U61" s="13" t="s">
        <v>127</v>
      </c>
      <c r="V61" s="13" t="s">
        <v>127</v>
      </c>
      <c r="W61" s="430" t="e">
        <f t="shared" si="0"/>
        <v>#VALUE!</v>
      </c>
      <c r="X61" s="430" t="e">
        <f t="shared" si="1"/>
        <v>#VALUE!</v>
      </c>
      <c r="Y61" s="13" t="str">
        <f t="shared" si="36"/>
        <v>N/A</v>
      </c>
      <c r="Z61" s="13" t="str">
        <f t="shared" si="36"/>
        <v>N/A</v>
      </c>
      <c r="AA61" s="430" t="e">
        <f t="shared" si="16"/>
        <v>#VALUE!</v>
      </c>
      <c r="AB61" s="430" t="e">
        <f t="shared" si="17"/>
        <v>#VALUE!</v>
      </c>
      <c r="AC61" s="430" t="str">
        <f t="shared" si="18"/>
        <v>N/A</v>
      </c>
      <c r="AD61" s="430">
        <f t="shared" si="19"/>
        <v>118</v>
      </c>
      <c r="AE61" s="431">
        <f t="shared" si="20"/>
        <v>1.0880000000000001</v>
      </c>
      <c r="AF61" s="431"/>
      <c r="AG61" s="431">
        <f t="shared" si="21"/>
        <v>0.8597377049180327</v>
      </c>
      <c r="AH61" s="431">
        <f t="shared" si="22"/>
        <v>0.91562065573770479</v>
      </c>
      <c r="AI61" s="432">
        <f t="shared" si="23"/>
        <v>443.94738000000001</v>
      </c>
      <c r="AJ61" s="432">
        <f t="shared" si="24"/>
        <v>153.64495224251655</v>
      </c>
      <c r="AK61" s="432">
        <f t="shared" si="25"/>
        <v>167.99890315329793</v>
      </c>
      <c r="AL61" s="432">
        <f t="shared" si="26"/>
        <v>333.95757756972563</v>
      </c>
      <c r="AM61" s="250">
        <v>166</v>
      </c>
      <c r="AN61" s="432">
        <f t="shared" si="27"/>
        <v>303.77999999999997</v>
      </c>
      <c r="AO61" s="432">
        <f t="shared" si="28"/>
        <v>278.14724279999996</v>
      </c>
      <c r="AP61" s="432">
        <f t="shared" si="29"/>
        <v>427.91883507692302</v>
      </c>
      <c r="AQ61" s="279" t="s">
        <v>413</v>
      </c>
      <c r="AR61" s="255" t="s">
        <v>238</v>
      </c>
      <c r="AS61" s="429" t="s">
        <v>414</v>
      </c>
      <c r="AT61" s="429" t="s">
        <v>403</v>
      </c>
      <c r="AU61" s="292"/>
      <c r="AV61" s="290"/>
      <c r="AW61" s="273" t="s">
        <v>415</v>
      </c>
      <c r="AX61" s="255"/>
      <c r="AY61" s="103"/>
      <c r="AZ61" s="273"/>
      <c r="BA61" s="13" t="str">
        <f t="shared" si="35"/>
        <v>W50</v>
      </c>
      <c r="BB61" s="72" t="str">
        <f>IF(R61="n/a","Clear","S/B")</f>
        <v>Clear</v>
      </c>
      <c r="BC61" s="32">
        <f>IF(Q61="","",((P61/100*O61)+T61))</f>
        <v>1.4780000000000002</v>
      </c>
      <c r="BD61" s="241">
        <f>IF(BC61="","",((PI()*((51/2)^2-(16.545/2)^2)/(BC61/10))/100))</f>
        <v>123.66901666494464</v>
      </c>
      <c r="BE61" s="241">
        <f>IF(BC61="","",(BD61-AK61))</f>
        <v>-44.329886488353296</v>
      </c>
      <c r="BF61" s="71">
        <f>IF(BC61="","",(BE61/AK61))</f>
        <v>-0.26387009472259804</v>
      </c>
      <c r="BG61" s="241">
        <f>IF(BF61="","",((PI()*((70/2)^2-(16.545/2)^2)/(BC61/10))/100))</f>
        <v>245.83615994307266</v>
      </c>
      <c r="BH61" s="241">
        <f>IF(BF61="","",(BG61-AL61))</f>
        <v>-88.121417626652971</v>
      </c>
      <c r="BI61" s="71">
        <f>IF(BG61="","",(BH61/AL61))</f>
        <v>-0.26387009472259831</v>
      </c>
      <c r="BJ61" s="111"/>
      <c r="BK61" s="83"/>
      <c r="BL61" s="112"/>
      <c r="BM61" s="83"/>
      <c r="BN61" s="71"/>
      <c r="BO61" s="103"/>
      <c r="BP61" s="103"/>
      <c r="BQ61" s="71"/>
      <c r="BR61" s="71"/>
      <c r="BS61" s="71"/>
      <c r="BT61" s="72" t="e">
        <f>P61-V61/10-120/10</f>
        <v>#VALUE!</v>
      </c>
      <c r="BU61" s="78" t="e">
        <f>BT61-Q61</f>
        <v>#VALUE!</v>
      </c>
      <c r="BV61" s="32" t="e">
        <f>T61+(O61/100*(P61-BT61))</f>
        <v>#VALUE!</v>
      </c>
      <c r="BW61" s="127" t="e">
        <f>(AE61-BV61)/AE61</f>
        <v>#VALUE!</v>
      </c>
      <c r="BX61" s="78" t="e">
        <f>(PI()*((51/2)^2-(16.545/2)^2)/(BV61/10))/100</f>
        <v>#VALUE!</v>
      </c>
      <c r="BY61" s="78" t="e">
        <f>BX61-AK61</f>
        <v>#VALUE!</v>
      </c>
      <c r="BZ61" s="127" t="e">
        <f>BY61/AK61</f>
        <v>#VALUE!</v>
      </c>
      <c r="CA61" s="76"/>
    </row>
    <row r="62" spans="1:79" s="22" customFormat="1">
      <c r="A62" s="13" t="s">
        <v>364</v>
      </c>
      <c r="B62" s="13" t="s">
        <v>377</v>
      </c>
      <c r="C62" s="13" t="s">
        <v>396</v>
      </c>
      <c r="D62" s="13" t="s">
        <v>397</v>
      </c>
      <c r="E62" s="13" t="s">
        <v>118</v>
      </c>
      <c r="F62" s="13" t="s">
        <v>186</v>
      </c>
      <c r="G62" s="13" t="s">
        <v>416</v>
      </c>
      <c r="H62" s="13" t="s">
        <v>121</v>
      </c>
      <c r="I62" s="13" t="s">
        <v>147</v>
      </c>
      <c r="J62" s="13" t="s">
        <v>5</v>
      </c>
      <c r="K62" s="13" t="s">
        <v>123</v>
      </c>
      <c r="L62" s="13" t="s">
        <v>417</v>
      </c>
      <c r="M62" s="13" t="s">
        <v>125</v>
      </c>
      <c r="N62" s="13" t="s">
        <v>126</v>
      </c>
      <c r="O62" s="247">
        <v>0.6</v>
      </c>
      <c r="P62" s="13">
        <v>183</v>
      </c>
      <c r="Q62" s="13">
        <v>65</v>
      </c>
      <c r="R62" s="13" t="s">
        <v>127</v>
      </c>
      <c r="S62" s="430" t="str">
        <f t="shared" si="15"/>
        <v>N/A</v>
      </c>
      <c r="T62" s="247">
        <v>0.38</v>
      </c>
      <c r="U62" s="13">
        <v>300</v>
      </c>
      <c r="V62" s="13">
        <v>650</v>
      </c>
      <c r="W62" s="430">
        <f t="shared" si="0"/>
        <v>350</v>
      </c>
      <c r="X62" s="430">
        <f t="shared" si="1"/>
        <v>530</v>
      </c>
      <c r="Y62" s="13">
        <v>300</v>
      </c>
      <c r="Z62" s="13">
        <v>700</v>
      </c>
      <c r="AA62" s="430">
        <f t="shared" si="16"/>
        <v>400</v>
      </c>
      <c r="AB62" s="430">
        <f t="shared" si="17"/>
        <v>480</v>
      </c>
      <c r="AC62" s="430" t="str">
        <f t="shared" si="18"/>
        <v>N/A</v>
      </c>
      <c r="AD62" s="430">
        <f t="shared" si="19"/>
        <v>118</v>
      </c>
      <c r="AE62" s="431">
        <f t="shared" si="20"/>
        <v>1.0880000000000001</v>
      </c>
      <c r="AF62" s="431"/>
      <c r="AG62" s="431">
        <f t="shared" si="21"/>
        <v>0.8597377049180327</v>
      </c>
      <c r="AH62" s="431">
        <f t="shared" si="22"/>
        <v>0.91132196721311465</v>
      </c>
      <c r="AI62" s="432">
        <f t="shared" si="23"/>
        <v>441.86311999999998</v>
      </c>
      <c r="AJ62" s="432">
        <f t="shared" si="24"/>
        <v>153.64495224251655</v>
      </c>
      <c r="AK62" s="432">
        <f t="shared" si="25"/>
        <v>167.99890315329793</v>
      </c>
      <c r="AL62" s="432">
        <f t="shared" si="26"/>
        <v>333.95757756972563</v>
      </c>
      <c r="AM62" s="283">
        <v>166</v>
      </c>
      <c r="AN62" s="432">
        <f t="shared" si="27"/>
        <v>303.77999999999997</v>
      </c>
      <c r="AO62" s="432">
        <f t="shared" si="28"/>
        <v>276.84138719999993</v>
      </c>
      <c r="AP62" s="432">
        <f t="shared" si="29"/>
        <v>425.90982646153833</v>
      </c>
      <c r="AQ62" s="279">
        <v>44409</v>
      </c>
      <c r="AR62" s="344" t="s">
        <v>418</v>
      </c>
      <c r="AS62" s="434" t="s">
        <v>419</v>
      </c>
      <c r="AT62" s="429" t="s">
        <v>420</v>
      </c>
      <c r="AU62" s="319"/>
      <c r="AV62" s="320"/>
      <c r="AW62" s="235" t="s">
        <v>127</v>
      </c>
      <c r="AX62" s="203">
        <v>44409</v>
      </c>
      <c r="AY62" s="204"/>
      <c r="AZ62" s="235"/>
      <c r="BA62" s="198" t="str">
        <f t="shared" si="35"/>
        <v>W22</v>
      </c>
      <c r="BB62" s="205" t="str">
        <f>IF(R62="n/a","Clear","S/B")</f>
        <v>Clear</v>
      </c>
      <c r="BC62" s="206">
        <f>IF(Q62="","",((P62/100*O62)+T62))</f>
        <v>1.4780000000000002</v>
      </c>
      <c r="BD62" s="202">
        <f>IF(BC62="","",((PI()*((51/2)^2-(16.545/2)^2)/(BC62/10))/100))</f>
        <v>123.66901666494464</v>
      </c>
      <c r="BE62" s="202">
        <f>IF(BC62="","",(BD62-AK62))</f>
        <v>-44.329886488353296</v>
      </c>
      <c r="BF62" s="207">
        <f>IF(BC62="","",(BE62/AK62))</f>
        <v>-0.26387009472259804</v>
      </c>
      <c r="BG62" s="202">
        <f>IF(BF62="","",((PI()*((70/2)^2-(16.545/2)^2)/(BC62/10))/100))</f>
        <v>245.83615994307266</v>
      </c>
      <c r="BH62" s="202">
        <f>IF(BF62="","",(BG62-AL62))</f>
        <v>-88.121417626652971</v>
      </c>
      <c r="BI62" s="207">
        <f>IF(BG62="","",(BH62/AL62))</f>
        <v>-0.26387009472259831</v>
      </c>
      <c r="BJ62" s="223">
        <v>18</v>
      </c>
      <c r="BK62" s="210">
        <v>18</v>
      </c>
      <c r="BL62" s="208">
        <f>AH62</f>
        <v>0.91132196721311465</v>
      </c>
      <c r="BM62" s="210">
        <f>BK62/AH62</f>
        <v>19.751526515974636</v>
      </c>
      <c r="BN62" s="209">
        <f>BK62-BM62</f>
        <v>-1.7515265159746356</v>
      </c>
      <c r="BO62" s="211">
        <v>19.079999999999998</v>
      </c>
      <c r="BP62" s="211">
        <f>BO62-BM62</f>
        <v>-0.67152651597463731</v>
      </c>
      <c r="BQ62" s="209"/>
      <c r="BR62" s="207"/>
      <c r="BS62" s="207"/>
      <c r="BT62" s="205"/>
      <c r="BU62" s="219"/>
      <c r="BV62" s="206"/>
      <c r="BW62" s="220"/>
      <c r="BX62" s="219"/>
      <c r="BY62" s="219"/>
      <c r="BZ62" s="220"/>
      <c r="CA62" s="76"/>
    </row>
    <row r="63" spans="1:79" s="22" customFormat="1">
      <c r="A63" s="13" t="s">
        <v>421</v>
      </c>
      <c r="B63" s="13" t="s">
        <v>422</v>
      </c>
      <c r="C63" s="13"/>
      <c r="D63" s="13"/>
      <c r="E63" s="13" t="s">
        <v>118</v>
      </c>
      <c r="F63" s="13" t="s">
        <v>119</v>
      </c>
      <c r="G63" s="13" t="s">
        <v>423</v>
      </c>
      <c r="H63" s="13" t="s">
        <v>146</v>
      </c>
      <c r="I63" s="13" t="s">
        <v>147</v>
      </c>
      <c r="J63" s="13" t="s">
        <v>5</v>
      </c>
      <c r="K63" s="13" t="s">
        <v>123</v>
      </c>
      <c r="L63" s="13" t="s">
        <v>424</v>
      </c>
      <c r="M63" s="13" t="s">
        <v>125</v>
      </c>
      <c r="N63" s="13" t="s">
        <v>126</v>
      </c>
      <c r="O63" s="247">
        <v>0.37</v>
      </c>
      <c r="P63" s="13">
        <v>110</v>
      </c>
      <c r="Q63" s="13">
        <v>30</v>
      </c>
      <c r="R63" s="13" t="s">
        <v>127</v>
      </c>
      <c r="S63" s="430" t="str">
        <f t="shared" si="15"/>
        <v>N/A</v>
      </c>
      <c r="T63" s="247">
        <v>0.8</v>
      </c>
      <c r="U63" s="13">
        <v>110</v>
      </c>
      <c r="V63" s="13">
        <v>550</v>
      </c>
      <c r="W63" s="430">
        <f t="shared" si="0"/>
        <v>440</v>
      </c>
      <c r="X63" s="430">
        <f t="shared" si="1"/>
        <v>250</v>
      </c>
      <c r="Y63" s="13">
        <v>110</v>
      </c>
      <c r="Z63" s="13">
        <v>550</v>
      </c>
      <c r="AA63" s="430">
        <f t="shared" si="16"/>
        <v>440</v>
      </c>
      <c r="AB63" s="430">
        <f t="shared" si="17"/>
        <v>250</v>
      </c>
      <c r="AC63" s="430" t="str">
        <f t="shared" si="18"/>
        <v>N/A</v>
      </c>
      <c r="AD63" s="430">
        <f t="shared" si="19"/>
        <v>80</v>
      </c>
      <c r="AE63" s="431">
        <f t="shared" si="20"/>
        <v>1.0960000000000001</v>
      </c>
      <c r="AF63" s="431"/>
      <c r="AG63" s="431">
        <f t="shared" si="21"/>
        <v>0.98836363636363633</v>
      </c>
      <c r="AH63" s="431">
        <f t="shared" si="22"/>
        <v>1.0476654545454547</v>
      </c>
      <c r="AI63" s="432">
        <f t="shared" si="23"/>
        <v>872.08892400000002</v>
      </c>
      <c r="AJ63" s="432">
        <f t="shared" si="24"/>
        <v>152.52345624074638</v>
      </c>
      <c r="AK63" s="432">
        <f t="shared" si="25"/>
        <v>166.77263378721548</v>
      </c>
      <c r="AL63" s="432">
        <f t="shared" si="26"/>
        <v>331.51993101812178</v>
      </c>
      <c r="AM63" s="283">
        <v>120</v>
      </c>
      <c r="AN63" s="432">
        <f t="shared" si="27"/>
        <v>132</v>
      </c>
      <c r="AO63" s="432">
        <f t="shared" si="28"/>
        <v>138.29184000000001</v>
      </c>
      <c r="AP63" s="432">
        <f t="shared" si="29"/>
        <v>460.97280000000006</v>
      </c>
      <c r="AQ63" s="279" t="s">
        <v>132</v>
      </c>
      <c r="AR63" s="344" t="s">
        <v>425</v>
      </c>
      <c r="AS63" s="434"/>
      <c r="AT63" s="429"/>
      <c r="AU63" s="274"/>
      <c r="AV63" s="276"/>
      <c r="AW63" s="14"/>
      <c r="AX63" s="255"/>
      <c r="AY63" s="103"/>
      <c r="AZ63" s="14"/>
      <c r="BA63" s="13"/>
      <c r="BB63" s="72"/>
      <c r="BC63" s="32"/>
      <c r="BD63" s="241"/>
      <c r="BE63" s="241"/>
      <c r="BF63" s="71"/>
      <c r="BG63" s="241"/>
      <c r="BH63" s="241"/>
      <c r="BI63" s="71"/>
      <c r="BJ63" s="114"/>
      <c r="BK63" s="111"/>
      <c r="BL63" s="112"/>
      <c r="BM63" s="111"/>
      <c r="BN63" s="123"/>
      <c r="BO63" s="83"/>
      <c r="BP63" s="83"/>
      <c r="BQ63" s="155"/>
      <c r="BR63" s="159"/>
      <c r="BS63" s="100"/>
      <c r="BT63" s="72">
        <f>P63-V63/10-120/10</f>
        <v>43</v>
      </c>
      <c r="BU63" s="78">
        <f>BT63-Q63</f>
        <v>13</v>
      </c>
      <c r="BV63" s="32">
        <f>T63+(O63/100*(P63-BT63))</f>
        <v>1.0479000000000001</v>
      </c>
      <c r="BW63" s="127">
        <f>(AE63-BV63)/AE63</f>
        <v>4.3886861313868639E-2</v>
      </c>
      <c r="BX63" s="78">
        <f>(PI()*((51/2)^2-(16.545/2)^2)/(BV63/10))/100</f>
        <v>174.42771889568485</v>
      </c>
      <c r="BY63" s="78">
        <f>BX63-AK63</f>
        <v>7.6550851084693647</v>
      </c>
      <c r="BZ63" s="127">
        <f>BY63/AK63</f>
        <v>4.5901326462448606E-2</v>
      </c>
      <c r="CA63" s="76"/>
    </row>
    <row r="64" spans="1:79" s="22" customFormat="1">
      <c r="A64" s="13" t="s">
        <v>421</v>
      </c>
      <c r="B64" s="13" t="s">
        <v>422</v>
      </c>
      <c r="C64" s="13"/>
      <c r="D64" s="13"/>
      <c r="E64" s="13" t="s">
        <v>118</v>
      </c>
      <c r="F64" s="13" t="s">
        <v>119</v>
      </c>
      <c r="G64" s="13" t="s">
        <v>426</v>
      </c>
      <c r="H64" s="13" t="s">
        <v>146</v>
      </c>
      <c r="I64" s="13" t="s">
        <v>147</v>
      </c>
      <c r="J64" s="13" t="s">
        <v>5</v>
      </c>
      <c r="K64" s="13" t="s">
        <v>123</v>
      </c>
      <c r="L64" s="13" t="s">
        <v>427</v>
      </c>
      <c r="M64" s="13" t="s">
        <v>125</v>
      </c>
      <c r="N64" s="13" t="s">
        <v>126</v>
      </c>
      <c r="O64" s="247">
        <v>0.28000000000000003</v>
      </c>
      <c r="P64" s="13">
        <v>107</v>
      </c>
      <c r="Q64" s="13">
        <v>30</v>
      </c>
      <c r="R64" s="13" t="s">
        <v>127</v>
      </c>
      <c r="S64" s="430" t="str">
        <f t="shared" si="15"/>
        <v>N/A</v>
      </c>
      <c r="T64" s="247">
        <v>0.8</v>
      </c>
      <c r="U64" s="13">
        <v>100</v>
      </c>
      <c r="V64" s="13">
        <v>533</v>
      </c>
      <c r="W64" s="430">
        <f t="shared" si="0"/>
        <v>433</v>
      </c>
      <c r="X64" s="430">
        <f t="shared" si="1"/>
        <v>237</v>
      </c>
      <c r="Y64" s="13">
        <v>100</v>
      </c>
      <c r="Z64" s="13">
        <v>533</v>
      </c>
      <c r="AA64" s="430">
        <f t="shared" si="16"/>
        <v>433</v>
      </c>
      <c r="AB64" s="430">
        <f t="shared" si="17"/>
        <v>237</v>
      </c>
      <c r="AC64" s="430" t="str">
        <f t="shared" si="18"/>
        <v>N/A</v>
      </c>
      <c r="AD64" s="430">
        <f t="shared" si="19"/>
        <v>77</v>
      </c>
      <c r="AE64" s="431">
        <f t="shared" si="20"/>
        <v>1.0156000000000001</v>
      </c>
      <c r="AF64" s="431"/>
      <c r="AG64" s="431">
        <f t="shared" si="21"/>
        <v>0.93802429906542062</v>
      </c>
      <c r="AH64" s="431">
        <f t="shared" si="22"/>
        <v>0.99430575700934587</v>
      </c>
      <c r="AI64" s="432">
        <f t="shared" si="23"/>
        <v>866.22945600000003</v>
      </c>
      <c r="AJ64" s="432">
        <f t="shared" si="24"/>
        <v>164.59797955874166</v>
      </c>
      <c r="AK64" s="432">
        <f t="shared" si="25"/>
        <v>179.97519361046488</v>
      </c>
      <c r="AL64" s="432">
        <f t="shared" si="26"/>
        <v>357.76471484429049</v>
      </c>
      <c r="AM64" s="283">
        <v>120</v>
      </c>
      <c r="AN64" s="432">
        <f t="shared" si="27"/>
        <v>128.4</v>
      </c>
      <c r="AO64" s="432">
        <f t="shared" si="28"/>
        <v>127.66885920000001</v>
      </c>
      <c r="AP64" s="432">
        <f t="shared" si="29"/>
        <v>425.56286400000005</v>
      </c>
      <c r="AQ64" s="279" t="s">
        <v>132</v>
      </c>
      <c r="AR64" s="344" t="s">
        <v>425</v>
      </c>
      <c r="AS64" s="434"/>
      <c r="AT64" s="429"/>
      <c r="AU64" s="319"/>
      <c r="AV64" s="320"/>
      <c r="AW64" s="235"/>
      <c r="AX64" s="203"/>
      <c r="AY64" s="204"/>
      <c r="AZ64" s="235"/>
      <c r="BA64" s="198"/>
      <c r="BB64" s="205"/>
      <c r="BC64" s="206"/>
      <c r="BD64" s="202"/>
      <c r="BE64" s="202"/>
      <c r="BF64" s="207"/>
      <c r="BG64" s="202"/>
      <c r="BH64" s="202"/>
      <c r="BI64" s="207"/>
      <c r="BJ64" s="223"/>
      <c r="BK64" s="210"/>
      <c r="BL64" s="208"/>
      <c r="BM64" s="210"/>
      <c r="BN64" s="209"/>
      <c r="BO64" s="211"/>
      <c r="BP64" s="211"/>
      <c r="BQ64" s="226"/>
      <c r="BR64" s="207"/>
      <c r="BS64" s="207"/>
      <c r="BT64" s="205"/>
      <c r="BU64" s="219"/>
      <c r="BV64" s="206"/>
      <c r="BW64" s="220"/>
      <c r="BX64" s="219"/>
      <c r="BY64" s="219"/>
      <c r="BZ64" s="220"/>
      <c r="CA64" s="76"/>
    </row>
    <row r="65" spans="1:79" s="72" customFormat="1">
      <c r="A65" s="13" t="s">
        <v>428</v>
      </c>
      <c r="B65" s="429" t="s">
        <v>429</v>
      </c>
      <c r="C65" s="13" t="s">
        <v>430</v>
      </c>
      <c r="D65" s="387" t="s">
        <v>431</v>
      </c>
      <c r="E65" s="13" t="s">
        <v>118</v>
      </c>
      <c r="F65" s="13" t="s">
        <v>167</v>
      </c>
      <c r="G65" s="13" t="s">
        <v>432</v>
      </c>
      <c r="H65" s="13" t="s">
        <v>121</v>
      </c>
      <c r="I65" s="13" t="s">
        <v>147</v>
      </c>
      <c r="J65" s="13" t="s">
        <v>5</v>
      </c>
      <c r="K65" s="13" t="s">
        <v>123</v>
      </c>
      <c r="L65" s="13" t="s">
        <v>433</v>
      </c>
      <c r="M65" s="13" t="s">
        <v>125</v>
      </c>
      <c r="N65" s="13" t="s">
        <v>12</v>
      </c>
      <c r="O65" s="247">
        <v>0.44</v>
      </c>
      <c r="P65" s="13">
        <v>99</v>
      </c>
      <c r="Q65" s="13">
        <v>34</v>
      </c>
      <c r="R65" s="13" t="s">
        <v>127</v>
      </c>
      <c r="S65" s="430" t="str">
        <f t="shared" si="15"/>
        <v>N/A</v>
      </c>
      <c r="T65" s="247">
        <v>0.8</v>
      </c>
      <c r="U65" s="13">
        <v>160</v>
      </c>
      <c r="V65" s="13">
        <v>605</v>
      </c>
      <c r="W65" s="430">
        <f t="shared" si="0"/>
        <v>445</v>
      </c>
      <c r="X65" s="430">
        <f t="shared" si="1"/>
        <v>45</v>
      </c>
      <c r="Y65" s="13"/>
      <c r="Z65" s="13"/>
      <c r="AA65" s="430">
        <f t="shared" si="16"/>
        <v>0</v>
      </c>
      <c r="AB65" s="430">
        <f t="shared" si="17"/>
        <v>650</v>
      </c>
      <c r="AC65" s="430" t="str">
        <f t="shared" si="18"/>
        <v>N/A</v>
      </c>
      <c r="AD65" s="430">
        <f t="shared" si="19"/>
        <v>65</v>
      </c>
      <c r="AE65" s="431">
        <f t="shared" si="20"/>
        <v>1.0860000000000001</v>
      </c>
      <c r="AF65" s="431"/>
      <c r="AG65" s="431">
        <f t="shared" si="21"/>
        <v>0.99211111111111105</v>
      </c>
      <c r="AH65" s="431">
        <f t="shared" si="22"/>
        <v>0</v>
      </c>
      <c r="AI65" s="432">
        <f t="shared" si="23"/>
        <v>0</v>
      </c>
      <c r="AJ65" s="432">
        <f t="shared" si="24"/>
        <v>153.92790795567038</v>
      </c>
      <c r="AK65" s="432">
        <f t="shared" si="25"/>
        <v>168.30829339851581</v>
      </c>
      <c r="AL65" s="432">
        <f t="shared" si="26"/>
        <v>334.57260073283743</v>
      </c>
      <c r="AM65" s="250">
        <v>150</v>
      </c>
      <c r="AN65" s="432">
        <f t="shared" si="27"/>
        <v>148.5</v>
      </c>
      <c r="AO65" s="432">
        <f t="shared" si="28"/>
        <v>0</v>
      </c>
      <c r="AP65" s="432">
        <f t="shared" si="29"/>
        <v>0</v>
      </c>
      <c r="AQ65" s="255">
        <v>43647</v>
      </c>
      <c r="AR65" s="255" t="s">
        <v>238</v>
      </c>
      <c r="AS65" s="429" t="s">
        <v>434</v>
      </c>
      <c r="AT65" s="429" t="s">
        <v>435</v>
      </c>
      <c r="AU65" s="241">
        <v>2</v>
      </c>
      <c r="AV65" s="243" t="s">
        <v>376</v>
      </c>
      <c r="AW65" s="72" t="s">
        <v>127</v>
      </c>
      <c r="AX65" s="243"/>
      <c r="AY65" s="103">
        <f t="shared" ref="AY65:AY73" si="37">(V65/10)/P65</f>
        <v>0.61111111111111116</v>
      </c>
      <c r="BA65" s="13" t="str">
        <f t="shared" ref="BA65:BA73" si="38">LEFT(G65,3)</f>
        <v>W12</v>
      </c>
      <c r="BB65" s="72" t="str">
        <f t="shared" ref="BB65:BB73" si="39">IF(R65="n/a","Clear","S/B")</f>
        <v>Clear</v>
      </c>
      <c r="BC65" s="32">
        <f t="shared" ref="BC65:BC73" si="40">IF(Q65="","",((P65/100*O65)+T65))</f>
        <v>1.2356</v>
      </c>
      <c r="BD65" s="241">
        <f t="shared" ref="BD65:BD73" si="41">IF(BC65="","",((PI()*((51/2)^2-(16.545/2)^2)/(BC65/10))/100))</f>
        <v>147.93040355356763</v>
      </c>
      <c r="BE65" s="241">
        <f t="shared" ref="BE65:BE73" si="42">IF(BC65="","",(BD65-AK65))</f>
        <v>-20.377889844948186</v>
      </c>
      <c r="BF65" s="71">
        <f t="shared" ref="BF65:BF73" si="43">IF(BC65="","",(BE65/AK65))</f>
        <v>-0.12107478148268054</v>
      </c>
      <c r="BG65" s="241">
        <f t="shared" ref="BG65:BG73" si="44">IF(BF65="","",((PI()*((70/2)^2-(16.545/2)^2)/(BC65/10))/100))</f>
        <v>294.06429620901707</v>
      </c>
      <c r="BH65" s="241">
        <f t="shared" ref="BH65:BH73" si="45">IF(BF65="","",(BG65-AL65))</f>
        <v>-40.508304523820357</v>
      </c>
      <c r="BI65" s="71">
        <f t="shared" ref="BI65:BI73" si="46">IF(BG65="","",(BH65/AL65))</f>
        <v>-0.12107478148268036</v>
      </c>
      <c r="BJ65" s="111"/>
      <c r="BK65" s="83"/>
      <c r="BL65" s="83"/>
      <c r="BM65" s="83"/>
      <c r="BN65" s="71"/>
      <c r="BO65" s="83"/>
      <c r="BP65" s="83"/>
      <c r="BQ65" s="194"/>
      <c r="BR65" s="195"/>
      <c r="BS65" s="195"/>
      <c r="BT65" s="2"/>
      <c r="BU65" s="2"/>
      <c r="BV65" s="2"/>
      <c r="BW65" s="2"/>
      <c r="BX65" s="2"/>
      <c r="BY65" s="2"/>
      <c r="BZ65" s="2"/>
      <c r="CA65" s="2"/>
    </row>
    <row r="66" spans="1:79" s="72" customFormat="1">
      <c r="A66" s="13" t="s">
        <v>428</v>
      </c>
      <c r="B66" s="429" t="s">
        <v>429</v>
      </c>
      <c r="C66" s="13" t="s">
        <v>430</v>
      </c>
      <c r="D66" s="387" t="s">
        <v>431</v>
      </c>
      <c r="E66" s="13" t="s">
        <v>118</v>
      </c>
      <c r="F66" s="13" t="s">
        <v>167</v>
      </c>
      <c r="G66" s="13" t="s">
        <v>436</v>
      </c>
      <c r="H66" s="13" t="s">
        <v>146</v>
      </c>
      <c r="I66" s="13" t="s">
        <v>147</v>
      </c>
      <c r="J66" s="13" t="s">
        <v>5</v>
      </c>
      <c r="K66" s="13" t="s">
        <v>123</v>
      </c>
      <c r="L66" s="13" t="s">
        <v>437</v>
      </c>
      <c r="M66" s="13" t="s">
        <v>125</v>
      </c>
      <c r="N66" s="13" t="s">
        <v>12</v>
      </c>
      <c r="O66" s="247">
        <v>0.44</v>
      </c>
      <c r="P66" s="13">
        <v>99</v>
      </c>
      <c r="Q66" s="13">
        <v>33</v>
      </c>
      <c r="R66" s="13" t="s">
        <v>127</v>
      </c>
      <c r="S66" s="430" t="str">
        <f t="shared" si="15"/>
        <v>N/A</v>
      </c>
      <c r="T66" s="247">
        <v>0.8</v>
      </c>
      <c r="U66" s="13">
        <v>160</v>
      </c>
      <c r="V66" s="13">
        <v>605</v>
      </c>
      <c r="W66" s="430">
        <f t="shared" si="0"/>
        <v>445</v>
      </c>
      <c r="X66" s="430">
        <f t="shared" si="1"/>
        <v>55</v>
      </c>
      <c r="Y66" s="13"/>
      <c r="Z66" s="13"/>
      <c r="AA66" s="430">
        <f t="shared" si="16"/>
        <v>0</v>
      </c>
      <c r="AB66" s="430">
        <f t="shared" si="17"/>
        <v>660</v>
      </c>
      <c r="AC66" s="430" t="str">
        <f t="shared" si="18"/>
        <v>N/A</v>
      </c>
      <c r="AD66" s="430">
        <f t="shared" si="19"/>
        <v>66</v>
      </c>
      <c r="AE66" s="431">
        <f t="shared" si="20"/>
        <v>1.0904</v>
      </c>
      <c r="AF66" s="431"/>
      <c r="AG66" s="431">
        <f t="shared" si="21"/>
        <v>0.99360000000000004</v>
      </c>
      <c r="AH66" s="431">
        <f t="shared" si="22"/>
        <v>1.0532160000000002</v>
      </c>
      <c r="AI66" s="432">
        <f t="shared" si="23"/>
        <v>876.64628800000003</v>
      </c>
      <c r="AJ66" s="432">
        <f t="shared" si="24"/>
        <v>153.30677553178469</v>
      </c>
      <c r="AK66" s="432">
        <f t="shared" si="25"/>
        <v>167.62913300695908</v>
      </c>
      <c r="AL66" s="432">
        <f t="shared" si="26"/>
        <v>333.22252787588178</v>
      </c>
      <c r="AM66" s="250">
        <v>150</v>
      </c>
      <c r="AN66" s="432">
        <f t="shared" si="27"/>
        <v>148.5</v>
      </c>
      <c r="AO66" s="432">
        <f t="shared" si="28"/>
        <v>156.40257600000001</v>
      </c>
      <c r="AP66" s="432">
        <f t="shared" si="29"/>
        <v>473.94720000000001</v>
      </c>
      <c r="AQ66" s="255">
        <v>43739</v>
      </c>
      <c r="AR66" s="255" t="s">
        <v>238</v>
      </c>
      <c r="AS66" s="429" t="s">
        <v>438</v>
      </c>
      <c r="AT66" s="429" t="s">
        <v>435</v>
      </c>
      <c r="AU66" s="241">
        <v>4</v>
      </c>
      <c r="AV66" s="243" t="s">
        <v>331</v>
      </c>
      <c r="AW66" s="72" t="s">
        <v>127</v>
      </c>
      <c r="AX66" s="243"/>
      <c r="AY66" s="103">
        <f t="shared" si="37"/>
        <v>0.61111111111111116</v>
      </c>
      <c r="BA66" s="13" t="str">
        <f t="shared" si="38"/>
        <v>W22</v>
      </c>
      <c r="BB66" s="72" t="str">
        <f t="shared" si="39"/>
        <v>Clear</v>
      </c>
      <c r="BC66" s="32">
        <f t="shared" si="40"/>
        <v>1.2356</v>
      </c>
      <c r="BD66" s="241">
        <f t="shared" si="41"/>
        <v>147.93040355356763</v>
      </c>
      <c r="BE66" s="241">
        <f t="shared" si="42"/>
        <v>-19.698729453391451</v>
      </c>
      <c r="BF66" s="71">
        <f t="shared" si="43"/>
        <v>-0.11751375849789585</v>
      </c>
      <c r="BG66" s="241">
        <f t="shared" si="44"/>
        <v>294.06429620901707</v>
      </c>
      <c r="BH66" s="241">
        <f t="shared" si="45"/>
        <v>-39.158231666864708</v>
      </c>
      <c r="BI66" s="71">
        <f t="shared" si="46"/>
        <v>-0.11751375849789576</v>
      </c>
      <c r="BJ66" s="111"/>
      <c r="BK66" s="83"/>
      <c r="BL66" s="83"/>
      <c r="BM66" s="83"/>
      <c r="BN66" s="71"/>
      <c r="BO66" s="83"/>
      <c r="BP66" s="83"/>
      <c r="BQ66" s="108"/>
      <c r="BR66" s="71"/>
      <c r="BS66" s="71"/>
      <c r="BU66" s="78"/>
      <c r="BV66" s="32"/>
      <c r="BW66" s="127"/>
      <c r="BX66" s="78"/>
      <c r="BY66" s="78"/>
      <c r="BZ66" s="127"/>
      <c r="CA66" s="76"/>
    </row>
    <row r="67" spans="1:79" s="72" customFormat="1">
      <c r="A67" s="13" t="s">
        <v>428</v>
      </c>
      <c r="B67" s="429" t="s">
        <v>429</v>
      </c>
      <c r="C67" s="13" t="s">
        <v>430</v>
      </c>
      <c r="D67" s="387" t="s">
        <v>431</v>
      </c>
      <c r="E67" s="13" t="s">
        <v>118</v>
      </c>
      <c r="F67" s="13" t="s">
        <v>167</v>
      </c>
      <c r="G67" s="13" t="s">
        <v>439</v>
      </c>
      <c r="H67" s="13" t="s">
        <v>146</v>
      </c>
      <c r="I67" s="13" t="s">
        <v>122</v>
      </c>
      <c r="J67" s="13" t="s">
        <v>5</v>
      </c>
      <c r="K67" s="13" t="s">
        <v>123</v>
      </c>
      <c r="L67" s="434" t="s">
        <v>440</v>
      </c>
      <c r="M67" s="13" t="s">
        <v>125</v>
      </c>
      <c r="N67" s="13" t="s">
        <v>12</v>
      </c>
      <c r="O67" s="247">
        <v>0.44</v>
      </c>
      <c r="P67" s="13">
        <v>99</v>
      </c>
      <c r="Q67" s="13">
        <v>28</v>
      </c>
      <c r="R67" s="13" t="s">
        <v>127</v>
      </c>
      <c r="S67" s="430" t="str">
        <f t="shared" si="15"/>
        <v>N/A</v>
      </c>
      <c r="T67" s="247">
        <v>0.8</v>
      </c>
      <c r="U67" s="13">
        <v>160</v>
      </c>
      <c r="V67" s="13">
        <v>605</v>
      </c>
      <c r="W67" s="430">
        <f t="shared" si="0"/>
        <v>445</v>
      </c>
      <c r="X67" s="430">
        <f t="shared" si="1"/>
        <v>105</v>
      </c>
      <c r="Y67" s="13">
        <v>160</v>
      </c>
      <c r="Z67" s="13">
        <f>V67</f>
        <v>605</v>
      </c>
      <c r="AA67" s="430">
        <f t="shared" si="16"/>
        <v>445</v>
      </c>
      <c r="AB67" s="430">
        <f t="shared" si="17"/>
        <v>105</v>
      </c>
      <c r="AC67" s="430" t="str">
        <f t="shared" si="18"/>
        <v>N/A</v>
      </c>
      <c r="AD67" s="430">
        <f t="shared" si="19"/>
        <v>71</v>
      </c>
      <c r="AE67" s="431">
        <f t="shared" si="20"/>
        <v>1.1124000000000001</v>
      </c>
      <c r="AF67" s="431"/>
      <c r="AG67" s="431">
        <f t="shared" si="21"/>
        <v>1.0003777777777778</v>
      </c>
      <c r="AH67" s="431">
        <f t="shared" si="22"/>
        <v>1.0604004444444444</v>
      </c>
      <c r="AI67" s="432">
        <f t="shared" si="23"/>
        <v>876.64628800000003</v>
      </c>
      <c r="AJ67" s="432">
        <f t="shared" si="24"/>
        <v>150.27481844647431</v>
      </c>
      <c r="AK67" s="432">
        <f t="shared" si="25"/>
        <v>164.31392181840002</v>
      </c>
      <c r="AL67" s="432">
        <f t="shared" si="26"/>
        <v>326.63236641123825</v>
      </c>
      <c r="AM67" s="250">
        <v>164</v>
      </c>
      <c r="AN67" s="432">
        <f t="shared" si="27"/>
        <v>162.36000000000001</v>
      </c>
      <c r="AO67" s="432">
        <f t="shared" si="28"/>
        <v>172.16661615999999</v>
      </c>
      <c r="AP67" s="432">
        <f t="shared" si="29"/>
        <v>614.88077199999987</v>
      </c>
      <c r="AQ67" s="255">
        <v>44287</v>
      </c>
      <c r="AR67" s="255" t="s">
        <v>441</v>
      </c>
      <c r="AS67" s="429"/>
      <c r="AT67" s="429"/>
      <c r="AU67" s="241"/>
      <c r="AV67" s="243"/>
      <c r="AW67" s="72" t="s">
        <v>127</v>
      </c>
      <c r="AX67" s="243"/>
      <c r="AY67" s="103">
        <f t="shared" si="37"/>
        <v>0.61111111111111116</v>
      </c>
      <c r="BA67" s="13" t="str">
        <f t="shared" si="38"/>
        <v>W22</v>
      </c>
      <c r="BB67" s="72" t="str">
        <f t="shared" si="39"/>
        <v>Clear</v>
      </c>
      <c r="BC67" s="32">
        <f t="shared" si="40"/>
        <v>1.2356</v>
      </c>
      <c r="BD67" s="241">
        <f t="shared" si="41"/>
        <v>147.93040355356763</v>
      </c>
      <c r="BE67" s="241">
        <f t="shared" si="42"/>
        <v>-16.383518264832389</v>
      </c>
      <c r="BF67" s="71">
        <f t="shared" si="43"/>
        <v>-9.9708643573972244E-2</v>
      </c>
      <c r="BG67" s="241">
        <f t="shared" si="44"/>
        <v>294.06429620901707</v>
      </c>
      <c r="BH67" s="241">
        <f t="shared" si="45"/>
        <v>-32.568070202221179</v>
      </c>
      <c r="BI67" s="71">
        <f t="shared" si="46"/>
        <v>-9.9708643573971995E-2</v>
      </c>
      <c r="BJ67" s="123">
        <f>22*$BK$2</f>
        <v>25.08</v>
      </c>
      <c r="BK67" s="123"/>
      <c r="BL67" s="126"/>
      <c r="BM67" s="123"/>
      <c r="BN67" s="123"/>
      <c r="BO67" s="123"/>
      <c r="BP67" s="123"/>
      <c r="BQ67" s="140"/>
      <c r="BR67" s="140"/>
      <c r="BS67" s="102"/>
      <c r="BT67" s="38"/>
      <c r="BU67" s="288"/>
      <c r="BV67" s="248"/>
      <c r="BW67" s="173"/>
      <c r="BX67" s="288"/>
      <c r="BY67" s="288"/>
      <c r="BZ67" s="173"/>
      <c r="CA67" s="459"/>
    </row>
    <row r="68" spans="1:79" s="22" customFormat="1">
      <c r="A68" s="13" t="s">
        <v>428</v>
      </c>
      <c r="B68" s="13" t="s">
        <v>442</v>
      </c>
      <c r="C68" s="13" t="s">
        <v>443</v>
      </c>
      <c r="D68" s="13" t="s">
        <v>444</v>
      </c>
      <c r="E68" s="13" t="s">
        <v>118</v>
      </c>
      <c r="F68" s="13" t="s">
        <v>119</v>
      </c>
      <c r="G68" s="13" t="s">
        <v>445</v>
      </c>
      <c r="H68" s="13" t="s">
        <v>121</v>
      </c>
      <c r="I68" s="13" t="s">
        <v>122</v>
      </c>
      <c r="J68" s="13" t="s">
        <v>5</v>
      </c>
      <c r="K68" s="13" t="s">
        <v>123</v>
      </c>
      <c r="L68" s="13" t="s">
        <v>446</v>
      </c>
      <c r="M68" s="13" t="s">
        <v>125</v>
      </c>
      <c r="N68" s="13" t="s">
        <v>12</v>
      </c>
      <c r="O68" s="247">
        <v>0.62</v>
      </c>
      <c r="P68" s="13">
        <v>99</v>
      </c>
      <c r="Q68" s="13">
        <v>28</v>
      </c>
      <c r="R68" s="13" t="s">
        <v>127</v>
      </c>
      <c r="S68" s="430" t="str">
        <f t="shared" si="15"/>
        <v>N/A</v>
      </c>
      <c r="T68" s="247">
        <v>0.8</v>
      </c>
      <c r="U68" s="13">
        <v>220</v>
      </c>
      <c r="V68" s="13">
        <v>580</v>
      </c>
      <c r="W68" s="430">
        <f t="shared" si="0"/>
        <v>360</v>
      </c>
      <c r="X68" s="430">
        <f t="shared" si="1"/>
        <v>130</v>
      </c>
      <c r="Y68" s="13">
        <v>190</v>
      </c>
      <c r="Z68" s="13">
        <v>590</v>
      </c>
      <c r="AA68" s="430">
        <f t="shared" si="16"/>
        <v>400</v>
      </c>
      <c r="AB68" s="430">
        <f t="shared" si="17"/>
        <v>120</v>
      </c>
      <c r="AC68" s="430" t="str">
        <f t="shared" si="18"/>
        <v>N/A</v>
      </c>
      <c r="AD68" s="430">
        <f t="shared" si="19"/>
        <v>71</v>
      </c>
      <c r="AE68" s="431">
        <f t="shared" si="20"/>
        <v>1.2402</v>
      </c>
      <c r="AF68" s="431"/>
      <c r="AG68" s="431">
        <f t="shared" si="21"/>
        <v>1.0823505050505051</v>
      </c>
      <c r="AH68" s="431">
        <f t="shared" si="22"/>
        <v>1.1472915353535353</v>
      </c>
      <c r="AI68" s="432">
        <f t="shared" si="23"/>
        <v>888.36522400000001</v>
      </c>
      <c r="AJ68" s="432">
        <f t="shared" si="24"/>
        <v>134.78931465881152</v>
      </c>
      <c r="AK68" s="432">
        <f t="shared" si="25"/>
        <v>147.38171797354312</v>
      </c>
      <c r="AL68" s="432">
        <f t="shared" si="26"/>
        <v>292.97358845013827</v>
      </c>
      <c r="AM68" s="250" t="s">
        <v>447</v>
      </c>
      <c r="AN68" s="432" t="e">
        <f t="shared" si="27"/>
        <v>#VALUE!</v>
      </c>
      <c r="AO68" s="432" t="e">
        <f t="shared" si="28"/>
        <v>#VALUE!</v>
      </c>
      <c r="AP68" s="432" t="e">
        <f t="shared" si="29"/>
        <v>#VALUE!</v>
      </c>
      <c r="AQ68" s="255">
        <v>44774</v>
      </c>
      <c r="AR68" s="255" t="s">
        <v>448</v>
      </c>
      <c r="AS68" s="429" t="s">
        <v>449</v>
      </c>
      <c r="AT68" s="429" t="s">
        <v>450</v>
      </c>
      <c r="AU68" s="250"/>
      <c r="AV68" s="255"/>
      <c r="AW68" s="13" t="s">
        <v>127</v>
      </c>
      <c r="AX68" s="255" t="s">
        <v>451</v>
      </c>
      <c r="AY68" s="103">
        <f t="shared" si="37"/>
        <v>0.58585858585858586</v>
      </c>
      <c r="AZ68" s="13"/>
      <c r="BA68" s="13" t="str">
        <f t="shared" si="38"/>
        <v>W22</v>
      </c>
      <c r="BB68" s="72" t="str">
        <f t="shared" si="39"/>
        <v>Clear</v>
      </c>
      <c r="BC68" s="32">
        <f t="shared" si="40"/>
        <v>1.4138000000000002</v>
      </c>
      <c r="BD68" s="241">
        <f t="shared" si="41"/>
        <v>129.28476915461039</v>
      </c>
      <c r="BE68" s="241">
        <f t="shared" si="42"/>
        <v>-18.096948818932731</v>
      </c>
      <c r="BF68" s="71">
        <f t="shared" si="43"/>
        <v>-0.12278964492856137</v>
      </c>
      <c r="BG68" s="241">
        <f t="shared" si="44"/>
        <v>256.99946555089934</v>
      </c>
      <c r="BH68" s="241">
        <f t="shared" si="45"/>
        <v>-35.974122899238921</v>
      </c>
      <c r="BI68" s="71">
        <f t="shared" si="46"/>
        <v>-0.12278964492856129</v>
      </c>
      <c r="BJ68" s="114"/>
      <c r="BK68" s="111"/>
      <c r="BL68" s="112"/>
      <c r="BM68" s="111"/>
      <c r="BN68" s="123"/>
      <c r="BO68" s="83"/>
      <c r="BP68" s="83"/>
      <c r="BQ68" s="101"/>
      <c r="BR68" s="102"/>
      <c r="BS68" s="102"/>
      <c r="BT68" s="38"/>
      <c r="BU68" s="288"/>
      <c r="BV68" s="248"/>
      <c r="BW68" s="173"/>
      <c r="BX68" s="288"/>
      <c r="BY68" s="288"/>
      <c r="BZ68" s="173"/>
      <c r="CA68" s="459"/>
    </row>
    <row r="69" spans="1:79" s="72" customFormat="1">
      <c r="A69" s="13" t="s">
        <v>428</v>
      </c>
      <c r="B69" s="13" t="s">
        <v>442</v>
      </c>
      <c r="C69" s="13" t="s">
        <v>443</v>
      </c>
      <c r="D69" s="387" t="s">
        <v>452</v>
      </c>
      <c r="E69" s="13" t="s">
        <v>118</v>
      </c>
      <c r="F69" s="13" t="s">
        <v>167</v>
      </c>
      <c r="G69" s="13" t="s">
        <v>453</v>
      </c>
      <c r="H69" s="13" t="s">
        <v>121</v>
      </c>
      <c r="I69" s="13" t="s">
        <v>122</v>
      </c>
      <c r="J69" s="13" t="s">
        <v>5</v>
      </c>
      <c r="K69" s="13" t="s">
        <v>123</v>
      </c>
      <c r="L69" s="13" t="s">
        <v>454</v>
      </c>
      <c r="M69" s="13" t="s">
        <v>125</v>
      </c>
      <c r="N69" s="13" t="s">
        <v>12</v>
      </c>
      <c r="O69" s="247">
        <v>0.72</v>
      </c>
      <c r="P69" s="13">
        <v>99</v>
      </c>
      <c r="Q69" s="13">
        <v>30</v>
      </c>
      <c r="R69" s="13" t="s">
        <v>127</v>
      </c>
      <c r="S69" s="430" t="str">
        <f t="shared" si="15"/>
        <v>N/A</v>
      </c>
      <c r="T69" s="247">
        <v>0.8</v>
      </c>
      <c r="U69" s="13">
        <v>120</v>
      </c>
      <c r="V69" s="13">
        <v>470</v>
      </c>
      <c r="W69" s="430">
        <f t="shared" si="0"/>
        <v>350</v>
      </c>
      <c r="X69" s="430">
        <f t="shared" si="1"/>
        <v>220</v>
      </c>
      <c r="Y69" s="13">
        <v>120</v>
      </c>
      <c r="Z69" s="13">
        <v>520</v>
      </c>
      <c r="AA69" s="430">
        <f t="shared" si="16"/>
        <v>400</v>
      </c>
      <c r="AB69" s="430">
        <f t="shared" si="17"/>
        <v>170</v>
      </c>
      <c r="AC69" s="430" t="str">
        <f t="shared" si="18"/>
        <v>N/A</v>
      </c>
      <c r="AD69" s="430">
        <f t="shared" si="19"/>
        <v>69</v>
      </c>
      <c r="AE69" s="431">
        <f t="shared" si="20"/>
        <v>1.2968</v>
      </c>
      <c r="AF69" s="431"/>
      <c r="AG69" s="431">
        <f t="shared" si="21"/>
        <v>1.1236727272727274</v>
      </c>
      <c r="AH69" s="431">
        <f t="shared" si="22"/>
        <v>1.1910930909090909</v>
      </c>
      <c r="AI69" s="432">
        <f t="shared" si="23"/>
        <v>894.87574400000005</v>
      </c>
      <c r="AJ69" s="432">
        <f t="shared" si="24"/>
        <v>128.90631403443712</v>
      </c>
      <c r="AK69" s="432">
        <f t="shared" si="25"/>
        <v>140.94911060363063</v>
      </c>
      <c r="AL69" s="432">
        <f t="shared" si="26"/>
        <v>280.18649321087406</v>
      </c>
      <c r="AM69" s="250">
        <v>280</v>
      </c>
      <c r="AN69" s="432">
        <f t="shared" si="27"/>
        <v>277.2</v>
      </c>
      <c r="AO69" s="432">
        <f t="shared" si="28"/>
        <v>330.17100479999999</v>
      </c>
      <c r="AP69" s="432">
        <f t="shared" si="29"/>
        <v>1100.5700160000001</v>
      </c>
      <c r="AQ69" s="255">
        <v>44774</v>
      </c>
      <c r="AR69" s="255" t="s">
        <v>455</v>
      </c>
      <c r="AS69" s="429" t="s">
        <v>456</v>
      </c>
      <c r="AT69" s="429" t="s">
        <v>450</v>
      </c>
      <c r="AU69" s="241"/>
      <c r="AV69" s="243"/>
      <c r="AW69" s="72" t="s">
        <v>127</v>
      </c>
      <c r="AX69" s="243" t="s">
        <v>451</v>
      </c>
      <c r="AY69" s="103">
        <f t="shared" si="37"/>
        <v>0.47474747474747475</v>
      </c>
      <c r="BA69" s="72" t="str">
        <f t="shared" si="38"/>
        <v>W22</v>
      </c>
      <c r="BB69" s="72" t="str">
        <f t="shared" si="39"/>
        <v>Clear</v>
      </c>
      <c r="BC69" s="32">
        <f t="shared" si="40"/>
        <v>1.5127999999999999</v>
      </c>
      <c r="BD69" s="241">
        <f t="shared" si="41"/>
        <v>120.82417149047342</v>
      </c>
      <c r="BE69" s="241">
        <f t="shared" si="42"/>
        <v>-20.124939113157211</v>
      </c>
      <c r="BF69" s="71">
        <f t="shared" si="43"/>
        <v>-0.14278159703860396</v>
      </c>
      <c r="BG69" s="241">
        <f t="shared" si="44"/>
        <v>240.18101824157952</v>
      </c>
      <c r="BH69" s="241">
        <f t="shared" si="45"/>
        <v>-40.005474969294539</v>
      </c>
      <c r="BI69" s="71">
        <f t="shared" si="46"/>
        <v>-0.14278159703860388</v>
      </c>
      <c r="BJ69" s="123"/>
      <c r="BK69" s="123"/>
      <c r="BL69" s="126"/>
      <c r="BM69" s="123"/>
      <c r="BN69" s="123"/>
      <c r="BO69" s="108"/>
      <c r="BP69" s="108"/>
      <c r="BQ69" s="115"/>
      <c r="BR69" s="115"/>
      <c r="BS69" s="80"/>
      <c r="BT69" s="22"/>
      <c r="BU69" s="87"/>
      <c r="BV69" s="73"/>
      <c r="BW69" s="109"/>
      <c r="BX69" s="87"/>
      <c r="BY69" s="87"/>
      <c r="BZ69" s="109"/>
      <c r="CA69" s="284"/>
    </row>
    <row r="70" spans="1:79" s="72" customFormat="1" ht="14.65" customHeight="1">
      <c r="A70" s="13" t="s">
        <v>457</v>
      </c>
      <c r="B70" s="13" t="s">
        <v>458</v>
      </c>
      <c r="C70" s="13" t="s">
        <v>443</v>
      </c>
      <c r="D70" s="13" t="s">
        <v>459</v>
      </c>
      <c r="E70" s="13" t="s">
        <v>118</v>
      </c>
      <c r="F70" s="13" t="s">
        <v>119</v>
      </c>
      <c r="G70" s="13" t="s">
        <v>460</v>
      </c>
      <c r="H70" s="13" t="s">
        <v>121</v>
      </c>
      <c r="I70" s="13" t="s">
        <v>147</v>
      </c>
      <c r="J70" s="13" t="s">
        <v>5</v>
      </c>
      <c r="K70" s="13" t="s">
        <v>123</v>
      </c>
      <c r="L70" s="434" t="s">
        <v>228</v>
      </c>
      <c r="M70" s="13" t="s">
        <v>125</v>
      </c>
      <c r="N70" s="13" t="s">
        <v>12</v>
      </c>
      <c r="O70" s="247">
        <v>0.64</v>
      </c>
      <c r="P70" s="13">
        <v>100</v>
      </c>
      <c r="Q70" s="13">
        <v>27</v>
      </c>
      <c r="R70" s="13" t="s">
        <v>127</v>
      </c>
      <c r="S70" s="430" t="str">
        <f t="shared" si="15"/>
        <v>N/A</v>
      </c>
      <c r="T70" s="247">
        <v>0.8</v>
      </c>
      <c r="U70" s="13">
        <v>150</v>
      </c>
      <c r="V70" s="13">
        <v>600</v>
      </c>
      <c r="W70" s="430">
        <f t="shared" ref="W70:W134" si="47">V70-U70</f>
        <v>450</v>
      </c>
      <c r="X70" s="430">
        <f t="shared" ref="X70:X134" si="48">AD70*10-V70</f>
        <v>130</v>
      </c>
      <c r="Y70" s="13">
        <v>150</v>
      </c>
      <c r="Z70" s="13">
        <v>600</v>
      </c>
      <c r="AA70" s="430">
        <f t="shared" si="16"/>
        <v>450</v>
      </c>
      <c r="AB70" s="430">
        <f t="shared" si="17"/>
        <v>130</v>
      </c>
      <c r="AC70" s="430" t="str">
        <f t="shared" si="18"/>
        <v>N/A</v>
      </c>
      <c r="AD70" s="430">
        <f t="shared" si="19"/>
        <v>73</v>
      </c>
      <c r="AE70" s="431">
        <f t="shared" si="20"/>
        <v>1.2672000000000001</v>
      </c>
      <c r="AF70" s="431"/>
      <c r="AG70" s="431">
        <f t="shared" si="21"/>
        <v>1.0966720000000001</v>
      </c>
      <c r="AH70" s="431">
        <f t="shared" si="22"/>
        <v>1.1624723200000002</v>
      </c>
      <c r="AI70" s="432">
        <f t="shared" si="23"/>
        <v>889.66732800000011</v>
      </c>
      <c r="AJ70" s="432">
        <f t="shared" si="24"/>
        <v>131.91738323852434</v>
      </c>
      <c r="AK70" s="432">
        <f t="shared" si="25"/>
        <v>144.24148250535683</v>
      </c>
      <c r="AL70" s="432">
        <f t="shared" si="26"/>
        <v>286.73125346895637</v>
      </c>
      <c r="AM70" s="250">
        <v>144</v>
      </c>
      <c r="AN70" s="432">
        <f t="shared" si="27"/>
        <v>144</v>
      </c>
      <c r="AO70" s="432">
        <f t="shared" si="28"/>
        <v>167.39601408000004</v>
      </c>
      <c r="AP70" s="432">
        <f t="shared" si="29"/>
        <v>619.98523733333343</v>
      </c>
      <c r="AQ70" s="255">
        <v>45689</v>
      </c>
      <c r="AR70" s="255" t="s">
        <v>461</v>
      </c>
      <c r="AS70" s="429"/>
      <c r="AT70" s="429" t="s">
        <v>462</v>
      </c>
      <c r="AU70" s="241"/>
      <c r="AV70" s="243"/>
      <c r="AX70" s="243"/>
      <c r="AY70" s="103">
        <f t="shared" si="37"/>
        <v>0.6</v>
      </c>
      <c r="BA70" s="13" t="str">
        <f t="shared" si="38"/>
        <v>W22</v>
      </c>
      <c r="BB70" s="72" t="str">
        <f t="shared" si="39"/>
        <v>Clear</v>
      </c>
      <c r="BC70" s="32">
        <f t="shared" si="40"/>
        <v>1.44</v>
      </c>
      <c r="BD70" s="241">
        <f t="shared" si="41"/>
        <v>126.93250460471401</v>
      </c>
      <c r="BE70" s="241">
        <f t="shared" si="42"/>
        <v>-17.308977900642816</v>
      </c>
      <c r="BF70" s="71">
        <f t="shared" si="43"/>
        <v>-0.11999999999999998</v>
      </c>
      <c r="BG70" s="241">
        <f t="shared" si="44"/>
        <v>252.32350305268159</v>
      </c>
      <c r="BH70" s="241">
        <f t="shared" si="45"/>
        <v>-34.40775041627478</v>
      </c>
      <c r="BI70" s="71">
        <f t="shared" si="46"/>
        <v>-0.12000000000000005</v>
      </c>
      <c r="BJ70" s="123"/>
      <c r="BK70" s="123"/>
      <c r="BL70" s="126"/>
      <c r="BM70" s="123"/>
      <c r="BN70" s="123"/>
      <c r="BO70" s="123"/>
      <c r="BP70" s="123"/>
      <c r="BQ70" s="83"/>
      <c r="BR70" s="71"/>
      <c r="BS70" s="71"/>
      <c r="BT70" s="13">
        <f>P70-V70/10-120/10</f>
        <v>28</v>
      </c>
      <c r="BU70" s="79">
        <f>BT70-Q70</f>
        <v>1</v>
      </c>
      <c r="BV70" s="29">
        <f>T70+(O70/100*(P70-BT70))</f>
        <v>1.2608000000000001</v>
      </c>
      <c r="BW70" s="86">
        <f>(AE70-BV70)/AE70</f>
        <v>5.0505050505050197E-3</v>
      </c>
      <c r="BX70" s="79">
        <f>(PI()*((51/2)^2-(16.545/2)^2)/(BV70/10))/100</f>
        <v>144.97367277188144</v>
      </c>
      <c r="BY70" s="79">
        <f>BX70-AK70</f>
        <v>0.73219026652461139</v>
      </c>
      <c r="BZ70" s="86">
        <f>BY70/AK70</f>
        <v>5.0761421319794001E-3</v>
      </c>
      <c r="CA70" s="76"/>
    </row>
    <row r="71" spans="1:79" s="72" customFormat="1" ht="14.65" customHeight="1">
      <c r="A71" s="13" t="s">
        <v>457</v>
      </c>
      <c r="B71" s="13" t="s">
        <v>458</v>
      </c>
      <c r="C71" s="13" t="s">
        <v>463</v>
      </c>
      <c r="D71" s="387" t="s">
        <v>463</v>
      </c>
      <c r="E71" s="13" t="s">
        <v>127</v>
      </c>
      <c r="F71" s="13" t="s">
        <v>119</v>
      </c>
      <c r="G71" s="13" t="s">
        <v>464</v>
      </c>
      <c r="H71" s="13" t="s">
        <v>121</v>
      </c>
      <c r="I71" s="13" t="s">
        <v>147</v>
      </c>
      <c r="J71" s="13" t="s">
        <v>5</v>
      </c>
      <c r="K71" s="13" t="s">
        <v>123</v>
      </c>
      <c r="L71" s="13" t="s">
        <v>228</v>
      </c>
      <c r="M71" s="13" t="s">
        <v>125</v>
      </c>
      <c r="N71" s="13" t="s">
        <v>12</v>
      </c>
      <c r="O71" s="247">
        <v>0.68</v>
      </c>
      <c r="P71" s="13">
        <v>100</v>
      </c>
      <c r="Q71" s="13">
        <v>27</v>
      </c>
      <c r="R71" s="13" t="s">
        <v>127</v>
      </c>
      <c r="S71" s="430" t="str">
        <f t="shared" si="15"/>
        <v>N/A</v>
      </c>
      <c r="T71" s="247">
        <v>0.8</v>
      </c>
      <c r="U71" s="13">
        <v>150</v>
      </c>
      <c r="V71" s="13">
        <v>600</v>
      </c>
      <c r="W71" s="430">
        <f t="shared" si="47"/>
        <v>450</v>
      </c>
      <c r="X71" s="430">
        <f t="shared" si="48"/>
        <v>130</v>
      </c>
      <c r="Y71" s="13">
        <v>150</v>
      </c>
      <c r="Z71" s="13">
        <v>600</v>
      </c>
      <c r="AA71" s="430">
        <f t="shared" si="16"/>
        <v>450</v>
      </c>
      <c r="AB71" s="430">
        <f t="shared" si="17"/>
        <v>130</v>
      </c>
      <c r="AC71" s="430" t="str">
        <f t="shared" si="18"/>
        <v>N/A</v>
      </c>
      <c r="AD71" s="430">
        <f t="shared" si="19"/>
        <v>73</v>
      </c>
      <c r="AE71" s="431">
        <f t="shared" si="20"/>
        <v>1.2964000000000002</v>
      </c>
      <c r="AF71" s="431"/>
      <c r="AG71" s="431">
        <f t="shared" si="21"/>
        <v>1.1152140000000001</v>
      </c>
      <c r="AH71" s="431">
        <f t="shared" si="22"/>
        <v>1.1821268400000002</v>
      </c>
      <c r="AI71" s="432">
        <f t="shared" si="23"/>
        <v>892.27153599999997</v>
      </c>
      <c r="AJ71" s="432">
        <f t="shared" si="24"/>
        <v>128.94608765802067</v>
      </c>
      <c r="AK71" s="432">
        <f t="shared" si="25"/>
        <v>140.99259999289427</v>
      </c>
      <c r="AL71" s="432">
        <f t="shared" si="26"/>
        <v>280.27294384130005</v>
      </c>
      <c r="AM71" s="250">
        <v>141</v>
      </c>
      <c r="AN71" s="432">
        <f t="shared" si="27"/>
        <v>141</v>
      </c>
      <c r="AO71" s="432">
        <f t="shared" si="28"/>
        <v>166.67988444000002</v>
      </c>
      <c r="AP71" s="432">
        <f t="shared" si="29"/>
        <v>617.33290533333343</v>
      </c>
      <c r="AQ71" s="255">
        <v>45689</v>
      </c>
      <c r="AR71" s="255" t="s">
        <v>465</v>
      </c>
      <c r="AS71" s="429"/>
      <c r="AT71" s="429" t="s">
        <v>462</v>
      </c>
      <c r="AU71" s="202"/>
      <c r="AV71" s="222"/>
      <c r="AW71" s="205"/>
      <c r="AX71" s="222"/>
      <c r="AY71" s="204">
        <f t="shared" si="37"/>
        <v>0.6</v>
      </c>
      <c r="AZ71" s="205"/>
      <c r="BA71" s="205" t="str">
        <f t="shared" si="38"/>
        <v>W22</v>
      </c>
      <c r="BB71" s="205" t="str">
        <f t="shared" si="39"/>
        <v>Clear</v>
      </c>
      <c r="BC71" s="206">
        <f t="shared" si="40"/>
        <v>1.48</v>
      </c>
      <c r="BD71" s="202">
        <f t="shared" si="41"/>
        <v>123.50189637215416</v>
      </c>
      <c r="BE71" s="202">
        <f t="shared" si="42"/>
        <v>-17.490703620740106</v>
      </c>
      <c r="BF71" s="207">
        <f t="shared" si="43"/>
        <v>-0.12405405405405391</v>
      </c>
      <c r="BG71" s="202">
        <f t="shared" si="44"/>
        <v>245.5039489161226</v>
      </c>
      <c r="BH71" s="202">
        <f t="shared" si="45"/>
        <v>-34.768994925177452</v>
      </c>
      <c r="BI71" s="207">
        <f t="shared" si="46"/>
        <v>-0.12405405405405391</v>
      </c>
      <c r="BJ71" s="209"/>
      <c r="BK71" s="209"/>
      <c r="BL71" s="225"/>
      <c r="BM71" s="209"/>
      <c r="BN71" s="209"/>
      <c r="BO71" s="226"/>
      <c r="BP71" s="226"/>
      <c r="BQ71" s="233"/>
      <c r="BR71" s="227"/>
      <c r="BS71" s="227"/>
      <c r="BT71" s="205"/>
      <c r="BU71" s="219"/>
      <c r="BV71" s="206"/>
      <c r="BW71" s="220"/>
      <c r="BX71" s="219"/>
      <c r="BY71" s="219"/>
      <c r="BZ71" s="220"/>
      <c r="CA71" s="76"/>
    </row>
    <row r="72" spans="1:79" s="72" customFormat="1" ht="14.65" customHeight="1">
      <c r="A72" s="13" t="s">
        <v>466</v>
      </c>
      <c r="B72" s="13" t="s">
        <v>467</v>
      </c>
      <c r="C72" s="13" t="s">
        <v>151</v>
      </c>
      <c r="D72" s="387" t="s">
        <v>468</v>
      </c>
      <c r="E72" s="13" t="s">
        <v>118</v>
      </c>
      <c r="F72" s="13" t="s">
        <v>119</v>
      </c>
      <c r="G72" s="13" t="s">
        <v>469</v>
      </c>
      <c r="H72" s="13" t="s">
        <v>146</v>
      </c>
      <c r="I72" s="13" t="s">
        <v>147</v>
      </c>
      <c r="J72" s="13" t="s">
        <v>5</v>
      </c>
      <c r="K72" s="13" t="s">
        <v>123</v>
      </c>
      <c r="L72" s="13" t="s">
        <v>228</v>
      </c>
      <c r="M72" s="13" t="s">
        <v>125</v>
      </c>
      <c r="N72" s="13" t="s">
        <v>126</v>
      </c>
      <c r="O72" s="247">
        <v>0.28999999999999998</v>
      </c>
      <c r="P72" s="13">
        <v>110</v>
      </c>
      <c r="Q72" s="13">
        <v>30</v>
      </c>
      <c r="R72" s="13" t="s">
        <v>127</v>
      </c>
      <c r="S72" s="430" t="str">
        <f t="shared" ref="S72:S136" si="49">IF(R72="n/a","N/A",P72-R72)</f>
        <v>N/A</v>
      </c>
      <c r="T72" s="247">
        <v>0.8</v>
      </c>
      <c r="U72" s="13">
        <v>300</v>
      </c>
      <c r="V72" s="13">
        <v>590</v>
      </c>
      <c r="W72" s="430">
        <f t="shared" si="47"/>
        <v>290</v>
      </c>
      <c r="X72" s="430">
        <f t="shared" si="48"/>
        <v>210</v>
      </c>
      <c r="Y72" s="13">
        <v>200</v>
      </c>
      <c r="Z72" s="13">
        <v>600</v>
      </c>
      <c r="AA72" s="430">
        <f t="shared" ref="AA72:AA136" si="50">Z72-Y72</f>
        <v>400</v>
      </c>
      <c r="AB72" s="430">
        <f t="shared" ref="AB72:AB136" si="51">AD72*10-Z72</f>
        <v>200</v>
      </c>
      <c r="AC72" s="430" t="str">
        <f t="shared" ref="AC72:AC136" si="52">IF(J72="clear","N/A",((Q72-R72)*10))</f>
        <v>N/A</v>
      </c>
      <c r="AD72" s="430">
        <f t="shared" ref="AD72:AD136" si="53">P72-Q72</f>
        <v>80</v>
      </c>
      <c r="AE72" s="431">
        <f t="shared" ref="AE72:AE136" si="54">T72+(O72/100*AD72)</f>
        <v>1.032</v>
      </c>
      <c r="AF72" s="431"/>
      <c r="AG72" s="431">
        <f t="shared" ref="AG72:AG136" si="55">(((T72+(0.5*(AE72-T72)))*AD72)+(AE72*Q72))/P72</f>
        <v>0.94763636363636372</v>
      </c>
      <c r="AH72" s="431">
        <f t="shared" ref="AH72:AH136" si="56">IF(MID(G72,2,2)="10",(AG72/1000*$W$2),(IF(MID(G72,2,2)="11",(AG72/1000*$X$2),(IF(MID(G72,2,2)="12",(AG72/1000*$Y$2),(IF(MID(G72,2,2)="13",(AG72/1000*$Z$2),(IF(MID(G72,2,2)="20",(AG72/1000*$AA$2),(IF(MID(G72,2,2)="21",(AG72/1000*$AB$2),(IF(MID(G72,2,2)="22",(AG72/1000*$AC$2),(IF(MID(G72,2,2)="23",(AG72/1000*$AD$2),(IF(MID(G72,2,2)="50",(AG72/1000*$AE$2),(IF(MID(G72,2,2)="51",(AG72/1000*$AG$2),"?")))))))))))))))))))</f>
        <v>1.0044945454545455</v>
      </c>
      <c r="AI72" s="432">
        <f t="shared" ref="AI72:AI136" si="57">IF(MID(G72,2,2)="10",((T72+O72*(6.142)/100)*$W$2),(IF(MID(G72,2,2)="11",((T72+O72*(6.142)/100)*$X$2),(IF(MID(G72,2,2)="12",((T72+O72*(6.142)/100)*$Y$2),(IF(MID(G72,2,2)="13",((T72+O72*(6.142)/100)*$Z$2),(IF(MID(G72,2,2)="20",((T72+O72*(6.142)/100)*$AA$2),(IF(MID(G72,2,2)="21",((T72+O72*(6.142)/100)*$AB$2),(IF(MID(G72,2,2)="22",((T72+O72*(6.142)/100)*$AC$2),(IF(MID(G72,2,2)="23",((T72+O72*(6.142)/100)*$AD$2),(IF(MID(G72,2,2)="50",((T72+O72*(6.142)/100)*$AE$2),(IF(MID(G72,2,2)="51",((T72+O72*(6.142)/100)*$AG$2),"?")))))))))))))))))))</f>
        <v>866.88050800000008</v>
      </c>
      <c r="AJ72" s="432">
        <f t="shared" ref="AJ72:AJ136" si="58">(PI()*((49/2)^2-(16.51/2)^2)/(AE72/10))/100</f>
        <v>161.98227523242059</v>
      </c>
      <c r="AK72" s="432">
        <f t="shared" ref="AK72:AK136" si="59">(PI()*((51/2)^2-(16.545/2)^2)/(AE72/10))/100</f>
        <v>177.11512270425209</v>
      </c>
      <c r="AL72" s="432">
        <f t="shared" ref="AL72:AL136" si="60">(PI()*((70/2)^2-(16.545/2)^2)/(AE72/10))/100</f>
        <v>352.07930658513709</v>
      </c>
      <c r="AM72" s="250">
        <v>177</v>
      </c>
      <c r="AN72" s="432">
        <f t="shared" ref="AN72:AN136" si="61">AM72*P72/100</f>
        <v>194.7</v>
      </c>
      <c r="AO72" s="432">
        <f t="shared" ref="AO72:AO136" si="62">AN72*AH72</f>
        <v>195.57508799999999</v>
      </c>
      <c r="AP72" s="432">
        <f t="shared" ref="AP72:AP136" si="63">AO72/(Q72/100)</f>
        <v>651.91696000000002</v>
      </c>
      <c r="AQ72" s="255"/>
      <c r="AR72" s="255"/>
      <c r="AS72" s="436" t="s">
        <v>470</v>
      </c>
      <c r="AT72" s="429"/>
      <c r="AU72" s="241"/>
      <c r="AV72" s="243"/>
      <c r="AX72" s="243"/>
      <c r="AY72" s="103"/>
      <c r="BC72" s="32"/>
      <c r="BD72" s="241"/>
      <c r="BE72" s="241"/>
      <c r="BF72" s="71"/>
      <c r="BG72" s="241"/>
      <c r="BH72" s="241"/>
      <c r="BI72" s="71"/>
      <c r="BJ72" s="123"/>
      <c r="BK72" s="123"/>
      <c r="BL72" s="126"/>
      <c r="BM72" s="123"/>
      <c r="BN72" s="123"/>
      <c r="BO72" s="108"/>
      <c r="BP72" s="108"/>
      <c r="BQ72" s="130"/>
      <c r="BR72" s="100"/>
      <c r="BS72" s="100"/>
      <c r="BU72" s="78"/>
      <c r="BV72" s="32"/>
      <c r="BW72" s="127"/>
      <c r="BX72" s="78"/>
      <c r="BY72" s="78"/>
      <c r="BZ72" s="127"/>
      <c r="CA72" s="76"/>
    </row>
    <row r="73" spans="1:79" s="22" customFormat="1">
      <c r="A73" s="13" t="s">
        <v>466</v>
      </c>
      <c r="B73" s="387" t="s">
        <v>467</v>
      </c>
      <c r="C73" s="13" t="s">
        <v>287</v>
      </c>
      <c r="D73" s="387" t="s">
        <v>471</v>
      </c>
      <c r="E73" s="13" t="s">
        <v>137</v>
      </c>
      <c r="F73" s="13" t="s">
        <v>119</v>
      </c>
      <c r="G73" s="13" t="s">
        <v>472</v>
      </c>
      <c r="H73" s="13" t="s">
        <v>146</v>
      </c>
      <c r="I73" s="13" t="s">
        <v>147</v>
      </c>
      <c r="J73" s="13" t="s">
        <v>5</v>
      </c>
      <c r="K73" s="13" t="s">
        <v>123</v>
      </c>
      <c r="L73" s="13" t="s">
        <v>473</v>
      </c>
      <c r="M73" s="13" t="s">
        <v>125</v>
      </c>
      <c r="N73" s="13" t="s">
        <v>12</v>
      </c>
      <c r="O73" s="247">
        <v>0.51</v>
      </c>
      <c r="P73" s="13">
        <v>109</v>
      </c>
      <c r="Q73" s="13">
        <v>30</v>
      </c>
      <c r="R73" s="13" t="s">
        <v>127</v>
      </c>
      <c r="S73" s="430" t="str">
        <f t="shared" si="49"/>
        <v>N/A</v>
      </c>
      <c r="T73" s="247">
        <v>0.8</v>
      </c>
      <c r="U73" s="13">
        <v>200</v>
      </c>
      <c r="V73" s="13">
        <v>600</v>
      </c>
      <c r="W73" s="430">
        <f t="shared" si="47"/>
        <v>400</v>
      </c>
      <c r="X73" s="430">
        <f t="shared" si="48"/>
        <v>190</v>
      </c>
      <c r="Y73" s="13">
        <v>200</v>
      </c>
      <c r="Z73" s="13">
        <f>V73</f>
        <v>600</v>
      </c>
      <c r="AA73" s="430">
        <f t="shared" si="50"/>
        <v>400</v>
      </c>
      <c r="AB73" s="430">
        <f t="shared" si="51"/>
        <v>190</v>
      </c>
      <c r="AC73" s="430" t="str">
        <f t="shared" si="52"/>
        <v>N/A</v>
      </c>
      <c r="AD73" s="430">
        <f t="shared" si="53"/>
        <v>79</v>
      </c>
      <c r="AE73" s="431">
        <f t="shared" si="54"/>
        <v>1.2029000000000001</v>
      </c>
      <c r="AF73" s="431"/>
      <c r="AG73" s="431">
        <f t="shared" si="55"/>
        <v>1.0568949541284405</v>
      </c>
      <c r="AH73" s="431">
        <f t="shared" si="56"/>
        <v>1.1203086513761469</v>
      </c>
      <c r="AI73" s="432">
        <f t="shared" si="57"/>
        <v>881.20365200000003</v>
      </c>
      <c r="AJ73" s="432">
        <f t="shared" si="58"/>
        <v>138.96891515492393</v>
      </c>
      <c r="AK73" s="432">
        <f t="shared" si="59"/>
        <v>151.95178870295797</v>
      </c>
      <c r="AL73" s="432">
        <f t="shared" si="60"/>
        <v>302.05822960833103</v>
      </c>
      <c r="AM73" s="250">
        <v>302</v>
      </c>
      <c r="AN73" s="432">
        <f t="shared" si="61"/>
        <v>329.18</v>
      </c>
      <c r="AO73" s="432">
        <f t="shared" si="62"/>
        <v>368.78320186000002</v>
      </c>
      <c r="AP73" s="432">
        <f t="shared" si="63"/>
        <v>1229.2773395333334</v>
      </c>
      <c r="AQ73" s="255">
        <v>44774</v>
      </c>
      <c r="AR73" s="13" t="s">
        <v>474</v>
      </c>
      <c r="AS73" s="436" t="s">
        <v>475</v>
      </c>
      <c r="AT73" s="429"/>
      <c r="AU73" s="250"/>
      <c r="AV73" s="255"/>
      <c r="AW73" s="13" t="s">
        <v>127</v>
      </c>
      <c r="AX73" s="255"/>
      <c r="AY73" s="103">
        <f t="shared" si="37"/>
        <v>0.55045871559633031</v>
      </c>
      <c r="BA73" s="13" t="str">
        <f t="shared" si="38"/>
        <v>W22</v>
      </c>
      <c r="BB73" s="72" t="str">
        <f t="shared" si="39"/>
        <v>Clear</v>
      </c>
      <c r="BC73" s="32">
        <f t="shared" si="40"/>
        <v>1.3559000000000001</v>
      </c>
      <c r="BD73" s="241">
        <f t="shared" si="41"/>
        <v>134.8055215213424</v>
      </c>
      <c r="BE73" s="241">
        <f t="shared" si="42"/>
        <v>-17.146267181615571</v>
      </c>
      <c r="BF73" s="71">
        <f t="shared" si="43"/>
        <v>-0.11284017995427383</v>
      </c>
      <c r="BG73" s="241">
        <f t="shared" si="44"/>
        <v>267.97392462265759</v>
      </c>
      <c r="BH73" s="241">
        <f t="shared" si="45"/>
        <v>-34.084304985673441</v>
      </c>
      <c r="BI73" s="71">
        <f t="shared" si="46"/>
        <v>-0.11284017995427384</v>
      </c>
      <c r="BJ73" s="143"/>
      <c r="BK73" s="111">
        <v>20</v>
      </c>
      <c r="BL73" s="112"/>
      <c r="BM73" s="111"/>
      <c r="BN73" s="123"/>
      <c r="BO73" s="101"/>
      <c r="BP73" s="101"/>
      <c r="BQ73" s="83"/>
      <c r="BR73" s="80"/>
      <c r="BS73" s="80"/>
      <c r="BT73" s="13"/>
      <c r="BU73" s="79"/>
      <c r="BV73" s="29"/>
      <c r="BW73" s="86"/>
      <c r="BX73" s="79"/>
      <c r="BY73" s="79"/>
      <c r="BZ73" s="86"/>
      <c r="CA73" s="76"/>
    </row>
    <row r="74" spans="1:79" s="72" customFormat="1">
      <c r="A74" s="13" t="s">
        <v>466</v>
      </c>
      <c r="B74" s="387" t="s">
        <v>467</v>
      </c>
      <c r="C74" s="13" t="s">
        <v>287</v>
      </c>
      <c r="D74" s="387" t="s">
        <v>471</v>
      </c>
      <c r="E74" s="13" t="s">
        <v>137</v>
      </c>
      <c r="F74" s="13" t="s">
        <v>119</v>
      </c>
      <c r="G74" s="13" t="s">
        <v>476</v>
      </c>
      <c r="H74" s="13" t="s">
        <v>146</v>
      </c>
      <c r="I74" s="13" t="s">
        <v>147</v>
      </c>
      <c r="J74" s="13" t="s">
        <v>5</v>
      </c>
      <c r="K74" s="13" t="s">
        <v>123</v>
      </c>
      <c r="L74" s="13" t="s">
        <v>477</v>
      </c>
      <c r="M74" s="13" t="s">
        <v>125</v>
      </c>
      <c r="N74" s="13" t="s">
        <v>12</v>
      </c>
      <c r="O74" s="247">
        <v>0.53</v>
      </c>
      <c r="P74" s="13">
        <v>109</v>
      </c>
      <c r="Q74" s="13">
        <v>30</v>
      </c>
      <c r="R74" s="13" t="s">
        <v>127</v>
      </c>
      <c r="S74" s="430" t="str">
        <f t="shared" si="49"/>
        <v>N/A</v>
      </c>
      <c r="T74" s="247">
        <v>0.8</v>
      </c>
      <c r="U74" s="13">
        <v>200</v>
      </c>
      <c r="V74" s="13">
        <v>600</v>
      </c>
      <c r="W74" s="430">
        <f t="shared" si="47"/>
        <v>400</v>
      </c>
      <c r="X74" s="430">
        <f t="shared" si="48"/>
        <v>190</v>
      </c>
      <c r="Y74" s="13">
        <v>200</v>
      </c>
      <c r="Z74" s="13">
        <f>V74</f>
        <v>600</v>
      </c>
      <c r="AA74" s="430">
        <f t="shared" si="50"/>
        <v>400</v>
      </c>
      <c r="AB74" s="430">
        <f t="shared" si="51"/>
        <v>190</v>
      </c>
      <c r="AC74" s="430" t="str">
        <f t="shared" si="52"/>
        <v>N/A</v>
      </c>
      <c r="AD74" s="430">
        <f t="shared" si="53"/>
        <v>79</v>
      </c>
      <c r="AE74" s="431">
        <f t="shared" si="54"/>
        <v>1.2187000000000001</v>
      </c>
      <c r="AF74" s="431"/>
      <c r="AG74" s="431">
        <f t="shared" si="55"/>
        <v>1.0669692660550458</v>
      </c>
      <c r="AH74" s="431">
        <f t="shared" si="56"/>
        <v>1.1309874220183487</v>
      </c>
      <c r="AI74" s="432">
        <f t="shared" si="57"/>
        <v>882.50575600000013</v>
      </c>
      <c r="AJ74" s="432">
        <f t="shared" si="58"/>
        <v>137.16723397050794</v>
      </c>
      <c r="AK74" s="432">
        <f t="shared" si="59"/>
        <v>149.98178930892604</v>
      </c>
      <c r="AL74" s="432">
        <f t="shared" si="60"/>
        <v>298.14215507988962</v>
      </c>
      <c r="AM74" s="250">
        <v>150</v>
      </c>
      <c r="AN74" s="432">
        <f t="shared" si="61"/>
        <v>163.5</v>
      </c>
      <c r="AO74" s="432">
        <f t="shared" si="62"/>
        <v>184.91644350000001</v>
      </c>
      <c r="AP74" s="432">
        <f t="shared" si="63"/>
        <v>616.38814500000012</v>
      </c>
      <c r="AQ74" s="255">
        <v>45444</v>
      </c>
      <c r="AR74" s="13" t="s">
        <v>478</v>
      </c>
      <c r="AS74" s="436" t="s">
        <v>479</v>
      </c>
      <c r="AT74" s="429"/>
      <c r="AU74" s="250"/>
      <c r="AV74" s="255"/>
      <c r="AW74" s="13"/>
      <c r="AX74" s="255"/>
      <c r="AY74" s="103"/>
      <c r="AZ74" s="22"/>
      <c r="BA74" s="13"/>
      <c r="BC74" s="32"/>
      <c r="BD74" s="241"/>
      <c r="BE74" s="241"/>
      <c r="BF74" s="71"/>
      <c r="BG74" s="241"/>
      <c r="BH74" s="241"/>
      <c r="BI74" s="71"/>
      <c r="BJ74" s="143"/>
      <c r="BK74" s="111"/>
      <c r="BL74" s="112"/>
      <c r="BM74" s="111"/>
      <c r="BN74" s="123"/>
      <c r="BO74" s="101"/>
      <c r="BP74" s="101"/>
      <c r="BQ74" s="88"/>
      <c r="BR74" s="80"/>
      <c r="BS74" s="80"/>
      <c r="BT74" s="22"/>
      <c r="BU74" s="87"/>
      <c r="BV74" s="73"/>
      <c r="BW74" s="109"/>
      <c r="BX74" s="87"/>
      <c r="BY74" s="87"/>
      <c r="BZ74" s="109"/>
      <c r="CA74" s="76"/>
    </row>
    <row r="75" spans="1:79" s="72" customFormat="1">
      <c r="A75" s="13" t="s">
        <v>466</v>
      </c>
      <c r="B75" s="387" t="s">
        <v>480</v>
      </c>
      <c r="C75" s="13" t="s">
        <v>430</v>
      </c>
      <c r="D75" s="387" t="s">
        <v>481</v>
      </c>
      <c r="E75" s="13" t="s">
        <v>118</v>
      </c>
      <c r="F75" s="13" t="s">
        <v>167</v>
      </c>
      <c r="G75" s="13" t="s">
        <v>482</v>
      </c>
      <c r="H75" s="13" t="s">
        <v>121</v>
      </c>
      <c r="I75" s="13" t="s">
        <v>147</v>
      </c>
      <c r="J75" s="13" t="s">
        <v>5</v>
      </c>
      <c r="K75" s="13" t="s">
        <v>123</v>
      </c>
      <c r="L75" s="13" t="s">
        <v>228</v>
      </c>
      <c r="M75" s="13" t="s">
        <v>125</v>
      </c>
      <c r="N75" s="13" t="s">
        <v>126</v>
      </c>
      <c r="O75" s="247">
        <v>0.27</v>
      </c>
      <c r="P75" s="13">
        <v>98</v>
      </c>
      <c r="Q75" s="13">
        <v>5</v>
      </c>
      <c r="R75" s="13" t="s">
        <v>127</v>
      </c>
      <c r="S75" s="430" t="str">
        <f t="shared" si="49"/>
        <v>N/A</v>
      </c>
      <c r="T75" s="247">
        <v>0.8</v>
      </c>
      <c r="U75" s="13">
        <v>230</v>
      </c>
      <c r="V75" s="13">
        <v>800</v>
      </c>
      <c r="W75" s="430">
        <f t="shared" si="47"/>
        <v>570</v>
      </c>
      <c r="X75" s="430">
        <f t="shared" si="48"/>
        <v>130</v>
      </c>
      <c r="Y75" s="13">
        <v>230</v>
      </c>
      <c r="Z75" s="13">
        <v>800</v>
      </c>
      <c r="AA75" s="430">
        <f t="shared" si="50"/>
        <v>570</v>
      </c>
      <c r="AB75" s="430">
        <f t="shared" si="51"/>
        <v>130</v>
      </c>
      <c r="AC75" s="430" t="str">
        <f t="shared" si="52"/>
        <v>N/A</v>
      </c>
      <c r="AD75" s="430">
        <f t="shared" si="53"/>
        <v>93</v>
      </c>
      <c r="AE75" s="431">
        <f t="shared" si="54"/>
        <v>1.0510999999999999</v>
      </c>
      <c r="AF75" s="431"/>
      <c r="AG75" s="431">
        <f t="shared" si="55"/>
        <v>0.93195561224489787</v>
      </c>
      <c r="AH75" s="431">
        <f t="shared" si="56"/>
        <v>0.98787294897959166</v>
      </c>
      <c r="AI75" s="432">
        <f t="shared" si="57"/>
        <v>865.57840400000009</v>
      </c>
      <c r="AJ75" s="432">
        <f t="shared" si="58"/>
        <v>159.03882412696987</v>
      </c>
      <c r="AK75" s="432">
        <f t="shared" si="59"/>
        <v>173.89668597734581</v>
      </c>
      <c r="AL75" s="432">
        <f t="shared" si="60"/>
        <v>345.68151878590186</v>
      </c>
      <c r="AM75" s="250">
        <v>174</v>
      </c>
      <c r="AN75" s="432">
        <f t="shared" si="61"/>
        <v>170.52</v>
      </c>
      <c r="AO75" s="432">
        <f t="shared" si="62"/>
        <v>168.45209525999999</v>
      </c>
      <c r="AP75" s="432">
        <f t="shared" si="63"/>
        <v>3369.0419051999997</v>
      </c>
      <c r="AQ75" s="255" t="s">
        <v>132</v>
      </c>
      <c r="AR75" s="13" t="s">
        <v>483</v>
      </c>
      <c r="AS75" s="440" t="s">
        <v>484</v>
      </c>
      <c r="AT75" s="429" t="s">
        <v>485</v>
      </c>
      <c r="AU75" s="250"/>
      <c r="AV75" s="255"/>
      <c r="AW75" s="13"/>
      <c r="AX75" s="255"/>
      <c r="AY75" s="103"/>
      <c r="AZ75" s="22"/>
      <c r="BA75" s="13"/>
      <c r="BC75" s="32"/>
      <c r="BD75" s="241"/>
      <c r="BE75" s="241"/>
      <c r="BF75" s="71"/>
      <c r="BG75" s="241"/>
      <c r="BH75" s="241"/>
      <c r="BI75" s="71"/>
      <c r="BJ75" s="143"/>
      <c r="BK75" s="111"/>
      <c r="BL75" s="112"/>
      <c r="BM75" s="111"/>
      <c r="BN75" s="123"/>
      <c r="BO75" s="101"/>
      <c r="BP75" s="101"/>
      <c r="BQ75" s="88"/>
      <c r="BR75" s="80"/>
      <c r="BS75" s="80"/>
      <c r="BT75" s="22"/>
      <c r="BU75" s="87"/>
      <c r="BV75" s="73"/>
      <c r="BW75" s="109"/>
      <c r="BX75" s="87"/>
      <c r="BY75" s="87"/>
      <c r="BZ75" s="109"/>
      <c r="CA75" s="76"/>
    </row>
    <row r="76" spans="1:79" s="72" customFormat="1">
      <c r="A76" s="13" t="s">
        <v>466</v>
      </c>
      <c r="B76" s="387" t="s">
        <v>480</v>
      </c>
      <c r="C76" s="13" t="s">
        <v>430</v>
      </c>
      <c r="D76" s="387" t="s">
        <v>481</v>
      </c>
      <c r="E76" s="13" t="s">
        <v>118</v>
      </c>
      <c r="F76" s="13" t="s">
        <v>119</v>
      </c>
      <c r="G76" s="13" t="s">
        <v>486</v>
      </c>
      <c r="H76" s="13" t="s">
        <v>121</v>
      </c>
      <c r="I76" s="13" t="s">
        <v>147</v>
      </c>
      <c r="J76" s="13" t="s">
        <v>5</v>
      </c>
      <c r="K76" s="13" t="s">
        <v>123</v>
      </c>
      <c r="L76" s="13"/>
      <c r="M76" s="13" t="s">
        <v>125</v>
      </c>
      <c r="N76" s="13" t="s">
        <v>126</v>
      </c>
      <c r="O76" s="247">
        <v>0.27</v>
      </c>
      <c r="P76" s="13">
        <v>108</v>
      </c>
      <c r="Q76" s="13">
        <v>10</v>
      </c>
      <c r="R76" s="13" t="s">
        <v>127</v>
      </c>
      <c r="S76" s="430" t="str">
        <f t="shared" si="49"/>
        <v>N/A</v>
      </c>
      <c r="T76" s="247">
        <v>0.8</v>
      </c>
      <c r="U76" s="13">
        <v>200</v>
      </c>
      <c r="V76" s="13">
        <v>850</v>
      </c>
      <c r="W76" s="430">
        <f t="shared" si="47"/>
        <v>650</v>
      </c>
      <c r="X76" s="430">
        <f t="shared" si="48"/>
        <v>130</v>
      </c>
      <c r="Y76" s="13">
        <v>200</v>
      </c>
      <c r="Z76" s="13">
        <v>850</v>
      </c>
      <c r="AA76" s="430">
        <f t="shared" si="50"/>
        <v>650</v>
      </c>
      <c r="AB76" s="430">
        <f t="shared" si="51"/>
        <v>130</v>
      </c>
      <c r="AC76" s="430" t="str">
        <f t="shared" si="52"/>
        <v>N/A</v>
      </c>
      <c r="AD76" s="430">
        <f t="shared" si="53"/>
        <v>98</v>
      </c>
      <c r="AE76" s="431">
        <f t="shared" si="54"/>
        <v>1.0646</v>
      </c>
      <c r="AF76" s="431"/>
      <c r="AG76" s="431">
        <f t="shared" si="55"/>
        <v>0.94455000000000011</v>
      </c>
      <c r="AH76" s="431">
        <f t="shared" si="56"/>
        <v>1.0012230000000002</v>
      </c>
      <c r="AI76" s="432">
        <f t="shared" si="57"/>
        <v>865.57840400000009</v>
      </c>
      <c r="AJ76" s="432">
        <f t="shared" si="58"/>
        <v>157.02208157040957</v>
      </c>
      <c r="AK76" s="432">
        <f t="shared" si="59"/>
        <v>171.69153356264152</v>
      </c>
      <c r="AL76" s="432">
        <f t="shared" si="60"/>
        <v>341.29799398446505</v>
      </c>
      <c r="AM76" s="250">
        <v>172</v>
      </c>
      <c r="AN76" s="432">
        <f t="shared" si="61"/>
        <v>185.76</v>
      </c>
      <c r="AO76" s="432">
        <f t="shared" si="62"/>
        <v>185.98718448000002</v>
      </c>
      <c r="AP76" s="432">
        <f t="shared" si="63"/>
        <v>1859.8718448000002</v>
      </c>
      <c r="AQ76" s="255" t="s">
        <v>132</v>
      </c>
      <c r="AR76" s="13" t="s">
        <v>487</v>
      </c>
      <c r="AS76" s="436"/>
      <c r="AT76" s="429"/>
      <c r="AU76" s="250"/>
      <c r="AV76" s="255"/>
      <c r="AW76" s="13"/>
      <c r="AX76" s="255"/>
      <c r="AY76" s="103"/>
      <c r="AZ76" s="22"/>
      <c r="BA76" s="13"/>
      <c r="BC76" s="32"/>
      <c r="BD76" s="241"/>
      <c r="BE76" s="241"/>
      <c r="BF76" s="71"/>
      <c r="BG76" s="241"/>
      <c r="BH76" s="241"/>
      <c r="BI76" s="71"/>
      <c r="BJ76" s="143"/>
      <c r="BK76" s="111"/>
      <c r="BL76" s="112"/>
      <c r="BM76" s="111"/>
      <c r="BN76" s="123"/>
      <c r="BO76" s="101"/>
      <c r="BP76" s="101"/>
      <c r="BQ76" s="88"/>
      <c r="BR76" s="80"/>
      <c r="BS76" s="80"/>
      <c r="BT76" s="22"/>
      <c r="BU76" s="87"/>
      <c r="BV76" s="73"/>
      <c r="BW76" s="109"/>
      <c r="BX76" s="87"/>
      <c r="BY76" s="87"/>
      <c r="BZ76" s="109"/>
      <c r="CA76" s="76"/>
    </row>
    <row r="77" spans="1:79" s="72" customFormat="1">
      <c r="A77" s="13" t="s">
        <v>466</v>
      </c>
      <c r="B77" s="387" t="s">
        <v>480</v>
      </c>
      <c r="C77" s="13" t="s">
        <v>430</v>
      </c>
      <c r="D77" s="387" t="s">
        <v>488</v>
      </c>
      <c r="E77" s="13" t="s">
        <v>118</v>
      </c>
      <c r="F77" s="13" t="s">
        <v>167</v>
      </c>
      <c r="G77" s="13" t="s">
        <v>489</v>
      </c>
      <c r="H77" s="13" t="s">
        <v>121</v>
      </c>
      <c r="I77" s="13" t="s">
        <v>147</v>
      </c>
      <c r="J77" s="13" t="s">
        <v>5</v>
      </c>
      <c r="K77" s="13" t="s">
        <v>123</v>
      </c>
      <c r="L77" s="13" t="s">
        <v>228</v>
      </c>
      <c r="M77" s="13" t="s">
        <v>125</v>
      </c>
      <c r="N77" s="13" t="s">
        <v>126</v>
      </c>
      <c r="O77" s="247">
        <v>0.27</v>
      </c>
      <c r="P77" s="13">
        <v>103</v>
      </c>
      <c r="Q77" s="13">
        <v>5</v>
      </c>
      <c r="R77" s="13" t="s">
        <v>127</v>
      </c>
      <c r="S77" s="430" t="str">
        <f t="shared" si="49"/>
        <v>N/A</v>
      </c>
      <c r="T77" s="247">
        <v>0.8</v>
      </c>
      <c r="U77" s="13">
        <v>230</v>
      </c>
      <c r="V77" s="13">
        <v>850</v>
      </c>
      <c r="W77" s="430">
        <f t="shared" si="47"/>
        <v>620</v>
      </c>
      <c r="X77" s="430">
        <f t="shared" si="48"/>
        <v>130</v>
      </c>
      <c r="Y77" s="13">
        <v>230</v>
      </c>
      <c r="Z77" s="13">
        <v>850</v>
      </c>
      <c r="AA77" s="430">
        <f t="shared" si="50"/>
        <v>620</v>
      </c>
      <c r="AB77" s="430">
        <f t="shared" si="51"/>
        <v>130</v>
      </c>
      <c r="AC77" s="430" t="str">
        <f t="shared" si="52"/>
        <v>N/A</v>
      </c>
      <c r="AD77" s="430">
        <f t="shared" si="53"/>
        <v>98</v>
      </c>
      <c r="AE77" s="431">
        <f t="shared" si="54"/>
        <v>1.0646</v>
      </c>
      <c r="AF77" s="431"/>
      <c r="AG77" s="431">
        <f t="shared" si="55"/>
        <v>0.93872233009708739</v>
      </c>
      <c r="AH77" s="431">
        <f t="shared" si="56"/>
        <v>0.99504566990291266</v>
      </c>
      <c r="AI77" s="432">
        <f t="shared" si="57"/>
        <v>865.57840400000009</v>
      </c>
      <c r="AJ77" s="432">
        <f t="shared" si="58"/>
        <v>157.02208157040957</v>
      </c>
      <c r="AK77" s="432">
        <f t="shared" si="59"/>
        <v>171.69153356264152</v>
      </c>
      <c r="AL77" s="432">
        <f t="shared" si="60"/>
        <v>341.29799398446505</v>
      </c>
      <c r="AM77" s="250">
        <v>172</v>
      </c>
      <c r="AN77" s="432">
        <f t="shared" si="61"/>
        <v>177.16</v>
      </c>
      <c r="AO77" s="432">
        <f t="shared" si="62"/>
        <v>176.28229088000001</v>
      </c>
      <c r="AP77" s="432">
        <f t="shared" si="63"/>
        <v>3525.6458176000001</v>
      </c>
      <c r="AQ77" s="255" t="s">
        <v>132</v>
      </c>
      <c r="AR77" s="13" t="s">
        <v>483</v>
      </c>
      <c r="AS77" s="436" t="s">
        <v>490</v>
      </c>
      <c r="AT77" s="429" t="s">
        <v>485</v>
      </c>
      <c r="AU77" s="250"/>
      <c r="AV77" s="255"/>
      <c r="AW77" s="13"/>
      <c r="AX77" s="255"/>
      <c r="AY77" s="103"/>
      <c r="AZ77" s="22"/>
      <c r="BA77" s="13"/>
      <c r="BC77" s="32"/>
      <c r="BD77" s="241"/>
      <c r="BE77" s="241"/>
      <c r="BF77" s="71"/>
      <c r="BG77" s="241"/>
      <c r="BH77" s="241"/>
      <c r="BI77" s="71"/>
      <c r="BJ77" s="143"/>
      <c r="BK77" s="111"/>
      <c r="BL77" s="112"/>
      <c r="BM77" s="111"/>
      <c r="BN77" s="123"/>
      <c r="BO77" s="101"/>
      <c r="BP77" s="101"/>
      <c r="BQ77" s="88"/>
      <c r="BR77" s="80"/>
      <c r="BS77" s="80"/>
      <c r="BT77" s="22"/>
      <c r="BU77" s="87"/>
      <c r="BV77" s="73"/>
      <c r="BW77" s="109"/>
      <c r="BX77" s="87"/>
      <c r="BY77" s="87"/>
      <c r="BZ77" s="109"/>
      <c r="CA77" s="76"/>
    </row>
    <row r="78" spans="1:79" s="72" customFormat="1">
      <c r="A78" s="13" t="s">
        <v>466</v>
      </c>
      <c r="B78" s="387" t="s">
        <v>480</v>
      </c>
      <c r="C78" s="13" t="s">
        <v>430</v>
      </c>
      <c r="D78" s="387" t="s">
        <v>488</v>
      </c>
      <c r="E78" s="13" t="s">
        <v>118</v>
      </c>
      <c r="F78" s="13" t="s">
        <v>119</v>
      </c>
      <c r="G78" s="13" t="s">
        <v>491</v>
      </c>
      <c r="H78" s="13" t="s">
        <v>121</v>
      </c>
      <c r="I78" s="13" t="s">
        <v>147</v>
      </c>
      <c r="J78" s="13" t="s">
        <v>5</v>
      </c>
      <c r="K78" s="13" t="s">
        <v>123</v>
      </c>
      <c r="L78" s="13"/>
      <c r="M78" s="13" t="s">
        <v>125</v>
      </c>
      <c r="N78" s="13" t="s">
        <v>126</v>
      </c>
      <c r="O78" s="247">
        <v>0.27</v>
      </c>
      <c r="P78" s="13">
        <v>112</v>
      </c>
      <c r="Q78" s="13">
        <v>10</v>
      </c>
      <c r="R78" s="13" t="s">
        <v>127</v>
      </c>
      <c r="S78" s="430" t="str">
        <f t="shared" si="49"/>
        <v>N/A</v>
      </c>
      <c r="T78" s="247">
        <v>0.8</v>
      </c>
      <c r="U78" s="13">
        <v>200</v>
      </c>
      <c r="V78" s="13">
        <v>890</v>
      </c>
      <c r="W78" s="430">
        <f t="shared" si="47"/>
        <v>690</v>
      </c>
      <c r="X78" s="430">
        <f t="shared" si="48"/>
        <v>130</v>
      </c>
      <c r="Y78" s="13">
        <v>200</v>
      </c>
      <c r="Z78" s="13">
        <v>890</v>
      </c>
      <c r="AA78" s="430">
        <f t="shared" si="50"/>
        <v>690</v>
      </c>
      <c r="AB78" s="430">
        <f t="shared" si="51"/>
        <v>130</v>
      </c>
      <c r="AC78" s="430" t="str">
        <f t="shared" si="52"/>
        <v>N/A</v>
      </c>
      <c r="AD78" s="430">
        <f t="shared" si="53"/>
        <v>102</v>
      </c>
      <c r="AE78" s="431">
        <f t="shared" si="54"/>
        <v>1.0754000000000001</v>
      </c>
      <c r="AF78" s="431"/>
      <c r="AG78" s="431">
        <f t="shared" si="55"/>
        <v>0.94999464285714297</v>
      </c>
      <c r="AH78" s="431">
        <f t="shared" si="56"/>
        <v>1.0069943214285715</v>
      </c>
      <c r="AI78" s="432">
        <f t="shared" si="57"/>
        <v>865.57840400000009</v>
      </c>
      <c r="AJ78" s="432">
        <f t="shared" si="58"/>
        <v>155.44514416947928</v>
      </c>
      <c r="AK78" s="432">
        <f t="shared" si="59"/>
        <v>169.96727415918559</v>
      </c>
      <c r="AL78" s="432">
        <f t="shared" si="60"/>
        <v>337.87041509750924</v>
      </c>
      <c r="AM78" s="250">
        <v>170</v>
      </c>
      <c r="AN78" s="432">
        <f t="shared" si="61"/>
        <v>190.4</v>
      </c>
      <c r="AO78" s="432">
        <f t="shared" si="62"/>
        <v>191.73171880000001</v>
      </c>
      <c r="AP78" s="432">
        <f t="shared" si="63"/>
        <v>1917.317188</v>
      </c>
      <c r="AQ78" s="255" t="s">
        <v>132</v>
      </c>
      <c r="AR78" s="13" t="s">
        <v>487</v>
      </c>
      <c r="AS78" s="436"/>
      <c r="AT78" s="429"/>
      <c r="AU78" s="250"/>
      <c r="AV78" s="255"/>
      <c r="AW78" s="13"/>
      <c r="AX78" s="255"/>
      <c r="AY78" s="103"/>
      <c r="AZ78" s="22"/>
      <c r="BA78" s="13"/>
      <c r="BC78" s="32"/>
      <c r="BD78" s="241"/>
      <c r="BE78" s="241"/>
      <c r="BF78" s="71"/>
      <c r="BG78" s="241"/>
      <c r="BH78" s="241"/>
      <c r="BI78" s="71"/>
      <c r="BJ78" s="143"/>
      <c r="BK78" s="111"/>
      <c r="BL78" s="112"/>
      <c r="BM78" s="111"/>
      <c r="BN78" s="123"/>
      <c r="BO78" s="101"/>
      <c r="BP78" s="101"/>
      <c r="BQ78" s="88"/>
      <c r="BR78" s="80"/>
      <c r="BS78" s="80"/>
      <c r="BT78" s="22"/>
      <c r="BU78" s="87"/>
      <c r="BV78" s="73"/>
      <c r="BW78" s="109"/>
      <c r="BX78" s="87"/>
      <c r="BY78" s="87"/>
      <c r="BZ78" s="109"/>
      <c r="CA78" s="76"/>
    </row>
    <row r="79" spans="1:79" s="72" customFormat="1">
      <c r="A79" s="13" t="s">
        <v>466</v>
      </c>
      <c r="B79" s="387" t="s">
        <v>480</v>
      </c>
      <c r="C79" s="13" t="s">
        <v>492</v>
      </c>
      <c r="D79" s="387" t="s">
        <v>493</v>
      </c>
      <c r="E79" s="13" t="s">
        <v>118</v>
      </c>
      <c r="F79" s="13" t="s">
        <v>119</v>
      </c>
      <c r="G79" s="13" t="s">
        <v>494</v>
      </c>
      <c r="H79" s="13" t="s">
        <v>121</v>
      </c>
      <c r="I79" s="13" t="s">
        <v>147</v>
      </c>
      <c r="J79" s="13" t="s">
        <v>5</v>
      </c>
      <c r="K79" s="13" t="s">
        <v>123</v>
      </c>
      <c r="L79" s="13"/>
      <c r="M79" s="13"/>
      <c r="N79" s="13" t="s">
        <v>126</v>
      </c>
      <c r="O79" s="247">
        <v>0.47</v>
      </c>
      <c r="P79" s="13">
        <v>92</v>
      </c>
      <c r="Q79" s="13">
        <v>16</v>
      </c>
      <c r="R79" s="13" t="s">
        <v>127</v>
      </c>
      <c r="S79" s="430" t="str">
        <f>IF(R79="n/a","N/A",P79-R79)</f>
        <v>N/A</v>
      </c>
      <c r="T79" s="247">
        <v>0</v>
      </c>
      <c r="U79" s="13">
        <v>100</v>
      </c>
      <c r="V79" s="13">
        <v>630</v>
      </c>
      <c r="W79" s="430">
        <f>V79-U79</f>
        <v>530</v>
      </c>
      <c r="X79" s="430">
        <f>AD79*10-V79</f>
        <v>130</v>
      </c>
      <c r="Y79" s="13">
        <v>100</v>
      </c>
      <c r="Z79" s="13">
        <v>630</v>
      </c>
      <c r="AA79" s="430">
        <f>Z79-Y79</f>
        <v>530</v>
      </c>
      <c r="AB79" s="430">
        <f>AD79*10-Z79</f>
        <v>130</v>
      </c>
      <c r="AC79" s="430" t="str">
        <f>IF(J79="clear","N/A",((Q79-R79)*10))</f>
        <v>N/A</v>
      </c>
      <c r="AD79" s="430">
        <f>P79-Q79</f>
        <v>76</v>
      </c>
      <c r="AE79" s="431">
        <f>T79+(O79/100*AD79)</f>
        <v>0.35719999999999996</v>
      </c>
      <c r="AF79" s="431"/>
      <c r="AG79" s="431">
        <f>(((T79+(0.5*(AE79-T79)))*AD79)+(AE79*Q79))/P79</f>
        <v>0.20966086956521737</v>
      </c>
      <c r="AH79" s="431">
        <f>IF(MID(G79,2,2)="10",(AG79/1000*$W$2),(IF(MID(G79,2,2)="11",(AG79/1000*$X$2),(IF(MID(G79,2,2)="12",(AG79/1000*$Y$2),(IF(MID(G79,2,2)="13",(AG79/1000*$Z$2),(IF(MID(G79,2,2)="20",(AG79/1000*$AA$2),(IF(MID(G79,2,2)="21",(AG79/1000*$AB$2),(IF(MID(G79,2,2)="22",(AG79/1000*$AC$2),(IF(MID(G79,2,2)="23",(AG79/1000*$AD$2),(IF(MID(G79,2,2)="50",(AG79/1000*$AE$2),(IF(MID(G79,2,2)="51",(AG79/1000*$AG$2),"?")))))))))))))))))))</f>
        <v>0.22224052173913042</v>
      </c>
      <c r="AI79" s="432">
        <f>IF(MID(G79,2,2)="10",((T79+O79*(6.142)/100)*$W$2),(IF(MID(G79,2,2)="11",((T79+O79*(6.142)/100)*$X$2),(IF(MID(G79,2,2)="12",((T79+O79*(6.142)/100)*$Y$2),(IF(MID(G79,2,2)="13",((T79+O79*(6.142)/100)*$Z$2),(IF(MID(G79,2,2)="20",((T79+O79*(6.142)/100)*$AA$2),(IF(MID(G79,2,2)="21",((T79+O79*(6.142)/100)*$AB$2),(IF(MID(G79,2,2)="22",((T79+O79*(6.142)/100)*$AC$2),(IF(MID(G79,2,2)="23",((T79+O79*(6.142)/100)*$AD$2),(IF(MID(G79,2,2)="50",((T79+O79*(6.142)/100)*$AE$2),(IF(MID(G79,2,2)="51",((T79+O79*(6.142)/100)*$AG$2),"?")))))))))))))))))))</f>
        <v>30.599444000000002</v>
      </c>
      <c r="AJ79" s="432">
        <f>(PI()*((49/2)^2-(16.51/2)^2)/(AE79/10))/100</f>
        <v>467.98910425492176</v>
      </c>
      <c r="AK79" s="432">
        <f>(PI()*((51/2)^2-(16.545/2)^2)/(AE79/10))/100</f>
        <v>511.70998496861199</v>
      </c>
      <c r="AL79" s="432">
        <f>(PI()*((70/2)^2-(16.545/2)^2)/(AE79/10))/100</f>
        <v>1017.2056114105866</v>
      </c>
      <c r="AM79" s="250">
        <v>158</v>
      </c>
      <c r="AN79" s="432">
        <f>AM79*P79/100</f>
        <v>145.36000000000001</v>
      </c>
      <c r="AO79" s="432">
        <f>AN79*AH79</f>
        <v>32.304882239999998</v>
      </c>
      <c r="AP79" s="432">
        <f>AO79/(Q79/100)</f>
        <v>201.90551399999998</v>
      </c>
      <c r="AQ79" s="255"/>
      <c r="AR79" s="13"/>
      <c r="AS79" s="436" t="s">
        <v>495</v>
      </c>
      <c r="AT79" s="429"/>
      <c r="AU79" s="250"/>
      <c r="AV79" s="255"/>
      <c r="AW79" s="13"/>
      <c r="AX79" s="255"/>
      <c r="AY79" s="103"/>
      <c r="AZ79" s="22"/>
      <c r="BA79" s="13"/>
      <c r="BC79" s="32"/>
      <c r="BD79" s="241"/>
      <c r="BE79" s="241"/>
      <c r="BF79" s="71"/>
      <c r="BG79" s="241"/>
      <c r="BH79" s="241"/>
      <c r="BI79" s="71"/>
      <c r="BJ79" s="143"/>
      <c r="BK79" s="111"/>
      <c r="BL79" s="112"/>
      <c r="BM79" s="111"/>
      <c r="BN79" s="123"/>
      <c r="BO79" s="101"/>
      <c r="BP79" s="101"/>
      <c r="BQ79" s="88"/>
      <c r="BR79" s="80"/>
      <c r="BS79" s="80"/>
      <c r="BT79" s="22"/>
      <c r="BU79" s="87"/>
      <c r="BV79" s="73"/>
      <c r="BW79" s="109"/>
      <c r="BX79" s="87"/>
      <c r="BY79" s="87"/>
      <c r="BZ79" s="109"/>
      <c r="CA79" s="76"/>
    </row>
    <row r="80" spans="1:79" s="77" customFormat="1">
      <c r="A80" s="13" t="s">
        <v>466</v>
      </c>
      <c r="B80" s="13" t="s">
        <v>480</v>
      </c>
      <c r="C80" s="13" t="s">
        <v>496</v>
      </c>
      <c r="D80" s="387" t="s">
        <v>497</v>
      </c>
      <c r="E80" s="13" t="s">
        <v>118</v>
      </c>
      <c r="F80" s="13" t="s">
        <v>167</v>
      </c>
      <c r="G80" s="13" t="s">
        <v>498</v>
      </c>
      <c r="H80" s="13" t="s">
        <v>121</v>
      </c>
      <c r="I80" s="13" t="s">
        <v>147</v>
      </c>
      <c r="J80" s="13" t="s">
        <v>5</v>
      </c>
      <c r="K80" s="13" t="s">
        <v>123</v>
      </c>
      <c r="L80" s="13" t="s">
        <v>499</v>
      </c>
      <c r="M80" s="13" t="s">
        <v>125</v>
      </c>
      <c r="N80" s="13" t="s">
        <v>126</v>
      </c>
      <c r="O80" s="247">
        <v>0.7</v>
      </c>
      <c r="P80" s="13">
        <v>102</v>
      </c>
      <c r="Q80" s="13">
        <v>30</v>
      </c>
      <c r="R80" s="13" t="s">
        <v>127</v>
      </c>
      <c r="S80" s="430" t="str">
        <f t="shared" si="49"/>
        <v>N/A</v>
      </c>
      <c r="T80" s="247">
        <v>0.8</v>
      </c>
      <c r="U80" s="13">
        <v>263</v>
      </c>
      <c r="V80" s="13">
        <v>538</v>
      </c>
      <c r="W80" s="430">
        <f t="shared" si="47"/>
        <v>275</v>
      </c>
      <c r="X80" s="430">
        <f t="shared" si="48"/>
        <v>182</v>
      </c>
      <c r="Y80" s="13">
        <v>200</v>
      </c>
      <c r="Z80" s="13">
        <v>600</v>
      </c>
      <c r="AA80" s="430">
        <f t="shared" si="50"/>
        <v>400</v>
      </c>
      <c r="AB80" s="430">
        <f t="shared" si="51"/>
        <v>120</v>
      </c>
      <c r="AC80" s="430" t="str">
        <f t="shared" si="52"/>
        <v>N/A</v>
      </c>
      <c r="AD80" s="430">
        <f t="shared" si="53"/>
        <v>72</v>
      </c>
      <c r="AE80" s="431">
        <f t="shared" si="54"/>
        <v>1.304</v>
      </c>
      <c r="AF80" s="431"/>
      <c r="AG80" s="431">
        <f t="shared" si="55"/>
        <v>1.1261176470588237</v>
      </c>
      <c r="AH80" s="431">
        <f t="shared" si="56"/>
        <v>1.193684705882353</v>
      </c>
      <c r="AI80" s="432">
        <f t="shared" si="57"/>
        <v>893.57364000000007</v>
      </c>
      <c r="AJ80" s="432">
        <f t="shared" si="58"/>
        <v>128.19456138025922</v>
      </c>
      <c r="AK80" s="432">
        <f t="shared" si="59"/>
        <v>140.17086398066576</v>
      </c>
      <c r="AL80" s="432">
        <f t="shared" si="60"/>
        <v>278.63945122382012</v>
      </c>
      <c r="AM80" s="250">
        <v>50</v>
      </c>
      <c r="AN80" s="432">
        <f t="shared" si="61"/>
        <v>51</v>
      </c>
      <c r="AO80" s="432">
        <f t="shared" si="62"/>
        <v>60.877920000000003</v>
      </c>
      <c r="AP80" s="432">
        <f t="shared" si="63"/>
        <v>202.92640000000003</v>
      </c>
      <c r="AQ80" s="255" t="s">
        <v>170</v>
      </c>
      <c r="AR80" s="13" t="s">
        <v>500</v>
      </c>
      <c r="AS80" s="434"/>
      <c r="AT80" s="429" t="s">
        <v>501</v>
      </c>
      <c r="AU80" s="241"/>
      <c r="AV80" s="243"/>
      <c r="AW80" s="72" t="s">
        <v>127</v>
      </c>
      <c r="AX80" s="243"/>
      <c r="AY80" s="103">
        <f>(V80/10)/P80</f>
        <v>0.52745098039215688</v>
      </c>
      <c r="AZ80" s="72"/>
      <c r="BA80" s="13" t="str">
        <f t="shared" ref="BA80:BA92" si="64">LEFT(G80,3)</f>
        <v>W22</v>
      </c>
      <c r="BB80" s="72" t="str">
        <f t="shared" ref="BB80:BB92" si="65">IF(R80="n/a","Clear","S/B")</f>
        <v>Clear</v>
      </c>
      <c r="BC80" s="32">
        <f>IF(Q80="","",((P80/100*O80)+T80))</f>
        <v>1.514</v>
      </c>
      <c r="BD80" s="241">
        <f>IF(BC80="","",((PI()*((51/2)^2-(16.545/2)^2)/(BC80/10))/100))</f>
        <v>120.72840596485348</v>
      </c>
      <c r="BE80" s="241">
        <f>IF(BC80="","",(BD80-AK80))</f>
        <v>-19.442458015812278</v>
      </c>
      <c r="BF80" s="71">
        <f>IF(BC80="","",(BE80/AK80))</f>
        <v>-0.13870541611624826</v>
      </c>
      <c r="BG80" s="241">
        <f>IF(BF80="","",((PI()*((70/2)^2-(16.545/2)^2)/(BC80/10))/100))</f>
        <v>239.99065019541706</v>
      </c>
      <c r="BH80" s="241">
        <f>IF(BF80="","",(BG80-AL80))</f>
        <v>-38.648801028403057</v>
      </c>
      <c r="BI80" s="71">
        <f>IF(BG80="","",(BH80/AL80))</f>
        <v>-0.13870541611624834</v>
      </c>
      <c r="BJ80" s="123"/>
      <c r="BK80" s="123"/>
      <c r="BL80" s="126"/>
      <c r="BM80" s="108"/>
      <c r="BN80" s="71"/>
      <c r="BO80" s="108"/>
      <c r="BP80" s="108"/>
      <c r="BQ80" s="83"/>
      <c r="BR80" s="113"/>
      <c r="BS80" s="71"/>
      <c r="BT80" s="13">
        <f>P80-V80/10-120/10</f>
        <v>36.200000000000003</v>
      </c>
      <c r="BU80" s="79">
        <f>BT80-Q80</f>
        <v>6.2000000000000028</v>
      </c>
      <c r="BV80" s="29">
        <f>T80+(O80/100*(P80-BT80))</f>
        <v>1.2605999999999999</v>
      </c>
      <c r="BW80" s="86">
        <f>(AE80-BV80)/AE80</f>
        <v>3.3282208588957134E-2</v>
      </c>
      <c r="BX80" s="79">
        <f>(PI()*((51/2)^2-(16.545/2)^2)/(BV80/10))/100</f>
        <v>144.99667351323828</v>
      </c>
      <c r="BY80" s="79">
        <f>BX80-AK80</f>
        <v>4.8258095325725208</v>
      </c>
      <c r="BZ80" s="86">
        <f>BY80/AK80</f>
        <v>3.4428050134856565E-2</v>
      </c>
      <c r="CA80" s="76"/>
    </row>
    <row r="81" spans="1:79" s="72" customFormat="1">
      <c r="A81" s="13" t="s">
        <v>466</v>
      </c>
      <c r="B81" s="13" t="s">
        <v>480</v>
      </c>
      <c r="C81" s="13" t="s">
        <v>502</v>
      </c>
      <c r="D81" s="387" t="s">
        <v>503</v>
      </c>
      <c r="E81" s="13" t="s">
        <v>118</v>
      </c>
      <c r="F81" s="13" t="s">
        <v>167</v>
      </c>
      <c r="G81" s="13" t="s">
        <v>504</v>
      </c>
      <c r="H81" s="13" t="s">
        <v>121</v>
      </c>
      <c r="I81" s="13" t="s">
        <v>147</v>
      </c>
      <c r="J81" s="13" t="s">
        <v>5</v>
      </c>
      <c r="K81" s="13" t="s">
        <v>123</v>
      </c>
      <c r="L81" s="13" t="s">
        <v>505</v>
      </c>
      <c r="M81" s="13" t="s">
        <v>125</v>
      </c>
      <c r="N81" s="13" t="s">
        <v>126</v>
      </c>
      <c r="O81" s="247">
        <v>0.46</v>
      </c>
      <c r="P81" s="13">
        <v>130</v>
      </c>
      <c r="Q81" s="13">
        <v>30</v>
      </c>
      <c r="R81" s="13" t="s">
        <v>127</v>
      </c>
      <c r="S81" s="430" t="str">
        <f t="shared" si="49"/>
        <v>N/A</v>
      </c>
      <c r="T81" s="247">
        <v>0.8</v>
      </c>
      <c r="U81" s="13">
        <v>200</v>
      </c>
      <c r="V81" s="13">
        <v>600</v>
      </c>
      <c r="W81" s="430">
        <f t="shared" si="47"/>
        <v>400</v>
      </c>
      <c r="X81" s="430">
        <f t="shared" si="48"/>
        <v>400</v>
      </c>
      <c r="Y81" s="13">
        <v>150</v>
      </c>
      <c r="Z81" s="13">
        <v>600</v>
      </c>
      <c r="AA81" s="430">
        <f t="shared" si="50"/>
        <v>450</v>
      </c>
      <c r="AB81" s="430">
        <f t="shared" si="51"/>
        <v>400</v>
      </c>
      <c r="AC81" s="430" t="str">
        <f t="shared" si="52"/>
        <v>N/A</v>
      </c>
      <c r="AD81" s="430">
        <f t="shared" si="53"/>
        <v>100</v>
      </c>
      <c r="AE81" s="431">
        <f t="shared" si="54"/>
        <v>1.26</v>
      </c>
      <c r="AF81" s="431"/>
      <c r="AG81" s="431">
        <f t="shared" si="55"/>
        <v>1.0830769230769233</v>
      </c>
      <c r="AH81" s="431">
        <f t="shared" si="56"/>
        <v>1.1480615384615387</v>
      </c>
      <c r="AI81" s="432">
        <f t="shared" si="57"/>
        <v>877.94839200000001</v>
      </c>
      <c r="AJ81" s="432">
        <f t="shared" si="58"/>
        <v>132.6711968570302</v>
      </c>
      <c r="AK81" s="432">
        <f t="shared" si="59"/>
        <v>145.06571954824457</v>
      </c>
      <c r="AL81" s="432">
        <f t="shared" si="60"/>
        <v>288.36971777449321</v>
      </c>
      <c r="AM81" s="250">
        <v>120</v>
      </c>
      <c r="AN81" s="432">
        <f t="shared" si="61"/>
        <v>156</v>
      </c>
      <c r="AO81" s="432">
        <f t="shared" si="62"/>
        <v>179.09760000000003</v>
      </c>
      <c r="AP81" s="432">
        <f t="shared" si="63"/>
        <v>596.99200000000008</v>
      </c>
      <c r="AQ81" s="255" t="s">
        <v>170</v>
      </c>
      <c r="AR81" s="13" t="s">
        <v>506</v>
      </c>
      <c r="AS81" s="434" t="s">
        <v>507</v>
      </c>
      <c r="AT81" s="429"/>
      <c r="AU81" s="241"/>
      <c r="AV81" s="243"/>
      <c r="AW81" s="72" t="s">
        <v>127</v>
      </c>
      <c r="AX81" s="243"/>
      <c r="AY81" s="103">
        <f>(V81/10)/P81</f>
        <v>0.46153846153846156</v>
      </c>
      <c r="BA81" s="13" t="str">
        <f t="shared" si="64"/>
        <v>W22</v>
      </c>
      <c r="BB81" s="72" t="str">
        <f t="shared" si="65"/>
        <v>Clear</v>
      </c>
      <c r="BC81" s="32"/>
      <c r="BD81" s="241"/>
      <c r="BE81" s="241"/>
      <c r="BF81" s="71"/>
      <c r="BG81" s="241"/>
      <c r="BH81" s="241"/>
      <c r="BI81" s="71"/>
      <c r="BJ81" s="123"/>
      <c r="BK81" s="123"/>
      <c r="BL81" s="126"/>
      <c r="BM81" s="123"/>
      <c r="BN81" s="123"/>
      <c r="BO81" s="108"/>
      <c r="BP81" s="108"/>
      <c r="BQ81" s="71"/>
      <c r="BR81" s="71"/>
      <c r="BS81" s="71"/>
    </row>
    <row r="82" spans="1:79" s="262" customFormat="1">
      <c r="A82" s="13" t="s">
        <v>466</v>
      </c>
      <c r="B82" s="13" t="s">
        <v>480</v>
      </c>
      <c r="C82" s="13" t="s">
        <v>502</v>
      </c>
      <c r="D82" s="387" t="s">
        <v>508</v>
      </c>
      <c r="E82" s="13" t="s">
        <v>118</v>
      </c>
      <c r="F82" s="13" t="s">
        <v>167</v>
      </c>
      <c r="G82" s="13" t="s">
        <v>509</v>
      </c>
      <c r="H82" s="13" t="s">
        <v>121</v>
      </c>
      <c r="I82" s="13" t="s">
        <v>147</v>
      </c>
      <c r="J82" s="13" t="s">
        <v>5</v>
      </c>
      <c r="K82" s="13" t="s">
        <v>123</v>
      </c>
      <c r="L82" s="13" t="s">
        <v>510</v>
      </c>
      <c r="M82" s="13" t="s">
        <v>125</v>
      </c>
      <c r="N82" s="13" t="s">
        <v>126</v>
      </c>
      <c r="O82" s="247">
        <v>0.5</v>
      </c>
      <c r="P82" s="13">
        <v>98</v>
      </c>
      <c r="Q82" s="13">
        <v>30</v>
      </c>
      <c r="R82" s="13" t="s">
        <v>127</v>
      </c>
      <c r="S82" s="430" t="str">
        <f t="shared" si="49"/>
        <v>N/A</v>
      </c>
      <c r="T82" s="247">
        <v>0.8</v>
      </c>
      <c r="U82" s="13">
        <v>160</v>
      </c>
      <c r="V82" s="13">
        <v>560</v>
      </c>
      <c r="W82" s="430">
        <f t="shared" si="47"/>
        <v>400</v>
      </c>
      <c r="X82" s="430">
        <f t="shared" si="48"/>
        <v>120</v>
      </c>
      <c r="Y82" s="13">
        <v>150</v>
      </c>
      <c r="Z82" s="13">
        <v>600</v>
      </c>
      <c r="AA82" s="430">
        <f t="shared" si="50"/>
        <v>450</v>
      </c>
      <c r="AB82" s="430">
        <f t="shared" si="51"/>
        <v>80</v>
      </c>
      <c r="AC82" s="430" t="str">
        <f t="shared" si="52"/>
        <v>N/A</v>
      </c>
      <c r="AD82" s="430">
        <f t="shared" si="53"/>
        <v>68</v>
      </c>
      <c r="AE82" s="431">
        <f t="shared" si="54"/>
        <v>1.1400000000000001</v>
      </c>
      <c r="AF82" s="431"/>
      <c r="AG82" s="431">
        <f t="shared" si="55"/>
        <v>1.0220408163265307</v>
      </c>
      <c r="AH82" s="431">
        <f t="shared" si="56"/>
        <v>1.0833632653061225</v>
      </c>
      <c r="AI82" s="432">
        <f t="shared" si="57"/>
        <v>880.5526000000001</v>
      </c>
      <c r="AJ82" s="432">
        <f t="shared" si="58"/>
        <v>146.63658599987545</v>
      </c>
      <c r="AK82" s="432">
        <f t="shared" si="59"/>
        <v>160.33579529016504</v>
      </c>
      <c r="AL82" s="432">
        <f t="shared" si="60"/>
        <v>318.72442490865035</v>
      </c>
      <c r="AM82" s="250">
        <v>120</v>
      </c>
      <c r="AN82" s="432">
        <f t="shared" si="61"/>
        <v>117.6</v>
      </c>
      <c r="AO82" s="432">
        <f t="shared" si="62"/>
        <v>127.40352</v>
      </c>
      <c r="AP82" s="432">
        <f t="shared" si="63"/>
        <v>424.67840000000001</v>
      </c>
      <c r="AQ82" s="255">
        <v>44986</v>
      </c>
      <c r="AR82" s="13" t="s">
        <v>506</v>
      </c>
      <c r="AS82" s="434" t="s">
        <v>511</v>
      </c>
      <c r="AT82" s="429"/>
      <c r="AU82" s="241"/>
      <c r="AV82" s="243"/>
      <c r="AW82" s="72" t="s">
        <v>127</v>
      </c>
      <c r="AX82" s="243"/>
      <c r="AY82" s="103">
        <f>(V82/10)/P82</f>
        <v>0.5714285714285714</v>
      </c>
      <c r="AZ82" s="72"/>
      <c r="BA82" s="13" t="str">
        <f t="shared" si="64"/>
        <v>W22</v>
      </c>
      <c r="BB82" s="72" t="str">
        <f t="shared" si="65"/>
        <v>Clear</v>
      </c>
      <c r="BC82" s="32"/>
      <c r="BD82" s="241"/>
      <c r="BE82" s="241"/>
      <c r="BF82" s="71"/>
      <c r="BG82" s="241"/>
      <c r="BH82" s="241"/>
      <c r="BI82" s="71"/>
      <c r="BJ82" s="123"/>
      <c r="BK82" s="123"/>
      <c r="BL82" s="126"/>
      <c r="BM82" s="123"/>
      <c r="BN82" s="123"/>
      <c r="BO82" s="108"/>
      <c r="BP82" s="108"/>
      <c r="BQ82" s="108"/>
      <c r="BR82" s="71"/>
      <c r="BS82" s="71"/>
      <c r="BT82" s="72"/>
      <c r="BU82" s="78"/>
      <c r="BV82" s="32"/>
      <c r="BW82" s="127"/>
      <c r="BX82" s="78"/>
      <c r="BY82" s="78"/>
      <c r="BZ82" s="127"/>
      <c r="CA82" s="76"/>
    </row>
    <row r="83" spans="1:79" s="72" customFormat="1">
      <c r="A83" s="13" t="s">
        <v>466</v>
      </c>
      <c r="B83" s="13" t="s">
        <v>480</v>
      </c>
      <c r="C83" s="13" t="s">
        <v>502</v>
      </c>
      <c r="D83" s="387" t="s">
        <v>508</v>
      </c>
      <c r="E83" s="13" t="s">
        <v>118</v>
      </c>
      <c r="F83" s="13" t="s">
        <v>167</v>
      </c>
      <c r="G83" s="13" t="s">
        <v>512</v>
      </c>
      <c r="H83" s="13" t="s">
        <v>121</v>
      </c>
      <c r="I83" s="13" t="s">
        <v>147</v>
      </c>
      <c r="J83" s="13" t="s">
        <v>5</v>
      </c>
      <c r="K83" s="13" t="s">
        <v>123</v>
      </c>
      <c r="L83" s="13" t="s">
        <v>513</v>
      </c>
      <c r="M83" s="13" t="s">
        <v>125</v>
      </c>
      <c r="N83" s="13" t="s">
        <v>126</v>
      </c>
      <c r="O83" s="247">
        <v>0.54</v>
      </c>
      <c r="P83" s="13">
        <v>100</v>
      </c>
      <c r="Q83" s="13">
        <v>30</v>
      </c>
      <c r="R83" s="13" t="s">
        <v>127</v>
      </c>
      <c r="S83" s="430" t="str">
        <f t="shared" si="49"/>
        <v>N/A</v>
      </c>
      <c r="T83" s="247">
        <v>0.8</v>
      </c>
      <c r="U83" s="13">
        <v>180</v>
      </c>
      <c r="V83" s="13">
        <v>580</v>
      </c>
      <c r="W83" s="430">
        <f t="shared" si="47"/>
        <v>400</v>
      </c>
      <c r="X83" s="430">
        <f t="shared" si="48"/>
        <v>120</v>
      </c>
      <c r="Y83" s="13">
        <v>150</v>
      </c>
      <c r="Z83" s="13">
        <v>600</v>
      </c>
      <c r="AA83" s="430">
        <f t="shared" si="50"/>
        <v>450</v>
      </c>
      <c r="AB83" s="430">
        <f t="shared" si="51"/>
        <v>100</v>
      </c>
      <c r="AC83" s="430" t="str">
        <f t="shared" si="52"/>
        <v>N/A</v>
      </c>
      <c r="AD83" s="430">
        <f t="shared" si="53"/>
        <v>70</v>
      </c>
      <c r="AE83" s="431">
        <f t="shared" si="54"/>
        <v>1.1779999999999999</v>
      </c>
      <c r="AF83" s="431"/>
      <c r="AG83" s="431">
        <f t="shared" si="55"/>
        <v>1.0456999999999999</v>
      </c>
      <c r="AH83" s="431">
        <f t="shared" si="56"/>
        <v>1.1084419999999999</v>
      </c>
      <c r="AI83" s="432">
        <f t="shared" si="57"/>
        <v>883.15680800000007</v>
      </c>
      <c r="AJ83" s="432">
        <f t="shared" si="58"/>
        <v>141.9063735482666</v>
      </c>
      <c r="AK83" s="432">
        <f t="shared" si="59"/>
        <v>155.1636728614501</v>
      </c>
      <c r="AL83" s="432">
        <f t="shared" si="60"/>
        <v>308.44299184708109</v>
      </c>
      <c r="AM83" s="250">
        <v>120</v>
      </c>
      <c r="AN83" s="432">
        <f t="shared" si="61"/>
        <v>120</v>
      </c>
      <c r="AO83" s="432">
        <f t="shared" si="62"/>
        <v>133.01303999999999</v>
      </c>
      <c r="AP83" s="432">
        <f t="shared" si="63"/>
        <v>443.3768</v>
      </c>
      <c r="AQ83" s="255" t="s">
        <v>170</v>
      </c>
      <c r="AR83" s="13" t="s">
        <v>506</v>
      </c>
      <c r="AS83" s="434" t="s">
        <v>514</v>
      </c>
      <c r="AT83" s="429"/>
      <c r="AU83" s="241"/>
      <c r="AV83" s="243"/>
      <c r="AW83" s="72" t="s">
        <v>127</v>
      </c>
      <c r="AX83" s="243"/>
      <c r="AY83" s="103">
        <f>(V83/10)/P83</f>
        <v>0.57999999999999996</v>
      </c>
      <c r="BA83" s="13" t="str">
        <f t="shared" si="64"/>
        <v>W22</v>
      </c>
      <c r="BB83" s="72" t="str">
        <f t="shared" si="65"/>
        <v>Clear</v>
      </c>
      <c r="BC83" s="32"/>
      <c r="BD83" s="241"/>
      <c r="BE83" s="241"/>
      <c r="BF83" s="71"/>
      <c r="BG83" s="241"/>
      <c r="BH83" s="241"/>
      <c r="BI83" s="71"/>
      <c r="BJ83" s="123"/>
      <c r="BK83" s="123"/>
      <c r="BL83" s="126"/>
      <c r="BM83" s="123"/>
      <c r="BN83" s="123"/>
      <c r="BO83" s="108"/>
      <c r="BP83" s="108"/>
      <c r="BQ83" s="71"/>
      <c r="BR83" s="71"/>
      <c r="BS83" s="71"/>
    </row>
    <row r="84" spans="1:79" s="72" customFormat="1" ht="14.25" customHeight="1">
      <c r="A84" s="13" t="s">
        <v>466</v>
      </c>
      <c r="B84" s="13" t="s">
        <v>480</v>
      </c>
      <c r="C84" s="13" t="s">
        <v>502</v>
      </c>
      <c r="D84" s="387" t="s">
        <v>508</v>
      </c>
      <c r="E84" s="13" t="s">
        <v>118</v>
      </c>
      <c r="F84" s="13" t="s">
        <v>119</v>
      </c>
      <c r="G84" s="429" t="s">
        <v>515</v>
      </c>
      <c r="H84" s="13"/>
      <c r="I84" s="13"/>
      <c r="J84" s="13"/>
      <c r="K84" s="13" t="s">
        <v>123</v>
      </c>
      <c r="L84" s="13" t="s">
        <v>516</v>
      </c>
      <c r="M84" s="13" t="s">
        <v>125</v>
      </c>
      <c r="N84" s="13" t="s">
        <v>126</v>
      </c>
      <c r="O84" s="247"/>
      <c r="P84" s="438"/>
      <c r="Q84" s="13"/>
      <c r="R84" s="13"/>
      <c r="S84" s="430">
        <f t="shared" si="49"/>
        <v>0</v>
      </c>
      <c r="T84" s="247"/>
      <c r="U84" s="13"/>
      <c r="V84" s="13"/>
      <c r="W84" s="430">
        <f t="shared" si="47"/>
        <v>0</v>
      </c>
      <c r="X84" s="430">
        <f t="shared" si="48"/>
        <v>0</v>
      </c>
      <c r="Y84" s="13"/>
      <c r="Z84" s="13"/>
      <c r="AA84" s="430">
        <f t="shared" si="50"/>
        <v>0</v>
      </c>
      <c r="AB84" s="430">
        <f t="shared" si="51"/>
        <v>0</v>
      </c>
      <c r="AC84" s="430">
        <f t="shared" si="52"/>
        <v>0</v>
      </c>
      <c r="AD84" s="430">
        <f t="shared" si="53"/>
        <v>0</v>
      </c>
      <c r="AE84" s="431">
        <f t="shared" si="54"/>
        <v>0</v>
      </c>
      <c r="AF84" s="431"/>
      <c r="AG84" s="431" t="e">
        <f t="shared" si="55"/>
        <v>#DIV/0!</v>
      </c>
      <c r="AH84" s="431" t="e">
        <f t="shared" si="56"/>
        <v>#DIV/0!</v>
      </c>
      <c r="AI84" s="432">
        <f t="shared" si="57"/>
        <v>0</v>
      </c>
      <c r="AJ84" s="432" t="e">
        <f t="shared" si="58"/>
        <v>#DIV/0!</v>
      </c>
      <c r="AK84" s="432" t="e">
        <f t="shared" si="59"/>
        <v>#DIV/0!</v>
      </c>
      <c r="AL84" s="432" t="e">
        <f t="shared" si="60"/>
        <v>#DIV/0!</v>
      </c>
      <c r="AM84" s="250"/>
      <c r="AN84" s="432">
        <f t="shared" si="61"/>
        <v>0</v>
      </c>
      <c r="AO84" s="432" t="e">
        <f t="shared" si="62"/>
        <v>#DIV/0!</v>
      </c>
      <c r="AP84" s="432" t="e">
        <f t="shared" si="63"/>
        <v>#DIV/0!</v>
      </c>
      <c r="AQ84" s="255" t="s">
        <v>127</v>
      </c>
      <c r="AR84" s="13" t="s">
        <v>127</v>
      </c>
      <c r="AS84" s="434"/>
      <c r="AT84" s="429" t="s">
        <v>517</v>
      </c>
      <c r="AU84" s="241"/>
      <c r="AV84" s="243"/>
      <c r="AW84" s="13" t="s">
        <v>127</v>
      </c>
      <c r="AX84" s="255"/>
      <c r="AY84" s="103"/>
      <c r="AZ84" s="13"/>
      <c r="BA84" s="13" t="str">
        <f t="shared" si="64"/>
        <v>W22</v>
      </c>
      <c r="BB84" s="72" t="str">
        <f t="shared" si="65"/>
        <v>S/B</v>
      </c>
      <c r="BC84" s="32"/>
      <c r="BD84" s="241"/>
      <c r="BE84" s="241"/>
      <c r="BF84" s="71"/>
      <c r="BG84" s="241"/>
      <c r="BH84" s="241"/>
      <c r="BI84" s="71"/>
      <c r="BJ84" s="114"/>
      <c r="BK84" s="111"/>
      <c r="BL84" s="112"/>
      <c r="BM84" s="111"/>
      <c r="BN84" s="123"/>
      <c r="BO84" s="83"/>
      <c r="BP84" s="108"/>
      <c r="BQ84" s="123"/>
      <c r="BR84" s="167"/>
      <c r="BS84" s="167"/>
      <c r="BT84" s="72">
        <f>P84-V84/10-120/10</f>
        <v>-12</v>
      </c>
      <c r="BU84" s="78">
        <f>BT84-Q84</f>
        <v>-12</v>
      </c>
      <c r="BV84" s="32">
        <f>T84+(O84/100*(P84-BT84))</f>
        <v>0</v>
      </c>
      <c r="BW84" s="127" t="e">
        <f>(AE84-BV84)/AE84</f>
        <v>#DIV/0!</v>
      </c>
      <c r="BX84" s="78" t="e">
        <f>(PI()*((51/2)^2-(16.545/2)^2)/(BV84/10))/100</f>
        <v>#DIV/0!</v>
      </c>
      <c r="BY84" s="78" t="e">
        <f>BX84-AK84</f>
        <v>#DIV/0!</v>
      </c>
      <c r="BZ84" s="127" t="e">
        <f>BY84/AK84</f>
        <v>#DIV/0!</v>
      </c>
      <c r="CA84" s="76"/>
    </row>
    <row r="85" spans="1:79" s="22" customFormat="1">
      <c r="A85" s="13" t="s">
        <v>466</v>
      </c>
      <c r="B85" s="13" t="s">
        <v>480</v>
      </c>
      <c r="C85" s="13" t="s">
        <v>502</v>
      </c>
      <c r="D85" s="387" t="s">
        <v>518</v>
      </c>
      <c r="E85" s="13" t="s">
        <v>118</v>
      </c>
      <c r="F85" s="13" t="s">
        <v>167</v>
      </c>
      <c r="G85" s="13" t="s">
        <v>519</v>
      </c>
      <c r="H85" s="13" t="s">
        <v>121</v>
      </c>
      <c r="I85" s="13" t="s">
        <v>147</v>
      </c>
      <c r="J85" s="13" t="s">
        <v>5</v>
      </c>
      <c r="K85" s="13" t="s">
        <v>123</v>
      </c>
      <c r="L85" s="13" t="s">
        <v>520</v>
      </c>
      <c r="M85" s="13" t="s">
        <v>125</v>
      </c>
      <c r="N85" s="13" t="s">
        <v>126</v>
      </c>
      <c r="O85" s="247">
        <v>0.2</v>
      </c>
      <c r="P85" s="13">
        <v>106</v>
      </c>
      <c r="Q85" s="13">
        <v>30</v>
      </c>
      <c r="R85" s="13" t="s">
        <v>127</v>
      </c>
      <c r="S85" s="430" t="str">
        <f t="shared" si="49"/>
        <v>N/A</v>
      </c>
      <c r="T85" s="247">
        <v>0.8</v>
      </c>
      <c r="U85" s="13">
        <v>200</v>
      </c>
      <c r="V85" s="13">
        <v>600</v>
      </c>
      <c r="W85" s="430">
        <f t="shared" si="47"/>
        <v>400</v>
      </c>
      <c r="X85" s="430">
        <f t="shared" si="48"/>
        <v>160</v>
      </c>
      <c r="Y85" s="13">
        <v>150</v>
      </c>
      <c r="Z85" s="13">
        <v>600</v>
      </c>
      <c r="AA85" s="430">
        <f t="shared" si="50"/>
        <v>450</v>
      </c>
      <c r="AB85" s="430">
        <f t="shared" si="51"/>
        <v>160</v>
      </c>
      <c r="AC85" s="430" t="str">
        <f t="shared" si="52"/>
        <v>N/A</v>
      </c>
      <c r="AD85" s="430">
        <f t="shared" si="53"/>
        <v>76</v>
      </c>
      <c r="AE85" s="431">
        <f t="shared" si="54"/>
        <v>0.95200000000000007</v>
      </c>
      <c r="AF85" s="431"/>
      <c r="AG85" s="431">
        <f t="shared" si="55"/>
        <v>0.89750943396226424</v>
      </c>
      <c r="AH85" s="431">
        <f t="shared" si="56"/>
        <v>0.95136000000000009</v>
      </c>
      <c r="AI85" s="432">
        <f t="shared" si="57"/>
        <v>861.02103999999997</v>
      </c>
      <c r="AJ85" s="432">
        <f t="shared" si="58"/>
        <v>175.59423113430464</v>
      </c>
      <c r="AK85" s="432">
        <f t="shared" si="59"/>
        <v>191.99874646091195</v>
      </c>
      <c r="AL85" s="432">
        <f t="shared" si="60"/>
        <v>381.66580293682927</v>
      </c>
      <c r="AM85" s="250">
        <v>120</v>
      </c>
      <c r="AN85" s="432">
        <f t="shared" si="61"/>
        <v>127.2</v>
      </c>
      <c r="AO85" s="432">
        <f t="shared" si="62"/>
        <v>121.01299200000001</v>
      </c>
      <c r="AP85" s="432">
        <f t="shared" si="63"/>
        <v>403.37664000000007</v>
      </c>
      <c r="AQ85" s="255" t="s">
        <v>170</v>
      </c>
      <c r="AR85" s="13" t="s">
        <v>506</v>
      </c>
      <c r="AS85" s="434" t="s">
        <v>521</v>
      </c>
      <c r="AT85" s="429"/>
      <c r="AU85" s="241"/>
      <c r="AV85" s="243"/>
      <c r="AW85" s="72" t="s">
        <v>127</v>
      </c>
      <c r="AX85" s="243"/>
      <c r="AY85" s="103">
        <f t="shared" ref="AY85:AY92" si="66">(V85/10)/P85</f>
        <v>0.56603773584905659</v>
      </c>
      <c r="AZ85" s="72"/>
      <c r="BA85" s="13" t="str">
        <f t="shared" si="64"/>
        <v>W22</v>
      </c>
      <c r="BB85" s="72" t="str">
        <f t="shared" si="65"/>
        <v>Clear</v>
      </c>
      <c r="BC85" s="32"/>
      <c r="BD85" s="241"/>
      <c r="BE85" s="241"/>
      <c r="BF85" s="71"/>
      <c r="BG85" s="241"/>
      <c r="BH85" s="241"/>
      <c r="BI85" s="71"/>
      <c r="BJ85" s="123"/>
      <c r="BK85" s="123"/>
      <c r="BL85" s="126"/>
      <c r="BM85" s="123"/>
      <c r="BN85" s="123"/>
      <c r="BO85" s="108"/>
      <c r="BP85" s="108"/>
      <c r="BQ85" s="102"/>
      <c r="BR85" s="100"/>
      <c r="BS85" s="100"/>
      <c r="BT85" s="13">
        <f>P85-V85/10-120/10</f>
        <v>34</v>
      </c>
      <c r="BU85" s="79">
        <f>BT85-Q85</f>
        <v>4</v>
      </c>
      <c r="BV85" s="29">
        <f>T85+(O85/100*(P85-BT85))</f>
        <v>0.94400000000000006</v>
      </c>
      <c r="BW85" s="86">
        <f>(AE85-BV85)/AE85</f>
        <v>8.4033613445378217E-3</v>
      </c>
      <c r="BX85" s="79">
        <f>(PI()*((51/2)^2-(16.545/2)^2)/(BV85/10))/100</f>
        <v>193.62585448176708</v>
      </c>
      <c r="BY85" s="79">
        <f>BX85-AK85</f>
        <v>1.6271080208551325</v>
      </c>
      <c r="BZ85" s="86">
        <f>BY85/AK85</f>
        <v>8.4745762711861614E-3</v>
      </c>
      <c r="CA85" s="76"/>
    </row>
    <row r="86" spans="1:79" s="72" customFormat="1">
      <c r="A86" s="13" t="s">
        <v>466</v>
      </c>
      <c r="B86" s="387" t="s">
        <v>480</v>
      </c>
      <c r="C86" s="13" t="s">
        <v>502</v>
      </c>
      <c r="D86" s="387" t="s">
        <v>522</v>
      </c>
      <c r="E86" s="13" t="s">
        <v>118</v>
      </c>
      <c r="F86" s="13" t="s">
        <v>167</v>
      </c>
      <c r="G86" s="13" t="s">
        <v>523</v>
      </c>
      <c r="H86" s="13" t="s">
        <v>121</v>
      </c>
      <c r="I86" s="13" t="s">
        <v>147</v>
      </c>
      <c r="J86" s="13" t="s">
        <v>5</v>
      </c>
      <c r="K86" s="13" t="s">
        <v>123</v>
      </c>
      <c r="L86" s="429" t="s">
        <v>524</v>
      </c>
      <c r="M86" s="13" t="s">
        <v>125</v>
      </c>
      <c r="N86" s="13" t="s">
        <v>126</v>
      </c>
      <c r="O86" s="247">
        <v>0.54</v>
      </c>
      <c r="P86" s="13">
        <v>105</v>
      </c>
      <c r="Q86" s="13">
        <v>30</v>
      </c>
      <c r="R86" s="13" t="s">
        <v>127</v>
      </c>
      <c r="S86" s="430" t="str">
        <f t="shared" si="49"/>
        <v>N/A</v>
      </c>
      <c r="T86" s="247">
        <v>0.8</v>
      </c>
      <c r="U86" s="13">
        <v>200</v>
      </c>
      <c r="V86" s="13">
        <v>600</v>
      </c>
      <c r="W86" s="430">
        <f t="shared" si="47"/>
        <v>400</v>
      </c>
      <c r="X86" s="430">
        <f t="shared" si="48"/>
        <v>150</v>
      </c>
      <c r="Y86" s="13">
        <v>150</v>
      </c>
      <c r="Z86" s="13">
        <v>600</v>
      </c>
      <c r="AA86" s="430">
        <f t="shared" si="50"/>
        <v>450</v>
      </c>
      <c r="AB86" s="430">
        <f t="shared" si="51"/>
        <v>150</v>
      </c>
      <c r="AC86" s="430" t="str">
        <f t="shared" si="52"/>
        <v>N/A</v>
      </c>
      <c r="AD86" s="430">
        <f t="shared" si="53"/>
        <v>75</v>
      </c>
      <c r="AE86" s="431">
        <f t="shared" si="54"/>
        <v>1.2050000000000001</v>
      </c>
      <c r="AF86" s="431"/>
      <c r="AG86" s="431">
        <f t="shared" si="55"/>
        <v>1.060357142857143</v>
      </c>
      <c r="AH86" s="431">
        <f t="shared" si="56"/>
        <v>1.1239785714285717</v>
      </c>
      <c r="AI86" s="432">
        <f t="shared" si="57"/>
        <v>883.15680800000007</v>
      </c>
      <c r="AJ86" s="432">
        <f t="shared" si="58"/>
        <v>138.72672866378261</v>
      </c>
      <c r="AK86" s="432">
        <f t="shared" si="59"/>
        <v>151.68697645708559</v>
      </c>
      <c r="AL86" s="432">
        <f t="shared" si="60"/>
        <v>301.53182107540368</v>
      </c>
      <c r="AM86" s="250">
        <v>152</v>
      </c>
      <c r="AN86" s="432">
        <f t="shared" si="61"/>
        <v>159.6</v>
      </c>
      <c r="AO86" s="432">
        <f t="shared" si="62"/>
        <v>179.38698000000005</v>
      </c>
      <c r="AP86" s="432">
        <f t="shared" si="63"/>
        <v>597.95660000000021</v>
      </c>
      <c r="AQ86" s="255" t="s">
        <v>170</v>
      </c>
      <c r="AR86" s="13" t="s">
        <v>525</v>
      </c>
      <c r="AS86" s="434" t="s">
        <v>526</v>
      </c>
      <c r="AT86" s="429" t="s">
        <v>527</v>
      </c>
      <c r="AU86" s="241"/>
      <c r="AV86" s="243"/>
      <c r="AW86" s="72" t="s">
        <v>127</v>
      </c>
      <c r="AX86" s="243"/>
      <c r="AY86" s="71">
        <f t="shared" si="66"/>
        <v>0.5714285714285714</v>
      </c>
      <c r="BA86" s="72" t="str">
        <f t="shared" si="64"/>
        <v>W22</v>
      </c>
      <c r="BB86" s="72" t="str">
        <f t="shared" si="65"/>
        <v>Clear</v>
      </c>
      <c r="BC86" s="32"/>
      <c r="BD86" s="241"/>
      <c r="BE86" s="241"/>
      <c r="BF86" s="71"/>
      <c r="BG86" s="241"/>
      <c r="BH86" s="241"/>
      <c r="BI86" s="71"/>
      <c r="BJ86" s="123"/>
      <c r="BK86" s="123"/>
      <c r="BL86" s="126"/>
      <c r="BM86" s="123"/>
      <c r="BN86" s="123"/>
      <c r="BO86" s="108"/>
      <c r="BP86" s="108"/>
      <c r="BQ86" s="83"/>
      <c r="BR86" s="71"/>
      <c r="BS86" s="71"/>
      <c r="BT86" s="13">
        <f>P86-V86/10-120/10</f>
        <v>33</v>
      </c>
      <c r="BU86" s="79">
        <f>BT86-Q86</f>
        <v>3</v>
      </c>
      <c r="BV86" s="29">
        <f>T86+(O86/100*(P86-BT86))</f>
        <v>1.1888000000000001</v>
      </c>
      <c r="BW86" s="86">
        <f>(AE86-BV86)/AE86</f>
        <v>1.3443983402489619E-2</v>
      </c>
      <c r="BX86" s="79">
        <f>(PI()*((51/2)^2-(16.545/2)^2)/(BV86/10))/100</f>
        <v>153.75404326277604</v>
      </c>
      <c r="BY86" s="79">
        <f>BX86-AK86</f>
        <v>2.0670668056904447</v>
      </c>
      <c r="BZ86" s="86">
        <f>BY86/AK86</f>
        <v>1.3627187079407884E-2</v>
      </c>
      <c r="CA86" s="76"/>
    </row>
    <row r="87" spans="1:79" s="72" customFormat="1">
      <c r="A87" s="13" t="s">
        <v>466</v>
      </c>
      <c r="B87" s="387" t="s">
        <v>480</v>
      </c>
      <c r="C87" s="13" t="s">
        <v>502</v>
      </c>
      <c r="D87" s="387" t="s">
        <v>522</v>
      </c>
      <c r="E87" s="13" t="s">
        <v>118</v>
      </c>
      <c r="F87" s="13" t="s">
        <v>186</v>
      </c>
      <c r="G87" s="13" t="s">
        <v>528</v>
      </c>
      <c r="H87" s="13" t="s">
        <v>121</v>
      </c>
      <c r="I87" s="13" t="s">
        <v>147</v>
      </c>
      <c r="J87" s="13" t="s">
        <v>5</v>
      </c>
      <c r="K87" s="13" t="s">
        <v>140</v>
      </c>
      <c r="L87" s="13" t="s">
        <v>529</v>
      </c>
      <c r="M87" s="13"/>
      <c r="N87" s="13" t="s">
        <v>142</v>
      </c>
      <c r="O87" s="247">
        <v>0.54</v>
      </c>
      <c r="P87" s="13">
        <v>105</v>
      </c>
      <c r="Q87" s="13">
        <v>30</v>
      </c>
      <c r="R87" s="13" t="s">
        <v>127</v>
      </c>
      <c r="S87" s="430" t="str">
        <f t="shared" si="49"/>
        <v>N/A</v>
      </c>
      <c r="T87" s="247">
        <v>0.76</v>
      </c>
      <c r="U87" s="13">
        <v>200</v>
      </c>
      <c r="V87" s="13">
        <v>600</v>
      </c>
      <c r="W87" s="430">
        <f t="shared" si="47"/>
        <v>400</v>
      </c>
      <c r="X87" s="430">
        <f t="shared" si="48"/>
        <v>150</v>
      </c>
      <c r="Y87" s="13">
        <v>150</v>
      </c>
      <c r="Z87" s="13">
        <v>600</v>
      </c>
      <c r="AA87" s="430">
        <f t="shared" si="50"/>
        <v>450</v>
      </c>
      <c r="AB87" s="430">
        <f t="shared" si="51"/>
        <v>150</v>
      </c>
      <c r="AC87" s="430" t="str">
        <f t="shared" si="52"/>
        <v>N/A</v>
      </c>
      <c r="AD87" s="430">
        <f t="shared" si="53"/>
        <v>75</v>
      </c>
      <c r="AE87" s="431">
        <f t="shared" si="54"/>
        <v>1.165</v>
      </c>
      <c r="AF87" s="431"/>
      <c r="AG87" s="431">
        <f t="shared" si="55"/>
        <v>1.020357142857143</v>
      </c>
      <c r="AH87" s="431">
        <f t="shared" si="56"/>
        <v>1.0866803571428572</v>
      </c>
      <c r="AI87" s="432">
        <f t="shared" si="57"/>
        <v>844.72264200000006</v>
      </c>
      <c r="AJ87" s="432">
        <f t="shared" si="58"/>
        <v>143.48987814580087</v>
      </c>
      <c r="AK87" s="432">
        <f t="shared" si="59"/>
        <v>156.89511298780101</v>
      </c>
      <c r="AL87" s="432">
        <f t="shared" si="60"/>
        <v>311.88484497498837</v>
      </c>
      <c r="AM87" s="250">
        <v>157</v>
      </c>
      <c r="AN87" s="432">
        <f t="shared" si="61"/>
        <v>164.85</v>
      </c>
      <c r="AO87" s="432">
        <f t="shared" si="62"/>
        <v>179.139256875</v>
      </c>
      <c r="AP87" s="432">
        <f t="shared" si="63"/>
        <v>597.13085625000008</v>
      </c>
      <c r="AQ87" s="255">
        <v>45139</v>
      </c>
      <c r="AR87" s="13" t="s">
        <v>530</v>
      </c>
      <c r="AS87" s="434" t="s">
        <v>531</v>
      </c>
      <c r="AT87" s="429"/>
      <c r="AU87" s="257"/>
      <c r="AV87" s="259"/>
      <c r="AW87" s="38" t="s">
        <v>127</v>
      </c>
      <c r="AX87" s="254"/>
      <c r="AY87" s="102">
        <f t="shared" si="66"/>
        <v>0.5714285714285714</v>
      </c>
      <c r="AZ87" s="38"/>
      <c r="BA87" s="38" t="str">
        <f t="shared" si="64"/>
        <v>W50</v>
      </c>
      <c r="BB87" s="77" t="str">
        <f t="shared" si="65"/>
        <v>Clear</v>
      </c>
      <c r="BC87" s="264"/>
      <c r="BD87" s="253"/>
      <c r="BE87" s="253"/>
      <c r="BF87" s="100"/>
      <c r="BG87" s="253"/>
      <c r="BH87" s="253"/>
      <c r="BI87" s="100"/>
      <c r="BJ87" s="143"/>
      <c r="BK87" s="105"/>
      <c r="BL87" s="170"/>
      <c r="BM87" s="105"/>
      <c r="BN87" s="106"/>
      <c r="BO87" s="105"/>
      <c r="BP87" s="105"/>
      <c r="BQ87" s="115"/>
      <c r="BR87" s="152"/>
      <c r="BS87" s="80"/>
      <c r="BT87" s="22"/>
      <c r="BU87" s="87"/>
      <c r="BV87" s="73"/>
      <c r="BW87" s="109"/>
      <c r="BX87" s="87"/>
      <c r="BY87" s="87"/>
      <c r="BZ87" s="109"/>
      <c r="CA87" s="76"/>
    </row>
    <row r="88" spans="1:79" s="22" customFormat="1">
      <c r="A88" s="13" t="s">
        <v>466</v>
      </c>
      <c r="B88" s="13" t="s">
        <v>480</v>
      </c>
      <c r="C88" s="13" t="s">
        <v>502</v>
      </c>
      <c r="D88" s="387" t="s">
        <v>522</v>
      </c>
      <c r="E88" s="13" t="s">
        <v>118</v>
      </c>
      <c r="F88" s="13" t="s">
        <v>167</v>
      </c>
      <c r="G88" s="13" t="s">
        <v>532</v>
      </c>
      <c r="H88" s="13" t="s">
        <v>121</v>
      </c>
      <c r="I88" s="13" t="s">
        <v>147</v>
      </c>
      <c r="J88" s="13" t="s">
        <v>5</v>
      </c>
      <c r="K88" s="13" t="s">
        <v>123</v>
      </c>
      <c r="L88" s="13" t="s">
        <v>533</v>
      </c>
      <c r="M88" s="13" t="s">
        <v>125</v>
      </c>
      <c r="N88" s="13" t="s">
        <v>126</v>
      </c>
      <c r="O88" s="247">
        <v>0.57999999999999996</v>
      </c>
      <c r="P88" s="13">
        <v>103</v>
      </c>
      <c r="Q88" s="13">
        <v>30</v>
      </c>
      <c r="R88" s="13" t="s">
        <v>127</v>
      </c>
      <c r="S88" s="430" t="str">
        <f t="shared" si="49"/>
        <v>N/A</v>
      </c>
      <c r="T88" s="247">
        <v>0.8</v>
      </c>
      <c r="U88" s="13">
        <v>210</v>
      </c>
      <c r="V88" s="13">
        <v>430</v>
      </c>
      <c r="W88" s="430">
        <f t="shared" si="47"/>
        <v>220</v>
      </c>
      <c r="X88" s="430">
        <f t="shared" si="48"/>
        <v>300</v>
      </c>
      <c r="Y88" s="13">
        <v>210</v>
      </c>
      <c r="Z88" s="13">
        <v>610</v>
      </c>
      <c r="AA88" s="430">
        <f t="shared" si="50"/>
        <v>400</v>
      </c>
      <c r="AB88" s="430">
        <f t="shared" si="51"/>
        <v>120</v>
      </c>
      <c r="AC88" s="430" t="str">
        <f t="shared" si="52"/>
        <v>N/A</v>
      </c>
      <c r="AD88" s="430">
        <f t="shared" si="53"/>
        <v>73</v>
      </c>
      <c r="AE88" s="431">
        <f t="shared" si="54"/>
        <v>1.2234</v>
      </c>
      <c r="AF88" s="431"/>
      <c r="AG88" s="431">
        <f t="shared" si="55"/>
        <v>1.0733601941747573</v>
      </c>
      <c r="AH88" s="431">
        <f t="shared" si="56"/>
        <v>1.1377618058252426</v>
      </c>
      <c r="AI88" s="432">
        <f t="shared" si="57"/>
        <v>885.76101600000004</v>
      </c>
      <c r="AJ88" s="432">
        <f t="shared" si="58"/>
        <v>136.64027140743667</v>
      </c>
      <c r="AK88" s="432">
        <f t="shared" si="59"/>
        <v>149.40559639593604</v>
      </c>
      <c r="AL88" s="432">
        <f t="shared" si="60"/>
        <v>296.99676671232749</v>
      </c>
      <c r="AM88" s="250">
        <v>50</v>
      </c>
      <c r="AN88" s="432">
        <f t="shared" si="61"/>
        <v>51.5</v>
      </c>
      <c r="AO88" s="432">
        <f t="shared" si="62"/>
        <v>58.594732999999991</v>
      </c>
      <c r="AP88" s="432">
        <f t="shared" si="63"/>
        <v>195.31577666666664</v>
      </c>
      <c r="AQ88" s="255">
        <v>44805</v>
      </c>
      <c r="AR88" s="13" t="s">
        <v>534</v>
      </c>
      <c r="AS88" s="434" t="s">
        <v>535</v>
      </c>
      <c r="AT88" s="429" t="s">
        <v>536</v>
      </c>
      <c r="AU88" s="241"/>
      <c r="AV88" s="243"/>
      <c r="AW88" s="72" t="s">
        <v>127</v>
      </c>
      <c r="AX88" s="243"/>
      <c r="AY88" s="103">
        <f t="shared" si="66"/>
        <v>0.41747572815533979</v>
      </c>
      <c r="AZ88" s="72"/>
      <c r="BA88" s="13" t="str">
        <f t="shared" si="64"/>
        <v>W22</v>
      </c>
      <c r="BB88" s="72" t="str">
        <f t="shared" si="65"/>
        <v>Clear</v>
      </c>
      <c r="BC88" s="32">
        <f>IF(Q88="","",((P88/100*O88)+T88))</f>
        <v>1.3974</v>
      </c>
      <c r="BD88" s="241">
        <f>IF(BC88="","",((PI()*((51/2)^2-(16.545/2)^2)/(BC88/10))/100))</f>
        <v>130.80206571546313</v>
      </c>
      <c r="BE88" s="241">
        <f>IF(BC88="","",(BD88-AK88))</f>
        <v>-18.603530680472915</v>
      </c>
      <c r="BF88" s="71">
        <f>IF(BC88="","",(BE88/AK88))</f>
        <v>-0.12451696006869892</v>
      </c>
      <c r="BG88" s="241">
        <f>IF(BF88="","",((PI()*((70/2)^2-(16.545/2)^2)/(BC88/10))/100))</f>
        <v>260.01563217107588</v>
      </c>
      <c r="BH88" s="241">
        <f>IF(BF88="","",(BG88-AL88))</f>
        <v>-36.981134541251606</v>
      </c>
      <c r="BI88" s="71">
        <f>IF(BG88="","",(BH88/AL88))</f>
        <v>-0.12451696006869904</v>
      </c>
      <c r="BJ88" s="123"/>
      <c r="BK88" s="123"/>
      <c r="BL88" s="126"/>
      <c r="BM88" s="123"/>
      <c r="BN88" s="123"/>
      <c r="BO88" s="108"/>
      <c r="BP88" s="108"/>
      <c r="BQ88" s="108"/>
      <c r="BR88" s="71"/>
      <c r="BS88" s="71"/>
      <c r="BT88" s="72">
        <f>P88-V88/10-120/10</f>
        <v>48</v>
      </c>
      <c r="BU88" s="78">
        <f>BT88-Q88</f>
        <v>18</v>
      </c>
      <c r="BV88" s="32">
        <f>T88+(O88/100*(P88-BT88))</f>
        <v>1.119</v>
      </c>
      <c r="BW88" s="127">
        <f>(AE88-BV88)/AE88</f>
        <v>8.533594899460524E-2</v>
      </c>
      <c r="BX88" s="78">
        <f>(PI()*((51/2)^2-(16.545/2)^2)/(BV88/10))/100</f>
        <v>163.3447780435998</v>
      </c>
      <c r="BY88" s="78">
        <f>BX88-AK88</f>
        <v>13.939181647663759</v>
      </c>
      <c r="BZ88" s="127">
        <f>BY88/AK88</f>
        <v>9.3297587131367432E-2</v>
      </c>
      <c r="CA88" s="76"/>
    </row>
    <row r="89" spans="1:79" s="72" customFormat="1">
      <c r="A89" s="13" t="s">
        <v>466</v>
      </c>
      <c r="B89" s="13" t="s">
        <v>480</v>
      </c>
      <c r="C89" s="13" t="s">
        <v>502</v>
      </c>
      <c r="D89" s="387" t="s">
        <v>522</v>
      </c>
      <c r="E89" s="13" t="s">
        <v>118</v>
      </c>
      <c r="F89" s="13" t="s">
        <v>167</v>
      </c>
      <c r="G89" s="13" t="s">
        <v>537</v>
      </c>
      <c r="H89" s="13" t="s">
        <v>389</v>
      </c>
      <c r="I89" s="13" t="s">
        <v>139</v>
      </c>
      <c r="J89" s="13" t="s">
        <v>5</v>
      </c>
      <c r="K89" s="13" t="s">
        <v>140</v>
      </c>
      <c r="L89" s="13" t="s">
        <v>538</v>
      </c>
      <c r="M89" s="13"/>
      <c r="N89" s="13" t="s">
        <v>142</v>
      </c>
      <c r="O89" s="247">
        <v>0.57999999999999996</v>
      </c>
      <c r="P89" s="13">
        <v>103</v>
      </c>
      <c r="Q89" s="13">
        <v>30</v>
      </c>
      <c r="R89" s="13" t="s">
        <v>127</v>
      </c>
      <c r="S89" s="430" t="str">
        <f t="shared" si="49"/>
        <v>N/A</v>
      </c>
      <c r="T89" s="247">
        <v>0.76</v>
      </c>
      <c r="U89" s="13">
        <v>210</v>
      </c>
      <c r="V89" s="13">
        <v>430</v>
      </c>
      <c r="W89" s="430">
        <f t="shared" si="47"/>
        <v>220</v>
      </c>
      <c r="X89" s="430">
        <f t="shared" si="48"/>
        <v>300</v>
      </c>
      <c r="Y89" s="13">
        <v>210</v>
      </c>
      <c r="Z89" s="13">
        <v>610</v>
      </c>
      <c r="AA89" s="430">
        <f t="shared" si="50"/>
        <v>400</v>
      </c>
      <c r="AB89" s="430">
        <f t="shared" si="51"/>
        <v>120</v>
      </c>
      <c r="AC89" s="430" t="str">
        <f t="shared" si="52"/>
        <v>N/A</v>
      </c>
      <c r="AD89" s="430">
        <f t="shared" si="53"/>
        <v>73</v>
      </c>
      <c r="AE89" s="431">
        <f t="shared" si="54"/>
        <v>1.1834</v>
      </c>
      <c r="AF89" s="431"/>
      <c r="AG89" s="431">
        <f t="shared" si="55"/>
        <v>1.0333601941747574</v>
      </c>
      <c r="AH89" s="431">
        <f t="shared" si="56"/>
        <v>1.1005286067961169</v>
      </c>
      <c r="AI89" s="432">
        <f t="shared" si="57"/>
        <v>847.33913399999994</v>
      </c>
      <c r="AJ89" s="432">
        <f t="shared" si="58"/>
        <v>141.25883728228666</v>
      </c>
      <c r="AK89" s="432">
        <f t="shared" si="59"/>
        <v>154.45564190534745</v>
      </c>
      <c r="AL89" s="432">
        <f t="shared" si="60"/>
        <v>307.03552847377176</v>
      </c>
      <c r="AM89" s="250">
        <v>50</v>
      </c>
      <c r="AN89" s="432">
        <f t="shared" si="61"/>
        <v>51.5</v>
      </c>
      <c r="AO89" s="432">
        <f t="shared" si="62"/>
        <v>56.677223250000019</v>
      </c>
      <c r="AP89" s="432">
        <f t="shared" si="63"/>
        <v>188.92407750000007</v>
      </c>
      <c r="AQ89" s="255">
        <v>44896</v>
      </c>
      <c r="AR89" s="13" t="s">
        <v>534</v>
      </c>
      <c r="AS89" s="434" t="s">
        <v>539</v>
      </c>
      <c r="AT89" s="429"/>
      <c r="AU89" s="241"/>
      <c r="AV89" s="243"/>
      <c r="AW89" s="72" t="s">
        <v>127</v>
      </c>
      <c r="AX89" s="243"/>
      <c r="AY89" s="103">
        <f t="shared" si="66"/>
        <v>0.41747572815533979</v>
      </c>
      <c r="BA89" s="13" t="str">
        <f t="shared" si="64"/>
        <v>W50</v>
      </c>
      <c r="BB89" s="72" t="str">
        <f t="shared" si="65"/>
        <v>Clear</v>
      </c>
      <c r="BC89" s="32">
        <f>IF(Q89="","",((P89/100*O89)+T89))</f>
        <v>1.3573999999999999</v>
      </c>
      <c r="BD89" s="241">
        <f>IF(BC89="","",((PI()*((51/2)^2-(16.545/2)^2)/(BC89/10))/100))</f>
        <v>134.65655417031689</v>
      </c>
      <c r="BE89" s="241">
        <f>IF(BC89="","",(BD89-AK89))</f>
        <v>-19.799087735030554</v>
      </c>
      <c r="BF89" s="71">
        <f>IF(BC89="","",(BE89/AK89))</f>
        <v>-0.12818623839693541</v>
      </c>
      <c r="BG89" s="241">
        <f>IF(BF89="","",((PI()*((70/2)^2-(16.545/2)^2)/(BC89/10))/100))</f>
        <v>267.67779902450383</v>
      </c>
      <c r="BH89" s="241">
        <f>IF(BF89="","",(BG89-AL89))</f>
        <v>-39.357729449267936</v>
      </c>
      <c r="BI89" s="71">
        <f>IF(BG89="","",(BH89/AL89))</f>
        <v>-0.12818623839693533</v>
      </c>
      <c r="BJ89" s="123"/>
      <c r="BK89" s="108"/>
      <c r="BL89" s="126"/>
      <c r="BM89" s="108"/>
      <c r="BN89" s="71"/>
      <c r="BO89" s="108"/>
      <c r="BP89" s="108"/>
      <c r="BQ89" s="164"/>
      <c r="BR89" s="159"/>
      <c r="BS89" s="100"/>
      <c r="BU89" s="78"/>
      <c r="BV89" s="32"/>
      <c r="BW89" s="127"/>
      <c r="BX89" s="78"/>
      <c r="BY89" s="78"/>
      <c r="BZ89" s="127"/>
      <c r="CA89" s="76"/>
    </row>
    <row r="90" spans="1:79" s="72" customFormat="1">
      <c r="A90" s="13" t="s">
        <v>466</v>
      </c>
      <c r="B90" s="13" t="s">
        <v>480</v>
      </c>
      <c r="C90" s="13" t="s">
        <v>502</v>
      </c>
      <c r="D90" s="387" t="s">
        <v>522</v>
      </c>
      <c r="E90" s="13" t="s">
        <v>118</v>
      </c>
      <c r="F90" s="13" t="s">
        <v>167</v>
      </c>
      <c r="G90" s="13" t="s">
        <v>540</v>
      </c>
      <c r="H90" s="13" t="s">
        <v>389</v>
      </c>
      <c r="I90" s="13" t="s">
        <v>139</v>
      </c>
      <c r="J90" s="13" t="s">
        <v>5</v>
      </c>
      <c r="K90" s="13" t="s">
        <v>140</v>
      </c>
      <c r="L90" s="13" t="s">
        <v>541</v>
      </c>
      <c r="M90" s="13"/>
      <c r="N90" s="13" t="s">
        <v>142</v>
      </c>
      <c r="O90" s="247">
        <v>0.6</v>
      </c>
      <c r="P90" s="13">
        <v>103</v>
      </c>
      <c r="Q90" s="13">
        <v>30</v>
      </c>
      <c r="R90" s="13" t="s">
        <v>127</v>
      </c>
      <c r="S90" s="430" t="str">
        <f t="shared" si="49"/>
        <v>N/A</v>
      </c>
      <c r="T90" s="247">
        <v>0.76</v>
      </c>
      <c r="U90" s="13">
        <v>200</v>
      </c>
      <c r="V90" s="13">
        <v>600</v>
      </c>
      <c r="W90" s="430">
        <f t="shared" si="47"/>
        <v>400</v>
      </c>
      <c r="X90" s="430">
        <f t="shared" si="48"/>
        <v>130</v>
      </c>
      <c r="Y90" s="13">
        <v>150</v>
      </c>
      <c r="Z90" s="13">
        <v>600</v>
      </c>
      <c r="AA90" s="430">
        <f t="shared" si="50"/>
        <v>450</v>
      </c>
      <c r="AB90" s="430">
        <f t="shared" si="51"/>
        <v>130</v>
      </c>
      <c r="AC90" s="430" t="str">
        <f t="shared" si="52"/>
        <v>N/A</v>
      </c>
      <c r="AD90" s="430">
        <f t="shared" si="53"/>
        <v>73</v>
      </c>
      <c r="AE90" s="431">
        <f t="shared" si="54"/>
        <v>1.198</v>
      </c>
      <c r="AF90" s="431"/>
      <c r="AG90" s="431">
        <f t="shared" si="55"/>
        <v>1.0427864077669902</v>
      </c>
      <c r="AH90" s="431">
        <f t="shared" si="56"/>
        <v>1.1105675242718445</v>
      </c>
      <c r="AI90" s="432">
        <f t="shared" si="57"/>
        <v>848.64738</v>
      </c>
      <c r="AJ90" s="432">
        <f t="shared" si="58"/>
        <v>139.5373188980451</v>
      </c>
      <c r="AK90" s="432">
        <f t="shared" si="59"/>
        <v>152.57329434957276</v>
      </c>
      <c r="AL90" s="432">
        <f t="shared" si="60"/>
        <v>303.29369315180423</v>
      </c>
      <c r="AM90" s="250">
        <v>120</v>
      </c>
      <c r="AN90" s="432">
        <f t="shared" si="61"/>
        <v>123.6</v>
      </c>
      <c r="AO90" s="432">
        <f t="shared" si="62"/>
        <v>137.26614599999996</v>
      </c>
      <c r="AP90" s="432">
        <f t="shared" si="63"/>
        <v>457.55381999999992</v>
      </c>
      <c r="AQ90" s="255" t="s">
        <v>170</v>
      </c>
      <c r="AR90" s="13" t="s">
        <v>506</v>
      </c>
      <c r="AS90" s="434" t="s">
        <v>542</v>
      </c>
      <c r="AT90" s="429"/>
      <c r="AU90" s="241"/>
      <c r="AV90" s="243"/>
      <c r="AW90" s="72" t="s">
        <v>127</v>
      </c>
      <c r="AX90" s="243"/>
      <c r="AY90" s="103">
        <f t="shared" si="66"/>
        <v>0.58252427184466016</v>
      </c>
      <c r="BA90" s="13" t="str">
        <f t="shared" si="64"/>
        <v>W50</v>
      </c>
      <c r="BB90" s="72" t="str">
        <f t="shared" si="65"/>
        <v>Clear</v>
      </c>
      <c r="BC90" s="32"/>
      <c r="BD90" s="241"/>
      <c r="BE90" s="241"/>
      <c r="BF90" s="71"/>
      <c r="BG90" s="241"/>
      <c r="BH90" s="241"/>
      <c r="BI90" s="71"/>
      <c r="BJ90" s="123"/>
      <c r="BK90" s="108"/>
      <c r="BL90" s="126"/>
      <c r="BM90" s="108"/>
      <c r="BN90" s="71"/>
      <c r="BO90" s="108"/>
      <c r="BP90" s="108"/>
      <c r="BQ90" s="124">
        <v>651</v>
      </c>
      <c r="BR90" s="294"/>
      <c r="BS90" s="71"/>
      <c r="BT90" s="72">
        <f>P90-V90/10-120/10</f>
        <v>31</v>
      </c>
      <c r="BU90" s="78">
        <f>BT90-Q90</f>
        <v>1</v>
      </c>
      <c r="BV90" s="32">
        <f>T90+(O90/100*(P90-BT90))</f>
        <v>1.1919999999999999</v>
      </c>
      <c r="BW90" s="127">
        <f>(AE90-BV90)/AE90</f>
        <v>5.0083472454090193E-3</v>
      </c>
      <c r="BX90" s="78">
        <f>(PI()*((51/2)^2-(16.545/2)^2)/(BV90/10))/100</f>
        <v>153.34128073052699</v>
      </c>
      <c r="BY90" s="78">
        <f>BX90-AK90</f>
        <v>0.76798638095422689</v>
      </c>
      <c r="BZ90" s="127">
        <f>BY90/AK90</f>
        <v>5.0335570469798759E-3</v>
      </c>
      <c r="CA90" s="76"/>
    </row>
    <row r="91" spans="1:79" s="72" customFormat="1">
      <c r="A91" s="13" t="s">
        <v>466</v>
      </c>
      <c r="B91" s="13" t="s">
        <v>480</v>
      </c>
      <c r="C91" s="13" t="s">
        <v>502</v>
      </c>
      <c r="D91" s="387" t="s">
        <v>522</v>
      </c>
      <c r="E91" s="13" t="s">
        <v>118</v>
      </c>
      <c r="F91" s="13" t="s">
        <v>167</v>
      </c>
      <c r="G91" s="13" t="s">
        <v>543</v>
      </c>
      <c r="H91" s="13" t="s">
        <v>389</v>
      </c>
      <c r="I91" s="13" t="s">
        <v>139</v>
      </c>
      <c r="J91" s="13" t="s">
        <v>5</v>
      </c>
      <c r="K91" s="13" t="s">
        <v>140</v>
      </c>
      <c r="L91" s="13" t="s">
        <v>544</v>
      </c>
      <c r="M91" s="13"/>
      <c r="N91" s="13" t="s">
        <v>142</v>
      </c>
      <c r="O91" s="247">
        <v>0.68</v>
      </c>
      <c r="P91" s="13">
        <v>100</v>
      </c>
      <c r="Q91" s="13">
        <v>30</v>
      </c>
      <c r="R91" s="13" t="s">
        <v>127</v>
      </c>
      <c r="S91" s="430" t="str">
        <f t="shared" si="49"/>
        <v>N/A</v>
      </c>
      <c r="T91" s="247">
        <v>0.76</v>
      </c>
      <c r="U91" s="13">
        <v>180</v>
      </c>
      <c r="V91" s="13">
        <v>580</v>
      </c>
      <c r="W91" s="430">
        <f t="shared" si="47"/>
        <v>400</v>
      </c>
      <c r="X91" s="430">
        <f t="shared" si="48"/>
        <v>120</v>
      </c>
      <c r="Y91" s="13">
        <v>150</v>
      </c>
      <c r="Z91" s="13">
        <v>600</v>
      </c>
      <c r="AA91" s="430">
        <f t="shared" si="50"/>
        <v>450</v>
      </c>
      <c r="AB91" s="430">
        <f t="shared" si="51"/>
        <v>100</v>
      </c>
      <c r="AC91" s="430" t="str">
        <f t="shared" si="52"/>
        <v>N/A</v>
      </c>
      <c r="AD91" s="430">
        <f t="shared" si="53"/>
        <v>70</v>
      </c>
      <c r="AE91" s="431">
        <f t="shared" si="54"/>
        <v>1.236</v>
      </c>
      <c r="AF91" s="431"/>
      <c r="AG91" s="431">
        <f t="shared" si="55"/>
        <v>1.0693999999999999</v>
      </c>
      <c r="AH91" s="431">
        <f t="shared" si="56"/>
        <v>1.1389109999999998</v>
      </c>
      <c r="AI91" s="432">
        <f t="shared" si="57"/>
        <v>853.88036399999999</v>
      </c>
      <c r="AJ91" s="432">
        <f t="shared" si="58"/>
        <v>135.24733660182687</v>
      </c>
      <c r="AK91" s="432">
        <f t="shared" si="59"/>
        <v>147.88252963656001</v>
      </c>
      <c r="AL91" s="432">
        <f t="shared" si="60"/>
        <v>293.96912977011448</v>
      </c>
      <c r="AM91" s="250">
        <v>120</v>
      </c>
      <c r="AN91" s="432">
        <f t="shared" si="61"/>
        <v>120</v>
      </c>
      <c r="AO91" s="432">
        <f t="shared" si="62"/>
        <v>136.66931999999997</v>
      </c>
      <c r="AP91" s="432">
        <f t="shared" si="63"/>
        <v>455.56439999999992</v>
      </c>
      <c r="AQ91" s="255" t="s">
        <v>132</v>
      </c>
      <c r="AR91" s="13" t="s">
        <v>545</v>
      </c>
      <c r="AS91" s="434" t="s">
        <v>546</v>
      </c>
      <c r="AT91" s="429" t="s">
        <v>547</v>
      </c>
      <c r="AU91" s="241"/>
      <c r="AV91" s="243"/>
      <c r="AW91" s="72" t="s">
        <v>127</v>
      </c>
      <c r="AX91" s="243"/>
      <c r="AY91" s="71">
        <f t="shared" si="66"/>
        <v>0.57999999999999996</v>
      </c>
      <c r="BA91" s="72" t="str">
        <f t="shared" si="64"/>
        <v>W50</v>
      </c>
      <c r="BB91" s="72" t="str">
        <f t="shared" si="65"/>
        <v>Clear</v>
      </c>
      <c r="BC91" s="32">
        <f>IF(Q91="","",((P91/100*O91)+T91))</f>
        <v>1.44</v>
      </c>
      <c r="BD91" s="241">
        <f>IF(BC91="","",((PI()*((51/2)^2-(16.545/2)^2)/(BC91/10))/100))</f>
        <v>126.93250460471401</v>
      </c>
      <c r="BE91" s="241">
        <f>IF(BC91="","",(BD91-AK91))</f>
        <v>-20.950025031845996</v>
      </c>
      <c r="BF91" s="71">
        <f>IF(BC91="","",(BE91/AK91))</f>
        <v>-0.14166666666666664</v>
      </c>
      <c r="BG91" s="241">
        <f>IF(BF91="","",((PI()*((70/2)^2-(16.545/2)^2)/(BC91/10))/100))</f>
        <v>252.32350305268159</v>
      </c>
      <c r="BH91" s="241">
        <f>IF(BF91="","",(BG91-AL91))</f>
        <v>-41.64562671743289</v>
      </c>
      <c r="BI91" s="71">
        <f>IF(BG91="","",(BH91/AL91))</f>
        <v>-0.14166666666666669</v>
      </c>
      <c r="BJ91" s="123"/>
      <c r="BK91" s="108"/>
      <c r="BL91" s="126"/>
      <c r="BM91" s="108"/>
      <c r="BN91" s="71"/>
      <c r="BO91" s="108"/>
      <c r="BP91" s="108"/>
      <c r="BQ91" s="144"/>
      <c r="BR91" s="140"/>
      <c r="BS91" s="106"/>
      <c r="BT91" s="262"/>
      <c r="BU91" s="269"/>
      <c r="BV91" s="263"/>
      <c r="BW91" s="132"/>
      <c r="BX91" s="269"/>
      <c r="BY91" s="269"/>
      <c r="BZ91" s="132"/>
      <c r="CA91" s="271"/>
    </row>
    <row r="92" spans="1:79" s="72" customFormat="1">
      <c r="A92" s="13" t="s">
        <v>466</v>
      </c>
      <c r="B92" s="13" t="s">
        <v>480</v>
      </c>
      <c r="C92" s="13" t="s">
        <v>548</v>
      </c>
      <c r="D92" s="387" t="s">
        <v>549</v>
      </c>
      <c r="E92" s="13" t="s">
        <v>118</v>
      </c>
      <c r="F92" s="13" t="s">
        <v>167</v>
      </c>
      <c r="G92" s="13" t="s">
        <v>550</v>
      </c>
      <c r="H92" s="13" t="s">
        <v>121</v>
      </c>
      <c r="I92" s="13" t="s">
        <v>147</v>
      </c>
      <c r="J92" s="13" t="s">
        <v>5</v>
      </c>
      <c r="K92" s="13" t="s">
        <v>123</v>
      </c>
      <c r="L92" s="13" t="s">
        <v>551</v>
      </c>
      <c r="M92" s="13" t="s">
        <v>125</v>
      </c>
      <c r="N92" s="13" t="s">
        <v>126</v>
      </c>
      <c r="O92" s="247">
        <v>0.57999999999999996</v>
      </c>
      <c r="P92" s="13">
        <v>105</v>
      </c>
      <c r="Q92" s="13">
        <v>30</v>
      </c>
      <c r="R92" s="13" t="s">
        <v>127</v>
      </c>
      <c r="S92" s="430" t="str">
        <f t="shared" si="49"/>
        <v>N/A</v>
      </c>
      <c r="T92" s="247">
        <v>0.8</v>
      </c>
      <c r="U92" s="13">
        <v>200</v>
      </c>
      <c r="V92" s="13">
        <v>600</v>
      </c>
      <c r="W92" s="430">
        <f t="shared" si="47"/>
        <v>400</v>
      </c>
      <c r="X92" s="430">
        <f t="shared" si="48"/>
        <v>150</v>
      </c>
      <c r="Y92" s="13">
        <v>150</v>
      </c>
      <c r="Z92" s="13">
        <v>600</v>
      </c>
      <c r="AA92" s="430">
        <f t="shared" si="50"/>
        <v>450</v>
      </c>
      <c r="AB92" s="430">
        <f t="shared" si="51"/>
        <v>150</v>
      </c>
      <c r="AC92" s="430" t="str">
        <f t="shared" si="52"/>
        <v>N/A</v>
      </c>
      <c r="AD92" s="430">
        <f t="shared" si="53"/>
        <v>75</v>
      </c>
      <c r="AE92" s="431">
        <f t="shared" si="54"/>
        <v>1.2349999999999999</v>
      </c>
      <c r="AF92" s="431"/>
      <c r="AG92" s="431">
        <f t="shared" si="55"/>
        <v>1.0796428571428571</v>
      </c>
      <c r="AH92" s="431">
        <f t="shared" si="56"/>
        <v>1.1444214285714285</v>
      </c>
      <c r="AI92" s="432">
        <f t="shared" si="57"/>
        <v>885.76101600000004</v>
      </c>
      <c r="AJ92" s="432">
        <f t="shared" si="58"/>
        <v>135.35684861526968</v>
      </c>
      <c r="AK92" s="432">
        <f t="shared" si="59"/>
        <v>148.00227257553701</v>
      </c>
      <c r="AL92" s="432">
        <f t="shared" si="60"/>
        <v>294.20716145413888</v>
      </c>
      <c r="AM92" s="250">
        <v>120</v>
      </c>
      <c r="AN92" s="432">
        <f t="shared" si="61"/>
        <v>126</v>
      </c>
      <c r="AO92" s="432">
        <f t="shared" si="62"/>
        <v>144.19709999999998</v>
      </c>
      <c r="AP92" s="432">
        <f t="shared" si="63"/>
        <v>480.65699999999993</v>
      </c>
      <c r="AQ92" s="255" t="s">
        <v>170</v>
      </c>
      <c r="AR92" s="13" t="s">
        <v>506</v>
      </c>
      <c r="AS92" s="434" t="s">
        <v>552</v>
      </c>
      <c r="AT92" s="429" t="s">
        <v>553</v>
      </c>
      <c r="AU92" s="241"/>
      <c r="AV92" s="243"/>
      <c r="AW92" s="72" t="s">
        <v>127</v>
      </c>
      <c r="AX92" s="243"/>
      <c r="AY92" s="103">
        <f t="shared" si="66"/>
        <v>0.5714285714285714</v>
      </c>
      <c r="BA92" s="13" t="str">
        <f t="shared" si="64"/>
        <v>W22</v>
      </c>
      <c r="BB92" s="72" t="str">
        <f t="shared" si="65"/>
        <v>Clear</v>
      </c>
      <c r="BC92" s="32"/>
      <c r="BD92" s="241"/>
      <c r="BE92" s="241"/>
      <c r="BF92" s="71"/>
      <c r="BG92" s="241"/>
      <c r="BH92" s="241"/>
      <c r="BI92" s="71"/>
      <c r="BJ92" s="123"/>
      <c r="BK92" s="123"/>
      <c r="BL92" s="126"/>
      <c r="BM92" s="123"/>
      <c r="BN92" s="123"/>
      <c r="BO92" s="108"/>
      <c r="BP92" s="108"/>
      <c r="BQ92" s="102"/>
      <c r="BR92" s="100"/>
      <c r="BS92" s="100"/>
      <c r="BT92" s="38">
        <f>P92-V92/10-120/10</f>
        <v>33</v>
      </c>
      <c r="BU92" s="288">
        <f>BT92-Q92</f>
        <v>3</v>
      </c>
      <c r="BV92" s="248">
        <f>T92+(O92/100*(P92-BT92))</f>
        <v>1.2176</v>
      </c>
      <c r="BW92" s="173">
        <f>(AE92-BV92)/AE92</f>
        <v>1.4089068825910819E-2</v>
      </c>
      <c r="BX92" s="288">
        <f>(PI()*((51/2)^2-(16.545/2)^2)/(BV92/10))/100</f>
        <v>150.11728534066046</v>
      </c>
      <c r="BY92" s="288">
        <f>BX92-AK92</f>
        <v>2.1150127651234527</v>
      </c>
      <c r="BZ92" s="173">
        <f>BY92/AK92</f>
        <v>1.4290407358738348E-2</v>
      </c>
      <c r="CA92" s="76"/>
    </row>
    <row r="93" spans="1:79" s="262" customFormat="1">
      <c r="A93" s="13" t="s">
        <v>466</v>
      </c>
      <c r="B93" s="387" t="s">
        <v>480</v>
      </c>
      <c r="C93" s="13" t="s">
        <v>548</v>
      </c>
      <c r="D93" s="387" t="s">
        <v>554</v>
      </c>
      <c r="E93" s="13" t="s">
        <v>118</v>
      </c>
      <c r="F93" s="13" t="s">
        <v>186</v>
      </c>
      <c r="G93" s="13" t="s">
        <v>555</v>
      </c>
      <c r="H93" s="13" t="s">
        <v>121</v>
      </c>
      <c r="I93" s="13" t="s">
        <v>147</v>
      </c>
      <c r="J93" s="13" t="s">
        <v>5</v>
      </c>
      <c r="K93" s="13" t="s">
        <v>123</v>
      </c>
      <c r="L93" s="13" t="s">
        <v>556</v>
      </c>
      <c r="M93" s="13" t="s">
        <v>125</v>
      </c>
      <c r="N93" s="13" t="s">
        <v>126</v>
      </c>
      <c r="O93" s="247">
        <v>0.51</v>
      </c>
      <c r="P93" s="13">
        <v>94</v>
      </c>
      <c r="Q93" s="13">
        <v>25</v>
      </c>
      <c r="R93" s="13" t="s">
        <v>127</v>
      </c>
      <c r="S93" s="430" t="str">
        <f t="shared" si="49"/>
        <v>N/A</v>
      </c>
      <c r="T93" s="247">
        <v>0.8</v>
      </c>
      <c r="U93" s="13">
        <v>150</v>
      </c>
      <c r="V93" s="13">
        <v>550</v>
      </c>
      <c r="W93" s="430">
        <f t="shared" si="47"/>
        <v>400</v>
      </c>
      <c r="X93" s="430">
        <f t="shared" si="48"/>
        <v>140</v>
      </c>
      <c r="Y93" s="13">
        <v>150</v>
      </c>
      <c r="Z93" s="13">
        <v>550</v>
      </c>
      <c r="AA93" s="430">
        <f t="shared" si="50"/>
        <v>400</v>
      </c>
      <c r="AB93" s="430">
        <f t="shared" si="51"/>
        <v>140</v>
      </c>
      <c r="AC93" s="430" t="str">
        <f t="shared" si="52"/>
        <v>N/A</v>
      </c>
      <c r="AD93" s="430">
        <f t="shared" si="53"/>
        <v>69</v>
      </c>
      <c r="AE93" s="431">
        <f t="shared" si="54"/>
        <v>1.1519000000000001</v>
      </c>
      <c r="AF93" s="431"/>
      <c r="AG93" s="431">
        <f t="shared" si="55"/>
        <v>1.0227452127659575</v>
      </c>
      <c r="AH93" s="431">
        <f t="shared" si="56"/>
        <v>1.0841099255319149</v>
      </c>
      <c r="AI93" s="432">
        <f t="shared" si="57"/>
        <v>881.20365200000003</v>
      </c>
      <c r="AJ93" s="432">
        <f t="shared" si="58"/>
        <v>145.12171893381196</v>
      </c>
      <c r="AK93" s="432">
        <f t="shared" si="59"/>
        <v>158.67940500979958</v>
      </c>
      <c r="AL93" s="432">
        <f t="shared" si="60"/>
        <v>315.43176004502249</v>
      </c>
      <c r="AM93" s="250">
        <v>159</v>
      </c>
      <c r="AN93" s="432">
        <f t="shared" si="61"/>
        <v>149.46</v>
      </c>
      <c r="AO93" s="432">
        <f t="shared" si="62"/>
        <v>162.03106947000001</v>
      </c>
      <c r="AP93" s="432">
        <f t="shared" si="63"/>
        <v>648.12427788000002</v>
      </c>
      <c r="AQ93" s="255">
        <v>45536</v>
      </c>
      <c r="AR93" s="13" t="s">
        <v>557</v>
      </c>
      <c r="AS93" s="434" t="s">
        <v>558</v>
      </c>
      <c r="AT93" s="429"/>
      <c r="AU93" s="257"/>
      <c r="AV93" s="259"/>
      <c r="AW93" s="38"/>
      <c r="AX93" s="259"/>
      <c r="AY93" s="102"/>
      <c r="BA93" s="38"/>
      <c r="BB93" s="77"/>
      <c r="BC93" s="264"/>
      <c r="BD93" s="253"/>
      <c r="BE93" s="253"/>
      <c r="BF93" s="100"/>
      <c r="BG93" s="253"/>
      <c r="BH93" s="253"/>
      <c r="BI93" s="100"/>
      <c r="BJ93" s="143"/>
      <c r="BK93" s="105"/>
      <c r="BL93" s="170"/>
      <c r="BM93" s="105"/>
      <c r="BN93" s="106"/>
      <c r="BO93" s="105"/>
      <c r="BP93" s="105"/>
      <c r="BQ93" s="124"/>
      <c r="BR93" s="124"/>
      <c r="BS93" s="71"/>
      <c r="BT93" s="72"/>
      <c r="BU93" s="78"/>
      <c r="BV93" s="32"/>
      <c r="BW93" s="127"/>
      <c r="BX93" s="78"/>
      <c r="BY93" s="78"/>
      <c r="BZ93" s="127"/>
      <c r="CA93" s="76"/>
    </row>
    <row r="94" spans="1:79" s="72" customFormat="1">
      <c r="A94" s="13" t="s">
        <v>466</v>
      </c>
      <c r="B94" s="387" t="s">
        <v>480</v>
      </c>
      <c r="C94" s="13" t="s">
        <v>548</v>
      </c>
      <c r="D94" s="387" t="s">
        <v>554</v>
      </c>
      <c r="E94" s="13" t="s">
        <v>118</v>
      </c>
      <c r="F94" s="13" t="s">
        <v>119</v>
      </c>
      <c r="G94" s="13" t="s">
        <v>559</v>
      </c>
      <c r="H94" s="13" t="s">
        <v>121</v>
      </c>
      <c r="I94" s="13" t="s">
        <v>147</v>
      </c>
      <c r="J94" s="13" t="s">
        <v>5</v>
      </c>
      <c r="K94" s="13" t="s">
        <v>123</v>
      </c>
      <c r="L94" s="13" t="s">
        <v>560</v>
      </c>
      <c r="M94" s="13" t="s">
        <v>125</v>
      </c>
      <c r="N94" s="13" t="s">
        <v>126</v>
      </c>
      <c r="O94" s="247">
        <v>0.54</v>
      </c>
      <c r="P94" s="13">
        <v>94</v>
      </c>
      <c r="Q94" s="13">
        <v>25</v>
      </c>
      <c r="R94" s="13" t="s">
        <v>127</v>
      </c>
      <c r="S94" s="430" t="str">
        <f t="shared" si="49"/>
        <v>N/A</v>
      </c>
      <c r="T94" s="247">
        <v>0.8</v>
      </c>
      <c r="U94" s="13">
        <v>150</v>
      </c>
      <c r="V94" s="13">
        <v>550</v>
      </c>
      <c r="W94" s="430">
        <f t="shared" si="47"/>
        <v>400</v>
      </c>
      <c r="X94" s="430">
        <f t="shared" si="48"/>
        <v>140</v>
      </c>
      <c r="Y94" s="13">
        <v>150</v>
      </c>
      <c r="Z94" s="13">
        <v>550</v>
      </c>
      <c r="AA94" s="430">
        <f t="shared" si="50"/>
        <v>400</v>
      </c>
      <c r="AB94" s="430">
        <f t="shared" si="51"/>
        <v>140</v>
      </c>
      <c r="AC94" s="430" t="str">
        <f t="shared" si="52"/>
        <v>N/A</v>
      </c>
      <c r="AD94" s="430">
        <f t="shared" si="53"/>
        <v>69</v>
      </c>
      <c r="AE94" s="431">
        <f t="shared" si="54"/>
        <v>1.1726000000000001</v>
      </c>
      <c r="AF94" s="431"/>
      <c r="AG94" s="431">
        <f t="shared" si="55"/>
        <v>1.0358478723404256</v>
      </c>
      <c r="AH94" s="431">
        <f t="shared" si="56"/>
        <v>1.0979987446808512</v>
      </c>
      <c r="AI94" s="432">
        <f t="shared" si="57"/>
        <v>883.15680800000007</v>
      </c>
      <c r="AJ94" s="432">
        <f t="shared" si="58"/>
        <v>142.55987381874297</v>
      </c>
      <c r="AK94" s="432">
        <f t="shared" si="59"/>
        <v>155.87822499640811</v>
      </c>
      <c r="AL94" s="432">
        <f t="shared" si="60"/>
        <v>309.86341838296221</v>
      </c>
      <c r="AM94" s="250">
        <v>156</v>
      </c>
      <c r="AN94" s="432">
        <f t="shared" si="61"/>
        <v>146.63999999999999</v>
      </c>
      <c r="AO94" s="432">
        <f t="shared" si="62"/>
        <v>161.01053592000002</v>
      </c>
      <c r="AP94" s="432">
        <f t="shared" si="63"/>
        <v>644.04214368000009</v>
      </c>
      <c r="AQ94" s="255">
        <v>45536</v>
      </c>
      <c r="AR94" s="13" t="s">
        <v>557</v>
      </c>
      <c r="AS94" s="434" t="s">
        <v>561</v>
      </c>
      <c r="AT94" s="429"/>
      <c r="AU94" s="241"/>
      <c r="AV94" s="243"/>
      <c r="AX94" s="243"/>
      <c r="AY94" s="71"/>
      <c r="BC94" s="32"/>
      <c r="BD94" s="241"/>
      <c r="BE94" s="241"/>
      <c r="BF94" s="71"/>
      <c r="BG94" s="241"/>
      <c r="BH94" s="241"/>
      <c r="BI94" s="71"/>
      <c r="BJ94" s="123"/>
      <c r="BK94" s="108"/>
      <c r="BL94" s="126"/>
      <c r="BM94" s="108"/>
      <c r="BN94" s="71"/>
      <c r="BO94" s="108"/>
      <c r="BP94" s="108"/>
      <c r="BQ94" s="124"/>
      <c r="BR94" s="124"/>
      <c r="BS94" s="71"/>
      <c r="BU94" s="78"/>
      <c r="BV94" s="32"/>
      <c r="BW94" s="127"/>
      <c r="BX94" s="78"/>
      <c r="BY94" s="78"/>
      <c r="BZ94" s="127"/>
      <c r="CA94" s="76"/>
    </row>
    <row r="95" spans="1:79" s="72" customFormat="1">
      <c r="A95" s="13" t="s">
        <v>466</v>
      </c>
      <c r="B95" s="13" t="s">
        <v>562</v>
      </c>
      <c r="C95" s="13" t="s">
        <v>563</v>
      </c>
      <c r="D95" s="387" t="s">
        <v>564</v>
      </c>
      <c r="E95" s="13" t="s">
        <v>118</v>
      </c>
      <c r="F95" s="13" t="s">
        <v>167</v>
      </c>
      <c r="G95" s="13" t="s">
        <v>565</v>
      </c>
      <c r="H95" s="13" t="s">
        <v>389</v>
      </c>
      <c r="I95" s="13" t="s">
        <v>139</v>
      </c>
      <c r="J95" s="13" t="s">
        <v>5</v>
      </c>
      <c r="K95" s="13" t="s">
        <v>140</v>
      </c>
      <c r="L95" s="13" t="s">
        <v>566</v>
      </c>
      <c r="M95" s="13"/>
      <c r="N95" s="13" t="s">
        <v>142</v>
      </c>
      <c r="O95" s="247">
        <v>0.17</v>
      </c>
      <c r="P95" s="13">
        <v>110</v>
      </c>
      <c r="Q95" s="13">
        <v>30</v>
      </c>
      <c r="R95" s="13" t="s">
        <v>127</v>
      </c>
      <c r="S95" s="430" t="str">
        <f t="shared" si="49"/>
        <v>N/A</v>
      </c>
      <c r="T95" s="247">
        <v>0.76</v>
      </c>
      <c r="U95" s="13">
        <v>200</v>
      </c>
      <c r="V95" s="13">
        <v>600</v>
      </c>
      <c r="W95" s="430">
        <f t="shared" si="47"/>
        <v>400</v>
      </c>
      <c r="X95" s="430">
        <f t="shared" si="48"/>
        <v>200</v>
      </c>
      <c r="Y95" s="13">
        <v>150</v>
      </c>
      <c r="Z95" s="13">
        <v>600</v>
      </c>
      <c r="AA95" s="430">
        <f t="shared" si="50"/>
        <v>450</v>
      </c>
      <c r="AB95" s="430">
        <f t="shared" si="51"/>
        <v>200</v>
      </c>
      <c r="AC95" s="430" t="str">
        <f t="shared" si="52"/>
        <v>N/A</v>
      </c>
      <c r="AD95" s="430">
        <f t="shared" si="53"/>
        <v>80</v>
      </c>
      <c r="AE95" s="431">
        <f t="shared" si="54"/>
        <v>0.89600000000000002</v>
      </c>
      <c r="AF95" s="431"/>
      <c r="AG95" s="431">
        <f t="shared" si="55"/>
        <v>0.8465454545454546</v>
      </c>
      <c r="AH95" s="431">
        <f t="shared" si="56"/>
        <v>0.9015709090909092</v>
      </c>
      <c r="AI95" s="432">
        <f t="shared" si="57"/>
        <v>820.52009100000009</v>
      </c>
      <c r="AJ95" s="432">
        <f t="shared" si="58"/>
        <v>186.56887058019871</v>
      </c>
      <c r="AK95" s="432">
        <f t="shared" si="59"/>
        <v>203.99866811471892</v>
      </c>
      <c r="AL95" s="432">
        <f t="shared" si="60"/>
        <v>405.51991562038108</v>
      </c>
      <c r="AM95" s="250">
        <v>120</v>
      </c>
      <c r="AN95" s="432">
        <f t="shared" si="61"/>
        <v>132</v>
      </c>
      <c r="AO95" s="432">
        <f t="shared" si="62"/>
        <v>119.00736000000002</v>
      </c>
      <c r="AP95" s="432">
        <f t="shared" si="63"/>
        <v>396.69120000000009</v>
      </c>
      <c r="AQ95" s="255"/>
      <c r="AR95" s="13" t="s">
        <v>567</v>
      </c>
      <c r="AS95" s="429" t="s">
        <v>568</v>
      </c>
      <c r="AT95" s="429"/>
      <c r="AU95" s="241"/>
      <c r="AV95" s="243"/>
      <c r="AW95" s="72" t="s">
        <v>127</v>
      </c>
      <c r="AX95" s="243"/>
      <c r="AY95" s="103">
        <f>(V95/10)/P95</f>
        <v>0.54545454545454541</v>
      </c>
      <c r="BA95" s="13" t="str">
        <f>LEFT(G95,3)</f>
        <v>W50</v>
      </c>
      <c r="BB95" s="72" t="str">
        <f>IF(R95="n/a","Clear","S/B")</f>
        <v>Clear</v>
      </c>
      <c r="BC95" s="32"/>
      <c r="BD95" s="241"/>
      <c r="BE95" s="241"/>
      <c r="BF95" s="71"/>
      <c r="BG95" s="241"/>
      <c r="BH95" s="241"/>
      <c r="BI95" s="71"/>
      <c r="BJ95" s="123"/>
      <c r="BK95" s="108"/>
      <c r="BL95" s="126"/>
      <c r="BM95" s="108"/>
      <c r="BN95" s="71"/>
      <c r="BO95" s="108"/>
      <c r="BP95" s="108"/>
      <c r="BQ95" s="108"/>
      <c r="BR95" s="124"/>
      <c r="BS95" s="71"/>
      <c r="BU95" s="78"/>
      <c r="BV95" s="32"/>
      <c r="BW95" s="127"/>
      <c r="BX95" s="78"/>
      <c r="BY95" s="78"/>
      <c r="BZ95" s="127"/>
      <c r="CA95" s="76"/>
    </row>
    <row r="96" spans="1:79" s="72" customFormat="1">
      <c r="A96" s="13" t="s">
        <v>466</v>
      </c>
      <c r="B96" s="13" t="s">
        <v>562</v>
      </c>
      <c r="C96" s="13" t="s">
        <v>563</v>
      </c>
      <c r="D96" s="387" t="s">
        <v>564</v>
      </c>
      <c r="E96" s="13" t="s">
        <v>118</v>
      </c>
      <c r="F96" s="13" t="s">
        <v>167</v>
      </c>
      <c r="G96" s="13" t="s">
        <v>569</v>
      </c>
      <c r="H96" s="13" t="s">
        <v>389</v>
      </c>
      <c r="I96" s="13" t="s">
        <v>139</v>
      </c>
      <c r="J96" s="13" t="s">
        <v>5</v>
      </c>
      <c r="K96" s="13" t="s">
        <v>140</v>
      </c>
      <c r="L96" s="13" t="s">
        <v>570</v>
      </c>
      <c r="M96" s="13"/>
      <c r="N96" s="13" t="s">
        <v>142</v>
      </c>
      <c r="O96" s="247">
        <v>0.2</v>
      </c>
      <c r="P96" s="13">
        <v>108</v>
      </c>
      <c r="Q96" s="13">
        <v>30</v>
      </c>
      <c r="R96" s="13" t="s">
        <v>127</v>
      </c>
      <c r="S96" s="430" t="str">
        <f t="shared" si="49"/>
        <v>N/A</v>
      </c>
      <c r="T96" s="247">
        <v>0.76</v>
      </c>
      <c r="U96" s="13">
        <v>200</v>
      </c>
      <c r="V96" s="13">
        <v>600</v>
      </c>
      <c r="W96" s="430">
        <f t="shared" si="47"/>
        <v>400</v>
      </c>
      <c r="X96" s="430">
        <f t="shared" si="48"/>
        <v>180</v>
      </c>
      <c r="Y96" s="13">
        <v>150</v>
      </c>
      <c r="Z96" s="13">
        <v>600</v>
      </c>
      <c r="AA96" s="430">
        <f t="shared" si="50"/>
        <v>450</v>
      </c>
      <c r="AB96" s="430">
        <f t="shared" si="51"/>
        <v>180</v>
      </c>
      <c r="AC96" s="430" t="str">
        <f t="shared" si="52"/>
        <v>N/A</v>
      </c>
      <c r="AD96" s="430">
        <f t="shared" si="53"/>
        <v>78</v>
      </c>
      <c r="AE96" s="431">
        <f t="shared" si="54"/>
        <v>0.91600000000000004</v>
      </c>
      <c r="AF96" s="431"/>
      <c r="AG96" s="431">
        <f t="shared" si="55"/>
        <v>0.85966666666666669</v>
      </c>
      <c r="AH96" s="431">
        <f t="shared" si="56"/>
        <v>0.91554500000000005</v>
      </c>
      <c r="AI96" s="432">
        <f t="shared" si="57"/>
        <v>822.48245999999995</v>
      </c>
      <c r="AJ96" s="432">
        <f t="shared" si="58"/>
        <v>182.4953144539935</v>
      </c>
      <c r="AK96" s="432">
        <f t="shared" si="59"/>
        <v>199.54454872356786</v>
      </c>
      <c r="AL96" s="432">
        <f t="shared" si="60"/>
        <v>396.6657689911151</v>
      </c>
      <c r="AM96" s="250">
        <v>200</v>
      </c>
      <c r="AN96" s="432">
        <f t="shared" si="61"/>
        <v>216</v>
      </c>
      <c r="AO96" s="432">
        <f t="shared" si="62"/>
        <v>197.75772000000001</v>
      </c>
      <c r="AP96" s="432">
        <f t="shared" si="63"/>
        <v>659.19240000000002</v>
      </c>
      <c r="AQ96" s="255">
        <v>45130</v>
      </c>
      <c r="AR96" s="13" t="s">
        <v>571</v>
      </c>
      <c r="AS96" s="429" t="s">
        <v>572</v>
      </c>
      <c r="AT96" s="429"/>
      <c r="AU96" s="241"/>
      <c r="AV96" s="243"/>
      <c r="AW96" s="72" t="s">
        <v>127</v>
      </c>
      <c r="AX96" s="243"/>
      <c r="AY96" s="103">
        <f>(V96/10)/P96</f>
        <v>0.55555555555555558</v>
      </c>
      <c r="BA96" s="72" t="str">
        <f>LEFT(G96,3)</f>
        <v>W50</v>
      </c>
      <c r="BC96" s="32"/>
      <c r="BD96" s="241"/>
      <c r="BE96" s="241"/>
      <c r="BF96" s="71"/>
      <c r="BG96" s="241"/>
      <c r="BH96" s="241"/>
      <c r="BI96" s="71"/>
      <c r="BJ96" s="123"/>
      <c r="BK96" s="108"/>
      <c r="BL96" s="126"/>
      <c r="BM96" s="108"/>
      <c r="BN96" s="71"/>
      <c r="BO96" s="108"/>
      <c r="BP96" s="108"/>
      <c r="BQ96" s="108"/>
      <c r="BR96" s="71"/>
      <c r="BS96" s="71"/>
      <c r="BU96" s="78"/>
      <c r="BV96" s="32"/>
      <c r="BW96" s="127"/>
      <c r="BX96" s="78"/>
      <c r="BY96" s="78"/>
      <c r="BZ96" s="127"/>
      <c r="CA96" s="76"/>
    </row>
    <row r="97" spans="1:79" s="22" customFormat="1">
      <c r="A97" s="13" t="s">
        <v>466</v>
      </c>
      <c r="B97" s="13" t="s">
        <v>562</v>
      </c>
      <c r="C97" s="13" t="s">
        <v>573</v>
      </c>
      <c r="D97" s="387" t="s">
        <v>574</v>
      </c>
      <c r="E97" s="13" t="s">
        <v>118</v>
      </c>
      <c r="F97" s="13" t="s">
        <v>167</v>
      </c>
      <c r="G97" s="13" t="s">
        <v>575</v>
      </c>
      <c r="H97" s="13" t="s">
        <v>121</v>
      </c>
      <c r="I97" s="13" t="s">
        <v>147</v>
      </c>
      <c r="J97" s="13" t="s">
        <v>5</v>
      </c>
      <c r="K97" s="13" t="s">
        <v>123</v>
      </c>
      <c r="L97" s="13" t="s">
        <v>576</v>
      </c>
      <c r="M97" s="13" t="s">
        <v>125</v>
      </c>
      <c r="N97" s="13" t="s">
        <v>126</v>
      </c>
      <c r="O97" s="247">
        <v>0.33</v>
      </c>
      <c r="P97" s="13">
        <v>112</v>
      </c>
      <c r="Q97" s="13">
        <v>30</v>
      </c>
      <c r="R97" s="13" t="s">
        <v>127</v>
      </c>
      <c r="S97" s="430" t="str">
        <f t="shared" si="49"/>
        <v>N/A</v>
      </c>
      <c r="T97" s="247">
        <v>0.8</v>
      </c>
      <c r="U97" s="13">
        <v>200</v>
      </c>
      <c r="V97" s="13">
        <v>600</v>
      </c>
      <c r="W97" s="430">
        <f t="shared" si="47"/>
        <v>400</v>
      </c>
      <c r="X97" s="430">
        <f t="shared" si="48"/>
        <v>220</v>
      </c>
      <c r="Y97" s="13">
        <v>150</v>
      </c>
      <c r="Z97" s="13">
        <v>600</v>
      </c>
      <c r="AA97" s="430">
        <f t="shared" si="50"/>
        <v>450</v>
      </c>
      <c r="AB97" s="430">
        <f t="shared" si="51"/>
        <v>220</v>
      </c>
      <c r="AC97" s="430" t="str">
        <f t="shared" si="52"/>
        <v>N/A</v>
      </c>
      <c r="AD97" s="430">
        <f t="shared" si="53"/>
        <v>82</v>
      </c>
      <c r="AE97" s="431">
        <f t="shared" si="54"/>
        <v>1.0706</v>
      </c>
      <c r="AF97" s="431"/>
      <c r="AG97" s="431">
        <f t="shared" si="55"/>
        <v>0.97154107142857149</v>
      </c>
      <c r="AH97" s="431">
        <f t="shared" si="56"/>
        <v>1.0298335357142858</v>
      </c>
      <c r="AI97" s="432">
        <f t="shared" si="57"/>
        <v>869.48471600000005</v>
      </c>
      <c r="AJ97" s="432">
        <f t="shared" si="58"/>
        <v>156.14207737703907</v>
      </c>
      <c r="AK97" s="432">
        <f t="shared" si="59"/>
        <v>170.72931686044103</v>
      </c>
      <c r="AL97" s="432">
        <f t="shared" si="60"/>
        <v>339.38524602639779</v>
      </c>
      <c r="AM97" s="250">
        <v>171</v>
      </c>
      <c r="AN97" s="432">
        <f t="shared" si="61"/>
        <v>191.52</v>
      </c>
      <c r="AO97" s="432">
        <f t="shared" si="62"/>
        <v>197.23371876000004</v>
      </c>
      <c r="AP97" s="432">
        <f t="shared" si="63"/>
        <v>657.44572920000019</v>
      </c>
      <c r="AQ97" s="255">
        <v>45130</v>
      </c>
      <c r="AR97" s="13" t="s">
        <v>577</v>
      </c>
      <c r="AS97" s="429" t="s">
        <v>578</v>
      </c>
      <c r="AT97" s="429"/>
      <c r="AU97" s="241"/>
      <c r="AV97" s="243"/>
      <c r="AW97" s="72" t="s">
        <v>127</v>
      </c>
      <c r="AX97" s="243"/>
      <c r="AY97" s="103">
        <f>(V97/10)/P97</f>
        <v>0.5357142857142857</v>
      </c>
      <c r="AZ97" s="72"/>
      <c r="BA97" s="72" t="str">
        <f>LEFT(G97,3)</f>
        <v>W22</v>
      </c>
      <c r="BB97" s="72"/>
      <c r="BC97" s="32"/>
      <c r="BD97" s="241"/>
      <c r="BE97" s="241"/>
      <c r="BF97" s="71"/>
      <c r="BG97" s="241"/>
      <c r="BH97" s="241"/>
      <c r="BI97" s="71"/>
      <c r="BJ97" s="123"/>
      <c r="BK97" s="108"/>
      <c r="BL97" s="126"/>
      <c r="BM97" s="108"/>
      <c r="BN97" s="71"/>
      <c r="BO97" s="108"/>
      <c r="BP97" s="108"/>
      <c r="BQ97" s="102"/>
      <c r="BR97" s="100"/>
      <c r="BS97" s="100"/>
      <c r="BT97" s="13">
        <f>P97-V97/10-120/10</f>
        <v>40</v>
      </c>
      <c r="BU97" s="79">
        <f>BT97-Q97</f>
        <v>10</v>
      </c>
      <c r="BV97" s="29">
        <f>T97+(O97/100*(P97-BT97))</f>
        <v>1.0376000000000001</v>
      </c>
      <c r="BW97" s="86">
        <f>(AE97-BV97)/AE97</f>
        <v>3.0823837100691125E-2</v>
      </c>
      <c r="BX97" s="79">
        <f>(PI()*((51/2)^2-(16.545/2)^2)/(BV97/10))/100</f>
        <v>176.15921996028158</v>
      </c>
      <c r="BY97" s="79">
        <f>BX97-AK97</f>
        <v>5.4299030998405442</v>
      </c>
      <c r="BZ97" s="86">
        <f>BY97/AK97</f>
        <v>3.1804163454124873E-2</v>
      </c>
      <c r="CA97" s="76"/>
    </row>
    <row r="98" spans="1:79" s="14" customFormat="1">
      <c r="A98" s="13" t="s">
        <v>466</v>
      </c>
      <c r="B98" s="13" t="s">
        <v>562</v>
      </c>
      <c r="C98" s="13"/>
      <c r="D98" s="387"/>
      <c r="E98" s="13" t="s">
        <v>127</v>
      </c>
      <c r="F98" s="13" t="s">
        <v>119</v>
      </c>
      <c r="G98" s="13" t="s">
        <v>579</v>
      </c>
      <c r="H98" s="13" t="s">
        <v>121</v>
      </c>
      <c r="I98" s="13" t="s">
        <v>147</v>
      </c>
      <c r="J98" s="13" t="s">
        <v>5</v>
      </c>
      <c r="K98" s="13" t="s">
        <v>123</v>
      </c>
      <c r="L98" s="13"/>
      <c r="M98" s="13"/>
      <c r="N98" s="13" t="s">
        <v>126</v>
      </c>
      <c r="O98" s="247">
        <v>0.22</v>
      </c>
      <c r="P98" s="13">
        <v>112</v>
      </c>
      <c r="Q98" s="13">
        <v>30</v>
      </c>
      <c r="R98" s="13" t="s">
        <v>127</v>
      </c>
      <c r="S98" s="430" t="str">
        <f t="shared" si="49"/>
        <v>N/A</v>
      </c>
      <c r="T98" s="247">
        <v>0.8</v>
      </c>
      <c r="U98" s="13">
        <v>150</v>
      </c>
      <c r="V98" s="13">
        <v>600</v>
      </c>
      <c r="W98" s="430">
        <f t="shared" si="47"/>
        <v>450</v>
      </c>
      <c r="X98" s="430">
        <f t="shared" si="48"/>
        <v>220</v>
      </c>
      <c r="Y98" s="13">
        <v>150</v>
      </c>
      <c r="Z98" s="13">
        <v>600</v>
      </c>
      <c r="AA98" s="430">
        <f t="shared" si="50"/>
        <v>450</v>
      </c>
      <c r="AB98" s="430">
        <f t="shared" si="51"/>
        <v>220</v>
      </c>
      <c r="AC98" s="430" t="str">
        <f t="shared" si="52"/>
        <v>N/A</v>
      </c>
      <c r="AD98" s="430">
        <f t="shared" si="53"/>
        <v>82</v>
      </c>
      <c r="AE98" s="431">
        <f t="shared" si="54"/>
        <v>0.98040000000000005</v>
      </c>
      <c r="AF98" s="431"/>
      <c r="AG98" s="431">
        <f t="shared" si="55"/>
        <v>0.91436071428571442</v>
      </c>
      <c r="AH98" s="431">
        <f t="shared" si="56"/>
        <v>0.9692223571428572</v>
      </c>
      <c r="AI98" s="432">
        <f t="shared" si="57"/>
        <v>862.32314400000007</v>
      </c>
      <c r="AJ98" s="432">
        <f t="shared" si="58"/>
        <v>170.50765813939009</v>
      </c>
      <c r="AK98" s="432">
        <f t="shared" si="59"/>
        <v>186.43697126763379</v>
      </c>
      <c r="AL98" s="432">
        <f t="shared" si="60"/>
        <v>370.60979640540745</v>
      </c>
      <c r="AM98" s="250">
        <v>186</v>
      </c>
      <c r="AN98" s="432">
        <f t="shared" si="61"/>
        <v>208.32</v>
      </c>
      <c r="AO98" s="432">
        <f t="shared" si="62"/>
        <v>201.90840144000001</v>
      </c>
      <c r="AP98" s="432">
        <f t="shared" si="63"/>
        <v>673.02800480000008</v>
      </c>
      <c r="AQ98" s="255"/>
      <c r="AR98" s="13"/>
      <c r="AS98" s="429"/>
      <c r="AT98" s="429"/>
      <c r="AU98" s="274"/>
      <c r="AV98" s="276"/>
      <c r="AX98" s="276"/>
      <c r="AY98" s="185"/>
      <c r="BC98" s="266"/>
      <c r="BD98" s="274"/>
      <c r="BE98" s="274"/>
      <c r="BF98" s="185"/>
      <c r="BG98" s="274"/>
      <c r="BH98" s="274"/>
      <c r="BI98" s="185"/>
      <c r="BJ98" s="186"/>
      <c r="BK98" s="187"/>
      <c r="BL98" s="188"/>
      <c r="BM98" s="187"/>
      <c r="BN98" s="185"/>
      <c r="BO98" s="187"/>
      <c r="BP98" s="187"/>
      <c r="BQ98" s="375"/>
      <c r="BR98" s="375"/>
      <c r="BS98" s="375"/>
      <c r="BU98" s="270"/>
      <c r="BV98" s="266"/>
      <c r="BW98" s="189"/>
      <c r="BX98" s="270"/>
      <c r="BY98" s="270"/>
      <c r="BZ98" s="189"/>
      <c r="CA98" s="272"/>
    </row>
    <row r="99" spans="1:79" s="72" customFormat="1">
      <c r="A99" s="13" t="s">
        <v>466</v>
      </c>
      <c r="B99" s="387" t="s">
        <v>562</v>
      </c>
      <c r="C99" s="13" t="s">
        <v>573</v>
      </c>
      <c r="D99" s="387" t="s">
        <v>574</v>
      </c>
      <c r="E99" s="13" t="s">
        <v>118</v>
      </c>
      <c r="F99" s="13" t="s">
        <v>119</v>
      </c>
      <c r="G99" s="13" t="s">
        <v>580</v>
      </c>
      <c r="H99" s="13" t="s">
        <v>121</v>
      </c>
      <c r="I99" s="13" t="s">
        <v>147</v>
      </c>
      <c r="J99" s="13" t="s">
        <v>5</v>
      </c>
      <c r="K99" s="13" t="s">
        <v>123</v>
      </c>
      <c r="L99" s="13" t="s">
        <v>516</v>
      </c>
      <c r="M99" s="13"/>
      <c r="N99" s="13" t="s">
        <v>126</v>
      </c>
      <c r="O99" s="247"/>
      <c r="P99" s="13"/>
      <c r="Q99" s="13"/>
      <c r="R99" s="13"/>
      <c r="S99" s="430">
        <f t="shared" si="49"/>
        <v>0</v>
      </c>
      <c r="T99" s="247"/>
      <c r="U99" s="13"/>
      <c r="V99" s="13"/>
      <c r="W99" s="430">
        <f t="shared" si="47"/>
        <v>0</v>
      </c>
      <c r="X99" s="430">
        <f t="shared" si="48"/>
        <v>0</v>
      </c>
      <c r="Y99" s="13"/>
      <c r="Z99" s="13"/>
      <c r="AA99" s="430">
        <f t="shared" si="50"/>
        <v>0</v>
      </c>
      <c r="AB99" s="430">
        <f t="shared" si="51"/>
        <v>0</v>
      </c>
      <c r="AC99" s="430" t="str">
        <f t="shared" si="52"/>
        <v>N/A</v>
      </c>
      <c r="AD99" s="430">
        <f t="shared" si="53"/>
        <v>0</v>
      </c>
      <c r="AE99" s="431">
        <f t="shared" si="54"/>
        <v>0</v>
      </c>
      <c r="AF99" s="431"/>
      <c r="AG99" s="431" t="e">
        <f t="shared" si="55"/>
        <v>#DIV/0!</v>
      </c>
      <c r="AH99" s="431" t="e">
        <f t="shared" si="56"/>
        <v>#DIV/0!</v>
      </c>
      <c r="AI99" s="432">
        <f t="shared" si="57"/>
        <v>0</v>
      </c>
      <c r="AJ99" s="432" t="e">
        <f t="shared" si="58"/>
        <v>#DIV/0!</v>
      </c>
      <c r="AK99" s="432" t="e">
        <f t="shared" si="59"/>
        <v>#DIV/0!</v>
      </c>
      <c r="AL99" s="432" t="e">
        <f t="shared" si="60"/>
        <v>#DIV/0!</v>
      </c>
      <c r="AM99" s="250"/>
      <c r="AN99" s="432">
        <f t="shared" si="61"/>
        <v>0</v>
      </c>
      <c r="AO99" s="432" t="e">
        <f t="shared" si="62"/>
        <v>#DIV/0!</v>
      </c>
      <c r="AP99" s="432" t="e">
        <f t="shared" si="63"/>
        <v>#DIV/0!</v>
      </c>
      <c r="AQ99" s="255"/>
      <c r="AR99" s="13" t="s">
        <v>127</v>
      </c>
      <c r="AS99" s="429"/>
      <c r="AT99" s="429"/>
      <c r="AU99" s="250"/>
      <c r="AV99" s="255"/>
      <c r="AW99" s="13"/>
      <c r="AX99" s="255"/>
      <c r="AY99" s="103"/>
      <c r="AZ99" s="13"/>
      <c r="BA99" s="13"/>
      <c r="BB99" s="13"/>
      <c r="BC99" s="29"/>
      <c r="BD99" s="250"/>
      <c r="BE99" s="250"/>
      <c r="BF99" s="103"/>
      <c r="BG99" s="250"/>
      <c r="BH99" s="250"/>
      <c r="BI99" s="103"/>
      <c r="BJ99" s="111"/>
      <c r="BK99" s="83"/>
      <c r="BL99" s="112"/>
      <c r="BM99" s="83"/>
      <c r="BN99" s="103"/>
      <c r="BO99" s="83"/>
      <c r="BP99" s="83"/>
      <c r="BQ99" s="124"/>
      <c r="BR99" s="124"/>
      <c r="BS99" s="71"/>
      <c r="BU99" s="78"/>
      <c r="BV99" s="32"/>
      <c r="BW99" s="127"/>
      <c r="BX99" s="78"/>
      <c r="BY99" s="78"/>
      <c r="BZ99" s="127"/>
      <c r="CA99" s="76"/>
    </row>
    <row r="100" spans="1:79" s="72" customFormat="1">
      <c r="A100" s="13" t="s">
        <v>466</v>
      </c>
      <c r="B100" s="387" t="s">
        <v>562</v>
      </c>
      <c r="C100" s="13" t="s">
        <v>573</v>
      </c>
      <c r="D100" s="387" t="s">
        <v>581</v>
      </c>
      <c r="E100" s="13" t="s">
        <v>118</v>
      </c>
      <c r="F100" s="13" t="s">
        <v>119</v>
      </c>
      <c r="G100" s="13" t="s">
        <v>582</v>
      </c>
      <c r="H100" s="13" t="s">
        <v>121</v>
      </c>
      <c r="I100" s="13" t="s">
        <v>147</v>
      </c>
      <c r="J100" s="13" t="s">
        <v>5</v>
      </c>
      <c r="K100" s="13" t="s">
        <v>123</v>
      </c>
      <c r="L100" s="13" t="s">
        <v>516</v>
      </c>
      <c r="M100" s="13"/>
      <c r="N100" s="13" t="s">
        <v>126</v>
      </c>
      <c r="O100" s="247"/>
      <c r="P100" s="13"/>
      <c r="Q100" s="13"/>
      <c r="R100" s="13"/>
      <c r="S100" s="430">
        <f t="shared" si="49"/>
        <v>0</v>
      </c>
      <c r="T100" s="247"/>
      <c r="U100" s="13"/>
      <c r="V100" s="13"/>
      <c r="W100" s="430">
        <f t="shared" si="47"/>
        <v>0</v>
      </c>
      <c r="X100" s="430">
        <f t="shared" si="48"/>
        <v>0</v>
      </c>
      <c r="Y100" s="13"/>
      <c r="Z100" s="13"/>
      <c r="AA100" s="430">
        <f t="shared" si="50"/>
        <v>0</v>
      </c>
      <c r="AB100" s="430">
        <f t="shared" si="51"/>
        <v>0</v>
      </c>
      <c r="AC100" s="430" t="str">
        <f t="shared" si="52"/>
        <v>N/A</v>
      </c>
      <c r="AD100" s="430">
        <f t="shared" si="53"/>
        <v>0</v>
      </c>
      <c r="AE100" s="431">
        <f t="shared" si="54"/>
        <v>0</v>
      </c>
      <c r="AF100" s="431"/>
      <c r="AG100" s="431" t="e">
        <f t="shared" si="55"/>
        <v>#DIV/0!</v>
      </c>
      <c r="AH100" s="431" t="e">
        <f t="shared" si="56"/>
        <v>#DIV/0!</v>
      </c>
      <c r="AI100" s="432">
        <f t="shared" si="57"/>
        <v>0</v>
      </c>
      <c r="AJ100" s="432" t="e">
        <f t="shared" si="58"/>
        <v>#DIV/0!</v>
      </c>
      <c r="AK100" s="432" t="e">
        <f t="shared" si="59"/>
        <v>#DIV/0!</v>
      </c>
      <c r="AL100" s="432" t="e">
        <f t="shared" si="60"/>
        <v>#DIV/0!</v>
      </c>
      <c r="AM100" s="250"/>
      <c r="AN100" s="432">
        <f t="shared" si="61"/>
        <v>0</v>
      </c>
      <c r="AO100" s="432" t="e">
        <f t="shared" si="62"/>
        <v>#DIV/0!</v>
      </c>
      <c r="AP100" s="432" t="e">
        <f t="shared" si="63"/>
        <v>#DIV/0!</v>
      </c>
      <c r="AQ100" s="255"/>
      <c r="AR100" s="13" t="s">
        <v>127</v>
      </c>
      <c r="AS100" s="429"/>
      <c r="AT100" s="429"/>
      <c r="AU100" s="250"/>
      <c r="AV100" s="255"/>
      <c r="AW100" s="13"/>
      <c r="AX100" s="255"/>
      <c r="AY100" s="103"/>
      <c r="AZ100" s="13"/>
      <c r="BA100" s="13"/>
      <c r="BB100" s="13"/>
      <c r="BC100" s="29"/>
      <c r="BD100" s="250"/>
      <c r="BE100" s="250"/>
      <c r="BF100" s="103"/>
      <c r="BG100" s="250"/>
      <c r="BH100" s="250"/>
      <c r="BI100" s="103"/>
      <c r="BJ100" s="111"/>
      <c r="BK100" s="83"/>
      <c r="BL100" s="112"/>
      <c r="BM100" s="83"/>
      <c r="BN100" s="103"/>
      <c r="BO100" s="83"/>
      <c r="BP100" s="83"/>
      <c r="BQ100" s="108"/>
      <c r="BR100" s="71"/>
      <c r="BS100" s="71"/>
    </row>
    <row r="101" spans="1:79" s="77" customFormat="1">
      <c r="A101" s="13" t="s">
        <v>466</v>
      </c>
      <c r="B101" s="13" t="s">
        <v>562</v>
      </c>
      <c r="C101" s="13" t="s">
        <v>396</v>
      </c>
      <c r="D101" s="387" t="s">
        <v>397</v>
      </c>
      <c r="E101" s="13" t="s">
        <v>118</v>
      </c>
      <c r="F101" s="13" t="s">
        <v>186</v>
      </c>
      <c r="G101" s="13" t="s">
        <v>416</v>
      </c>
      <c r="H101" s="13" t="s">
        <v>121</v>
      </c>
      <c r="I101" s="13" t="s">
        <v>147</v>
      </c>
      <c r="J101" s="13" t="s">
        <v>5</v>
      </c>
      <c r="K101" s="13" t="s">
        <v>123</v>
      </c>
      <c r="L101" s="441" t="s">
        <v>516</v>
      </c>
      <c r="M101" s="13" t="s">
        <v>125</v>
      </c>
      <c r="N101" s="13" t="s">
        <v>126</v>
      </c>
      <c r="O101" s="13"/>
      <c r="P101" s="442" t="s">
        <v>583</v>
      </c>
      <c r="Q101" s="13"/>
      <c r="R101" s="13"/>
      <c r="S101" s="430" t="e">
        <f t="shared" si="49"/>
        <v>#VALUE!</v>
      </c>
      <c r="T101" s="247"/>
      <c r="U101" s="13"/>
      <c r="V101" s="13"/>
      <c r="W101" s="430">
        <f t="shared" si="47"/>
        <v>0</v>
      </c>
      <c r="X101" s="430" t="e">
        <f t="shared" si="48"/>
        <v>#VALUE!</v>
      </c>
      <c r="Y101" s="13"/>
      <c r="Z101" s="13"/>
      <c r="AA101" s="430">
        <f t="shared" si="50"/>
        <v>0</v>
      </c>
      <c r="AB101" s="430" t="e">
        <f t="shared" si="51"/>
        <v>#VALUE!</v>
      </c>
      <c r="AC101" s="430" t="str">
        <f t="shared" si="52"/>
        <v>N/A</v>
      </c>
      <c r="AD101" s="430" t="e">
        <f t="shared" si="53"/>
        <v>#VALUE!</v>
      </c>
      <c r="AE101" s="431" t="e">
        <f t="shared" si="54"/>
        <v>#VALUE!</v>
      </c>
      <c r="AF101" s="431"/>
      <c r="AG101" s="431" t="e">
        <f t="shared" si="55"/>
        <v>#VALUE!</v>
      </c>
      <c r="AH101" s="431" t="e">
        <f t="shared" si="56"/>
        <v>#VALUE!</v>
      </c>
      <c r="AI101" s="432">
        <f t="shared" si="57"/>
        <v>0</v>
      </c>
      <c r="AJ101" s="432" t="e">
        <f t="shared" si="58"/>
        <v>#VALUE!</v>
      </c>
      <c r="AK101" s="432" t="e">
        <f t="shared" si="59"/>
        <v>#VALUE!</v>
      </c>
      <c r="AL101" s="432" t="e">
        <f t="shared" si="60"/>
        <v>#VALUE!</v>
      </c>
      <c r="AM101" s="250"/>
      <c r="AN101" s="432" t="e">
        <f t="shared" si="61"/>
        <v>#VALUE!</v>
      </c>
      <c r="AO101" s="432" t="e">
        <f t="shared" si="62"/>
        <v>#VALUE!</v>
      </c>
      <c r="AP101" s="432" t="e">
        <f t="shared" si="63"/>
        <v>#VALUE!</v>
      </c>
      <c r="AQ101" s="443" t="s">
        <v>584</v>
      </c>
      <c r="AR101" s="13" t="s">
        <v>585</v>
      </c>
      <c r="AS101" s="434" t="s">
        <v>586</v>
      </c>
      <c r="AT101" s="429" t="s">
        <v>587</v>
      </c>
      <c r="AU101" s="249"/>
      <c r="AV101" s="254"/>
      <c r="AW101" s="38" t="s">
        <v>127</v>
      </c>
      <c r="AX101" s="254"/>
      <c r="AY101" s="102"/>
      <c r="AZ101" s="38"/>
      <c r="BA101" s="38" t="str">
        <f>LEFT(G101,3)</f>
        <v>W22</v>
      </c>
      <c r="BB101" s="77" t="str">
        <f>IF(R101="n/a","Clear","S/B")</f>
        <v>S/B</v>
      </c>
      <c r="BC101" s="264" t="str">
        <f>IF(Q101="","",((#REF!/100*P101)+T101))</f>
        <v/>
      </c>
      <c r="BD101" s="253" t="str">
        <f>IF(BC101="","",((PI()*((51/2)^2-(16.545/2)^2)/(BC101/10))/100))</f>
        <v/>
      </c>
      <c r="BE101" s="253" t="str">
        <f>IF(BC101="","",(BD101-AK101))</f>
        <v/>
      </c>
      <c r="BF101" s="100" t="str">
        <f>IF(BC101="","",(BE101/AK101))</f>
        <v/>
      </c>
      <c r="BG101" s="253" t="str">
        <f>IF(BF101="","",((PI()*((70/2)^2-(16.545/2)^2)/(BC101/10))/100))</f>
        <v/>
      </c>
      <c r="BH101" s="253" t="str">
        <f>IF(BF101="","",(BG101-AL101))</f>
        <v/>
      </c>
      <c r="BI101" s="100" t="str">
        <f>IF(BG101="","",(BH101/AL101))</f>
        <v/>
      </c>
      <c r="BJ101" s="143"/>
      <c r="BK101" s="139">
        <v>20</v>
      </c>
      <c r="BL101" s="191"/>
      <c r="BM101" s="139"/>
      <c r="BN101" s="162"/>
      <c r="BO101" s="101"/>
      <c r="BP101" s="101"/>
      <c r="BQ101" s="166">
        <v>20708</v>
      </c>
      <c r="BR101" s="140">
        <v>4008</v>
      </c>
      <c r="BS101" s="102" t="e">
        <f>(BO101-BM101)/BM101</f>
        <v>#DIV/0!</v>
      </c>
      <c r="BT101" s="38" t="e">
        <f>P101-V101/10-120/10</f>
        <v>#VALUE!</v>
      </c>
      <c r="BU101" s="288" t="e">
        <f>BT101-Q101</f>
        <v>#VALUE!</v>
      </c>
      <c r="BV101" s="248" t="e">
        <f>T101+(O101/100*(P101-BT101))</f>
        <v>#VALUE!</v>
      </c>
      <c r="BW101" s="173" t="e">
        <f>(AE101-BV101)/AE101</f>
        <v>#VALUE!</v>
      </c>
      <c r="BX101" s="288" t="e">
        <f>(PI()*((51/2)^2-(16.545/2)^2)/(BV101/10))/100</f>
        <v>#VALUE!</v>
      </c>
      <c r="BY101" s="288" t="e">
        <f>BX101-AK101</f>
        <v>#VALUE!</v>
      </c>
      <c r="BZ101" s="173" t="e">
        <f>BY101/AK101</f>
        <v>#VALUE!</v>
      </c>
      <c r="CA101" s="271"/>
    </row>
    <row r="102" spans="1:79" s="77" customFormat="1">
      <c r="A102" s="13" t="s">
        <v>466</v>
      </c>
      <c r="B102" s="13" t="s">
        <v>562</v>
      </c>
      <c r="C102" s="13" t="s">
        <v>588</v>
      </c>
      <c r="D102" s="387" t="s">
        <v>589</v>
      </c>
      <c r="E102" s="387" t="s">
        <v>118</v>
      </c>
      <c r="F102" s="387" t="s">
        <v>119</v>
      </c>
      <c r="G102" s="13" t="s">
        <v>590</v>
      </c>
      <c r="H102" s="13" t="s">
        <v>389</v>
      </c>
      <c r="I102" s="13" t="s">
        <v>139</v>
      </c>
      <c r="J102" s="13" t="s">
        <v>5</v>
      </c>
      <c r="K102" s="13" t="s">
        <v>140</v>
      </c>
      <c r="L102" s="13" t="s">
        <v>228</v>
      </c>
      <c r="M102" s="13" t="s">
        <v>125</v>
      </c>
      <c r="N102" s="13" t="s">
        <v>142</v>
      </c>
      <c r="O102" s="247">
        <v>0.25</v>
      </c>
      <c r="P102" s="13">
        <v>115</v>
      </c>
      <c r="Q102" s="13">
        <v>27</v>
      </c>
      <c r="R102" s="13" t="s">
        <v>127</v>
      </c>
      <c r="S102" s="430" t="str">
        <f t="shared" si="49"/>
        <v>N/A</v>
      </c>
      <c r="T102" s="247">
        <v>0.76</v>
      </c>
      <c r="U102" s="13">
        <v>300</v>
      </c>
      <c r="V102" s="13">
        <v>750</v>
      </c>
      <c r="W102" s="430">
        <f t="shared" si="47"/>
        <v>450</v>
      </c>
      <c r="X102" s="430">
        <f t="shared" si="48"/>
        <v>130</v>
      </c>
      <c r="Y102" s="13">
        <v>300</v>
      </c>
      <c r="Z102" s="13">
        <v>750</v>
      </c>
      <c r="AA102" s="430">
        <f t="shared" si="50"/>
        <v>450</v>
      </c>
      <c r="AB102" s="430">
        <f t="shared" si="51"/>
        <v>130</v>
      </c>
      <c r="AC102" s="430" t="str">
        <f t="shared" si="52"/>
        <v>N/A</v>
      </c>
      <c r="AD102" s="430">
        <f t="shared" si="53"/>
        <v>88</v>
      </c>
      <c r="AE102" s="431">
        <f t="shared" si="54"/>
        <v>0.98</v>
      </c>
      <c r="AF102" s="431"/>
      <c r="AG102" s="431">
        <f t="shared" si="55"/>
        <v>0.89582608695652188</v>
      </c>
      <c r="AH102" s="431">
        <f t="shared" si="56"/>
        <v>0.95405478260869581</v>
      </c>
      <c r="AI102" s="432">
        <f t="shared" si="57"/>
        <v>825.75307499999997</v>
      </c>
      <c r="AJ102" s="432">
        <f t="shared" si="58"/>
        <v>170.57725310189596</v>
      </c>
      <c r="AK102" s="432">
        <f t="shared" si="59"/>
        <v>186.51306799060018</v>
      </c>
      <c r="AL102" s="432">
        <f t="shared" si="60"/>
        <v>370.76106571006267</v>
      </c>
      <c r="AM102" s="250">
        <v>187</v>
      </c>
      <c r="AN102" s="432">
        <f t="shared" si="61"/>
        <v>215.05</v>
      </c>
      <c r="AO102" s="432">
        <f t="shared" si="62"/>
        <v>205.16948100000005</v>
      </c>
      <c r="AP102" s="432">
        <f t="shared" si="63"/>
        <v>759.88696666666681</v>
      </c>
      <c r="AQ102" s="255" t="s">
        <v>132</v>
      </c>
      <c r="AR102" s="13" t="s">
        <v>591</v>
      </c>
      <c r="AS102" s="429" t="s">
        <v>592</v>
      </c>
      <c r="AT102" s="429"/>
      <c r="AU102" s="250"/>
      <c r="AV102" s="255"/>
      <c r="AW102" s="13"/>
      <c r="AX102" s="255"/>
      <c r="AY102" s="103"/>
      <c r="AZ102" s="13"/>
      <c r="BA102" s="13"/>
      <c r="BB102" s="72"/>
      <c r="BC102" s="32"/>
      <c r="BD102" s="241"/>
      <c r="BE102" s="241"/>
      <c r="BF102" s="71"/>
      <c r="BG102" s="241"/>
      <c r="BH102" s="241"/>
      <c r="BI102" s="71"/>
      <c r="BJ102" s="123"/>
      <c r="BK102" s="108"/>
      <c r="BL102" s="126"/>
      <c r="BM102" s="108"/>
      <c r="BN102" s="71"/>
      <c r="BO102" s="108"/>
      <c r="BP102" s="108"/>
      <c r="BQ102" s="144"/>
      <c r="BR102" s="140">
        <v>855</v>
      </c>
      <c r="BS102" s="102"/>
      <c r="BT102" s="13" t="e">
        <f>#REF!-V102/10-120/10</f>
        <v>#REF!</v>
      </c>
      <c r="BU102" s="79" t="e">
        <f>BT102-Q102</f>
        <v>#REF!</v>
      </c>
      <c r="BV102" s="29" t="e">
        <f>T102+(P102/100*(#REF!-BT102))</f>
        <v>#REF!</v>
      </c>
      <c r="BW102" s="86" t="e">
        <f>(AE102-BV102)/AE102</f>
        <v>#REF!</v>
      </c>
      <c r="BX102" s="79" t="e">
        <f>(PI()*((51/2)^2-(16.545/2)^2)/(BV102/10))/100</f>
        <v>#REF!</v>
      </c>
      <c r="BY102" s="79" t="e">
        <f>BX102-AK102</f>
        <v>#REF!</v>
      </c>
      <c r="BZ102" s="86" t="e">
        <f>BY102/AK102</f>
        <v>#REF!</v>
      </c>
      <c r="CA102" s="76"/>
    </row>
    <row r="103" spans="1:79" s="72" customFormat="1">
      <c r="A103" s="13" t="s">
        <v>466</v>
      </c>
      <c r="B103" s="13" t="s">
        <v>562</v>
      </c>
      <c r="C103" s="13" t="s">
        <v>588</v>
      </c>
      <c r="D103" s="387" t="s">
        <v>589</v>
      </c>
      <c r="E103" s="387" t="s">
        <v>118</v>
      </c>
      <c r="F103" s="387" t="s">
        <v>119</v>
      </c>
      <c r="G103" s="13" t="s">
        <v>593</v>
      </c>
      <c r="H103" s="13" t="s">
        <v>389</v>
      </c>
      <c r="I103" s="13" t="s">
        <v>139</v>
      </c>
      <c r="J103" s="13" t="s">
        <v>5</v>
      </c>
      <c r="K103" s="13" t="s">
        <v>140</v>
      </c>
      <c r="L103" s="13" t="s">
        <v>228</v>
      </c>
      <c r="M103" s="13" t="s">
        <v>125</v>
      </c>
      <c r="N103" s="13" t="s">
        <v>142</v>
      </c>
      <c r="O103" s="247">
        <v>0.27</v>
      </c>
      <c r="P103" s="13">
        <v>115</v>
      </c>
      <c r="Q103" s="13">
        <v>27</v>
      </c>
      <c r="R103" s="13" t="s">
        <v>127</v>
      </c>
      <c r="S103" s="430" t="str">
        <f t="shared" si="49"/>
        <v>N/A</v>
      </c>
      <c r="T103" s="247">
        <v>0.76</v>
      </c>
      <c r="U103" s="13">
        <v>300</v>
      </c>
      <c r="V103" s="13">
        <v>750</v>
      </c>
      <c r="W103" s="430">
        <f t="shared" si="47"/>
        <v>450</v>
      </c>
      <c r="X103" s="430">
        <f t="shared" si="48"/>
        <v>130</v>
      </c>
      <c r="Y103" s="13">
        <v>300</v>
      </c>
      <c r="Z103" s="13">
        <v>750</v>
      </c>
      <c r="AA103" s="430">
        <f t="shared" si="50"/>
        <v>450</v>
      </c>
      <c r="AB103" s="430">
        <f t="shared" si="51"/>
        <v>130</v>
      </c>
      <c r="AC103" s="430" t="str">
        <f t="shared" si="52"/>
        <v>N/A</v>
      </c>
      <c r="AD103" s="430">
        <f t="shared" si="53"/>
        <v>88</v>
      </c>
      <c r="AE103" s="431">
        <f t="shared" si="54"/>
        <v>0.99760000000000004</v>
      </c>
      <c r="AF103" s="431"/>
      <c r="AG103" s="431">
        <f t="shared" si="55"/>
        <v>0.90669217391304346</v>
      </c>
      <c r="AH103" s="431">
        <f t="shared" si="56"/>
        <v>0.96562716521739123</v>
      </c>
      <c r="AI103" s="432">
        <f t="shared" si="57"/>
        <v>827.06132100000002</v>
      </c>
      <c r="AJ103" s="432">
        <f t="shared" si="58"/>
        <v>167.56787093009024</v>
      </c>
      <c r="AK103" s="432">
        <f t="shared" si="59"/>
        <v>183.22254072853667</v>
      </c>
      <c r="AL103" s="432">
        <f t="shared" si="60"/>
        <v>364.21997232945216</v>
      </c>
      <c r="AM103" s="250">
        <v>183</v>
      </c>
      <c r="AN103" s="432">
        <f t="shared" si="61"/>
        <v>210.45</v>
      </c>
      <c r="AO103" s="432">
        <f t="shared" si="62"/>
        <v>203.21623691999997</v>
      </c>
      <c r="AP103" s="432">
        <f t="shared" si="63"/>
        <v>752.65272933333313</v>
      </c>
      <c r="AQ103" s="255" t="s">
        <v>132</v>
      </c>
      <c r="AR103" s="13" t="s">
        <v>591</v>
      </c>
      <c r="AS103" s="429" t="s">
        <v>594</v>
      </c>
      <c r="AT103" s="429"/>
      <c r="AU103" s="250"/>
      <c r="AV103" s="255"/>
      <c r="AW103" s="13"/>
      <c r="AX103" s="255"/>
      <c r="AY103" s="103"/>
      <c r="AZ103" s="13"/>
      <c r="BA103" s="13"/>
      <c r="BC103" s="32"/>
      <c r="BD103" s="241"/>
      <c r="BE103" s="241"/>
      <c r="BF103" s="71"/>
      <c r="BG103" s="241"/>
      <c r="BH103" s="241"/>
      <c r="BI103" s="71"/>
      <c r="BJ103" s="123"/>
      <c r="BK103" s="108"/>
      <c r="BL103" s="126"/>
      <c r="BM103" s="108"/>
      <c r="BN103" s="71"/>
      <c r="BO103" s="108"/>
      <c r="BP103" s="108"/>
      <c r="BQ103" s="115"/>
      <c r="BR103" s="113"/>
      <c r="BS103" s="71"/>
      <c r="BT103" s="13"/>
      <c r="BU103" s="79"/>
      <c r="BV103" s="29"/>
      <c r="BW103" s="86"/>
      <c r="BX103" s="79"/>
      <c r="BY103" s="79"/>
      <c r="BZ103" s="86"/>
      <c r="CA103" s="76"/>
    </row>
    <row r="104" spans="1:79" s="72" customFormat="1">
      <c r="A104" s="13" t="s">
        <v>466</v>
      </c>
      <c r="B104" s="13" t="s">
        <v>562</v>
      </c>
      <c r="C104" s="13" t="s">
        <v>588</v>
      </c>
      <c r="D104" s="387" t="s">
        <v>595</v>
      </c>
      <c r="E104" s="387" t="s">
        <v>118</v>
      </c>
      <c r="F104" s="387" t="s">
        <v>119</v>
      </c>
      <c r="G104" s="13" t="s">
        <v>596</v>
      </c>
      <c r="H104" s="13" t="s">
        <v>389</v>
      </c>
      <c r="I104" s="13" t="s">
        <v>139</v>
      </c>
      <c r="J104" s="13" t="s">
        <v>5</v>
      </c>
      <c r="K104" s="13" t="s">
        <v>140</v>
      </c>
      <c r="L104" s="13" t="s">
        <v>228</v>
      </c>
      <c r="M104" s="13" t="s">
        <v>125</v>
      </c>
      <c r="N104" s="13" t="s">
        <v>142</v>
      </c>
      <c r="O104" s="247">
        <v>0.27</v>
      </c>
      <c r="P104" s="13">
        <v>107</v>
      </c>
      <c r="Q104" s="13">
        <v>24</v>
      </c>
      <c r="R104" s="13" t="s">
        <v>127</v>
      </c>
      <c r="S104" s="430" t="str">
        <f t="shared" si="49"/>
        <v>N/A</v>
      </c>
      <c r="T104" s="247">
        <v>0.76</v>
      </c>
      <c r="U104" s="13">
        <v>250</v>
      </c>
      <c r="V104" s="13">
        <v>700</v>
      </c>
      <c r="W104" s="430">
        <f t="shared" si="47"/>
        <v>450</v>
      </c>
      <c r="X104" s="430">
        <f t="shared" si="48"/>
        <v>130</v>
      </c>
      <c r="Y104" s="13">
        <v>250</v>
      </c>
      <c r="Z104" s="13">
        <v>700</v>
      </c>
      <c r="AA104" s="430">
        <f t="shared" si="50"/>
        <v>450</v>
      </c>
      <c r="AB104" s="430">
        <f t="shared" si="51"/>
        <v>130</v>
      </c>
      <c r="AC104" s="430" t="str">
        <f t="shared" si="52"/>
        <v>N/A</v>
      </c>
      <c r="AD104" s="430">
        <f t="shared" si="53"/>
        <v>83</v>
      </c>
      <c r="AE104" s="431">
        <f t="shared" si="54"/>
        <v>0.98409999999999997</v>
      </c>
      <c r="AF104" s="431"/>
      <c r="AG104" s="431">
        <f t="shared" si="55"/>
        <v>0.89718271028037377</v>
      </c>
      <c r="AH104" s="431">
        <f t="shared" si="56"/>
        <v>0.955499586448598</v>
      </c>
      <c r="AI104" s="432">
        <f t="shared" si="57"/>
        <v>827.06132100000002</v>
      </c>
      <c r="AJ104" s="432">
        <f t="shared" si="58"/>
        <v>169.86658676949298</v>
      </c>
      <c r="AK104" s="432">
        <f t="shared" si="59"/>
        <v>185.73600917669765</v>
      </c>
      <c r="AL104" s="432">
        <f t="shared" si="60"/>
        <v>369.2163849160263</v>
      </c>
      <c r="AM104" s="250">
        <v>186</v>
      </c>
      <c r="AN104" s="432">
        <f t="shared" si="61"/>
        <v>199.02</v>
      </c>
      <c r="AO104" s="432">
        <f t="shared" si="62"/>
        <v>190.16352769499997</v>
      </c>
      <c r="AP104" s="432">
        <f t="shared" si="63"/>
        <v>792.3480320624999</v>
      </c>
      <c r="AQ104" s="255" t="s">
        <v>132</v>
      </c>
      <c r="AR104" s="13" t="s">
        <v>591</v>
      </c>
      <c r="AS104" s="429" t="s">
        <v>597</v>
      </c>
      <c r="AT104" s="429"/>
      <c r="AU104" s="250"/>
      <c r="AV104" s="255"/>
      <c r="AW104" s="13"/>
      <c r="AX104" s="255"/>
      <c r="AY104" s="103"/>
      <c r="AZ104" s="13"/>
      <c r="BA104" s="13"/>
      <c r="BC104" s="32"/>
      <c r="BD104" s="241"/>
      <c r="BE104" s="241"/>
      <c r="BF104" s="71"/>
      <c r="BG104" s="241"/>
      <c r="BH104" s="241"/>
      <c r="BI104" s="71"/>
      <c r="BJ104" s="123"/>
      <c r="BK104" s="108"/>
      <c r="BL104" s="126"/>
      <c r="BM104" s="108"/>
      <c r="BN104" s="71"/>
      <c r="BO104" s="108"/>
      <c r="BP104" s="108"/>
      <c r="BQ104" s="115"/>
      <c r="BR104" s="113"/>
      <c r="BS104" s="71"/>
      <c r="BT104" s="13"/>
      <c r="BU104" s="79"/>
      <c r="BV104" s="29"/>
      <c r="BW104" s="86"/>
      <c r="BX104" s="79"/>
      <c r="BY104" s="79"/>
      <c r="BZ104" s="86"/>
      <c r="CA104" s="76"/>
    </row>
    <row r="105" spans="1:79" s="22" customFormat="1">
      <c r="A105" s="13" t="s">
        <v>466</v>
      </c>
      <c r="B105" s="13" t="s">
        <v>562</v>
      </c>
      <c r="C105" s="13" t="s">
        <v>588</v>
      </c>
      <c r="D105" s="387" t="s">
        <v>595</v>
      </c>
      <c r="E105" s="387" t="s">
        <v>118</v>
      </c>
      <c r="F105" s="387" t="s">
        <v>119</v>
      </c>
      <c r="G105" s="13" t="s">
        <v>598</v>
      </c>
      <c r="H105" s="13" t="s">
        <v>389</v>
      </c>
      <c r="I105" s="13" t="s">
        <v>139</v>
      </c>
      <c r="J105" s="13" t="s">
        <v>5</v>
      </c>
      <c r="K105" s="13" t="s">
        <v>140</v>
      </c>
      <c r="L105" s="13" t="s">
        <v>228</v>
      </c>
      <c r="M105" s="13" t="s">
        <v>125</v>
      </c>
      <c r="N105" s="13" t="s">
        <v>142</v>
      </c>
      <c r="O105" s="247">
        <v>0.28999999999999998</v>
      </c>
      <c r="P105" s="13">
        <v>107</v>
      </c>
      <c r="Q105" s="13">
        <v>24</v>
      </c>
      <c r="R105" s="13" t="s">
        <v>127</v>
      </c>
      <c r="S105" s="430" t="str">
        <f t="shared" si="49"/>
        <v>N/A</v>
      </c>
      <c r="T105" s="247">
        <v>0.76</v>
      </c>
      <c r="U105" s="13">
        <v>250</v>
      </c>
      <c r="V105" s="13">
        <v>700</v>
      </c>
      <c r="W105" s="430">
        <f t="shared" si="47"/>
        <v>450</v>
      </c>
      <c r="X105" s="430">
        <f t="shared" si="48"/>
        <v>130</v>
      </c>
      <c r="Y105" s="13">
        <v>250</v>
      </c>
      <c r="Z105" s="13">
        <v>700</v>
      </c>
      <c r="AA105" s="430">
        <f t="shared" si="50"/>
        <v>450</v>
      </c>
      <c r="AB105" s="430">
        <f t="shared" si="51"/>
        <v>130</v>
      </c>
      <c r="AC105" s="430" t="str">
        <f t="shared" si="52"/>
        <v>N/A</v>
      </c>
      <c r="AD105" s="430">
        <f t="shared" si="53"/>
        <v>83</v>
      </c>
      <c r="AE105" s="431">
        <f t="shared" si="54"/>
        <v>1.0006999999999999</v>
      </c>
      <c r="AF105" s="431"/>
      <c r="AG105" s="431">
        <f t="shared" si="55"/>
        <v>0.90734439252336441</v>
      </c>
      <c r="AH105" s="431">
        <f t="shared" si="56"/>
        <v>0.96632177803738317</v>
      </c>
      <c r="AI105" s="432">
        <f t="shared" si="57"/>
        <v>828.36956700000007</v>
      </c>
      <c r="AJ105" s="432">
        <f t="shared" si="58"/>
        <v>167.04877389812935</v>
      </c>
      <c r="AK105" s="432">
        <f t="shared" si="59"/>
        <v>182.65494816707124</v>
      </c>
      <c r="AL105" s="432">
        <f t="shared" si="60"/>
        <v>363.09168021970771</v>
      </c>
      <c r="AM105" s="250">
        <v>183</v>
      </c>
      <c r="AN105" s="432">
        <f t="shared" si="61"/>
        <v>195.81</v>
      </c>
      <c r="AO105" s="432">
        <f t="shared" si="62"/>
        <v>189.21546735749999</v>
      </c>
      <c r="AP105" s="432">
        <f t="shared" si="63"/>
        <v>788.39778065625001</v>
      </c>
      <c r="AQ105" s="255" t="s">
        <v>132</v>
      </c>
      <c r="AR105" s="13" t="s">
        <v>591</v>
      </c>
      <c r="AS105" s="429" t="s">
        <v>599</v>
      </c>
      <c r="AT105" s="429"/>
      <c r="AU105" s="250"/>
      <c r="AV105" s="255"/>
      <c r="AW105" s="13"/>
      <c r="AX105" s="255"/>
      <c r="AY105" s="103"/>
      <c r="AZ105" s="13"/>
      <c r="BA105" s="13"/>
      <c r="BB105" s="72"/>
      <c r="BC105" s="32"/>
      <c r="BD105" s="241"/>
      <c r="BE105" s="241"/>
      <c r="BF105" s="71"/>
      <c r="BG105" s="241"/>
      <c r="BH105" s="241"/>
      <c r="BI105" s="71"/>
      <c r="BJ105" s="123"/>
      <c r="BK105" s="108"/>
      <c r="BL105" s="126"/>
      <c r="BM105" s="108"/>
      <c r="BN105" s="71"/>
      <c r="BO105" s="108"/>
      <c r="BP105" s="108"/>
      <c r="BQ105" s="71"/>
      <c r="BR105" s="71"/>
      <c r="BS105" s="71"/>
      <c r="BT105" s="72"/>
      <c r="BU105" s="78"/>
      <c r="BV105" s="32"/>
      <c r="BW105" s="127"/>
      <c r="BX105" s="78"/>
      <c r="BY105" s="78"/>
      <c r="BZ105" s="127"/>
      <c r="CA105" s="76"/>
    </row>
    <row r="106" spans="1:79" s="22" customFormat="1">
      <c r="A106" s="13" t="s">
        <v>466</v>
      </c>
      <c r="B106" s="387" t="s">
        <v>562</v>
      </c>
      <c r="C106" s="13" t="s">
        <v>588</v>
      </c>
      <c r="D106" s="387" t="s">
        <v>600</v>
      </c>
      <c r="E106" s="13" t="s">
        <v>118</v>
      </c>
      <c r="F106" s="13" t="s">
        <v>119</v>
      </c>
      <c r="G106" s="13" t="s">
        <v>601</v>
      </c>
      <c r="H106" s="13" t="s">
        <v>389</v>
      </c>
      <c r="I106" s="13" t="s">
        <v>139</v>
      </c>
      <c r="J106" s="13" t="s">
        <v>5</v>
      </c>
      <c r="K106" s="13" t="s">
        <v>140</v>
      </c>
      <c r="L106" s="13"/>
      <c r="M106" s="13" t="s">
        <v>125</v>
      </c>
      <c r="N106" s="13" t="s">
        <v>142</v>
      </c>
      <c r="O106" s="247">
        <v>0.26</v>
      </c>
      <c r="P106" s="13">
        <v>104</v>
      </c>
      <c r="Q106" s="13">
        <v>20</v>
      </c>
      <c r="R106" s="13" t="s">
        <v>127</v>
      </c>
      <c r="S106" s="430" t="str">
        <f t="shared" si="49"/>
        <v>N/A</v>
      </c>
      <c r="T106" s="247">
        <v>0.76</v>
      </c>
      <c r="U106" s="13">
        <v>200</v>
      </c>
      <c r="V106" s="13">
        <v>700</v>
      </c>
      <c r="W106" s="430">
        <f t="shared" si="47"/>
        <v>500</v>
      </c>
      <c r="X106" s="430">
        <f t="shared" si="48"/>
        <v>140</v>
      </c>
      <c r="Y106" s="13">
        <v>200</v>
      </c>
      <c r="Z106" s="13">
        <v>700</v>
      </c>
      <c r="AA106" s="430">
        <f t="shared" si="50"/>
        <v>500</v>
      </c>
      <c r="AB106" s="430">
        <f t="shared" si="51"/>
        <v>140</v>
      </c>
      <c r="AC106" s="430" t="str">
        <f t="shared" si="52"/>
        <v>N/A</v>
      </c>
      <c r="AD106" s="430">
        <f t="shared" si="53"/>
        <v>84</v>
      </c>
      <c r="AE106" s="431">
        <f t="shared" si="54"/>
        <v>0.97839999999999994</v>
      </c>
      <c r="AF106" s="431"/>
      <c r="AG106" s="431">
        <f t="shared" si="55"/>
        <v>0.89019999999999999</v>
      </c>
      <c r="AH106" s="431">
        <f t="shared" si="56"/>
        <v>0.94806299999999999</v>
      </c>
      <c r="AI106" s="432">
        <f t="shared" si="57"/>
        <v>826.40719799999999</v>
      </c>
      <c r="AJ106" s="432">
        <f t="shared" si="58"/>
        <v>170.85620200312553</v>
      </c>
      <c r="AK106" s="432">
        <f t="shared" si="59"/>
        <v>186.81807709606312</v>
      </c>
      <c r="AL106" s="432">
        <f t="shared" si="60"/>
        <v>371.36737979953136</v>
      </c>
      <c r="AM106" s="250">
        <v>187</v>
      </c>
      <c r="AN106" s="432">
        <f t="shared" si="61"/>
        <v>194.48</v>
      </c>
      <c r="AO106" s="432">
        <f t="shared" si="62"/>
        <v>184.37929223999998</v>
      </c>
      <c r="AP106" s="432">
        <f t="shared" si="63"/>
        <v>921.89646119999986</v>
      </c>
      <c r="AQ106" s="255" t="s">
        <v>132</v>
      </c>
      <c r="AR106" s="13" t="s">
        <v>602</v>
      </c>
      <c r="AS106" s="429"/>
      <c r="AT106" s="13" t="s">
        <v>603</v>
      </c>
      <c r="AU106" s="252"/>
      <c r="AV106" s="260"/>
      <c r="AW106" s="72"/>
      <c r="AX106" s="243"/>
      <c r="AY106" s="103"/>
      <c r="AZ106" s="72"/>
      <c r="BA106" s="13"/>
      <c r="BB106" s="72"/>
      <c r="BC106" s="32"/>
      <c r="BD106" s="241"/>
      <c r="BE106" s="241"/>
      <c r="BF106" s="71"/>
      <c r="BG106" s="241"/>
      <c r="BH106" s="241"/>
      <c r="BI106" s="71"/>
      <c r="BJ106" s="114"/>
      <c r="BK106" s="111"/>
      <c r="BL106" s="112"/>
      <c r="BM106" s="111"/>
      <c r="BN106" s="123"/>
      <c r="BO106" s="83"/>
      <c r="BP106" s="88"/>
      <c r="BQ106" s="71"/>
      <c r="BR106" s="71"/>
      <c r="BS106" s="71"/>
      <c r="BT106" s="72"/>
      <c r="BU106" s="72"/>
      <c r="BV106" s="72"/>
      <c r="BW106" s="72"/>
      <c r="BX106" s="72"/>
      <c r="BY106" s="72"/>
      <c r="BZ106" s="72"/>
      <c r="CA106" s="72"/>
    </row>
    <row r="107" spans="1:79" s="22" customFormat="1">
      <c r="A107" s="13" t="s">
        <v>466</v>
      </c>
      <c r="B107" s="387" t="s">
        <v>562</v>
      </c>
      <c r="C107" s="13" t="s">
        <v>588</v>
      </c>
      <c r="D107" s="387" t="s">
        <v>600</v>
      </c>
      <c r="E107" s="13" t="s">
        <v>118</v>
      </c>
      <c r="F107" s="13" t="s">
        <v>119</v>
      </c>
      <c r="G107" s="13" t="s">
        <v>604</v>
      </c>
      <c r="H107" s="13" t="s">
        <v>389</v>
      </c>
      <c r="I107" s="13" t="s">
        <v>139</v>
      </c>
      <c r="J107" s="13" t="s">
        <v>5</v>
      </c>
      <c r="K107" s="13" t="s">
        <v>140</v>
      </c>
      <c r="L107" s="13"/>
      <c r="M107" s="13" t="s">
        <v>125</v>
      </c>
      <c r="N107" s="13" t="s">
        <v>126</v>
      </c>
      <c r="O107" s="247">
        <v>0.26</v>
      </c>
      <c r="P107" s="13">
        <v>102</v>
      </c>
      <c r="Q107" s="13">
        <v>19</v>
      </c>
      <c r="R107" s="13" t="s">
        <v>127</v>
      </c>
      <c r="S107" s="430" t="str">
        <f t="shared" si="49"/>
        <v>N/A</v>
      </c>
      <c r="T107" s="247">
        <v>0.76</v>
      </c>
      <c r="U107" s="13">
        <v>200</v>
      </c>
      <c r="V107" s="13">
        <v>700</v>
      </c>
      <c r="W107" s="430">
        <f t="shared" si="47"/>
        <v>500</v>
      </c>
      <c r="X107" s="430">
        <f t="shared" si="48"/>
        <v>130</v>
      </c>
      <c r="Y107" s="13">
        <v>200</v>
      </c>
      <c r="Z107" s="13">
        <v>700</v>
      </c>
      <c r="AA107" s="430">
        <f t="shared" si="50"/>
        <v>500</v>
      </c>
      <c r="AB107" s="430">
        <f t="shared" si="51"/>
        <v>130</v>
      </c>
      <c r="AC107" s="430" t="str">
        <f t="shared" si="52"/>
        <v>N/A</v>
      </c>
      <c r="AD107" s="430">
        <f t="shared" si="53"/>
        <v>83</v>
      </c>
      <c r="AE107" s="431">
        <f t="shared" si="54"/>
        <v>0.9758</v>
      </c>
      <c r="AF107" s="431"/>
      <c r="AG107" s="431">
        <f t="shared" si="55"/>
        <v>0.88799901960784322</v>
      </c>
      <c r="AH107" s="431">
        <f t="shared" si="56"/>
        <v>0.945718955882353</v>
      </c>
      <c r="AI107" s="432">
        <f t="shared" si="57"/>
        <v>826.40719799999999</v>
      </c>
      <c r="AJ107" s="432">
        <f t="shared" si="58"/>
        <v>171.31144500907772</v>
      </c>
      <c r="AK107" s="432">
        <f t="shared" si="59"/>
        <v>187.31585020576776</v>
      </c>
      <c r="AL107" s="432">
        <f t="shared" si="60"/>
        <v>372.35688091397975</v>
      </c>
      <c r="AM107" s="250">
        <v>187</v>
      </c>
      <c r="AN107" s="432">
        <f t="shared" si="61"/>
        <v>190.74</v>
      </c>
      <c r="AO107" s="432">
        <f t="shared" si="62"/>
        <v>180.38643364500001</v>
      </c>
      <c r="AP107" s="432">
        <f t="shared" si="63"/>
        <v>949.40228234210531</v>
      </c>
      <c r="AQ107" s="255"/>
      <c r="AR107" s="13"/>
      <c r="AS107" s="429"/>
      <c r="AT107" s="13"/>
      <c r="AU107" s="252"/>
      <c r="AV107" s="260"/>
      <c r="AW107" s="72"/>
      <c r="AX107" s="243"/>
      <c r="AY107" s="103"/>
      <c r="AZ107" s="72"/>
      <c r="BA107" s="13"/>
      <c r="BB107" s="72"/>
      <c r="BC107" s="32"/>
      <c r="BD107" s="241"/>
      <c r="BE107" s="241"/>
      <c r="BF107" s="71"/>
      <c r="BG107" s="241"/>
      <c r="BH107" s="241"/>
      <c r="BI107" s="71"/>
      <c r="BJ107" s="114"/>
      <c r="BK107" s="111"/>
      <c r="BL107" s="112"/>
      <c r="BM107" s="111"/>
      <c r="BN107" s="123"/>
      <c r="BO107" s="83"/>
      <c r="BP107" s="88"/>
      <c r="BQ107" s="71"/>
      <c r="BR107" s="71"/>
      <c r="BS107" s="71"/>
      <c r="BT107" s="72"/>
      <c r="BU107" s="72"/>
      <c r="BV107" s="72"/>
      <c r="BW107" s="72"/>
      <c r="BX107" s="72"/>
      <c r="BY107" s="72"/>
      <c r="BZ107" s="72"/>
      <c r="CA107" s="72"/>
    </row>
    <row r="108" spans="1:79" s="72" customFormat="1">
      <c r="A108" s="13" t="s">
        <v>466</v>
      </c>
      <c r="B108" s="13" t="s">
        <v>562</v>
      </c>
      <c r="C108" s="13" t="s">
        <v>588</v>
      </c>
      <c r="D108" s="387" t="s">
        <v>605</v>
      </c>
      <c r="E108" s="13" t="s">
        <v>118</v>
      </c>
      <c r="F108" s="387" t="s">
        <v>119</v>
      </c>
      <c r="G108" s="13" t="s">
        <v>606</v>
      </c>
      <c r="H108" s="13" t="s">
        <v>389</v>
      </c>
      <c r="I108" s="13" t="s">
        <v>139</v>
      </c>
      <c r="J108" s="13" t="s">
        <v>5</v>
      </c>
      <c r="K108" s="13" t="s">
        <v>140</v>
      </c>
      <c r="L108" s="13" t="s">
        <v>607</v>
      </c>
      <c r="M108" s="13"/>
      <c r="N108" s="13" t="s">
        <v>142</v>
      </c>
      <c r="O108" s="247">
        <v>0.25</v>
      </c>
      <c r="P108" s="13">
        <v>130</v>
      </c>
      <c r="Q108" s="13">
        <v>30</v>
      </c>
      <c r="R108" s="13" t="s">
        <v>127</v>
      </c>
      <c r="S108" s="430" t="str">
        <f t="shared" si="49"/>
        <v>N/A</v>
      </c>
      <c r="T108" s="247">
        <v>0.76</v>
      </c>
      <c r="U108" s="13">
        <v>200</v>
      </c>
      <c r="V108" s="13">
        <v>600</v>
      </c>
      <c r="W108" s="430">
        <f t="shared" si="47"/>
        <v>400</v>
      </c>
      <c r="X108" s="430">
        <f t="shared" si="48"/>
        <v>400</v>
      </c>
      <c r="Y108" s="13">
        <v>150</v>
      </c>
      <c r="Z108" s="13">
        <v>600</v>
      </c>
      <c r="AA108" s="430">
        <f t="shared" si="50"/>
        <v>450</v>
      </c>
      <c r="AB108" s="430">
        <f t="shared" si="51"/>
        <v>400</v>
      </c>
      <c r="AC108" s="430" t="str">
        <f t="shared" si="52"/>
        <v>N/A</v>
      </c>
      <c r="AD108" s="430">
        <f t="shared" si="53"/>
        <v>100</v>
      </c>
      <c r="AE108" s="431">
        <f t="shared" si="54"/>
        <v>1.01</v>
      </c>
      <c r="AF108" s="431"/>
      <c r="AG108" s="431">
        <f t="shared" si="55"/>
        <v>0.91384615384615386</v>
      </c>
      <c r="AH108" s="431">
        <f t="shared" si="56"/>
        <v>0.97324615384615387</v>
      </c>
      <c r="AI108" s="432">
        <f t="shared" si="57"/>
        <v>825.75307499999997</v>
      </c>
      <c r="AJ108" s="432">
        <f t="shared" si="58"/>
        <v>165.51060201966141</v>
      </c>
      <c r="AK108" s="432">
        <f t="shared" si="59"/>
        <v>180.97307587206748</v>
      </c>
      <c r="AL108" s="432">
        <f t="shared" si="60"/>
        <v>359.74836078798165</v>
      </c>
      <c r="AM108" s="250">
        <v>181</v>
      </c>
      <c r="AN108" s="432">
        <f t="shared" si="61"/>
        <v>235.3</v>
      </c>
      <c r="AO108" s="432">
        <f t="shared" si="62"/>
        <v>229.00482000000002</v>
      </c>
      <c r="AP108" s="432">
        <f t="shared" si="63"/>
        <v>763.34940000000006</v>
      </c>
      <c r="AQ108" s="255" t="s">
        <v>132</v>
      </c>
      <c r="AR108" s="13" t="s">
        <v>571</v>
      </c>
      <c r="AS108" s="429" t="s">
        <v>608</v>
      </c>
      <c r="AT108" s="429"/>
      <c r="AU108" s="250"/>
      <c r="AV108" s="255"/>
      <c r="AW108" s="13" t="s">
        <v>127</v>
      </c>
      <c r="AX108" s="255"/>
      <c r="AY108" s="103">
        <f>(V108/10)/P108</f>
        <v>0.46153846153846156</v>
      </c>
      <c r="AZ108" s="13"/>
      <c r="BA108" s="13" t="str">
        <f>LEFT(G108,3)</f>
        <v>W50</v>
      </c>
      <c r="BC108" s="32"/>
      <c r="BD108" s="241"/>
      <c r="BE108" s="241"/>
      <c r="BF108" s="71"/>
      <c r="BG108" s="241"/>
      <c r="BH108" s="241"/>
      <c r="BI108" s="71"/>
      <c r="BJ108" s="123"/>
      <c r="BK108" s="108"/>
      <c r="BL108" s="126"/>
      <c r="BM108" s="108"/>
      <c r="BN108" s="71"/>
      <c r="BO108" s="108"/>
      <c r="BP108" s="108"/>
      <c r="BQ108" s="144"/>
      <c r="BR108" s="144"/>
      <c r="BS108" s="106"/>
      <c r="BT108" s="262"/>
      <c r="BU108" s="269"/>
      <c r="BV108" s="263"/>
      <c r="BW108" s="132"/>
      <c r="BX108" s="269"/>
      <c r="BY108" s="269"/>
      <c r="BZ108" s="132"/>
      <c r="CA108" s="295"/>
    </row>
    <row r="109" spans="1:79" s="72" customFormat="1">
      <c r="A109" s="13" t="s">
        <v>466</v>
      </c>
      <c r="B109" s="13" t="s">
        <v>562</v>
      </c>
      <c r="C109" s="13" t="s">
        <v>588</v>
      </c>
      <c r="D109" s="387" t="s">
        <v>609</v>
      </c>
      <c r="E109" s="13" t="s">
        <v>118</v>
      </c>
      <c r="F109" s="387" t="s">
        <v>119</v>
      </c>
      <c r="G109" s="13" t="s">
        <v>610</v>
      </c>
      <c r="H109" s="13" t="s">
        <v>121</v>
      </c>
      <c r="I109" s="13" t="s">
        <v>147</v>
      </c>
      <c r="J109" s="13" t="s">
        <v>5</v>
      </c>
      <c r="K109" s="13" t="s">
        <v>140</v>
      </c>
      <c r="L109" s="13"/>
      <c r="M109" s="13"/>
      <c r="N109" s="13" t="s">
        <v>126</v>
      </c>
      <c r="O109" s="247">
        <v>0.4</v>
      </c>
      <c r="P109" s="13">
        <v>119</v>
      </c>
      <c r="Q109" s="13">
        <v>15</v>
      </c>
      <c r="R109" s="13" t="s">
        <v>127</v>
      </c>
      <c r="S109" s="430" t="str">
        <f t="shared" si="49"/>
        <v>N/A</v>
      </c>
      <c r="T109" s="247">
        <v>0.8</v>
      </c>
      <c r="U109" s="13">
        <v>710</v>
      </c>
      <c r="V109" s="13">
        <v>910</v>
      </c>
      <c r="W109" s="430">
        <f t="shared" si="47"/>
        <v>200</v>
      </c>
      <c r="X109" s="430">
        <f t="shared" si="48"/>
        <v>130</v>
      </c>
      <c r="Y109" s="13">
        <v>510</v>
      </c>
      <c r="Z109" s="13">
        <v>910</v>
      </c>
      <c r="AA109" s="430">
        <f t="shared" si="50"/>
        <v>400</v>
      </c>
      <c r="AB109" s="430">
        <f t="shared" si="51"/>
        <v>130</v>
      </c>
      <c r="AC109" s="430" t="str">
        <f t="shared" si="52"/>
        <v>N/A</v>
      </c>
      <c r="AD109" s="430">
        <f t="shared" si="53"/>
        <v>104</v>
      </c>
      <c r="AE109" s="431">
        <f t="shared" si="54"/>
        <v>1.2160000000000002</v>
      </c>
      <c r="AF109" s="431"/>
      <c r="AG109" s="431">
        <f t="shared" si="55"/>
        <v>1.034218487394958</v>
      </c>
      <c r="AH109" s="431">
        <f t="shared" si="56"/>
        <v>1.0962715966386556</v>
      </c>
      <c r="AI109" s="432">
        <f t="shared" si="57"/>
        <v>874.04208000000006</v>
      </c>
      <c r="AJ109" s="432">
        <f t="shared" si="58"/>
        <v>137.47179937488323</v>
      </c>
      <c r="AK109" s="432">
        <f t="shared" si="59"/>
        <v>150.31480808452972</v>
      </c>
      <c r="AL109" s="432">
        <f t="shared" si="60"/>
        <v>298.80414835185974</v>
      </c>
      <c r="AM109" s="250">
        <v>150</v>
      </c>
      <c r="AN109" s="432">
        <f t="shared" si="61"/>
        <v>178.5</v>
      </c>
      <c r="AO109" s="432">
        <f t="shared" si="62"/>
        <v>195.68448000000004</v>
      </c>
      <c r="AP109" s="432">
        <f t="shared" si="63"/>
        <v>1304.5632000000003</v>
      </c>
      <c r="AQ109" s="255"/>
      <c r="AR109" s="13"/>
      <c r="AS109" s="429"/>
      <c r="AT109" s="429"/>
      <c r="AU109" s="250"/>
      <c r="AV109" s="255"/>
      <c r="AW109" s="13"/>
      <c r="AX109" s="255"/>
      <c r="AY109" s="103"/>
      <c r="AZ109" s="13"/>
      <c r="BA109" s="13"/>
      <c r="BC109" s="32"/>
      <c r="BD109" s="241"/>
      <c r="BE109" s="241"/>
      <c r="BF109" s="71"/>
      <c r="BG109" s="241"/>
      <c r="BH109" s="241"/>
      <c r="BI109" s="71"/>
      <c r="BJ109" s="123"/>
      <c r="BK109" s="108"/>
      <c r="BL109" s="126"/>
      <c r="BM109" s="108"/>
      <c r="BN109" s="71"/>
      <c r="BO109" s="108"/>
      <c r="BP109" s="108"/>
      <c r="BQ109" s="144"/>
      <c r="BR109" s="144"/>
      <c r="BS109" s="106"/>
      <c r="BT109" s="262"/>
      <c r="BU109" s="269"/>
      <c r="BV109" s="263"/>
      <c r="BW109" s="132"/>
      <c r="BX109" s="269"/>
      <c r="BY109" s="269"/>
      <c r="BZ109" s="132"/>
      <c r="CA109" s="295"/>
    </row>
    <row r="110" spans="1:79" s="72" customFormat="1">
      <c r="A110" s="13" t="s">
        <v>466</v>
      </c>
      <c r="B110" s="13" t="s">
        <v>562</v>
      </c>
      <c r="C110" s="13" t="s">
        <v>588</v>
      </c>
      <c r="D110" s="387" t="s">
        <v>611</v>
      </c>
      <c r="E110" s="13" t="s">
        <v>118</v>
      </c>
      <c r="F110" s="387" t="s">
        <v>119</v>
      </c>
      <c r="G110" s="13" t="s">
        <v>612</v>
      </c>
      <c r="H110" s="13" t="s">
        <v>389</v>
      </c>
      <c r="I110" s="13" t="s">
        <v>139</v>
      </c>
      <c r="J110" s="13" t="s">
        <v>5</v>
      </c>
      <c r="K110" s="13" t="s">
        <v>140</v>
      </c>
      <c r="L110" s="13"/>
      <c r="M110" s="13"/>
      <c r="N110" s="13" t="s">
        <v>142</v>
      </c>
      <c r="O110" s="247">
        <v>0.23</v>
      </c>
      <c r="P110" s="13">
        <v>115</v>
      </c>
      <c r="Q110" s="13">
        <v>10</v>
      </c>
      <c r="R110" s="13" t="s">
        <v>127</v>
      </c>
      <c r="S110" s="430" t="str">
        <f t="shared" si="49"/>
        <v>N/A</v>
      </c>
      <c r="T110" s="247">
        <v>0.76</v>
      </c>
      <c r="U110" s="13">
        <v>600</v>
      </c>
      <c r="V110" s="13">
        <v>920</v>
      </c>
      <c r="W110" s="430">
        <f t="shared" si="47"/>
        <v>320</v>
      </c>
      <c r="X110" s="430">
        <f t="shared" si="48"/>
        <v>130</v>
      </c>
      <c r="Y110" s="13">
        <v>520</v>
      </c>
      <c r="Z110" s="13">
        <v>920</v>
      </c>
      <c r="AA110" s="430">
        <f t="shared" si="50"/>
        <v>400</v>
      </c>
      <c r="AB110" s="430">
        <f t="shared" si="51"/>
        <v>130</v>
      </c>
      <c r="AC110" s="430" t="str">
        <f t="shared" si="52"/>
        <v>N/A</v>
      </c>
      <c r="AD110" s="430">
        <f t="shared" si="53"/>
        <v>105</v>
      </c>
      <c r="AE110" s="431">
        <f t="shared" si="54"/>
        <v>1.0015000000000001</v>
      </c>
      <c r="AF110" s="431"/>
      <c r="AG110" s="431">
        <f t="shared" si="55"/>
        <v>0.8912500000000001</v>
      </c>
      <c r="AH110" s="431">
        <f t="shared" si="56"/>
        <v>0.94918125000000009</v>
      </c>
      <c r="AI110" s="432">
        <f t="shared" si="57"/>
        <v>824.44482900000003</v>
      </c>
      <c r="AJ110" s="432">
        <f t="shared" si="58"/>
        <v>166.91533503730207</v>
      </c>
      <c r="AK110" s="432">
        <f t="shared" si="59"/>
        <v>182.50904306618889</v>
      </c>
      <c r="AL110" s="432">
        <f t="shared" si="60"/>
        <v>362.80164193296201</v>
      </c>
      <c r="AM110" s="250">
        <v>183</v>
      </c>
      <c r="AN110" s="432">
        <f t="shared" si="61"/>
        <v>210.45</v>
      </c>
      <c r="AO110" s="432">
        <f t="shared" si="62"/>
        <v>199.75519406250001</v>
      </c>
      <c r="AP110" s="432">
        <f t="shared" si="63"/>
        <v>1997.551940625</v>
      </c>
      <c r="AQ110" s="255"/>
      <c r="AR110" s="13"/>
      <c r="AS110" s="429"/>
      <c r="AT110" s="429"/>
      <c r="AU110" s="250"/>
      <c r="AV110" s="255"/>
      <c r="AW110" s="13"/>
      <c r="AX110" s="255"/>
      <c r="AY110" s="103"/>
      <c r="AZ110" s="13"/>
      <c r="BA110" s="13"/>
      <c r="BC110" s="32"/>
      <c r="BD110" s="241"/>
      <c r="BE110" s="241"/>
      <c r="BF110" s="71"/>
      <c r="BG110" s="241"/>
      <c r="BH110" s="241"/>
      <c r="BI110" s="71"/>
      <c r="BJ110" s="123"/>
      <c r="BK110" s="108"/>
      <c r="BL110" s="126"/>
      <c r="BM110" s="108"/>
      <c r="BN110" s="71"/>
      <c r="BO110" s="108"/>
      <c r="BP110" s="108"/>
      <c r="BQ110" s="144"/>
      <c r="BR110" s="144"/>
      <c r="BS110" s="106"/>
      <c r="BT110" s="262"/>
      <c r="BU110" s="269"/>
      <c r="BV110" s="263"/>
      <c r="BW110" s="132"/>
      <c r="BX110" s="269"/>
      <c r="BY110" s="269"/>
      <c r="BZ110" s="132"/>
      <c r="CA110" s="295"/>
    </row>
    <row r="111" spans="1:79" s="22" customFormat="1">
      <c r="A111" s="13" t="s">
        <v>466</v>
      </c>
      <c r="B111" s="13" t="s">
        <v>562</v>
      </c>
      <c r="C111" s="13" t="s">
        <v>588</v>
      </c>
      <c r="D111" s="13" t="s">
        <v>613</v>
      </c>
      <c r="E111" s="13" t="s">
        <v>118</v>
      </c>
      <c r="F111" s="13" t="s">
        <v>167</v>
      </c>
      <c r="G111" s="13" t="s">
        <v>614</v>
      </c>
      <c r="H111" s="13" t="s">
        <v>389</v>
      </c>
      <c r="I111" s="13" t="s">
        <v>139</v>
      </c>
      <c r="J111" s="13" t="s">
        <v>5</v>
      </c>
      <c r="K111" s="13" t="s">
        <v>140</v>
      </c>
      <c r="L111" s="13" t="s">
        <v>615</v>
      </c>
      <c r="M111" s="13"/>
      <c r="N111" s="13" t="s">
        <v>142</v>
      </c>
      <c r="O111" s="247">
        <v>0.27</v>
      </c>
      <c r="P111" s="13">
        <v>104</v>
      </c>
      <c r="Q111" s="13">
        <v>20</v>
      </c>
      <c r="R111" s="13" t="s">
        <v>127</v>
      </c>
      <c r="S111" s="430" t="str">
        <f t="shared" si="49"/>
        <v>N/A</v>
      </c>
      <c r="T111" s="247">
        <v>0.76</v>
      </c>
      <c r="U111" s="13">
        <v>200</v>
      </c>
      <c r="V111" s="13">
        <v>700</v>
      </c>
      <c r="W111" s="430">
        <f t="shared" si="47"/>
        <v>500</v>
      </c>
      <c r="X111" s="430">
        <f t="shared" si="48"/>
        <v>140</v>
      </c>
      <c r="Y111" s="13">
        <v>200</v>
      </c>
      <c r="Z111" s="13">
        <v>700</v>
      </c>
      <c r="AA111" s="430">
        <f t="shared" si="50"/>
        <v>500</v>
      </c>
      <c r="AB111" s="430">
        <f t="shared" si="51"/>
        <v>140</v>
      </c>
      <c r="AC111" s="430" t="str">
        <f t="shared" si="52"/>
        <v>N/A</v>
      </c>
      <c r="AD111" s="430">
        <f t="shared" si="53"/>
        <v>84</v>
      </c>
      <c r="AE111" s="431">
        <f t="shared" si="54"/>
        <v>0.98680000000000001</v>
      </c>
      <c r="AF111" s="431"/>
      <c r="AG111" s="431">
        <f t="shared" si="55"/>
        <v>0.89520769230769237</v>
      </c>
      <c r="AH111" s="431">
        <f t="shared" si="56"/>
        <v>0.95339619230769235</v>
      </c>
      <c r="AI111" s="432">
        <f t="shared" si="57"/>
        <v>827.06132100000002</v>
      </c>
      <c r="AJ111" s="432">
        <f t="shared" si="58"/>
        <v>169.40181195769964</v>
      </c>
      <c r="AK111" s="432">
        <f t="shared" si="59"/>
        <v>185.2278137725863</v>
      </c>
      <c r="AL111" s="432">
        <f t="shared" si="60"/>
        <v>368.20616578421306</v>
      </c>
      <c r="AM111" s="250">
        <v>185</v>
      </c>
      <c r="AN111" s="432">
        <f t="shared" si="61"/>
        <v>192.4</v>
      </c>
      <c r="AO111" s="432">
        <f t="shared" si="62"/>
        <v>183.4334274</v>
      </c>
      <c r="AP111" s="432">
        <f t="shared" si="63"/>
        <v>917.16713699999991</v>
      </c>
      <c r="AQ111" s="255" t="s">
        <v>132</v>
      </c>
      <c r="AR111" s="13" t="s">
        <v>616</v>
      </c>
      <c r="AS111" s="429" t="s">
        <v>617</v>
      </c>
      <c r="AT111" s="429" t="s">
        <v>618</v>
      </c>
      <c r="AU111" s="241"/>
      <c r="AV111" s="243"/>
      <c r="AW111" s="72"/>
      <c r="AX111" s="243"/>
      <c r="AY111" s="71">
        <f>(V111/10)/P111</f>
        <v>0.67307692307692313</v>
      </c>
      <c r="AZ111" s="72"/>
      <c r="BA111" s="72"/>
      <c r="BB111" s="72"/>
      <c r="BC111" s="32"/>
      <c r="BD111" s="241"/>
      <c r="BE111" s="241"/>
      <c r="BF111" s="71"/>
      <c r="BG111" s="241"/>
      <c r="BH111" s="241"/>
      <c r="BI111" s="71"/>
      <c r="BJ111" s="123"/>
      <c r="BK111" s="108"/>
      <c r="BL111" s="126"/>
      <c r="BM111" s="108"/>
      <c r="BN111" s="71"/>
      <c r="BO111" s="108"/>
      <c r="BP111" s="108"/>
      <c r="BQ111" s="124"/>
      <c r="BR111" s="124"/>
      <c r="BS111" s="71"/>
      <c r="BT111" s="72"/>
      <c r="BU111" s="78"/>
      <c r="BV111" s="32"/>
      <c r="BW111" s="127"/>
      <c r="BX111" s="78"/>
      <c r="BY111" s="78"/>
      <c r="BZ111" s="127"/>
      <c r="CA111" s="76"/>
    </row>
    <row r="112" spans="1:79" s="77" customFormat="1">
      <c r="A112" s="13" t="s">
        <v>466</v>
      </c>
      <c r="B112" s="387" t="s">
        <v>562</v>
      </c>
      <c r="C112" s="13" t="s">
        <v>588</v>
      </c>
      <c r="D112" s="13" t="s">
        <v>613</v>
      </c>
      <c r="E112" s="13" t="s">
        <v>118</v>
      </c>
      <c r="F112" s="13" t="s">
        <v>119</v>
      </c>
      <c r="G112" s="13" t="s">
        <v>619</v>
      </c>
      <c r="H112" s="13" t="s">
        <v>389</v>
      </c>
      <c r="I112" s="13" t="s">
        <v>139</v>
      </c>
      <c r="J112" s="13" t="s">
        <v>5</v>
      </c>
      <c r="K112" s="13" t="s">
        <v>140</v>
      </c>
      <c r="L112" s="13" t="s">
        <v>620</v>
      </c>
      <c r="M112" s="13"/>
      <c r="N112" s="13" t="s">
        <v>142</v>
      </c>
      <c r="O112" s="247">
        <v>0.28000000000000003</v>
      </c>
      <c r="P112" s="13">
        <v>104</v>
      </c>
      <c r="Q112" s="13">
        <v>15</v>
      </c>
      <c r="R112" s="13" t="s">
        <v>127</v>
      </c>
      <c r="S112" s="430" t="str">
        <f t="shared" si="49"/>
        <v>N/A</v>
      </c>
      <c r="T112" s="247">
        <v>0.76</v>
      </c>
      <c r="U112" s="13">
        <v>300</v>
      </c>
      <c r="V112" s="13">
        <v>750</v>
      </c>
      <c r="W112" s="430">
        <f t="shared" si="47"/>
        <v>450</v>
      </c>
      <c r="X112" s="430">
        <f t="shared" si="48"/>
        <v>140</v>
      </c>
      <c r="Y112" s="13">
        <v>300</v>
      </c>
      <c r="Z112" s="13">
        <v>750</v>
      </c>
      <c r="AA112" s="430">
        <f t="shared" si="50"/>
        <v>450</v>
      </c>
      <c r="AB112" s="430">
        <f t="shared" si="51"/>
        <v>140</v>
      </c>
      <c r="AC112" s="430" t="str">
        <f t="shared" si="52"/>
        <v>N/A</v>
      </c>
      <c r="AD112" s="430">
        <f t="shared" si="53"/>
        <v>89</v>
      </c>
      <c r="AE112" s="431">
        <f t="shared" si="54"/>
        <v>1.0092000000000001</v>
      </c>
      <c r="AF112" s="431"/>
      <c r="AG112" s="431">
        <f t="shared" si="55"/>
        <v>0.90257115384615383</v>
      </c>
      <c r="AH112" s="431">
        <f t="shared" si="56"/>
        <v>0.96123827884615387</v>
      </c>
      <c r="AI112" s="432">
        <f t="shared" si="57"/>
        <v>827.71544400000005</v>
      </c>
      <c r="AJ112" s="432">
        <f t="shared" si="58"/>
        <v>165.64180344813519</v>
      </c>
      <c r="AK112" s="432">
        <f t="shared" si="59"/>
        <v>181.11653451326612</v>
      </c>
      <c r="AL112" s="432">
        <f t="shared" si="60"/>
        <v>360.03353586589515</v>
      </c>
      <c r="AM112" s="250">
        <v>181</v>
      </c>
      <c r="AN112" s="432">
        <f t="shared" si="61"/>
        <v>188.24</v>
      </c>
      <c r="AO112" s="432">
        <f t="shared" si="62"/>
        <v>180.94349361000002</v>
      </c>
      <c r="AP112" s="432">
        <f t="shared" si="63"/>
        <v>1206.2899574000003</v>
      </c>
      <c r="AQ112" s="255" t="s">
        <v>132</v>
      </c>
      <c r="AR112" s="13" t="s">
        <v>621</v>
      </c>
      <c r="AS112" s="434" t="s">
        <v>622</v>
      </c>
      <c r="AT112" s="429"/>
      <c r="AU112" s="252"/>
      <c r="AV112" s="260"/>
      <c r="AW112" s="13"/>
      <c r="AX112" s="260"/>
      <c r="AY112" s="103"/>
      <c r="AZ112" s="22"/>
      <c r="BA112" s="13"/>
      <c r="BB112" s="72"/>
      <c r="BC112" s="32"/>
      <c r="BD112" s="241"/>
      <c r="BE112" s="241"/>
      <c r="BF112" s="71"/>
      <c r="BG112" s="241"/>
      <c r="BH112" s="241"/>
      <c r="BI112" s="71"/>
      <c r="BJ112" s="114"/>
      <c r="BK112" s="88"/>
      <c r="BL112" s="128"/>
      <c r="BM112" s="88"/>
      <c r="BN112" s="80"/>
      <c r="BO112" s="88"/>
      <c r="BP112" s="88"/>
      <c r="BQ112" s="124"/>
      <c r="BR112" s="124"/>
      <c r="BS112" s="71"/>
      <c r="BT112" s="72"/>
      <c r="BU112" s="78"/>
      <c r="BV112" s="32"/>
      <c r="BW112" s="127"/>
      <c r="BX112" s="78"/>
      <c r="BY112" s="78"/>
      <c r="BZ112" s="127"/>
      <c r="CA112" s="76"/>
    </row>
    <row r="113" spans="1:79" s="72" customFormat="1">
      <c r="A113" s="13" t="s">
        <v>466</v>
      </c>
      <c r="B113" s="387" t="s">
        <v>562</v>
      </c>
      <c r="C113" s="13" t="s">
        <v>588</v>
      </c>
      <c r="D113" s="13" t="s">
        <v>613</v>
      </c>
      <c r="E113" s="13" t="s">
        <v>118</v>
      </c>
      <c r="F113" s="13" t="s">
        <v>167</v>
      </c>
      <c r="G113" s="13" t="s">
        <v>623</v>
      </c>
      <c r="H113" s="13" t="s">
        <v>389</v>
      </c>
      <c r="I113" s="13" t="s">
        <v>139</v>
      </c>
      <c r="J113" s="13" t="s">
        <v>5</v>
      </c>
      <c r="K113" s="13" t="s">
        <v>140</v>
      </c>
      <c r="L113" s="13" t="s">
        <v>624</v>
      </c>
      <c r="M113" s="13"/>
      <c r="N113" s="13" t="s">
        <v>142</v>
      </c>
      <c r="O113" s="247">
        <v>0.28000000000000003</v>
      </c>
      <c r="P113" s="13">
        <v>104</v>
      </c>
      <c r="Q113" s="13">
        <v>30</v>
      </c>
      <c r="R113" s="13" t="s">
        <v>127</v>
      </c>
      <c r="S113" s="430" t="str">
        <f t="shared" si="49"/>
        <v>N/A</v>
      </c>
      <c r="T113" s="247">
        <v>0.76</v>
      </c>
      <c r="U113" s="13">
        <v>200</v>
      </c>
      <c r="V113" s="13">
        <v>600</v>
      </c>
      <c r="W113" s="430">
        <f t="shared" si="47"/>
        <v>400</v>
      </c>
      <c r="X113" s="430">
        <f t="shared" si="48"/>
        <v>140</v>
      </c>
      <c r="Y113" s="13">
        <v>200</v>
      </c>
      <c r="Z113" s="13">
        <v>600</v>
      </c>
      <c r="AA113" s="430">
        <f t="shared" si="50"/>
        <v>400</v>
      </c>
      <c r="AB113" s="430">
        <f t="shared" si="51"/>
        <v>140</v>
      </c>
      <c r="AC113" s="430" t="str">
        <f t="shared" si="52"/>
        <v>N/A</v>
      </c>
      <c r="AD113" s="430">
        <f t="shared" si="53"/>
        <v>74</v>
      </c>
      <c r="AE113" s="431">
        <f t="shared" si="54"/>
        <v>0.96720000000000006</v>
      </c>
      <c r="AF113" s="431"/>
      <c r="AG113" s="431">
        <f t="shared" si="55"/>
        <v>0.89348461538461543</v>
      </c>
      <c r="AH113" s="431">
        <f t="shared" si="56"/>
        <v>0.95156111538461541</v>
      </c>
      <c r="AI113" s="432">
        <f t="shared" si="57"/>
        <v>827.71544400000005</v>
      </c>
      <c r="AJ113" s="432">
        <f t="shared" si="58"/>
        <v>172.83468573186315</v>
      </c>
      <c r="AK113" s="432">
        <f t="shared" si="59"/>
        <v>188.98139643381739</v>
      </c>
      <c r="AL113" s="432">
        <f t="shared" si="60"/>
        <v>375.66774648041923</v>
      </c>
      <c r="AM113" s="250">
        <v>189</v>
      </c>
      <c r="AN113" s="432">
        <f t="shared" si="61"/>
        <v>196.56</v>
      </c>
      <c r="AO113" s="432">
        <f t="shared" si="62"/>
        <v>187.03885284</v>
      </c>
      <c r="AP113" s="432">
        <f t="shared" si="63"/>
        <v>623.46284280000009</v>
      </c>
      <c r="AQ113" s="255" t="s">
        <v>132</v>
      </c>
      <c r="AR113" s="13" t="s">
        <v>625</v>
      </c>
      <c r="AS113" s="429" t="s">
        <v>626</v>
      </c>
      <c r="AT113" s="13"/>
      <c r="AU113" s="241"/>
      <c r="AV113" s="243"/>
      <c r="AX113" s="243"/>
      <c r="AY113" s="71">
        <f t="shared" ref="AY113:AY159" si="67">(V113/10)/P113</f>
        <v>0.57692307692307687</v>
      </c>
      <c r="BA113" s="72" t="str">
        <f t="shared" ref="BA113:BA128" si="68">LEFT(G113,3)</f>
        <v>W50</v>
      </c>
      <c r="BC113" s="32"/>
      <c r="BD113" s="241"/>
      <c r="BE113" s="241"/>
      <c r="BF113" s="71"/>
      <c r="BG113" s="241"/>
      <c r="BH113" s="241"/>
      <c r="BI113" s="71"/>
      <c r="BJ113" s="123"/>
      <c r="BK113" s="123"/>
      <c r="BL113" s="126"/>
      <c r="BM113" s="123"/>
      <c r="BN113" s="123"/>
      <c r="BO113" s="108"/>
      <c r="BP113" s="108"/>
      <c r="BQ113" s="108"/>
      <c r="BR113" s="71"/>
      <c r="BS113" s="71"/>
      <c r="BU113" s="78"/>
      <c r="BV113" s="32"/>
      <c r="BW113" s="127"/>
      <c r="BX113" s="78"/>
      <c r="BY113" s="78"/>
      <c r="BZ113" s="127"/>
      <c r="CA113" s="76"/>
    </row>
    <row r="114" spans="1:79" s="22" customFormat="1">
      <c r="A114" s="13" t="s">
        <v>466</v>
      </c>
      <c r="B114" s="13" t="s">
        <v>562</v>
      </c>
      <c r="C114" s="13" t="s">
        <v>357</v>
      </c>
      <c r="D114" s="387" t="s">
        <v>627</v>
      </c>
      <c r="E114" s="13" t="s">
        <v>118</v>
      </c>
      <c r="F114" s="13" t="s">
        <v>167</v>
      </c>
      <c r="G114" s="13" t="s">
        <v>628</v>
      </c>
      <c r="H114" s="13" t="s">
        <v>389</v>
      </c>
      <c r="I114" s="13" t="s">
        <v>139</v>
      </c>
      <c r="J114" s="13" t="s">
        <v>5</v>
      </c>
      <c r="K114" s="13" t="s">
        <v>140</v>
      </c>
      <c r="L114" s="13" t="s">
        <v>629</v>
      </c>
      <c r="M114" s="13"/>
      <c r="N114" s="13" t="s">
        <v>142</v>
      </c>
      <c r="O114" s="247">
        <v>0.22</v>
      </c>
      <c r="P114" s="13">
        <v>115</v>
      </c>
      <c r="Q114" s="13">
        <v>30</v>
      </c>
      <c r="R114" s="13" t="s">
        <v>127</v>
      </c>
      <c r="S114" s="430" t="str">
        <f t="shared" si="49"/>
        <v>N/A</v>
      </c>
      <c r="T114" s="247">
        <v>0.76</v>
      </c>
      <c r="U114" s="13">
        <v>200</v>
      </c>
      <c r="V114" s="13">
        <v>600</v>
      </c>
      <c r="W114" s="430">
        <f t="shared" si="47"/>
        <v>400</v>
      </c>
      <c r="X114" s="430">
        <f t="shared" si="48"/>
        <v>250</v>
      </c>
      <c r="Y114" s="13">
        <v>150</v>
      </c>
      <c r="Z114" s="13">
        <v>600</v>
      </c>
      <c r="AA114" s="430">
        <f t="shared" si="50"/>
        <v>450</v>
      </c>
      <c r="AB114" s="430">
        <f t="shared" si="51"/>
        <v>250</v>
      </c>
      <c r="AC114" s="430" t="str">
        <f t="shared" si="52"/>
        <v>N/A</v>
      </c>
      <c r="AD114" s="430">
        <f t="shared" si="53"/>
        <v>85</v>
      </c>
      <c r="AE114" s="431">
        <f t="shared" si="54"/>
        <v>0.94700000000000006</v>
      </c>
      <c r="AF114" s="431"/>
      <c r="AG114" s="431">
        <f t="shared" si="55"/>
        <v>0.87789130434782614</v>
      </c>
      <c r="AH114" s="431">
        <f t="shared" si="56"/>
        <v>0.93495423913043485</v>
      </c>
      <c r="AI114" s="432">
        <f t="shared" si="57"/>
        <v>823.790706</v>
      </c>
      <c r="AJ114" s="432">
        <f t="shared" si="58"/>
        <v>176.52133900724183</v>
      </c>
      <c r="AK114" s="432">
        <f t="shared" si="59"/>
        <v>193.0124674031554</v>
      </c>
      <c r="AL114" s="432">
        <f t="shared" si="60"/>
        <v>383.68093389214511</v>
      </c>
      <c r="AM114" s="250">
        <v>120</v>
      </c>
      <c r="AN114" s="432">
        <f t="shared" si="61"/>
        <v>138</v>
      </c>
      <c r="AO114" s="432">
        <f t="shared" si="62"/>
        <v>129.023685</v>
      </c>
      <c r="AP114" s="432">
        <f t="shared" si="63"/>
        <v>430.07895000000002</v>
      </c>
      <c r="AQ114" s="255"/>
      <c r="AR114" s="13" t="s">
        <v>567</v>
      </c>
      <c r="AS114" s="429" t="s">
        <v>630</v>
      </c>
      <c r="AT114" s="429"/>
      <c r="AU114" s="241"/>
      <c r="AV114" s="243"/>
      <c r="AW114" s="72" t="s">
        <v>127</v>
      </c>
      <c r="AX114" s="243"/>
      <c r="AY114" s="103">
        <f t="shared" si="67"/>
        <v>0.52173913043478259</v>
      </c>
      <c r="AZ114" s="72"/>
      <c r="BA114" s="13" t="str">
        <f t="shared" si="68"/>
        <v>W50</v>
      </c>
      <c r="BB114" s="72" t="str">
        <f>IF(R114="n/a","Clear","S/B")</f>
        <v>Clear</v>
      </c>
      <c r="BC114" s="32"/>
      <c r="BD114" s="241"/>
      <c r="BE114" s="241"/>
      <c r="BF114" s="71"/>
      <c r="BG114" s="241"/>
      <c r="BH114" s="241"/>
      <c r="BI114" s="71"/>
      <c r="BJ114" s="123"/>
      <c r="BK114" s="108"/>
      <c r="BL114" s="126"/>
      <c r="BM114" s="108"/>
      <c r="BN114" s="71"/>
      <c r="BO114" s="108"/>
      <c r="BP114" s="108"/>
      <c r="BQ114" s="115"/>
      <c r="BR114" s="113"/>
      <c r="BS114" s="80"/>
      <c r="BU114" s="87"/>
      <c r="BV114" s="73"/>
      <c r="BW114" s="109"/>
      <c r="BX114" s="87"/>
      <c r="BY114" s="87"/>
      <c r="BZ114" s="109"/>
      <c r="CA114" s="76"/>
    </row>
    <row r="115" spans="1:79" s="72" customFormat="1">
      <c r="A115" s="13" t="s">
        <v>466</v>
      </c>
      <c r="B115" s="13" t="s">
        <v>562</v>
      </c>
      <c r="C115" s="13" t="s">
        <v>357</v>
      </c>
      <c r="D115" s="387" t="s">
        <v>627</v>
      </c>
      <c r="E115" s="13" t="s">
        <v>118</v>
      </c>
      <c r="F115" s="387" t="s">
        <v>186</v>
      </c>
      <c r="G115" s="13" t="s">
        <v>631</v>
      </c>
      <c r="H115" s="13" t="s">
        <v>389</v>
      </c>
      <c r="I115" s="13" t="s">
        <v>139</v>
      </c>
      <c r="J115" s="13" t="s">
        <v>5</v>
      </c>
      <c r="K115" s="13" t="s">
        <v>140</v>
      </c>
      <c r="L115" s="13" t="s">
        <v>632</v>
      </c>
      <c r="M115" s="13"/>
      <c r="N115" s="13" t="s">
        <v>142</v>
      </c>
      <c r="O115" s="247">
        <v>0.25</v>
      </c>
      <c r="P115" s="13">
        <v>112</v>
      </c>
      <c r="Q115" s="13">
        <v>30</v>
      </c>
      <c r="R115" s="13" t="s">
        <v>127</v>
      </c>
      <c r="S115" s="430" t="str">
        <f t="shared" si="49"/>
        <v>N/A</v>
      </c>
      <c r="T115" s="247">
        <v>0.76</v>
      </c>
      <c r="U115" s="13">
        <v>200</v>
      </c>
      <c r="V115" s="13">
        <v>600</v>
      </c>
      <c r="W115" s="430">
        <f t="shared" si="47"/>
        <v>400</v>
      </c>
      <c r="X115" s="430">
        <f t="shared" si="48"/>
        <v>220</v>
      </c>
      <c r="Y115" s="13">
        <v>150</v>
      </c>
      <c r="Z115" s="13">
        <v>600</v>
      </c>
      <c r="AA115" s="430">
        <f t="shared" si="50"/>
        <v>450</v>
      </c>
      <c r="AB115" s="430">
        <f t="shared" si="51"/>
        <v>220</v>
      </c>
      <c r="AC115" s="430" t="str">
        <f t="shared" si="52"/>
        <v>N/A</v>
      </c>
      <c r="AD115" s="430">
        <f t="shared" si="53"/>
        <v>82</v>
      </c>
      <c r="AE115" s="431">
        <f t="shared" si="54"/>
        <v>0.96500000000000008</v>
      </c>
      <c r="AF115" s="431"/>
      <c r="AG115" s="431">
        <f t="shared" si="55"/>
        <v>0.88995535714285723</v>
      </c>
      <c r="AH115" s="431">
        <f t="shared" si="56"/>
        <v>0.94780245535714303</v>
      </c>
      <c r="AI115" s="432">
        <f t="shared" si="57"/>
        <v>825.75307499999997</v>
      </c>
      <c r="AJ115" s="432">
        <f t="shared" si="58"/>
        <v>173.22871299467153</v>
      </c>
      <c r="AK115" s="432">
        <f t="shared" si="59"/>
        <v>189.4122348505577</v>
      </c>
      <c r="AL115" s="432">
        <f t="shared" si="60"/>
        <v>376.52419108379428</v>
      </c>
      <c r="AM115" s="250">
        <v>189</v>
      </c>
      <c r="AN115" s="432">
        <f t="shared" si="61"/>
        <v>211.68</v>
      </c>
      <c r="AO115" s="432">
        <f t="shared" si="62"/>
        <v>200.63082375000005</v>
      </c>
      <c r="AP115" s="432">
        <f t="shared" si="63"/>
        <v>668.76941250000016</v>
      </c>
      <c r="AQ115" s="255" t="s">
        <v>132</v>
      </c>
      <c r="AR115" s="13" t="s">
        <v>633</v>
      </c>
      <c r="AS115" s="429"/>
      <c r="AT115" s="429"/>
      <c r="AU115" s="252"/>
      <c r="AV115" s="260"/>
      <c r="AW115" s="13"/>
      <c r="AX115" s="255"/>
      <c r="AY115" s="103">
        <f t="shared" si="67"/>
        <v>0.5357142857142857</v>
      </c>
      <c r="AZ115" s="13"/>
      <c r="BA115" s="13" t="str">
        <f t="shared" si="68"/>
        <v>W50</v>
      </c>
      <c r="BC115" s="32"/>
      <c r="BD115" s="241"/>
      <c r="BE115" s="252"/>
      <c r="BF115" s="80"/>
      <c r="BG115" s="252"/>
      <c r="BH115" s="252"/>
      <c r="BI115" s="80"/>
      <c r="BJ115" s="114"/>
      <c r="BK115" s="88"/>
      <c r="BL115" s="128"/>
      <c r="BM115" s="88"/>
      <c r="BN115" s="80"/>
      <c r="BO115" s="88"/>
      <c r="BP115" s="88"/>
      <c r="BQ115" s="71"/>
      <c r="BR115" s="71"/>
      <c r="BS115" s="71"/>
    </row>
    <row r="116" spans="1:79" s="72" customFormat="1">
      <c r="A116" s="13" t="s">
        <v>466</v>
      </c>
      <c r="B116" s="13" t="s">
        <v>562</v>
      </c>
      <c r="C116" s="13" t="s">
        <v>132</v>
      </c>
      <c r="D116" s="387" t="s">
        <v>132</v>
      </c>
      <c r="E116" s="13" t="s">
        <v>118</v>
      </c>
      <c r="F116" s="387" t="s">
        <v>119</v>
      </c>
      <c r="G116" s="13" t="s">
        <v>634</v>
      </c>
      <c r="H116" s="13" t="s">
        <v>389</v>
      </c>
      <c r="I116" s="13" t="s">
        <v>139</v>
      </c>
      <c r="J116" s="13" t="s">
        <v>5</v>
      </c>
      <c r="K116" s="13" t="s">
        <v>140</v>
      </c>
      <c r="L116" s="13"/>
      <c r="M116" s="13"/>
      <c r="N116" s="13" t="s">
        <v>142</v>
      </c>
      <c r="O116" s="247">
        <v>0.71</v>
      </c>
      <c r="P116" s="13">
        <v>107</v>
      </c>
      <c r="Q116" s="13">
        <v>30</v>
      </c>
      <c r="R116" s="13" t="s">
        <v>127</v>
      </c>
      <c r="S116" s="430" t="str">
        <f t="shared" si="49"/>
        <v>N/A</v>
      </c>
      <c r="T116" s="247">
        <v>0.76</v>
      </c>
      <c r="U116" s="13">
        <v>180</v>
      </c>
      <c r="V116" s="13">
        <v>620</v>
      </c>
      <c r="W116" s="430">
        <f t="shared" si="47"/>
        <v>440</v>
      </c>
      <c r="X116" s="430">
        <f t="shared" si="48"/>
        <v>150</v>
      </c>
      <c r="Y116" s="13">
        <v>180</v>
      </c>
      <c r="Z116" s="13">
        <v>620</v>
      </c>
      <c r="AA116" s="430">
        <f t="shared" si="50"/>
        <v>440</v>
      </c>
      <c r="AB116" s="430">
        <f t="shared" si="51"/>
        <v>150</v>
      </c>
      <c r="AC116" s="430" t="str">
        <f t="shared" si="52"/>
        <v>N/A</v>
      </c>
      <c r="AD116" s="430">
        <f t="shared" si="53"/>
        <v>77</v>
      </c>
      <c r="AE116" s="431">
        <f t="shared" si="54"/>
        <v>1.3067</v>
      </c>
      <c r="AF116" s="431"/>
      <c r="AG116" s="431">
        <f t="shared" si="55"/>
        <v>1.1099901869158877</v>
      </c>
      <c r="AH116" s="431">
        <f t="shared" si="56"/>
        <v>1.1821395490654203</v>
      </c>
      <c r="AI116" s="432">
        <f t="shared" si="57"/>
        <v>855.84273299999995</v>
      </c>
      <c r="AJ116" s="432">
        <f t="shared" si="58"/>
        <v>127.92967631427108</v>
      </c>
      <c r="AK116" s="432">
        <f t="shared" si="59"/>
        <v>139.88123259415946</v>
      </c>
      <c r="AL116" s="432">
        <f t="shared" si="60"/>
        <v>278.06370582066387</v>
      </c>
      <c r="AM116" s="250">
        <v>140</v>
      </c>
      <c r="AN116" s="432">
        <f t="shared" si="61"/>
        <v>149.80000000000001</v>
      </c>
      <c r="AO116" s="432">
        <f t="shared" si="62"/>
        <v>177.08450444999997</v>
      </c>
      <c r="AP116" s="432">
        <f t="shared" si="63"/>
        <v>590.28168149999988</v>
      </c>
      <c r="AQ116" s="255"/>
      <c r="AR116" s="13"/>
      <c r="AS116" s="429"/>
      <c r="AT116" s="429"/>
      <c r="AU116" s="252"/>
      <c r="AV116" s="260"/>
      <c r="AW116" s="13"/>
      <c r="AX116" s="255"/>
      <c r="AY116" s="103"/>
      <c r="AZ116" s="13"/>
      <c r="BA116" s="13"/>
      <c r="BC116" s="32"/>
      <c r="BD116" s="241"/>
      <c r="BE116" s="252"/>
      <c r="BF116" s="80"/>
      <c r="BG116" s="252"/>
      <c r="BH116" s="252"/>
      <c r="BI116" s="80"/>
      <c r="BJ116" s="114"/>
      <c r="BK116" s="88"/>
      <c r="BL116" s="128"/>
      <c r="BM116" s="88"/>
      <c r="BN116" s="80"/>
      <c r="BO116" s="88"/>
      <c r="BP116" s="88"/>
      <c r="BQ116" s="71"/>
      <c r="BR116" s="71"/>
      <c r="BS116" s="71"/>
    </row>
    <row r="117" spans="1:79" s="72" customFormat="1" ht="15" customHeight="1">
      <c r="A117" s="13" t="s">
        <v>466</v>
      </c>
      <c r="B117" s="13" t="s">
        <v>562</v>
      </c>
      <c r="C117" s="13" t="s">
        <v>635</v>
      </c>
      <c r="D117" s="387" t="s">
        <v>636</v>
      </c>
      <c r="E117" s="13" t="s">
        <v>118</v>
      </c>
      <c r="F117" s="13" t="s">
        <v>167</v>
      </c>
      <c r="G117" s="13" t="s">
        <v>637</v>
      </c>
      <c r="H117" s="13" t="s">
        <v>121</v>
      </c>
      <c r="I117" s="13" t="s">
        <v>147</v>
      </c>
      <c r="J117" s="13" t="s">
        <v>5</v>
      </c>
      <c r="K117" s="13" t="s">
        <v>123</v>
      </c>
      <c r="L117" s="13" t="s">
        <v>638</v>
      </c>
      <c r="M117" s="13" t="s">
        <v>125</v>
      </c>
      <c r="N117" s="13" t="s">
        <v>126</v>
      </c>
      <c r="O117" s="247">
        <v>0.62</v>
      </c>
      <c r="P117" s="13">
        <v>103</v>
      </c>
      <c r="Q117" s="13">
        <v>30</v>
      </c>
      <c r="R117" s="13" t="s">
        <v>127</v>
      </c>
      <c r="S117" s="430" t="str">
        <f t="shared" si="49"/>
        <v>N/A</v>
      </c>
      <c r="T117" s="247">
        <v>0.8</v>
      </c>
      <c r="U117" s="13">
        <v>262</v>
      </c>
      <c r="V117" s="13">
        <v>480</v>
      </c>
      <c r="W117" s="430">
        <f t="shared" si="47"/>
        <v>218</v>
      </c>
      <c r="X117" s="430">
        <f t="shared" si="48"/>
        <v>250</v>
      </c>
      <c r="Y117" s="13">
        <v>160</v>
      </c>
      <c r="Z117" s="13">
        <v>560</v>
      </c>
      <c r="AA117" s="430">
        <f t="shared" si="50"/>
        <v>400</v>
      </c>
      <c r="AB117" s="430">
        <f t="shared" si="51"/>
        <v>170</v>
      </c>
      <c r="AC117" s="430" t="str">
        <f t="shared" si="52"/>
        <v>N/A</v>
      </c>
      <c r="AD117" s="430">
        <f t="shared" si="53"/>
        <v>73</v>
      </c>
      <c r="AE117" s="431">
        <f t="shared" si="54"/>
        <v>1.2526000000000002</v>
      </c>
      <c r="AF117" s="431"/>
      <c r="AG117" s="431">
        <f t="shared" si="55"/>
        <v>1.0922126213592234</v>
      </c>
      <c r="AH117" s="431">
        <f t="shared" si="56"/>
        <v>1.1577453786407768</v>
      </c>
      <c r="AI117" s="432">
        <f t="shared" si="57"/>
        <v>888.36522400000001</v>
      </c>
      <c r="AJ117" s="432">
        <f t="shared" si="58"/>
        <v>133.45498007333387</v>
      </c>
      <c r="AK117" s="432">
        <f t="shared" si="59"/>
        <v>145.92272603447881</v>
      </c>
      <c r="AL117" s="432">
        <f t="shared" si="60"/>
        <v>290.0733230048391</v>
      </c>
      <c r="AM117" s="250">
        <v>50</v>
      </c>
      <c r="AN117" s="432">
        <f t="shared" si="61"/>
        <v>51.5</v>
      </c>
      <c r="AO117" s="432">
        <f t="shared" si="62"/>
        <v>59.623887000000003</v>
      </c>
      <c r="AP117" s="432">
        <f t="shared" si="63"/>
        <v>198.74629000000002</v>
      </c>
      <c r="AQ117" s="255">
        <v>44896</v>
      </c>
      <c r="AR117" s="13" t="s">
        <v>500</v>
      </c>
      <c r="AS117" s="444"/>
      <c r="AT117" s="429" t="s">
        <v>639</v>
      </c>
      <c r="AU117" s="241"/>
      <c r="AV117" s="243"/>
      <c r="AW117" s="72" t="s">
        <v>127</v>
      </c>
      <c r="AX117" s="243"/>
      <c r="AY117" s="103">
        <f t="shared" si="67"/>
        <v>0.46601941747572817</v>
      </c>
      <c r="BA117" s="13" t="str">
        <f t="shared" si="68"/>
        <v>W22</v>
      </c>
      <c r="BB117" s="72" t="str">
        <f t="shared" ref="BB117:BB128" si="69">IF(R117="n/a","Clear","S/B")</f>
        <v>Clear</v>
      </c>
      <c r="BC117" s="32">
        <f>IF(Q117="","",((P117/100*O117)+T117))</f>
        <v>1.4386000000000001</v>
      </c>
      <c r="BD117" s="241">
        <f>IF(BC117="","",((PI()*((51/2)^2-(16.545/2)^2)/(BC117/10))/100))</f>
        <v>127.05603130181298</v>
      </c>
      <c r="BE117" s="241"/>
      <c r="BF117" s="71"/>
      <c r="BG117" s="241"/>
      <c r="BH117" s="241"/>
      <c r="BI117" s="71"/>
      <c r="BJ117" s="123"/>
      <c r="BK117" s="123"/>
      <c r="BL117" s="126"/>
      <c r="BM117" s="123"/>
      <c r="BN117" s="123"/>
      <c r="BO117" s="108"/>
      <c r="BP117" s="108"/>
      <c r="BQ117" s="88"/>
      <c r="BR117" s="80"/>
      <c r="BS117" s="80"/>
      <c r="BT117" s="22"/>
      <c r="BU117" s="87"/>
      <c r="BV117" s="73"/>
      <c r="BW117" s="109"/>
      <c r="BX117" s="87"/>
      <c r="BY117" s="87"/>
      <c r="BZ117" s="109"/>
      <c r="CA117" s="76"/>
    </row>
    <row r="118" spans="1:79" s="72" customFormat="1" ht="15" customHeight="1">
      <c r="A118" s="13" t="s">
        <v>466</v>
      </c>
      <c r="B118" s="13" t="s">
        <v>562</v>
      </c>
      <c r="C118" s="13" t="s">
        <v>635</v>
      </c>
      <c r="D118" s="387" t="s">
        <v>636</v>
      </c>
      <c r="E118" s="13" t="s">
        <v>118</v>
      </c>
      <c r="F118" s="13" t="s">
        <v>119</v>
      </c>
      <c r="G118" s="13" t="s">
        <v>640</v>
      </c>
      <c r="H118" s="13" t="s">
        <v>121</v>
      </c>
      <c r="I118" s="13" t="s">
        <v>147</v>
      </c>
      <c r="J118" s="13" t="s">
        <v>5</v>
      </c>
      <c r="K118" s="13" t="s">
        <v>123</v>
      </c>
      <c r="L118" s="13" t="s">
        <v>641</v>
      </c>
      <c r="M118" s="13" t="s">
        <v>125</v>
      </c>
      <c r="N118" s="13" t="s">
        <v>126</v>
      </c>
      <c r="O118" s="247">
        <v>0.64</v>
      </c>
      <c r="P118" s="13">
        <v>103</v>
      </c>
      <c r="Q118" s="13">
        <v>30</v>
      </c>
      <c r="R118" s="13" t="s">
        <v>127</v>
      </c>
      <c r="S118" s="430" t="str">
        <f t="shared" si="49"/>
        <v>N/A</v>
      </c>
      <c r="T118" s="247">
        <v>0.8</v>
      </c>
      <c r="U118" s="13">
        <v>200</v>
      </c>
      <c r="V118" s="13">
        <v>600</v>
      </c>
      <c r="W118" s="430">
        <f t="shared" si="47"/>
        <v>400</v>
      </c>
      <c r="X118" s="430">
        <f t="shared" si="48"/>
        <v>130</v>
      </c>
      <c r="Y118" s="13">
        <v>150</v>
      </c>
      <c r="Z118" s="13">
        <v>600</v>
      </c>
      <c r="AA118" s="430">
        <f t="shared" si="50"/>
        <v>450</v>
      </c>
      <c r="AB118" s="430">
        <f t="shared" si="51"/>
        <v>130</v>
      </c>
      <c r="AC118" s="430" t="str">
        <f t="shared" si="52"/>
        <v>N/A</v>
      </c>
      <c r="AD118" s="430">
        <f t="shared" si="53"/>
        <v>73</v>
      </c>
      <c r="AE118" s="431">
        <f t="shared" si="54"/>
        <v>1.2672000000000001</v>
      </c>
      <c r="AF118" s="431"/>
      <c r="AG118" s="431">
        <f t="shared" si="55"/>
        <v>1.1016388349514565</v>
      </c>
      <c r="AH118" s="431">
        <f t="shared" si="56"/>
        <v>1.167737165048544</v>
      </c>
      <c r="AI118" s="432">
        <f t="shared" si="57"/>
        <v>889.66732800000011</v>
      </c>
      <c r="AJ118" s="432">
        <f t="shared" si="58"/>
        <v>131.91738323852434</v>
      </c>
      <c r="AK118" s="432">
        <f t="shared" si="59"/>
        <v>144.24148250535683</v>
      </c>
      <c r="AL118" s="432">
        <f t="shared" si="60"/>
        <v>286.73125346895637</v>
      </c>
      <c r="AM118" s="250">
        <v>144</v>
      </c>
      <c r="AN118" s="432">
        <f t="shared" si="61"/>
        <v>148.32</v>
      </c>
      <c r="AO118" s="432">
        <f t="shared" si="62"/>
        <v>173.19877632000004</v>
      </c>
      <c r="AP118" s="432">
        <f t="shared" si="63"/>
        <v>577.3292544000002</v>
      </c>
      <c r="AQ118" s="255">
        <v>45039</v>
      </c>
      <c r="AR118" s="13" t="s">
        <v>642</v>
      </c>
      <c r="AS118" s="429" t="s">
        <v>643</v>
      </c>
      <c r="AT118" s="429" t="s">
        <v>644</v>
      </c>
      <c r="AU118" s="252"/>
      <c r="AV118" s="260"/>
      <c r="AW118" s="13" t="s">
        <v>127</v>
      </c>
      <c r="AX118" s="255"/>
      <c r="AY118" s="103">
        <f t="shared" si="67"/>
        <v>0.58252427184466016</v>
      </c>
      <c r="AZ118" s="13"/>
      <c r="BA118" s="13" t="str">
        <f t="shared" si="68"/>
        <v>W22</v>
      </c>
      <c r="BB118" s="72" t="str">
        <f t="shared" si="69"/>
        <v>Clear</v>
      </c>
      <c r="BC118" s="32"/>
      <c r="BD118" s="241"/>
      <c r="BE118" s="252"/>
      <c r="BF118" s="80"/>
      <c r="BG118" s="252"/>
      <c r="BH118" s="252"/>
      <c r="BI118" s="80"/>
      <c r="BJ118" s="114"/>
      <c r="BK118" s="111"/>
      <c r="BL118" s="112"/>
      <c r="BM118" s="111"/>
      <c r="BN118" s="123"/>
      <c r="BO118" s="83"/>
      <c r="BP118" s="88"/>
      <c r="BQ118" s="71"/>
      <c r="BR118" s="71"/>
      <c r="BS118" s="71"/>
    </row>
    <row r="119" spans="1:79" s="77" customFormat="1">
      <c r="A119" s="13" t="s">
        <v>466</v>
      </c>
      <c r="B119" s="13" t="s">
        <v>562</v>
      </c>
      <c r="C119" s="13"/>
      <c r="D119" s="387"/>
      <c r="E119" s="13" t="s">
        <v>118</v>
      </c>
      <c r="F119" s="13" t="s">
        <v>119</v>
      </c>
      <c r="G119" s="13" t="s">
        <v>645</v>
      </c>
      <c r="H119" s="13" t="s">
        <v>389</v>
      </c>
      <c r="I119" s="13" t="s">
        <v>139</v>
      </c>
      <c r="J119" s="13" t="s">
        <v>5</v>
      </c>
      <c r="K119" s="13" t="s">
        <v>140</v>
      </c>
      <c r="L119" s="13" t="s">
        <v>646</v>
      </c>
      <c r="M119" s="13"/>
      <c r="N119" s="13" t="s">
        <v>142</v>
      </c>
      <c r="O119" s="247">
        <v>0.31</v>
      </c>
      <c r="P119" s="438">
        <v>124</v>
      </c>
      <c r="Q119" s="13">
        <v>30</v>
      </c>
      <c r="R119" s="13" t="s">
        <v>127</v>
      </c>
      <c r="S119" s="430" t="str">
        <f t="shared" si="49"/>
        <v>N/A</v>
      </c>
      <c r="T119" s="247">
        <v>0.76</v>
      </c>
      <c r="U119" s="13">
        <v>200</v>
      </c>
      <c r="V119" s="13">
        <v>600</v>
      </c>
      <c r="W119" s="430">
        <f t="shared" si="47"/>
        <v>400</v>
      </c>
      <c r="X119" s="430">
        <f t="shared" si="48"/>
        <v>340</v>
      </c>
      <c r="Y119" s="13">
        <v>200</v>
      </c>
      <c r="Z119" s="13">
        <v>600</v>
      </c>
      <c r="AA119" s="430">
        <f t="shared" si="50"/>
        <v>400</v>
      </c>
      <c r="AB119" s="430">
        <f t="shared" si="51"/>
        <v>340</v>
      </c>
      <c r="AC119" s="430" t="str">
        <f t="shared" si="52"/>
        <v>N/A</v>
      </c>
      <c r="AD119" s="430">
        <f t="shared" si="53"/>
        <v>94</v>
      </c>
      <c r="AE119" s="431">
        <f t="shared" si="54"/>
        <v>1.0514000000000001</v>
      </c>
      <c r="AF119" s="431"/>
      <c r="AG119" s="431">
        <f t="shared" si="55"/>
        <v>0.94095000000000006</v>
      </c>
      <c r="AH119" s="431">
        <f t="shared" si="56"/>
        <v>1.0021117500000001</v>
      </c>
      <c r="AI119" s="432">
        <f t="shared" si="57"/>
        <v>829.67781300000001</v>
      </c>
      <c r="AJ119" s="432">
        <f t="shared" si="58"/>
        <v>158.99344496847823</v>
      </c>
      <c r="AK119" s="432">
        <f t="shared" si="59"/>
        <v>173.84706736806939</v>
      </c>
      <c r="AL119" s="432">
        <f t="shared" si="60"/>
        <v>345.58288415052448</v>
      </c>
      <c r="AM119" s="250">
        <v>174</v>
      </c>
      <c r="AN119" s="432">
        <f t="shared" si="61"/>
        <v>215.76</v>
      </c>
      <c r="AO119" s="432">
        <f t="shared" si="62"/>
        <v>216.21563118</v>
      </c>
      <c r="AP119" s="432">
        <f t="shared" si="63"/>
        <v>720.71877060000008</v>
      </c>
      <c r="AQ119" s="255" t="s">
        <v>132</v>
      </c>
      <c r="AR119" s="13" t="s">
        <v>647</v>
      </c>
      <c r="AS119" s="429" t="s">
        <v>648</v>
      </c>
      <c r="AT119" s="13"/>
      <c r="AU119" s="252"/>
      <c r="AV119" s="260"/>
      <c r="AW119" s="72" t="s">
        <v>127</v>
      </c>
      <c r="AX119" s="243"/>
      <c r="AY119" s="103">
        <f t="shared" si="67"/>
        <v>0.4838709677419355</v>
      </c>
      <c r="AZ119" s="72"/>
      <c r="BA119" s="13" t="str">
        <f t="shared" si="68"/>
        <v>W50</v>
      </c>
      <c r="BB119" s="72" t="str">
        <f t="shared" si="69"/>
        <v>Clear</v>
      </c>
      <c r="BC119" s="32"/>
      <c r="BD119" s="241"/>
      <c r="BE119" s="241"/>
      <c r="BF119" s="71"/>
      <c r="BG119" s="241"/>
      <c r="BH119" s="241"/>
      <c r="BI119" s="71"/>
      <c r="BJ119" s="114"/>
      <c r="BK119" s="111"/>
      <c r="BL119" s="112"/>
      <c r="BM119" s="111"/>
      <c r="BN119" s="123"/>
      <c r="BO119" s="83"/>
      <c r="BP119" s="88"/>
      <c r="BQ119" s="88"/>
      <c r="BR119" s="80"/>
      <c r="BS119" s="80"/>
      <c r="BT119" s="22"/>
      <c r="BU119" s="87"/>
      <c r="BV119" s="73"/>
      <c r="BW119" s="109"/>
      <c r="BX119" s="87"/>
      <c r="BY119" s="87"/>
      <c r="BZ119" s="109"/>
      <c r="CA119" s="76"/>
    </row>
    <row r="120" spans="1:79" s="72" customFormat="1">
      <c r="A120" s="13" t="s">
        <v>466</v>
      </c>
      <c r="B120" s="429" t="s">
        <v>649</v>
      </c>
      <c r="C120" s="13" t="s">
        <v>650</v>
      </c>
      <c r="D120" s="387" t="s">
        <v>651</v>
      </c>
      <c r="E120" s="13" t="s">
        <v>137</v>
      </c>
      <c r="F120" s="13" t="s">
        <v>167</v>
      </c>
      <c r="G120" s="13" t="s">
        <v>652</v>
      </c>
      <c r="H120" s="13" t="s">
        <v>121</v>
      </c>
      <c r="I120" s="13" t="s">
        <v>147</v>
      </c>
      <c r="J120" s="13" t="s">
        <v>5</v>
      </c>
      <c r="K120" s="13" t="s">
        <v>123</v>
      </c>
      <c r="L120" s="13" t="s">
        <v>653</v>
      </c>
      <c r="M120" s="13" t="s">
        <v>125</v>
      </c>
      <c r="N120" s="13" t="s">
        <v>12</v>
      </c>
      <c r="O120" s="247">
        <v>0.47</v>
      </c>
      <c r="P120" s="13">
        <v>110</v>
      </c>
      <c r="Q120" s="13">
        <v>30</v>
      </c>
      <c r="R120" s="13" t="s">
        <v>127</v>
      </c>
      <c r="S120" s="430" t="str">
        <f t="shared" si="49"/>
        <v>N/A</v>
      </c>
      <c r="T120" s="247">
        <v>0.8</v>
      </c>
      <c r="U120" s="13">
        <v>200</v>
      </c>
      <c r="V120" s="13">
        <v>600</v>
      </c>
      <c r="W120" s="430">
        <f t="shared" si="47"/>
        <v>400</v>
      </c>
      <c r="X120" s="430">
        <f t="shared" si="48"/>
        <v>200</v>
      </c>
      <c r="Y120" s="13">
        <v>200</v>
      </c>
      <c r="Z120" s="13">
        <f>V120</f>
        <v>600</v>
      </c>
      <c r="AA120" s="430">
        <f t="shared" si="50"/>
        <v>400</v>
      </c>
      <c r="AB120" s="430">
        <f t="shared" si="51"/>
        <v>200</v>
      </c>
      <c r="AC120" s="430" t="str">
        <f t="shared" si="52"/>
        <v>N/A</v>
      </c>
      <c r="AD120" s="430">
        <f t="shared" si="53"/>
        <v>80</v>
      </c>
      <c r="AE120" s="431">
        <f t="shared" si="54"/>
        <v>1.1759999999999999</v>
      </c>
      <c r="AF120" s="431"/>
      <c r="AG120" s="431">
        <f t="shared" si="55"/>
        <v>1.0392727272727271</v>
      </c>
      <c r="AH120" s="431">
        <f t="shared" si="56"/>
        <v>1.1016290909090909</v>
      </c>
      <c r="AI120" s="432">
        <f t="shared" si="57"/>
        <v>878.59944400000006</v>
      </c>
      <c r="AJ120" s="432">
        <f t="shared" si="58"/>
        <v>142.14771091824662</v>
      </c>
      <c r="AK120" s="432">
        <f t="shared" si="59"/>
        <v>155.42755665883348</v>
      </c>
      <c r="AL120" s="432">
        <f t="shared" si="60"/>
        <v>308.96755475838557</v>
      </c>
      <c r="AM120" s="250">
        <v>50</v>
      </c>
      <c r="AN120" s="432">
        <f t="shared" si="61"/>
        <v>55</v>
      </c>
      <c r="AO120" s="432">
        <f t="shared" si="62"/>
        <v>60.589599999999997</v>
      </c>
      <c r="AP120" s="432">
        <f t="shared" si="63"/>
        <v>201.96533333333332</v>
      </c>
      <c r="AQ120" s="255">
        <v>44075</v>
      </c>
      <c r="AR120" s="13" t="s">
        <v>654</v>
      </c>
      <c r="AS120" s="434" t="s">
        <v>655</v>
      </c>
      <c r="AT120" s="429" t="s">
        <v>656</v>
      </c>
      <c r="AU120" s="241"/>
      <c r="AV120" s="243"/>
      <c r="AW120" s="72" t="s">
        <v>127</v>
      </c>
      <c r="AX120" s="243"/>
      <c r="AY120" s="103">
        <f t="shared" si="67"/>
        <v>0.54545454545454541</v>
      </c>
      <c r="BA120" s="72" t="str">
        <f t="shared" si="68"/>
        <v>W22</v>
      </c>
      <c r="BB120" s="72" t="str">
        <f t="shared" si="69"/>
        <v>Clear</v>
      </c>
      <c r="BC120" s="32">
        <f>IF(Q120="","",((P120/100*O120)+T120))</f>
        <v>1.3170000000000002</v>
      </c>
      <c r="BD120" s="241">
        <f>IF(BC120="","",((PI()*((51/2)^2-(16.545/2)^2)/(BC120/10))/100))</f>
        <v>138.78724877053011</v>
      </c>
      <c r="BE120" s="241">
        <f>IF(BC120="","",(BD120-AK120))</f>
        <v>-16.640307888303369</v>
      </c>
      <c r="BF120" s="71">
        <f>IF(BC120="","",(BE120/AK120))</f>
        <v>-0.10706150341685657</v>
      </c>
      <c r="BG120" s="241">
        <f>IF(BF120="","",((PI()*((70/2)^2-(16.545/2)^2)/(BC120/10))/100))</f>
        <v>275.88902383892287</v>
      </c>
      <c r="BH120" s="241">
        <f>IF(BF120="","",(BG120-AL120))</f>
        <v>-33.078530919462708</v>
      </c>
      <c r="BI120" s="71">
        <f>IF(BG120="","",(BH120/AL120))</f>
        <v>-0.10706150341685654</v>
      </c>
      <c r="BJ120" s="123">
        <v>20</v>
      </c>
      <c r="BK120" s="123"/>
      <c r="BL120" s="126"/>
      <c r="BM120" s="123"/>
      <c r="BN120" s="123"/>
      <c r="BO120" s="108"/>
      <c r="BP120" s="108"/>
      <c r="BQ120" s="144">
        <v>318</v>
      </c>
      <c r="BR120" s="192"/>
      <c r="BS120" s="100"/>
      <c r="BT120" s="13">
        <f>P120-V120/10-120/10</f>
        <v>38</v>
      </c>
      <c r="BU120" s="79">
        <f>BT120-Q120</f>
        <v>8</v>
      </c>
      <c r="BV120" s="29">
        <f>T120+(O120/100*(P120-BT120))</f>
        <v>1.1383999999999999</v>
      </c>
      <c r="BW120" s="86">
        <f>(AE120-BV120)/AE120</f>
        <v>3.1972789115646327E-2</v>
      </c>
      <c r="BX120" s="79">
        <f>(PI()*((51/2)^2-(16.545/2)^2)/(BV120/10))/100</f>
        <v>160.56114426457151</v>
      </c>
      <c r="BY120" s="79">
        <f>BX120-AK120</f>
        <v>5.133587605738029</v>
      </c>
      <c r="BZ120" s="86">
        <f>BY120/AK120</f>
        <v>3.3028812368236307E-2</v>
      </c>
      <c r="CA120" s="76"/>
    </row>
    <row r="121" spans="1:79" s="72" customFormat="1">
      <c r="A121" s="13" t="s">
        <v>466</v>
      </c>
      <c r="B121" s="429" t="s">
        <v>649</v>
      </c>
      <c r="C121" s="13" t="s">
        <v>657</v>
      </c>
      <c r="D121" s="387" t="s">
        <v>657</v>
      </c>
      <c r="E121" s="13" t="s">
        <v>137</v>
      </c>
      <c r="F121" s="13" t="s">
        <v>167</v>
      </c>
      <c r="G121" s="13" t="s">
        <v>658</v>
      </c>
      <c r="H121" s="13" t="s">
        <v>121</v>
      </c>
      <c r="I121" s="13" t="s">
        <v>147</v>
      </c>
      <c r="J121" s="13" t="s">
        <v>5</v>
      </c>
      <c r="K121" s="13" t="s">
        <v>123</v>
      </c>
      <c r="L121" s="429" t="s">
        <v>659</v>
      </c>
      <c r="M121" s="13" t="s">
        <v>125</v>
      </c>
      <c r="N121" s="13" t="s">
        <v>126</v>
      </c>
      <c r="O121" s="247">
        <v>0.2</v>
      </c>
      <c r="P121" s="13">
        <v>120</v>
      </c>
      <c r="Q121" s="13">
        <v>30</v>
      </c>
      <c r="R121" s="13" t="s">
        <v>127</v>
      </c>
      <c r="S121" s="430" t="str">
        <f t="shared" si="49"/>
        <v>N/A</v>
      </c>
      <c r="T121" s="247">
        <v>0.8</v>
      </c>
      <c r="U121" s="13">
        <v>200</v>
      </c>
      <c r="V121" s="13">
        <v>600</v>
      </c>
      <c r="W121" s="430">
        <f t="shared" si="47"/>
        <v>400</v>
      </c>
      <c r="X121" s="430">
        <f t="shared" si="48"/>
        <v>300</v>
      </c>
      <c r="Y121" s="13">
        <v>150</v>
      </c>
      <c r="Z121" s="13">
        <v>600</v>
      </c>
      <c r="AA121" s="430">
        <f t="shared" si="50"/>
        <v>450</v>
      </c>
      <c r="AB121" s="430">
        <f t="shared" si="51"/>
        <v>300</v>
      </c>
      <c r="AC121" s="430" t="str">
        <f t="shared" si="52"/>
        <v>N/A</v>
      </c>
      <c r="AD121" s="430">
        <f t="shared" si="53"/>
        <v>90</v>
      </c>
      <c r="AE121" s="431">
        <f t="shared" si="54"/>
        <v>0.98</v>
      </c>
      <c r="AF121" s="431"/>
      <c r="AG121" s="431">
        <f t="shared" si="55"/>
        <v>0.91249999999999998</v>
      </c>
      <c r="AH121" s="431">
        <f t="shared" si="56"/>
        <v>0.96725000000000005</v>
      </c>
      <c r="AI121" s="432">
        <f t="shared" si="57"/>
        <v>861.02103999999997</v>
      </c>
      <c r="AJ121" s="432">
        <f t="shared" si="58"/>
        <v>170.57725310189596</v>
      </c>
      <c r="AK121" s="432">
        <f t="shared" si="59"/>
        <v>186.51306799060018</v>
      </c>
      <c r="AL121" s="432">
        <f t="shared" si="60"/>
        <v>370.76106571006267</v>
      </c>
      <c r="AM121" s="250">
        <v>187</v>
      </c>
      <c r="AN121" s="432">
        <f t="shared" si="61"/>
        <v>224.4</v>
      </c>
      <c r="AO121" s="432">
        <f t="shared" si="62"/>
        <v>217.05090000000001</v>
      </c>
      <c r="AP121" s="432">
        <f t="shared" si="63"/>
        <v>723.50300000000004</v>
      </c>
      <c r="AQ121" s="255">
        <v>45017</v>
      </c>
      <c r="AR121" s="13" t="s">
        <v>642</v>
      </c>
      <c r="AS121" s="434" t="s">
        <v>660</v>
      </c>
      <c r="AT121" s="429"/>
      <c r="AU121" s="241"/>
      <c r="AV121" s="243"/>
      <c r="AW121" s="72" t="s">
        <v>127</v>
      </c>
      <c r="AX121" s="243"/>
      <c r="AY121" s="71">
        <f t="shared" si="67"/>
        <v>0.5</v>
      </c>
      <c r="BA121" s="72" t="str">
        <f t="shared" si="68"/>
        <v>W22</v>
      </c>
      <c r="BB121" s="72" t="str">
        <f t="shared" si="69"/>
        <v>Clear</v>
      </c>
      <c r="BC121" s="32"/>
      <c r="BD121" s="241"/>
      <c r="BE121" s="241"/>
      <c r="BF121" s="71"/>
      <c r="BG121" s="241"/>
      <c r="BH121" s="241"/>
      <c r="BI121" s="71"/>
      <c r="BJ121" s="123"/>
      <c r="BK121" s="123"/>
      <c r="BL121" s="126"/>
      <c r="BM121" s="123"/>
      <c r="BN121" s="123"/>
      <c r="BO121" s="108"/>
      <c r="BP121" s="108"/>
      <c r="BQ121" s="71"/>
      <c r="BR121" s="71"/>
      <c r="BS121" s="71"/>
    </row>
    <row r="122" spans="1:79" s="22" customFormat="1" ht="15" customHeight="1">
      <c r="A122" s="13" t="s">
        <v>466</v>
      </c>
      <c r="B122" s="429" t="s">
        <v>649</v>
      </c>
      <c r="C122" s="13" t="s">
        <v>657</v>
      </c>
      <c r="D122" s="387" t="s">
        <v>657</v>
      </c>
      <c r="E122" s="13" t="s">
        <v>137</v>
      </c>
      <c r="F122" s="13" t="s">
        <v>167</v>
      </c>
      <c r="G122" s="13" t="s">
        <v>661</v>
      </c>
      <c r="H122" s="13" t="s">
        <v>121</v>
      </c>
      <c r="I122" s="13" t="s">
        <v>147</v>
      </c>
      <c r="J122" s="13" t="s">
        <v>5</v>
      </c>
      <c r="K122" s="13" t="s">
        <v>123</v>
      </c>
      <c r="L122" s="429" t="s">
        <v>662</v>
      </c>
      <c r="M122" s="13" t="s">
        <v>125</v>
      </c>
      <c r="N122" s="13" t="s">
        <v>126</v>
      </c>
      <c r="O122" s="247">
        <v>0.3</v>
      </c>
      <c r="P122" s="13">
        <v>120</v>
      </c>
      <c r="Q122" s="13">
        <v>30</v>
      </c>
      <c r="R122" s="13" t="s">
        <v>127</v>
      </c>
      <c r="S122" s="430" t="str">
        <f t="shared" si="49"/>
        <v>N/A</v>
      </c>
      <c r="T122" s="247">
        <v>0.8</v>
      </c>
      <c r="U122" s="13">
        <v>200</v>
      </c>
      <c r="V122" s="13">
        <v>600</v>
      </c>
      <c r="W122" s="430">
        <f t="shared" si="47"/>
        <v>400</v>
      </c>
      <c r="X122" s="430">
        <f t="shared" si="48"/>
        <v>300</v>
      </c>
      <c r="Y122" s="13">
        <v>150</v>
      </c>
      <c r="Z122" s="13">
        <v>600</v>
      </c>
      <c r="AA122" s="430">
        <f t="shared" si="50"/>
        <v>450</v>
      </c>
      <c r="AB122" s="430">
        <f t="shared" si="51"/>
        <v>300</v>
      </c>
      <c r="AC122" s="430" t="str">
        <f t="shared" si="52"/>
        <v>N/A</v>
      </c>
      <c r="AD122" s="430">
        <f t="shared" si="53"/>
        <v>90</v>
      </c>
      <c r="AE122" s="431">
        <f t="shared" si="54"/>
        <v>1.07</v>
      </c>
      <c r="AF122" s="431"/>
      <c r="AG122" s="431">
        <f t="shared" si="55"/>
        <v>0.96875</v>
      </c>
      <c r="AH122" s="431">
        <f t="shared" si="56"/>
        <v>1.026875</v>
      </c>
      <c r="AI122" s="432">
        <f t="shared" si="57"/>
        <v>867.53156000000013</v>
      </c>
      <c r="AJ122" s="432">
        <f t="shared" si="58"/>
        <v>156.22963368211029</v>
      </c>
      <c r="AK122" s="432">
        <f t="shared" si="59"/>
        <v>170.82505292597023</v>
      </c>
      <c r="AL122" s="432">
        <f t="shared" si="60"/>
        <v>339.57555551015088</v>
      </c>
      <c r="AM122" s="250">
        <v>171</v>
      </c>
      <c r="AN122" s="432">
        <f t="shared" si="61"/>
        <v>205.2</v>
      </c>
      <c r="AO122" s="432">
        <f t="shared" si="62"/>
        <v>210.71474999999998</v>
      </c>
      <c r="AP122" s="432">
        <f t="shared" si="63"/>
        <v>702.38249999999994</v>
      </c>
      <c r="AQ122" s="255">
        <v>45017</v>
      </c>
      <c r="AR122" s="13" t="s">
        <v>642</v>
      </c>
      <c r="AS122" s="434" t="s">
        <v>663</v>
      </c>
      <c r="AT122" s="429"/>
      <c r="AU122" s="241"/>
      <c r="AV122" s="243"/>
      <c r="AW122" s="72" t="s">
        <v>127</v>
      </c>
      <c r="AX122" s="243"/>
      <c r="AY122" s="71">
        <f t="shared" si="67"/>
        <v>0.5</v>
      </c>
      <c r="AZ122" s="72"/>
      <c r="BA122" s="72" t="str">
        <f t="shared" si="68"/>
        <v>W22</v>
      </c>
      <c r="BB122" s="72" t="str">
        <f t="shared" si="69"/>
        <v>Clear</v>
      </c>
      <c r="BC122" s="32"/>
      <c r="BD122" s="241"/>
      <c r="BE122" s="241"/>
      <c r="BF122" s="71"/>
      <c r="BG122" s="241"/>
      <c r="BH122" s="241"/>
      <c r="BI122" s="71"/>
      <c r="BJ122" s="123"/>
      <c r="BK122" s="123"/>
      <c r="BL122" s="126"/>
      <c r="BM122" s="123"/>
      <c r="BN122" s="123"/>
      <c r="BO122" s="108"/>
      <c r="BP122" s="108"/>
      <c r="BQ122" s="124">
        <v>26320</v>
      </c>
      <c r="BR122" s="159">
        <v>6768</v>
      </c>
      <c r="BS122" s="100"/>
      <c r="BT122" s="72">
        <f>P122-V122/10-120/10</f>
        <v>48</v>
      </c>
      <c r="BU122" s="78">
        <f>BT122-Q122</f>
        <v>18</v>
      </c>
      <c r="BV122" s="32">
        <f>T122+(O122/100*(P122-BT122))</f>
        <v>1.016</v>
      </c>
      <c r="BW122" s="127">
        <f>(AE122-BV122)/AE122</f>
        <v>5.0467289719626211E-2</v>
      </c>
      <c r="BX122" s="78">
        <f>(PI()*((51/2)^2-(16.545/2)^2)/(BV122/10))/100</f>
        <v>179.90433723502775</v>
      </c>
      <c r="BY122" s="78">
        <f>BX122-AK122</f>
        <v>9.0792843090575275</v>
      </c>
      <c r="BZ122" s="127">
        <f>BY122/AK122</f>
        <v>5.314960629921292E-2</v>
      </c>
      <c r="CA122" s="76"/>
    </row>
    <row r="123" spans="1:79" s="72" customFormat="1" ht="15" customHeight="1">
      <c r="A123" s="13" t="s">
        <v>466</v>
      </c>
      <c r="B123" s="429" t="s">
        <v>649</v>
      </c>
      <c r="C123" s="13" t="s">
        <v>657</v>
      </c>
      <c r="D123" s="387" t="s">
        <v>657</v>
      </c>
      <c r="E123" s="13" t="s">
        <v>137</v>
      </c>
      <c r="F123" s="13" t="s">
        <v>167</v>
      </c>
      <c r="G123" s="13" t="s">
        <v>664</v>
      </c>
      <c r="H123" s="13" t="s">
        <v>121</v>
      </c>
      <c r="I123" s="13" t="s">
        <v>147</v>
      </c>
      <c r="J123" s="13" t="s">
        <v>5</v>
      </c>
      <c r="K123" s="13" t="s">
        <v>123</v>
      </c>
      <c r="L123" s="13" t="s">
        <v>665</v>
      </c>
      <c r="M123" s="13" t="s">
        <v>125</v>
      </c>
      <c r="N123" s="13" t="s">
        <v>126</v>
      </c>
      <c r="O123" s="247">
        <v>0.35</v>
      </c>
      <c r="P123" s="13">
        <v>99</v>
      </c>
      <c r="Q123" s="13">
        <v>30</v>
      </c>
      <c r="R123" s="13" t="s">
        <v>127</v>
      </c>
      <c r="S123" s="430" t="str">
        <f t="shared" si="49"/>
        <v>N/A</v>
      </c>
      <c r="T123" s="247">
        <v>0.8</v>
      </c>
      <c r="U123" s="13">
        <v>150</v>
      </c>
      <c r="V123" s="13">
        <v>550</v>
      </c>
      <c r="W123" s="430">
        <f t="shared" si="47"/>
        <v>400</v>
      </c>
      <c r="X123" s="430">
        <f t="shared" si="48"/>
        <v>140</v>
      </c>
      <c r="Y123" s="13">
        <v>150</v>
      </c>
      <c r="Z123" s="13">
        <v>600</v>
      </c>
      <c r="AA123" s="430">
        <f t="shared" si="50"/>
        <v>450</v>
      </c>
      <c r="AB123" s="430">
        <f t="shared" si="51"/>
        <v>90</v>
      </c>
      <c r="AC123" s="430" t="str">
        <f t="shared" si="52"/>
        <v>N/A</v>
      </c>
      <c r="AD123" s="430">
        <f t="shared" si="53"/>
        <v>69</v>
      </c>
      <c r="AE123" s="431">
        <f t="shared" si="54"/>
        <v>1.0415000000000001</v>
      </c>
      <c r="AF123" s="431"/>
      <c r="AG123" s="431">
        <f t="shared" si="55"/>
        <v>0.95734090909090919</v>
      </c>
      <c r="AH123" s="431">
        <f t="shared" si="56"/>
        <v>1.0147813636363638</v>
      </c>
      <c r="AI123" s="432">
        <f t="shared" si="57"/>
        <v>870.78682000000003</v>
      </c>
      <c r="AJ123" s="432">
        <f t="shared" si="58"/>
        <v>160.5047604799405</v>
      </c>
      <c r="AK123" s="432">
        <f t="shared" si="59"/>
        <v>175.49957429744424</v>
      </c>
      <c r="AL123" s="432">
        <f t="shared" si="60"/>
        <v>348.86782947274259</v>
      </c>
      <c r="AM123" s="250">
        <v>175</v>
      </c>
      <c r="AN123" s="432">
        <f t="shared" si="61"/>
        <v>173.25</v>
      </c>
      <c r="AO123" s="432">
        <f t="shared" si="62"/>
        <v>175.81087125000005</v>
      </c>
      <c r="AP123" s="432">
        <f t="shared" si="63"/>
        <v>586.0362375000002</v>
      </c>
      <c r="AQ123" s="255" t="s">
        <v>170</v>
      </c>
      <c r="AR123" s="13" t="s">
        <v>642</v>
      </c>
      <c r="AS123" s="434" t="s">
        <v>666</v>
      </c>
      <c r="AT123" s="429"/>
      <c r="AU123" s="241"/>
      <c r="AV123" s="243"/>
      <c r="AW123" s="72" t="s">
        <v>127</v>
      </c>
      <c r="AX123" s="243"/>
      <c r="AY123" s="71">
        <f t="shared" si="67"/>
        <v>0.55555555555555558</v>
      </c>
      <c r="BA123" s="72" t="str">
        <f t="shared" si="68"/>
        <v>W22</v>
      </c>
      <c r="BB123" s="72" t="str">
        <f t="shared" si="69"/>
        <v>Clear</v>
      </c>
      <c r="BC123" s="32"/>
      <c r="BD123" s="241"/>
      <c r="BE123" s="241"/>
      <c r="BF123" s="71"/>
      <c r="BG123" s="241"/>
      <c r="BH123" s="241"/>
      <c r="BI123" s="71"/>
      <c r="BJ123" s="123"/>
      <c r="BK123" s="123"/>
      <c r="BL123" s="126"/>
      <c r="BM123" s="123"/>
      <c r="BN123" s="123"/>
      <c r="BO123" s="108"/>
      <c r="BP123" s="108"/>
      <c r="BQ123" s="115"/>
      <c r="BR123" s="113"/>
      <c r="BS123" s="80"/>
      <c r="BT123" s="22"/>
      <c r="BU123" s="87"/>
      <c r="BV123" s="73"/>
      <c r="BW123" s="109"/>
      <c r="BX123" s="87"/>
      <c r="BY123" s="87"/>
      <c r="BZ123" s="109"/>
      <c r="CA123" s="76"/>
    </row>
    <row r="124" spans="1:79" s="22" customFormat="1" ht="15" customHeight="1">
      <c r="A124" s="13" t="s">
        <v>466</v>
      </c>
      <c r="B124" s="429" t="s">
        <v>649</v>
      </c>
      <c r="C124" s="13" t="s">
        <v>657</v>
      </c>
      <c r="D124" s="387" t="s">
        <v>657</v>
      </c>
      <c r="E124" s="13" t="s">
        <v>137</v>
      </c>
      <c r="F124" s="13" t="s">
        <v>167</v>
      </c>
      <c r="G124" s="13" t="s">
        <v>667</v>
      </c>
      <c r="H124" s="13" t="s">
        <v>121</v>
      </c>
      <c r="I124" s="13" t="s">
        <v>147</v>
      </c>
      <c r="J124" s="13" t="s">
        <v>5</v>
      </c>
      <c r="K124" s="13" t="s">
        <v>123</v>
      </c>
      <c r="L124" s="13" t="s">
        <v>668</v>
      </c>
      <c r="M124" s="13" t="s">
        <v>125</v>
      </c>
      <c r="N124" s="13" t="s">
        <v>126</v>
      </c>
      <c r="O124" s="247">
        <v>0.35</v>
      </c>
      <c r="P124" s="13">
        <v>120</v>
      </c>
      <c r="Q124" s="13">
        <v>30</v>
      </c>
      <c r="R124" s="13" t="s">
        <v>127</v>
      </c>
      <c r="S124" s="430" t="str">
        <f t="shared" si="49"/>
        <v>N/A</v>
      </c>
      <c r="T124" s="247">
        <v>0.8</v>
      </c>
      <c r="U124" s="13">
        <v>200</v>
      </c>
      <c r="V124" s="13">
        <v>600</v>
      </c>
      <c r="W124" s="430">
        <f t="shared" si="47"/>
        <v>400</v>
      </c>
      <c r="X124" s="430">
        <f t="shared" si="48"/>
        <v>300</v>
      </c>
      <c r="Y124" s="13">
        <v>150</v>
      </c>
      <c r="Z124" s="13">
        <v>600</v>
      </c>
      <c r="AA124" s="430">
        <f t="shared" si="50"/>
        <v>450</v>
      </c>
      <c r="AB124" s="430">
        <f t="shared" si="51"/>
        <v>300</v>
      </c>
      <c r="AC124" s="430" t="str">
        <f t="shared" si="52"/>
        <v>N/A</v>
      </c>
      <c r="AD124" s="430">
        <f t="shared" si="53"/>
        <v>90</v>
      </c>
      <c r="AE124" s="431">
        <f t="shared" si="54"/>
        <v>1.115</v>
      </c>
      <c r="AF124" s="431"/>
      <c r="AG124" s="431">
        <f t="shared" si="55"/>
        <v>0.99687499999999996</v>
      </c>
      <c r="AH124" s="431">
        <f t="shared" si="56"/>
        <v>1.0566875</v>
      </c>
      <c r="AI124" s="432">
        <f t="shared" si="57"/>
        <v>870.78682000000003</v>
      </c>
      <c r="AJ124" s="432">
        <f t="shared" si="58"/>
        <v>149.92440182946908</v>
      </c>
      <c r="AK124" s="432">
        <f t="shared" si="59"/>
        <v>163.93076827873378</v>
      </c>
      <c r="AL124" s="432">
        <f t="shared" si="60"/>
        <v>325.870712462656</v>
      </c>
      <c r="AM124" s="250">
        <v>164</v>
      </c>
      <c r="AN124" s="432">
        <f t="shared" si="61"/>
        <v>196.8</v>
      </c>
      <c r="AO124" s="432">
        <f t="shared" si="62"/>
        <v>207.95610000000002</v>
      </c>
      <c r="AP124" s="432">
        <f t="shared" si="63"/>
        <v>693.18700000000013</v>
      </c>
      <c r="AQ124" s="255" t="s">
        <v>170</v>
      </c>
      <c r="AR124" s="13" t="s">
        <v>642</v>
      </c>
      <c r="AS124" s="434" t="s">
        <v>669</v>
      </c>
      <c r="AT124" s="429" t="s">
        <v>670</v>
      </c>
      <c r="AU124" s="241"/>
      <c r="AV124" s="243"/>
      <c r="AW124" s="72" t="s">
        <v>127</v>
      </c>
      <c r="AX124" s="243"/>
      <c r="AY124" s="71">
        <f t="shared" si="67"/>
        <v>0.5</v>
      </c>
      <c r="AZ124" s="72"/>
      <c r="BA124" s="72" t="str">
        <f t="shared" si="68"/>
        <v>W22</v>
      </c>
      <c r="BB124" s="72" t="str">
        <f t="shared" si="69"/>
        <v>Clear</v>
      </c>
      <c r="BC124" s="32"/>
      <c r="BD124" s="241"/>
      <c r="BE124" s="241"/>
      <c r="BF124" s="71"/>
      <c r="BG124" s="241"/>
      <c r="BH124" s="241"/>
      <c r="BI124" s="71"/>
      <c r="BJ124" s="123"/>
      <c r="BK124" s="123"/>
      <c r="BL124" s="126"/>
      <c r="BM124" s="123"/>
      <c r="BN124" s="123"/>
      <c r="BO124" s="108"/>
      <c r="BP124" s="108"/>
      <c r="BQ124" s="159"/>
      <c r="BR124" s="159"/>
      <c r="BS124" s="100"/>
      <c r="BT124" s="72"/>
      <c r="BU124" s="78"/>
      <c r="BV124" s="32"/>
      <c r="BW124" s="127"/>
      <c r="BX124" s="78"/>
      <c r="BY124" s="78"/>
      <c r="BZ124" s="127"/>
      <c r="CA124" s="76"/>
    </row>
    <row r="125" spans="1:79" s="22" customFormat="1" ht="15" customHeight="1">
      <c r="A125" s="13" t="s">
        <v>466</v>
      </c>
      <c r="B125" s="429" t="s">
        <v>649</v>
      </c>
      <c r="C125" s="13" t="s">
        <v>657</v>
      </c>
      <c r="D125" s="387" t="s">
        <v>657</v>
      </c>
      <c r="E125" s="13" t="s">
        <v>137</v>
      </c>
      <c r="F125" s="13" t="s">
        <v>167</v>
      </c>
      <c r="G125" s="13" t="s">
        <v>671</v>
      </c>
      <c r="H125" s="13" t="s">
        <v>121</v>
      </c>
      <c r="I125" s="13" t="s">
        <v>147</v>
      </c>
      <c r="J125" s="13" t="s">
        <v>5</v>
      </c>
      <c r="K125" s="13" t="s">
        <v>123</v>
      </c>
      <c r="L125" s="429" t="s">
        <v>672</v>
      </c>
      <c r="M125" s="13" t="s">
        <v>125</v>
      </c>
      <c r="N125" s="13" t="s">
        <v>126</v>
      </c>
      <c r="O125" s="247">
        <v>0.4</v>
      </c>
      <c r="P125" s="13">
        <v>85</v>
      </c>
      <c r="Q125" s="13">
        <v>20</v>
      </c>
      <c r="R125" s="13" t="s">
        <v>127</v>
      </c>
      <c r="S125" s="430" t="str">
        <f t="shared" si="49"/>
        <v>N/A</v>
      </c>
      <c r="T125" s="247">
        <v>0.8</v>
      </c>
      <c r="U125" s="13">
        <v>150</v>
      </c>
      <c r="V125" s="13">
        <v>500</v>
      </c>
      <c r="W125" s="430">
        <f t="shared" si="47"/>
        <v>350</v>
      </c>
      <c r="X125" s="430">
        <f t="shared" si="48"/>
        <v>150</v>
      </c>
      <c r="Y125" s="13">
        <v>150</v>
      </c>
      <c r="Z125" s="13">
        <v>550</v>
      </c>
      <c r="AA125" s="430">
        <f t="shared" si="50"/>
        <v>400</v>
      </c>
      <c r="AB125" s="430">
        <f t="shared" si="51"/>
        <v>100</v>
      </c>
      <c r="AC125" s="430" t="str">
        <f t="shared" si="52"/>
        <v>N/A</v>
      </c>
      <c r="AD125" s="430">
        <f t="shared" si="53"/>
        <v>65</v>
      </c>
      <c r="AE125" s="431">
        <f t="shared" si="54"/>
        <v>1.06</v>
      </c>
      <c r="AF125" s="431"/>
      <c r="AG125" s="431">
        <f t="shared" si="55"/>
        <v>0.96058823529411774</v>
      </c>
      <c r="AH125" s="431">
        <f t="shared" si="56"/>
        <v>1.0182235294117647</v>
      </c>
      <c r="AI125" s="432">
        <f t="shared" si="57"/>
        <v>874.04208000000006</v>
      </c>
      <c r="AJ125" s="432">
        <f t="shared" si="58"/>
        <v>157.70349815080945</v>
      </c>
      <c r="AK125" s="432">
        <f t="shared" si="59"/>
        <v>172.43661002904545</v>
      </c>
      <c r="AL125" s="432">
        <f t="shared" si="60"/>
        <v>342.77909848666172</v>
      </c>
      <c r="AM125" s="250">
        <v>172</v>
      </c>
      <c r="AN125" s="432">
        <f t="shared" si="61"/>
        <v>146.19999999999999</v>
      </c>
      <c r="AO125" s="432">
        <f t="shared" si="62"/>
        <v>148.86428000000001</v>
      </c>
      <c r="AP125" s="432">
        <f t="shared" si="63"/>
        <v>744.32140000000004</v>
      </c>
      <c r="AQ125" s="255" t="s">
        <v>170</v>
      </c>
      <c r="AR125" s="13" t="s">
        <v>642</v>
      </c>
      <c r="AS125" s="434" t="s">
        <v>673</v>
      </c>
      <c r="AT125" s="429"/>
      <c r="AU125" s="241"/>
      <c r="AV125" s="243"/>
      <c r="AW125" s="72" t="s">
        <v>127</v>
      </c>
      <c r="AX125" s="243"/>
      <c r="AY125" s="71">
        <f t="shared" si="67"/>
        <v>0.58823529411764708</v>
      </c>
      <c r="AZ125" s="72"/>
      <c r="BA125" s="72" t="str">
        <f t="shared" si="68"/>
        <v>W22</v>
      </c>
      <c r="BB125" s="72" t="str">
        <f t="shared" si="69"/>
        <v>Clear</v>
      </c>
      <c r="BC125" s="32"/>
      <c r="BD125" s="241"/>
      <c r="BE125" s="241"/>
      <c r="BF125" s="71"/>
      <c r="BG125" s="241"/>
      <c r="BH125" s="241"/>
      <c r="BI125" s="71"/>
      <c r="BJ125" s="123"/>
      <c r="BK125" s="123"/>
      <c r="BL125" s="126"/>
      <c r="BM125" s="123"/>
      <c r="BN125" s="123"/>
      <c r="BO125" s="108"/>
      <c r="BP125" s="108"/>
      <c r="BQ125" s="124"/>
      <c r="BR125" s="124"/>
      <c r="BS125" s="71"/>
      <c r="BT125" s="72"/>
      <c r="BU125" s="78"/>
      <c r="BV125" s="32"/>
      <c r="BW125" s="127"/>
      <c r="BX125" s="78"/>
      <c r="BY125" s="78"/>
      <c r="BZ125" s="127"/>
      <c r="CA125" s="76"/>
    </row>
    <row r="126" spans="1:79" s="77" customFormat="1">
      <c r="A126" s="13" t="s">
        <v>466</v>
      </c>
      <c r="B126" s="429" t="s">
        <v>649</v>
      </c>
      <c r="C126" s="13" t="s">
        <v>657</v>
      </c>
      <c r="D126" s="387" t="s">
        <v>657</v>
      </c>
      <c r="E126" s="13" t="s">
        <v>137</v>
      </c>
      <c r="F126" s="13" t="s">
        <v>167</v>
      </c>
      <c r="G126" s="13" t="s">
        <v>674</v>
      </c>
      <c r="H126" s="13" t="s">
        <v>121</v>
      </c>
      <c r="I126" s="13" t="s">
        <v>147</v>
      </c>
      <c r="J126" s="13" t="s">
        <v>5</v>
      </c>
      <c r="K126" s="13" t="s">
        <v>123</v>
      </c>
      <c r="L126" s="429" t="s">
        <v>675</v>
      </c>
      <c r="M126" s="13" t="s">
        <v>125</v>
      </c>
      <c r="N126" s="13" t="s">
        <v>126</v>
      </c>
      <c r="O126" s="247">
        <v>0.4</v>
      </c>
      <c r="P126" s="13">
        <v>99</v>
      </c>
      <c r="Q126" s="13">
        <v>30</v>
      </c>
      <c r="R126" s="13" t="s">
        <v>127</v>
      </c>
      <c r="S126" s="430" t="str">
        <f t="shared" si="49"/>
        <v>N/A</v>
      </c>
      <c r="T126" s="247">
        <v>0.8</v>
      </c>
      <c r="U126" s="13">
        <v>150</v>
      </c>
      <c r="V126" s="13">
        <v>550</v>
      </c>
      <c r="W126" s="430">
        <f t="shared" si="47"/>
        <v>400</v>
      </c>
      <c r="X126" s="430">
        <f t="shared" si="48"/>
        <v>140</v>
      </c>
      <c r="Y126" s="13">
        <v>150</v>
      </c>
      <c r="Z126" s="13">
        <v>600</v>
      </c>
      <c r="AA126" s="430">
        <f t="shared" si="50"/>
        <v>450</v>
      </c>
      <c r="AB126" s="430">
        <f t="shared" si="51"/>
        <v>90</v>
      </c>
      <c r="AC126" s="430" t="str">
        <f t="shared" si="52"/>
        <v>N/A</v>
      </c>
      <c r="AD126" s="430">
        <f t="shared" si="53"/>
        <v>69</v>
      </c>
      <c r="AE126" s="431">
        <f t="shared" si="54"/>
        <v>1.0760000000000001</v>
      </c>
      <c r="AF126" s="431"/>
      <c r="AG126" s="431">
        <f t="shared" si="55"/>
        <v>0.97981818181818192</v>
      </c>
      <c r="AH126" s="431">
        <f t="shared" si="56"/>
        <v>1.0386072727272728</v>
      </c>
      <c r="AI126" s="432">
        <f t="shared" si="57"/>
        <v>874.04208000000006</v>
      </c>
      <c r="AJ126" s="432">
        <f t="shared" si="58"/>
        <v>155.35846472105766</v>
      </c>
      <c r="AK126" s="432">
        <f t="shared" si="59"/>
        <v>169.87249686876225</v>
      </c>
      <c r="AL126" s="432">
        <f t="shared" si="60"/>
        <v>337.6820115203173</v>
      </c>
      <c r="AM126" s="250">
        <v>170</v>
      </c>
      <c r="AN126" s="432">
        <f t="shared" si="61"/>
        <v>168.3</v>
      </c>
      <c r="AO126" s="432">
        <f t="shared" si="62"/>
        <v>174.79760400000004</v>
      </c>
      <c r="AP126" s="432">
        <f t="shared" si="63"/>
        <v>582.65868000000012</v>
      </c>
      <c r="AQ126" s="255" t="s">
        <v>170</v>
      </c>
      <c r="AR126" s="13" t="s">
        <v>642</v>
      </c>
      <c r="AS126" s="434" t="s">
        <v>676</v>
      </c>
      <c r="AT126" s="429"/>
      <c r="AU126" s="241"/>
      <c r="AV126" s="243"/>
      <c r="AW126" s="72" t="s">
        <v>127</v>
      </c>
      <c r="AX126" s="243"/>
      <c r="AY126" s="71">
        <f t="shared" si="67"/>
        <v>0.55555555555555558</v>
      </c>
      <c r="AZ126" s="72"/>
      <c r="BA126" s="72" t="str">
        <f t="shared" si="68"/>
        <v>W22</v>
      </c>
      <c r="BB126" s="72" t="str">
        <f t="shared" si="69"/>
        <v>Clear</v>
      </c>
      <c r="BC126" s="32"/>
      <c r="BD126" s="241"/>
      <c r="BE126" s="241"/>
      <c r="BF126" s="71"/>
      <c r="BG126" s="241"/>
      <c r="BH126" s="241"/>
      <c r="BI126" s="71"/>
      <c r="BJ126" s="123"/>
      <c r="BK126" s="123"/>
      <c r="BL126" s="126"/>
      <c r="BM126" s="123"/>
      <c r="BN126" s="123"/>
      <c r="BO126" s="108"/>
      <c r="BP126" s="108"/>
      <c r="BQ126" s="130"/>
      <c r="BR126" s="100"/>
      <c r="BS126" s="100"/>
      <c r="BU126" s="282"/>
      <c r="BV126" s="264"/>
      <c r="BW126" s="169"/>
      <c r="BX126" s="282"/>
      <c r="BY126" s="282"/>
      <c r="BZ126" s="169"/>
      <c r="CA126" s="271"/>
    </row>
    <row r="127" spans="1:79" s="72" customFormat="1">
      <c r="A127" s="13" t="s">
        <v>466</v>
      </c>
      <c r="B127" s="429" t="s">
        <v>649</v>
      </c>
      <c r="C127" s="13" t="s">
        <v>657</v>
      </c>
      <c r="D127" s="387" t="s">
        <v>657</v>
      </c>
      <c r="E127" s="13" t="s">
        <v>137</v>
      </c>
      <c r="F127" s="13" t="s">
        <v>167</v>
      </c>
      <c r="G127" s="13" t="s">
        <v>677</v>
      </c>
      <c r="H127" s="13" t="s">
        <v>121</v>
      </c>
      <c r="I127" s="13" t="s">
        <v>147</v>
      </c>
      <c r="J127" s="13" t="s">
        <v>5</v>
      </c>
      <c r="K127" s="13" t="s">
        <v>123</v>
      </c>
      <c r="L127" s="429" t="s">
        <v>678</v>
      </c>
      <c r="M127" s="13" t="s">
        <v>125</v>
      </c>
      <c r="N127" s="13" t="s">
        <v>126</v>
      </c>
      <c r="O127" s="247">
        <v>0.4</v>
      </c>
      <c r="P127" s="438">
        <v>120</v>
      </c>
      <c r="Q127" s="13">
        <v>30</v>
      </c>
      <c r="R127" s="13" t="s">
        <v>127</v>
      </c>
      <c r="S127" s="430" t="str">
        <f t="shared" si="49"/>
        <v>N/A</v>
      </c>
      <c r="T127" s="247">
        <v>0.8</v>
      </c>
      <c r="U127" s="13">
        <v>200</v>
      </c>
      <c r="V127" s="13">
        <v>600</v>
      </c>
      <c r="W127" s="430">
        <f t="shared" si="47"/>
        <v>400</v>
      </c>
      <c r="X127" s="430">
        <f t="shared" si="48"/>
        <v>300</v>
      </c>
      <c r="Y127" s="13">
        <v>150</v>
      </c>
      <c r="Z127" s="13">
        <v>600</v>
      </c>
      <c r="AA127" s="430">
        <f t="shared" si="50"/>
        <v>450</v>
      </c>
      <c r="AB127" s="430">
        <f t="shared" si="51"/>
        <v>300</v>
      </c>
      <c r="AC127" s="430" t="str">
        <f t="shared" si="52"/>
        <v>N/A</v>
      </c>
      <c r="AD127" s="430">
        <f t="shared" si="53"/>
        <v>90</v>
      </c>
      <c r="AE127" s="431">
        <f t="shared" si="54"/>
        <v>1.1600000000000001</v>
      </c>
      <c r="AF127" s="431"/>
      <c r="AG127" s="431">
        <f t="shared" si="55"/>
        <v>1.0249999999999999</v>
      </c>
      <c r="AH127" s="431">
        <f t="shared" si="56"/>
        <v>1.0864999999999998</v>
      </c>
      <c r="AI127" s="432">
        <f t="shared" si="57"/>
        <v>874.04208000000006</v>
      </c>
      <c r="AJ127" s="432">
        <f t="shared" si="58"/>
        <v>144.1083689998776</v>
      </c>
      <c r="AK127" s="432">
        <f t="shared" si="59"/>
        <v>157.57138502654149</v>
      </c>
      <c r="AL127" s="432">
        <f t="shared" si="60"/>
        <v>313.22917620332879</v>
      </c>
      <c r="AM127" s="250">
        <v>158</v>
      </c>
      <c r="AN127" s="432">
        <f t="shared" si="61"/>
        <v>189.6</v>
      </c>
      <c r="AO127" s="432">
        <f t="shared" si="62"/>
        <v>206.00039999999996</v>
      </c>
      <c r="AP127" s="432">
        <f t="shared" si="63"/>
        <v>686.66799999999989</v>
      </c>
      <c r="AQ127" s="255" t="s">
        <v>170</v>
      </c>
      <c r="AR127" s="13" t="s">
        <v>642</v>
      </c>
      <c r="AS127" s="434" t="s">
        <v>679</v>
      </c>
      <c r="AT127" s="429"/>
      <c r="AU127" s="241"/>
      <c r="AV127" s="243"/>
      <c r="AW127" s="72" t="s">
        <v>127</v>
      </c>
      <c r="AX127" s="243"/>
      <c r="AY127" s="71">
        <f t="shared" si="67"/>
        <v>0.5</v>
      </c>
      <c r="BA127" s="72" t="str">
        <f t="shared" si="68"/>
        <v>W22</v>
      </c>
      <c r="BB127" s="72" t="str">
        <f t="shared" si="69"/>
        <v>Clear</v>
      </c>
      <c r="BC127" s="32"/>
      <c r="BD127" s="241"/>
      <c r="BE127" s="241"/>
      <c r="BF127" s="71"/>
      <c r="BG127" s="241"/>
      <c r="BH127" s="241"/>
      <c r="BI127" s="71"/>
      <c r="BJ127" s="123"/>
      <c r="BK127" s="123"/>
      <c r="BL127" s="126"/>
      <c r="BM127" s="123"/>
      <c r="BN127" s="123"/>
      <c r="BO127" s="108"/>
      <c r="BP127" s="108"/>
      <c r="BQ127" s="124"/>
      <c r="BR127" s="124"/>
      <c r="BS127" s="71"/>
      <c r="BU127" s="78"/>
      <c r="BV127" s="32"/>
      <c r="BW127" s="127"/>
      <c r="BX127" s="78"/>
      <c r="BY127" s="78"/>
      <c r="BZ127" s="127"/>
      <c r="CA127" s="76"/>
    </row>
    <row r="128" spans="1:79" s="22" customFormat="1">
      <c r="A128" s="13" t="s">
        <v>466</v>
      </c>
      <c r="B128" s="429" t="s">
        <v>649</v>
      </c>
      <c r="C128" s="13" t="s">
        <v>657</v>
      </c>
      <c r="D128" s="387" t="s">
        <v>657</v>
      </c>
      <c r="E128" s="13" t="s">
        <v>137</v>
      </c>
      <c r="F128" s="13" t="s">
        <v>167</v>
      </c>
      <c r="G128" s="13" t="s">
        <v>680</v>
      </c>
      <c r="H128" s="13" t="s">
        <v>121</v>
      </c>
      <c r="I128" s="13" t="s">
        <v>147</v>
      </c>
      <c r="J128" s="13" t="s">
        <v>5</v>
      </c>
      <c r="K128" s="13" t="s">
        <v>123</v>
      </c>
      <c r="L128" s="429" t="s">
        <v>681</v>
      </c>
      <c r="M128" s="13" t="s">
        <v>125</v>
      </c>
      <c r="N128" s="13" t="s">
        <v>126</v>
      </c>
      <c r="O128" s="247">
        <v>0.44</v>
      </c>
      <c r="P128" s="13">
        <v>99</v>
      </c>
      <c r="Q128" s="13">
        <v>30</v>
      </c>
      <c r="R128" s="13" t="s">
        <v>127</v>
      </c>
      <c r="S128" s="430" t="str">
        <f t="shared" si="49"/>
        <v>N/A</v>
      </c>
      <c r="T128" s="247">
        <v>0.8</v>
      </c>
      <c r="U128" s="13">
        <v>170</v>
      </c>
      <c r="V128" s="13">
        <v>570</v>
      </c>
      <c r="W128" s="430">
        <f t="shared" si="47"/>
        <v>400</v>
      </c>
      <c r="X128" s="430">
        <f t="shared" si="48"/>
        <v>120</v>
      </c>
      <c r="Y128" s="13">
        <v>150</v>
      </c>
      <c r="Z128" s="13">
        <v>600</v>
      </c>
      <c r="AA128" s="430">
        <f t="shared" si="50"/>
        <v>450</v>
      </c>
      <c r="AB128" s="430">
        <f t="shared" si="51"/>
        <v>90</v>
      </c>
      <c r="AC128" s="430" t="str">
        <f t="shared" si="52"/>
        <v>N/A</v>
      </c>
      <c r="AD128" s="430">
        <f t="shared" si="53"/>
        <v>69</v>
      </c>
      <c r="AE128" s="431">
        <f t="shared" si="54"/>
        <v>1.1036000000000001</v>
      </c>
      <c r="AF128" s="431"/>
      <c r="AG128" s="431">
        <f t="shared" si="55"/>
        <v>0.99780000000000013</v>
      </c>
      <c r="AH128" s="431">
        <f t="shared" si="56"/>
        <v>1.0576680000000001</v>
      </c>
      <c r="AI128" s="432">
        <f t="shared" si="57"/>
        <v>876.64628800000003</v>
      </c>
      <c r="AJ128" s="432">
        <f t="shared" si="58"/>
        <v>151.47309536050926</v>
      </c>
      <c r="AK128" s="432">
        <f t="shared" si="59"/>
        <v>165.62414518918823</v>
      </c>
      <c r="AL128" s="432">
        <f t="shared" si="60"/>
        <v>329.23690140980557</v>
      </c>
      <c r="AM128" s="250">
        <v>166</v>
      </c>
      <c r="AN128" s="432">
        <f t="shared" si="61"/>
        <v>164.34</v>
      </c>
      <c r="AO128" s="432">
        <f t="shared" si="62"/>
        <v>173.81715912000001</v>
      </c>
      <c r="AP128" s="432">
        <f t="shared" si="63"/>
        <v>579.3905304000001</v>
      </c>
      <c r="AQ128" s="255">
        <v>44980</v>
      </c>
      <c r="AR128" s="13" t="s">
        <v>682</v>
      </c>
      <c r="AS128" s="434" t="s">
        <v>683</v>
      </c>
      <c r="AT128" s="429" t="s">
        <v>684</v>
      </c>
      <c r="AU128" s="241"/>
      <c r="AV128" s="243"/>
      <c r="AW128" s="72" t="s">
        <v>127</v>
      </c>
      <c r="AX128" s="243"/>
      <c r="AY128" s="71">
        <f t="shared" si="67"/>
        <v>0.5757575757575758</v>
      </c>
      <c r="AZ128" s="72"/>
      <c r="BA128" s="72" t="str">
        <f t="shared" si="68"/>
        <v>W22</v>
      </c>
      <c r="BB128" s="72" t="str">
        <f t="shared" si="69"/>
        <v>Clear</v>
      </c>
      <c r="BC128" s="32">
        <f>IF(Q128="","",((P128/100*O128)+T128))</f>
        <v>1.2356</v>
      </c>
      <c r="BD128" s="241">
        <f>IF(BC128="","",((PI()*((51/2)^2-(16.545/2)^2)/(BC128/10))/100))</f>
        <v>147.93040355356763</v>
      </c>
      <c r="BE128" s="241">
        <f>IF(BC128="","",(BD128-AK128))</f>
        <v>-17.693741635620597</v>
      </c>
      <c r="BF128" s="71">
        <f>IF(BC128="","",(BE128/AK128))</f>
        <v>-0.10683068954354143</v>
      </c>
      <c r="BG128" s="241">
        <f>IF(BF128="","",((PI()*((70/2)^2-(16.545/2)^2)/(BC128/10))/100))</f>
        <v>294.06429620901707</v>
      </c>
      <c r="BH128" s="241">
        <f>IF(BF128="","",(BG128-AL128))</f>
        <v>-35.172605200788496</v>
      </c>
      <c r="BI128" s="71">
        <f>IF(BG128="","",(BH128/AL128))</f>
        <v>-0.10683068954354143</v>
      </c>
      <c r="BJ128" s="123"/>
      <c r="BK128" s="123">
        <v>20</v>
      </c>
      <c r="BL128" s="126">
        <f>AH128</f>
        <v>1.0576680000000001</v>
      </c>
      <c r="BM128" s="123">
        <f>BK128/AH128</f>
        <v>18.909525484367496</v>
      </c>
      <c r="BN128" s="123">
        <f>BK128-BM128</f>
        <v>1.0904745156325042</v>
      </c>
      <c r="BO128" s="123">
        <v>18.329999999999998</v>
      </c>
      <c r="BP128" s="108">
        <f>BO128-BM128</f>
        <v>-0.57952548436749751</v>
      </c>
      <c r="BQ128" s="141"/>
      <c r="BR128" s="71"/>
      <c r="BS128" s="71"/>
      <c r="BT128" s="13">
        <f>P128-V128/10-120/10</f>
        <v>30</v>
      </c>
      <c r="BU128" s="79">
        <f>BT128-Q128</f>
        <v>0</v>
      </c>
      <c r="BV128" s="29">
        <f>T128+(O128/100*(P128-BT128))</f>
        <v>1.1036000000000001</v>
      </c>
      <c r="BW128" s="86">
        <f>(AE128-BV128)/AE128</f>
        <v>0</v>
      </c>
      <c r="BX128" s="79">
        <f>(PI()*((51/2)^2-(16.545/2)^2)/(BV128/10))/100</f>
        <v>165.62414518918823</v>
      </c>
      <c r="BY128" s="79">
        <f>BX128-AK128</f>
        <v>0</v>
      </c>
      <c r="BZ128" s="86">
        <f>BY128/AK128</f>
        <v>0</v>
      </c>
      <c r="CA128" s="76"/>
    </row>
    <row r="129" spans="1:79" s="262" customFormat="1">
      <c r="A129" s="13" t="s">
        <v>466</v>
      </c>
      <c r="B129" s="429" t="s">
        <v>649</v>
      </c>
      <c r="C129" s="13" t="s">
        <v>657</v>
      </c>
      <c r="D129" s="387" t="s">
        <v>657</v>
      </c>
      <c r="E129" s="13" t="s">
        <v>137</v>
      </c>
      <c r="F129" s="13" t="s">
        <v>119</v>
      </c>
      <c r="G129" s="13" t="s">
        <v>685</v>
      </c>
      <c r="H129" s="13" t="s">
        <v>121</v>
      </c>
      <c r="I129" s="13" t="s">
        <v>147</v>
      </c>
      <c r="J129" s="13" t="s">
        <v>5</v>
      </c>
      <c r="K129" s="13" t="s">
        <v>123</v>
      </c>
      <c r="L129" s="13" t="s">
        <v>686</v>
      </c>
      <c r="M129" s="13" t="s">
        <v>125</v>
      </c>
      <c r="N129" s="13" t="s">
        <v>126</v>
      </c>
      <c r="O129" s="247">
        <v>0.44</v>
      </c>
      <c r="P129" s="13">
        <v>99</v>
      </c>
      <c r="Q129" s="13">
        <v>25</v>
      </c>
      <c r="R129" s="13" t="s">
        <v>127</v>
      </c>
      <c r="S129" s="430" t="str">
        <f t="shared" si="49"/>
        <v>N/A</v>
      </c>
      <c r="T129" s="247">
        <v>0.8</v>
      </c>
      <c r="U129" s="13">
        <v>170</v>
      </c>
      <c r="V129" s="13">
        <v>570</v>
      </c>
      <c r="W129" s="430">
        <f t="shared" si="47"/>
        <v>400</v>
      </c>
      <c r="X129" s="430">
        <f t="shared" si="48"/>
        <v>170</v>
      </c>
      <c r="Y129" s="13">
        <v>150</v>
      </c>
      <c r="Z129" s="13">
        <v>600</v>
      </c>
      <c r="AA129" s="430">
        <f t="shared" si="50"/>
        <v>450</v>
      </c>
      <c r="AB129" s="430">
        <f t="shared" si="51"/>
        <v>140</v>
      </c>
      <c r="AC129" s="430" t="str">
        <f t="shared" si="52"/>
        <v>N/A</v>
      </c>
      <c r="AD129" s="430">
        <f t="shared" si="53"/>
        <v>74</v>
      </c>
      <c r="AE129" s="431">
        <f t="shared" si="54"/>
        <v>1.1255999999999999</v>
      </c>
      <c r="AF129" s="431"/>
      <c r="AG129" s="431">
        <f t="shared" si="55"/>
        <v>1.003911111111111</v>
      </c>
      <c r="AH129" s="431">
        <f t="shared" si="56"/>
        <v>1.0641457777777776</v>
      </c>
      <c r="AI129" s="432">
        <f t="shared" si="57"/>
        <v>876.64628800000003</v>
      </c>
      <c r="AJ129" s="432">
        <f t="shared" si="58"/>
        <v>148.51253379518303</v>
      </c>
      <c r="AK129" s="432">
        <f t="shared" si="59"/>
        <v>162.38699949430367</v>
      </c>
      <c r="AL129" s="432">
        <f t="shared" si="60"/>
        <v>322.80192288189539</v>
      </c>
      <c r="AM129" s="250">
        <v>162</v>
      </c>
      <c r="AN129" s="432">
        <f t="shared" si="61"/>
        <v>160.38</v>
      </c>
      <c r="AO129" s="432">
        <f t="shared" si="62"/>
        <v>170.66769983999998</v>
      </c>
      <c r="AP129" s="432">
        <f t="shared" si="63"/>
        <v>682.67079935999993</v>
      </c>
      <c r="AQ129" s="255" t="s">
        <v>132</v>
      </c>
      <c r="AR129" s="13" t="s">
        <v>687</v>
      </c>
      <c r="AS129" s="434" t="s">
        <v>688</v>
      </c>
      <c r="AT129" s="429" t="s">
        <v>689</v>
      </c>
      <c r="AU129" s="252"/>
      <c r="AV129" s="260"/>
      <c r="AW129" s="13"/>
      <c r="AX129" s="260"/>
      <c r="AY129" s="103">
        <f t="shared" si="67"/>
        <v>0.5757575757575758</v>
      </c>
      <c r="AZ129" s="22"/>
      <c r="BA129" s="13"/>
      <c r="BB129" s="72"/>
      <c r="BC129" s="32"/>
      <c r="BD129" s="241"/>
      <c r="BE129" s="241"/>
      <c r="BF129" s="71"/>
      <c r="BG129" s="241"/>
      <c r="BH129" s="241"/>
      <c r="BI129" s="71"/>
      <c r="BJ129" s="114"/>
      <c r="BK129" s="111"/>
      <c r="BL129" s="112"/>
      <c r="BM129" s="111"/>
      <c r="BN129" s="123"/>
      <c r="BO129" s="111"/>
      <c r="BP129" s="83"/>
      <c r="BQ129" s="130"/>
      <c r="BR129" s="100"/>
      <c r="BS129" s="100"/>
      <c r="BT129" s="72"/>
      <c r="BU129" s="78"/>
      <c r="BV129" s="32"/>
      <c r="BW129" s="127"/>
      <c r="BX129" s="78"/>
      <c r="BY129" s="78"/>
      <c r="BZ129" s="127"/>
      <c r="CA129" s="76"/>
    </row>
    <row r="130" spans="1:79" s="72" customFormat="1" ht="15" customHeight="1">
      <c r="A130" s="13" t="s">
        <v>466</v>
      </c>
      <c r="B130" s="429" t="s">
        <v>649</v>
      </c>
      <c r="C130" s="13" t="s">
        <v>657</v>
      </c>
      <c r="D130" s="387" t="s">
        <v>657</v>
      </c>
      <c r="E130" s="13" t="s">
        <v>137</v>
      </c>
      <c r="F130" s="13" t="s">
        <v>167</v>
      </c>
      <c r="G130" s="13" t="s">
        <v>690</v>
      </c>
      <c r="H130" s="13" t="s">
        <v>121</v>
      </c>
      <c r="I130" s="13" t="s">
        <v>147</v>
      </c>
      <c r="J130" s="13" t="s">
        <v>5</v>
      </c>
      <c r="K130" s="13" t="s">
        <v>123</v>
      </c>
      <c r="L130" s="429" t="s">
        <v>691</v>
      </c>
      <c r="M130" s="13" t="s">
        <v>125</v>
      </c>
      <c r="N130" s="13" t="s">
        <v>126</v>
      </c>
      <c r="O130" s="247">
        <v>0.44</v>
      </c>
      <c r="P130" s="13">
        <v>106</v>
      </c>
      <c r="Q130" s="13">
        <v>30</v>
      </c>
      <c r="R130" s="13" t="s">
        <v>127</v>
      </c>
      <c r="S130" s="430" t="str">
        <f t="shared" si="49"/>
        <v>N/A</v>
      </c>
      <c r="T130" s="247">
        <v>0.8</v>
      </c>
      <c r="U130" s="13">
        <v>200</v>
      </c>
      <c r="V130" s="13">
        <v>600</v>
      </c>
      <c r="W130" s="430">
        <f t="shared" si="47"/>
        <v>400</v>
      </c>
      <c r="X130" s="430">
        <f t="shared" si="48"/>
        <v>160</v>
      </c>
      <c r="Y130" s="13">
        <v>150</v>
      </c>
      <c r="Z130" s="13">
        <v>600</v>
      </c>
      <c r="AA130" s="430">
        <f t="shared" si="50"/>
        <v>450</v>
      </c>
      <c r="AB130" s="430">
        <f t="shared" si="51"/>
        <v>160</v>
      </c>
      <c r="AC130" s="430" t="str">
        <f t="shared" si="52"/>
        <v>N/A</v>
      </c>
      <c r="AD130" s="430">
        <f t="shared" si="53"/>
        <v>76</v>
      </c>
      <c r="AE130" s="431">
        <f t="shared" si="54"/>
        <v>1.1344000000000001</v>
      </c>
      <c r="AF130" s="431"/>
      <c r="AG130" s="431">
        <f t="shared" si="55"/>
        <v>1.0145207547169814</v>
      </c>
      <c r="AH130" s="431">
        <f t="shared" si="56"/>
        <v>1.0753920000000003</v>
      </c>
      <c r="AI130" s="432">
        <f t="shared" si="57"/>
        <v>876.64628800000003</v>
      </c>
      <c r="AJ130" s="432">
        <f t="shared" si="58"/>
        <v>147.3604619533304</v>
      </c>
      <c r="AK130" s="432">
        <f t="shared" si="59"/>
        <v>161.12729780570183</v>
      </c>
      <c r="AL130" s="432">
        <f t="shared" si="60"/>
        <v>320.29781769733904</v>
      </c>
      <c r="AM130" s="250">
        <v>161</v>
      </c>
      <c r="AN130" s="432">
        <f t="shared" si="61"/>
        <v>170.66</v>
      </c>
      <c r="AO130" s="432">
        <f t="shared" si="62"/>
        <v>183.52639872000006</v>
      </c>
      <c r="AP130" s="432">
        <f t="shared" si="63"/>
        <v>611.75466240000026</v>
      </c>
      <c r="AQ130" s="255">
        <v>44980</v>
      </c>
      <c r="AR130" s="13" t="s">
        <v>682</v>
      </c>
      <c r="AS130" s="434" t="s">
        <v>692</v>
      </c>
      <c r="AT130" s="429"/>
      <c r="AU130" s="241"/>
      <c r="AV130" s="243"/>
      <c r="AW130" s="72" t="s">
        <v>127</v>
      </c>
      <c r="AX130" s="243"/>
      <c r="AY130" s="71">
        <f t="shared" si="67"/>
        <v>0.56603773584905659</v>
      </c>
      <c r="BA130" s="72" t="str">
        <f t="shared" ref="BA130:BA153" si="70">LEFT(G130,3)</f>
        <v>W22</v>
      </c>
      <c r="BB130" s="72" t="str">
        <f t="shared" ref="BB130:BB148" si="71">IF(R130="n/a","Clear","S/B")</f>
        <v>Clear</v>
      </c>
      <c r="BC130" s="32">
        <f>IF(Q130="","",((P130/100*O130)+T130))</f>
        <v>1.2664</v>
      </c>
      <c r="BD130" s="241">
        <f>IF(BC130="","",((PI()*((51/2)^2-(16.545/2)^2)/(BC130/10))/100))</f>
        <v>144.33260157200581</v>
      </c>
      <c r="BE130" s="241">
        <f>IF(BC130="","",(BD130-AK130))</f>
        <v>-16.794696233696015</v>
      </c>
      <c r="BF130" s="71">
        <f>IF(BC130="","",(BE130/AK130))</f>
        <v>-0.10423246999368284</v>
      </c>
      <c r="BG130" s="241">
        <f>IF(BF130="","",((PI()*((70/2)^2-(16.545/2)^2)/(BC130/10))/100))</f>
        <v>286.9123850251591</v>
      </c>
      <c r="BH130" s="241">
        <f>IF(BF130="","",(BG130-AL130))</f>
        <v>-33.385432672179945</v>
      </c>
      <c r="BI130" s="71">
        <f>IF(BG130="","",(BH130/AL130))</f>
        <v>-0.1042324699936827</v>
      </c>
      <c r="BJ130" s="123"/>
      <c r="BK130" s="123">
        <v>20</v>
      </c>
      <c r="BL130" s="126">
        <f>AH130</f>
        <v>1.0753920000000003</v>
      </c>
      <c r="BM130" s="123">
        <f>BK130/AH130</f>
        <v>18.597869428078312</v>
      </c>
      <c r="BN130" s="123">
        <f>BK130-BM130</f>
        <v>1.4021305719216883</v>
      </c>
      <c r="BO130" s="123">
        <v>18.23</v>
      </c>
      <c r="BP130" s="108">
        <f>BO130-BM130</f>
        <v>-0.36786942807831124</v>
      </c>
      <c r="BQ130" s="71"/>
      <c r="BR130" s="71"/>
      <c r="BS130" s="71"/>
    </row>
    <row r="131" spans="1:79" s="22" customFormat="1">
      <c r="A131" s="13" t="s">
        <v>466</v>
      </c>
      <c r="B131" s="429" t="s">
        <v>649</v>
      </c>
      <c r="C131" s="13" t="s">
        <v>657</v>
      </c>
      <c r="D131" s="387" t="s">
        <v>657</v>
      </c>
      <c r="E131" s="13" t="s">
        <v>137</v>
      </c>
      <c r="F131" s="13" t="s">
        <v>167</v>
      </c>
      <c r="G131" s="13" t="s">
        <v>693</v>
      </c>
      <c r="H131" s="13" t="s">
        <v>121</v>
      </c>
      <c r="I131" s="13" t="s">
        <v>147</v>
      </c>
      <c r="J131" s="13" t="s">
        <v>5</v>
      </c>
      <c r="K131" s="13" t="s">
        <v>123</v>
      </c>
      <c r="L131" s="429" t="s">
        <v>694</v>
      </c>
      <c r="M131" s="13" t="s">
        <v>125</v>
      </c>
      <c r="N131" s="13" t="s">
        <v>126</v>
      </c>
      <c r="O131" s="247">
        <v>0.44</v>
      </c>
      <c r="P131" s="13">
        <v>91</v>
      </c>
      <c r="Q131" s="13">
        <v>25</v>
      </c>
      <c r="R131" s="13" t="s">
        <v>127</v>
      </c>
      <c r="S131" s="430" t="str">
        <f t="shared" si="49"/>
        <v>N/A</v>
      </c>
      <c r="T131" s="247">
        <v>0.8</v>
      </c>
      <c r="U131" s="13">
        <v>150</v>
      </c>
      <c r="V131" s="13">
        <v>500</v>
      </c>
      <c r="W131" s="430">
        <f t="shared" si="47"/>
        <v>350</v>
      </c>
      <c r="X131" s="430">
        <f t="shared" si="48"/>
        <v>160</v>
      </c>
      <c r="Y131" s="13">
        <v>150</v>
      </c>
      <c r="Z131" s="13">
        <v>550</v>
      </c>
      <c r="AA131" s="430">
        <f t="shared" si="50"/>
        <v>400</v>
      </c>
      <c r="AB131" s="430">
        <f t="shared" si="51"/>
        <v>110</v>
      </c>
      <c r="AC131" s="430" t="str">
        <f t="shared" si="52"/>
        <v>N/A</v>
      </c>
      <c r="AD131" s="430">
        <f t="shared" si="53"/>
        <v>66</v>
      </c>
      <c r="AE131" s="431">
        <f t="shared" si="54"/>
        <v>1.0904</v>
      </c>
      <c r="AF131" s="431"/>
      <c r="AG131" s="431">
        <f t="shared" si="55"/>
        <v>0.98509010989010992</v>
      </c>
      <c r="AH131" s="431">
        <f t="shared" si="56"/>
        <v>1.0441955164835166</v>
      </c>
      <c r="AI131" s="432">
        <f t="shared" si="57"/>
        <v>876.64628800000003</v>
      </c>
      <c r="AJ131" s="432">
        <f t="shared" si="58"/>
        <v>153.30677553178469</v>
      </c>
      <c r="AK131" s="432">
        <f t="shared" si="59"/>
        <v>167.62913300695908</v>
      </c>
      <c r="AL131" s="432">
        <f t="shared" si="60"/>
        <v>333.22252787588178</v>
      </c>
      <c r="AM131" s="250">
        <v>168</v>
      </c>
      <c r="AN131" s="432">
        <f t="shared" si="61"/>
        <v>152.88</v>
      </c>
      <c r="AO131" s="432">
        <f t="shared" si="62"/>
        <v>159.63661056000001</v>
      </c>
      <c r="AP131" s="432">
        <f t="shared" si="63"/>
        <v>638.54644224000003</v>
      </c>
      <c r="AQ131" s="255" t="s">
        <v>170</v>
      </c>
      <c r="AR131" s="13" t="s">
        <v>642</v>
      </c>
      <c r="AS131" s="434" t="s">
        <v>695</v>
      </c>
      <c r="AT131" s="429"/>
      <c r="AU131" s="241"/>
      <c r="AV131" s="243"/>
      <c r="AW131" s="72" t="s">
        <v>127</v>
      </c>
      <c r="AX131" s="243"/>
      <c r="AY131" s="71">
        <f t="shared" si="67"/>
        <v>0.5494505494505495</v>
      </c>
      <c r="AZ131" s="72"/>
      <c r="BA131" s="72" t="str">
        <f t="shared" si="70"/>
        <v>W22</v>
      </c>
      <c r="BB131" s="72" t="str">
        <f t="shared" si="71"/>
        <v>Clear</v>
      </c>
      <c r="BC131" s="32"/>
      <c r="BD131" s="241"/>
      <c r="BE131" s="241"/>
      <c r="BF131" s="71"/>
      <c r="BG131" s="241"/>
      <c r="BH131" s="241"/>
      <c r="BI131" s="71"/>
      <c r="BJ131" s="123"/>
      <c r="BK131" s="123"/>
      <c r="BL131" s="126"/>
      <c r="BM131" s="123"/>
      <c r="BN131" s="123"/>
      <c r="BO131" s="108"/>
      <c r="BP131" s="108"/>
      <c r="BQ131" s="164"/>
      <c r="BR131" s="159"/>
      <c r="BS131" s="100"/>
      <c r="BT131" s="72"/>
      <c r="BU131" s="78"/>
      <c r="BV131" s="32"/>
      <c r="BW131" s="127"/>
      <c r="BX131" s="78"/>
      <c r="BY131" s="78"/>
      <c r="BZ131" s="127"/>
      <c r="CA131" s="76"/>
    </row>
    <row r="132" spans="1:79" s="72" customFormat="1">
      <c r="A132" s="13" t="s">
        <v>466</v>
      </c>
      <c r="B132" s="429" t="s">
        <v>649</v>
      </c>
      <c r="C132" s="13" t="s">
        <v>657</v>
      </c>
      <c r="D132" s="387" t="s">
        <v>657</v>
      </c>
      <c r="E132" s="13" t="s">
        <v>137</v>
      </c>
      <c r="F132" s="13" t="s">
        <v>167</v>
      </c>
      <c r="G132" s="13" t="s">
        <v>696</v>
      </c>
      <c r="H132" s="13" t="s">
        <v>121</v>
      </c>
      <c r="I132" s="13" t="s">
        <v>147</v>
      </c>
      <c r="J132" s="13" t="s">
        <v>5</v>
      </c>
      <c r="K132" s="13" t="s">
        <v>123</v>
      </c>
      <c r="L132" s="429" t="s">
        <v>697</v>
      </c>
      <c r="M132" s="13" t="s">
        <v>125</v>
      </c>
      <c r="N132" s="13" t="s">
        <v>126</v>
      </c>
      <c r="O132" s="247">
        <v>0.44</v>
      </c>
      <c r="P132" s="13">
        <v>115</v>
      </c>
      <c r="Q132" s="13">
        <v>30</v>
      </c>
      <c r="R132" s="13" t="s">
        <v>127</v>
      </c>
      <c r="S132" s="430" t="str">
        <f t="shared" si="49"/>
        <v>N/A</v>
      </c>
      <c r="T132" s="247">
        <v>0.8</v>
      </c>
      <c r="U132" s="13">
        <v>200</v>
      </c>
      <c r="V132" s="13">
        <v>600</v>
      </c>
      <c r="W132" s="430">
        <f t="shared" si="47"/>
        <v>400</v>
      </c>
      <c r="X132" s="430">
        <f t="shared" si="48"/>
        <v>250</v>
      </c>
      <c r="Y132" s="13">
        <v>150</v>
      </c>
      <c r="Z132" s="13">
        <v>600</v>
      </c>
      <c r="AA132" s="430">
        <f t="shared" si="50"/>
        <v>450</v>
      </c>
      <c r="AB132" s="430">
        <f t="shared" si="51"/>
        <v>250</v>
      </c>
      <c r="AC132" s="430" t="str">
        <f t="shared" si="52"/>
        <v>N/A</v>
      </c>
      <c r="AD132" s="430">
        <f t="shared" si="53"/>
        <v>85</v>
      </c>
      <c r="AE132" s="431">
        <f t="shared" si="54"/>
        <v>1.1739999999999999</v>
      </c>
      <c r="AF132" s="431"/>
      <c r="AG132" s="431">
        <f t="shared" si="55"/>
        <v>1.0357826086956521</v>
      </c>
      <c r="AH132" s="431">
        <f t="shared" si="56"/>
        <v>1.0979295652173913</v>
      </c>
      <c r="AI132" s="432">
        <f t="shared" si="57"/>
        <v>876.64628800000003</v>
      </c>
      <c r="AJ132" s="432">
        <f t="shared" si="58"/>
        <v>142.38987056205966</v>
      </c>
      <c r="AK132" s="432">
        <f t="shared" si="59"/>
        <v>155.69233954922333</v>
      </c>
      <c r="AL132" s="432">
        <f t="shared" si="60"/>
        <v>309.49390493684967</v>
      </c>
      <c r="AM132" s="250">
        <v>156</v>
      </c>
      <c r="AN132" s="432">
        <f t="shared" si="61"/>
        <v>179.4</v>
      </c>
      <c r="AO132" s="432">
        <f t="shared" si="62"/>
        <v>196.96856399999999</v>
      </c>
      <c r="AP132" s="432">
        <f t="shared" si="63"/>
        <v>656.56187999999997</v>
      </c>
      <c r="AQ132" s="255">
        <v>45039</v>
      </c>
      <c r="AR132" s="13" t="s">
        <v>642</v>
      </c>
      <c r="AS132" s="434" t="s">
        <v>698</v>
      </c>
      <c r="AT132" s="429"/>
      <c r="AU132" s="241"/>
      <c r="AV132" s="243"/>
      <c r="AW132" s="72" t="s">
        <v>127</v>
      </c>
      <c r="AX132" s="243"/>
      <c r="AY132" s="71">
        <f t="shared" si="67"/>
        <v>0.52173913043478259</v>
      </c>
      <c r="BA132" s="72" t="str">
        <f t="shared" si="70"/>
        <v>W22</v>
      </c>
      <c r="BB132" s="72" t="str">
        <f t="shared" si="71"/>
        <v>Clear</v>
      </c>
      <c r="BC132" s="32"/>
      <c r="BD132" s="241"/>
      <c r="BE132" s="241"/>
      <c r="BF132" s="71"/>
      <c r="BG132" s="241"/>
      <c r="BH132" s="241"/>
      <c r="BI132" s="71"/>
      <c r="BJ132" s="123"/>
      <c r="BK132" s="123"/>
      <c r="BL132" s="126"/>
      <c r="BM132" s="123"/>
      <c r="BN132" s="123"/>
      <c r="BO132" s="108"/>
      <c r="BP132" s="108"/>
      <c r="BQ132" s="108"/>
      <c r="BR132" s="71"/>
      <c r="BS132" s="71"/>
      <c r="BU132" s="78"/>
      <c r="BV132" s="32"/>
      <c r="BW132" s="127"/>
      <c r="BX132" s="78"/>
      <c r="BY132" s="78"/>
      <c r="BZ132" s="127"/>
      <c r="CA132" s="76"/>
    </row>
    <row r="133" spans="1:79" s="72" customFormat="1">
      <c r="A133" s="13" t="s">
        <v>466</v>
      </c>
      <c r="B133" s="429" t="s">
        <v>649</v>
      </c>
      <c r="C133" s="13" t="s">
        <v>657</v>
      </c>
      <c r="D133" s="387" t="s">
        <v>657</v>
      </c>
      <c r="E133" s="13" t="s">
        <v>137</v>
      </c>
      <c r="F133" s="13" t="s">
        <v>167</v>
      </c>
      <c r="G133" s="13" t="s">
        <v>699</v>
      </c>
      <c r="H133" s="13" t="s">
        <v>121</v>
      </c>
      <c r="I133" s="13" t="s">
        <v>147</v>
      </c>
      <c r="J133" s="13" t="s">
        <v>5</v>
      </c>
      <c r="K133" s="13" t="s">
        <v>123</v>
      </c>
      <c r="L133" s="429" t="s">
        <v>700</v>
      </c>
      <c r="M133" s="13" t="s">
        <v>125</v>
      </c>
      <c r="N133" s="13" t="s">
        <v>12</v>
      </c>
      <c r="O133" s="247">
        <v>0.44</v>
      </c>
      <c r="P133" s="13">
        <v>99</v>
      </c>
      <c r="Q133" s="13">
        <v>25</v>
      </c>
      <c r="R133" s="13" t="s">
        <v>127</v>
      </c>
      <c r="S133" s="430" t="str">
        <f t="shared" si="49"/>
        <v>N/A</v>
      </c>
      <c r="T133" s="247">
        <v>0.8</v>
      </c>
      <c r="U133" s="13">
        <v>150</v>
      </c>
      <c r="V133" s="13">
        <v>620</v>
      </c>
      <c r="W133" s="430">
        <f t="shared" si="47"/>
        <v>470</v>
      </c>
      <c r="X133" s="430">
        <f t="shared" si="48"/>
        <v>120</v>
      </c>
      <c r="Y133" s="13">
        <f>U133</f>
        <v>150</v>
      </c>
      <c r="Z133" s="13">
        <f>V133</f>
        <v>620</v>
      </c>
      <c r="AA133" s="430">
        <f t="shared" si="50"/>
        <v>470</v>
      </c>
      <c r="AB133" s="430">
        <f t="shared" si="51"/>
        <v>120</v>
      </c>
      <c r="AC133" s="430" t="str">
        <f t="shared" si="52"/>
        <v>N/A</v>
      </c>
      <c r="AD133" s="430">
        <f t="shared" si="53"/>
        <v>74</v>
      </c>
      <c r="AE133" s="431">
        <f t="shared" si="54"/>
        <v>1.1255999999999999</v>
      </c>
      <c r="AF133" s="431"/>
      <c r="AG133" s="431">
        <f t="shared" si="55"/>
        <v>1.003911111111111</v>
      </c>
      <c r="AH133" s="431">
        <f t="shared" si="56"/>
        <v>1.0641457777777776</v>
      </c>
      <c r="AI133" s="432">
        <f t="shared" si="57"/>
        <v>876.64628800000003</v>
      </c>
      <c r="AJ133" s="432">
        <f t="shared" si="58"/>
        <v>148.51253379518303</v>
      </c>
      <c r="AK133" s="432">
        <f t="shared" si="59"/>
        <v>162.38699949430367</v>
      </c>
      <c r="AL133" s="432">
        <f t="shared" si="60"/>
        <v>322.80192288189539</v>
      </c>
      <c r="AM133" s="250">
        <v>162</v>
      </c>
      <c r="AN133" s="432">
        <f t="shared" si="61"/>
        <v>160.38</v>
      </c>
      <c r="AO133" s="432">
        <f t="shared" si="62"/>
        <v>170.66769983999998</v>
      </c>
      <c r="AP133" s="432">
        <f t="shared" si="63"/>
        <v>682.67079935999993</v>
      </c>
      <c r="AQ133" s="255">
        <v>44621</v>
      </c>
      <c r="AR133" s="13" t="s">
        <v>701</v>
      </c>
      <c r="AS133" s="434" t="s">
        <v>702</v>
      </c>
      <c r="AT133" s="429" t="s">
        <v>703</v>
      </c>
      <c r="AU133" s="241"/>
      <c r="AV133" s="243"/>
      <c r="AW133" s="72" t="s">
        <v>127</v>
      </c>
      <c r="AX133" s="243">
        <v>44652</v>
      </c>
      <c r="AY133" s="103">
        <f t="shared" si="67"/>
        <v>0.6262626262626263</v>
      </c>
      <c r="BA133" s="13" t="str">
        <f t="shared" si="70"/>
        <v>W22</v>
      </c>
      <c r="BB133" s="72" t="str">
        <f t="shared" si="71"/>
        <v>Clear</v>
      </c>
      <c r="BC133" s="32">
        <f>IF(Q133="","",((P133/100*O133)+T133))</f>
        <v>1.2356</v>
      </c>
      <c r="BD133" s="241">
        <f>IF(BC133="","",((PI()*((51/2)^2-(16.545/2)^2)/(BC133/10))/100))</f>
        <v>147.93040355356763</v>
      </c>
      <c r="BE133" s="241">
        <f>IF(BC133="","",(BD133-AK133))</f>
        <v>-14.456595940736037</v>
      </c>
      <c r="BF133" s="71">
        <f>IF(BC133="","",(BE133/AK133))</f>
        <v>-8.9025574619618214E-2</v>
      </c>
      <c r="BG133" s="241">
        <f>IF(BF133="","",((PI()*((70/2)^2-(16.545/2)^2)/(BC133/10))/100))</f>
        <v>294.06429620901707</v>
      </c>
      <c r="BH133" s="241">
        <f>IF(BF133="","",(BG133-AL133))</f>
        <v>-28.737626672878321</v>
      </c>
      <c r="BI133" s="71">
        <f>IF(BG133="","",(BH133/AL133))</f>
        <v>-8.9025574619617895E-2</v>
      </c>
      <c r="BJ133" s="123">
        <v>20</v>
      </c>
      <c r="BK133" s="123"/>
      <c r="BL133" s="126"/>
      <c r="BM133" s="123"/>
      <c r="BN133" s="123"/>
      <c r="BO133" s="123"/>
      <c r="BP133" s="108"/>
      <c r="BQ133" s="124"/>
      <c r="BR133" s="124"/>
      <c r="BS133" s="71"/>
      <c r="BU133" s="78"/>
      <c r="BV133" s="32"/>
      <c r="BW133" s="127"/>
      <c r="BX133" s="78"/>
      <c r="BY133" s="78"/>
      <c r="BZ133" s="127"/>
      <c r="CA133" s="76"/>
    </row>
    <row r="134" spans="1:79" s="72" customFormat="1">
      <c r="A134" s="13" t="s">
        <v>466</v>
      </c>
      <c r="B134" s="429" t="s">
        <v>649</v>
      </c>
      <c r="C134" s="13" t="s">
        <v>657</v>
      </c>
      <c r="D134" s="387" t="s">
        <v>657</v>
      </c>
      <c r="E134" s="13" t="s">
        <v>137</v>
      </c>
      <c r="F134" s="13" t="s">
        <v>167</v>
      </c>
      <c r="G134" s="13" t="s">
        <v>704</v>
      </c>
      <c r="H134" s="13" t="s">
        <v>121</v>
      </c>
      <c r="I134" s="13" t="s">
        <v>147</v>
      </c>
      <c r="J134" s="13" t="s">
        <v>5</v>
      </c>
      <c r="K134" s="13" t="s">
        <v>123</v>
      </c>
      <c r="L134" s="429" t="s">
        <v>705</v>
      </c>
      <c r="M134" s="13" t="s">
        <v>125</v>
      </c>
      <c r="N134" s="13" t="s">
        <v>12</v>
      </c>
      <c r="O134" s="247">
        <v>0.44</v>
      </c>
      <c r="P134" s="13">
        <v>106</v>
      </c>
      <c r="Q134" s="13">
        <v>30</v>
      </c>
      <c r="R134" s="13" t="s">
        <v>127</v>
      </c>
      <c r="S134" s="430" t="str">
        <f t="shared" si="49"/>
        <v>N/A</v>
      </c>
      <c r="T134" s="247">
        <v>0.8</v>
      </c>
      <c r="U134" s="13">
        <v>150</v>
      </c>
      <c r="V134" s="13">
        <v>620</v>
      </c>
      <c r="W134" s="430">
        <f t="shared" si="47"/>
        <v>470</v>
      </c>
      <c r="X134" s="430">
        <f t="shared" si="48"/>
        <v>140</v>
      </c>
      <c r="Y134" s="13">
        <v>150</v>
      </c>
      <c r="Z134" s="13">
        <v>620</v>
      </c>
      <c r="AA134" s="430">
        <f t="shared" si="50"/>
        <v>470</v>
      </c>
      <c r="AB134" s="430">
        <f t="shared" si="51"/>
        <v>140</v>
      </c>
      <c r="AC134" s="430" t="str">
        <f t="shared" si="52"/>
        <v>N/A</v>
      </c>
      <c r="AD134" s="430">
        <f t="shared" si="53"/>
        <v>76</v>
      </c>
      <c r="AE134" s="431">
        <f t="shared" si="54"/>
        <v>1.1344000000000001</v>
      </c>
      <c r="AF134" s="431"/>
      <c r="AG134" s="431">
        <f t="shared" si="55"/>
        <v>1.0145207547169814</v>
      </c>
      <c r="AH134" s="431">
        <f t="shared" si="56"/>
        <v>1.0753920000000003</v>
      </c>
      <c r="AI134" s="432">
        <f t="shared" si="57"/>
        <v>876.64628800000003</v>
      </c>
      <c r="AJ134" s="432">
        <f t="shared" si="58"/>
        <v>147.3604619533304</v>
      </c>
      <c r="AK134" s="432">
        <f t="shared" si="59"/>
        <v>161.12729780570183</v>
      </c>
      <c r="AL134" s="432">
        <f t="shared" si="60"/>
        <v>320.29781769733904</v>
      </c>
      <c r="AM134" s="250">
        <v>161</v>
      </c>
      <c r="AN134" s="432">
        <f t="shared" si="61"/>
        <v>170.66</v>
      </c>
      <c r="AO134" s="432">
        <f t="shared" si="62"/>
        <v>183.52639872000006</v>
      </c>
      <c r="AP134" s="432">
        <f t="shared" si="63"/>
        <v>611.75466240000026</v>
      </c>
      <c r="AQ134" s="255">
        <v>44805</v>
      </c>
      <c r="AR134" s="13" t="s">
        <v>706</v>
      </c>
      <c r="AS134" s="434"/>
      <c r="AT134" s="429"/>
      <c r="AU134" s="241"/>
      <c r="AV134" s="243"/>
      <c r="AW134" s="72" t="s">
        <v>127</v>
      </c>
      <c r="AX134" s="243"/>
      <c r="AY134" s="103">
        <f t="shared" si="67"/>
        <v>0.58490566037735847</v>
      </c>
      <c r="BA134" s="13" t="str">
        <f t="shared" si="70"/>
        <v>W22</v>
      </c>
      <c r="BB134" s="72" t="str">
        <f t="shared" si="71"/>
        <v>Clear</v>
      </c>
      <c r="BC134" s="32">
        <f>IF(Q134="","",((P134/100*O134)+T134))</f>
        <v>1.2664</v>
      </c>
      <c r="BD134" s="241">
        <f>IF(BC134="","",((PI()*((51/2)^2-(16.545/2)^2)/(BC134/10))/100))</f>
        <v>144.33260157200581</v>
      </c>
      <c r="BE134" s="241">
        <f>IF(BC134="","",(BD134-AK134))</f>
        <v>-16.794696233696015</v>
      </c>
      <c r="BF134" s="71">
        <f>IF(BC134="","",(BE134/AK134))</f>
        <v>-0.10423246999368284</v>
      </c>
      <c r="BG134" s="241">
        <f>IF(BF134="","",((PI()*((70/2)^2-(16.545/2)^2)/(BC134/10))/100))</f>
        <v>286.9123850251591</v>
      </c>
      <c r="BH134" s="241">
        <f>IF(BF134="","",(BG134-AL134))</f>
        <v>-33.385432672179945</v>
      </c>
      <c r="BI134" s="71">
        <f>IF(BG134="","",(BH134/AL134))</f>
        <v>-0.1042324699936827</v>
      </c>
      <c r="BJ134" s="123"/>
      <c r="BK134" s="123"/>
      <c r="BL134" s="126"/>
      <c r="BM134" s="123"/>
      <c r="BN134" s="123"/>
      <c r="BO134" s="123"/>
      <c r="BP134" s="108"/>
      <c r="BQ134" s="115">
        <v>856</v>
      </c>
      <c r="BR134" s="113"/>
      <c r="BS134" s="80"/>
      <c r="BT134" s="13">
        <f>P134-V134/10-120/10</f>
        <v>32</v>
      </c>
      <c r="BU134" s="79">
        <f>BT134-Q134</f>
        <v>2</v>
      </c>
      <c r="BV134" s="29">
        <f>T134+(O134/100*(P134-BT134))</f>
        <v>1.1255999999999999</v>
      </c>
      <c r="BW134" s="86">
        <f>(AE134-BV134)/AE134</f>
        <v>7.757404795486725E-3</v>
      </c>
      <c r="BX134" s="79">
        <f>(PI()*((51/2)^2-(16.545/2)^2)/(BV134/10))/100</f>
        <v>162.38699949430367</v>
      </c>
      <c r="BY134" s="79">
        <f>BX134-AK134</f>
        <v>1.2597016886018366</v>
      </c>
      <c r="BZ134" s="86">
        <f>BY134/AK134</f>
        <v>7.8180525941722798E-3</v>
      </c>
      <c r="CA134" s="76"/>
    </row>
    <row r="135" spans="1:79" s="72" customFormat="1">
      <c r="A135" s="13" t="s">
        <v>466</v>
      </c>
      <c r="B135" s="429" t="s">
        <v>649</v>
      </c>
      <c r="C135" s="13" t="s">
        <v>657</v>
      </c>
      <c r="D135" s="387" t="s">
        <v>657</v>
      </c>
      <c r="E135" s="13" t="s">
        <v>137</v>
      </c>
      <c r="F135" s="13" t="s">
        <v>167</v>
      </c>
      <c r="G135" s="13" t="s">
        <v>707</v>
      </c>
      <c r="H135" s="13" t="s">
        <v>121</v>
      </c>
      <c r="I135" s="13" t="s">
        <v>147</v>
      </c>
      <c r="J135" s="13" t="s">
        <v>5</v>
      </c>
      <c r="K135" s="13" t="s">
        <v>123</v>
      </c>
      <c r="L135" s="429" t="s">
        <v>708</v>
      </c>
      <c r="M135" s="13" t="s">
        <v>125</v>
      </c>
      <c r="N135" s="13" t="s">
        <v>126</v>
      </c>
      <c r="O135" s="247">
        <v>0.48</v>
      </c>
      <c r="P135" s="13">
        <v>100</v>
      </c>
      <c r="Q135" s="13">
        <v>30</v>
      </c>
      <c r="R135" s="13" t="s">
        <v>127</v>
      </c>
      <c r="S135" s="430" t="str">
        <f t="shared" si="49"/>
        <v>N/A</v>
      </c>
      <c r="T135" s="247">
        <v>0.8</v>
      </c>
      <c r="U135" s="13">
        <v>150</v>
      </c>
      <c r="V135" s="13">
        <v>550</v>
      </c>
      <c r="W135" s="430">
        <f t="shared" ref="W135:W198" si="72">V135-U135</f>
        <v>400</v>
      </c>
      <c r="X135" s="430">
        <f t="shared" ref="X135:X198" si="73">AD135*10-V135</f>
        <v>150</v>
      </c>
      <c r="Y135" s="13">
        <v>150</v>
      </c>
      <c r="Z135" s="13">
        <v>600</v>
      </c>
      <c r="AA135" s="430">
        <f t="shared" si="50"/>
        <v>450</v>
      </c>
      <c r="AB135" s="430">
        <f t="shared" si="51"/>
        <v>100</v>
      </c>
      <c r="AC135" s="430" t="str">
        <f t="shared" si="52"/>
        <v>N/A</v>
      </c>
      <c r="AD135" s="430">
        <f t="shared" si="53"/>
        <v>70</v>
      </c>
      <c r="AE135" s="431">
        <f t="shared" si="54"/>
        <v>1.1360000000000001</v>
      </c>
      <c r="AF135" s="431"/>
      <c r="AG135" s="431">
        <f t="shared" si="55"/>
        <v>1.0184</v>
      </c>
      <c r="AH135" s="431">
        <f t="shared" si="56"/>
        <v>1.079504</v>
      </c>
      <c r="AI135" s="432">
        <f t="shared" si="57"/>
        <v>879.250496</v>
      </c>
      <c r="AJ135" s="432">
        <f t="shared" si="58"/>
        <v>147.15291200691726</v>
      </c>
      <c r="AK135" s="432">
        <f t="shared" si="59"/>
        <v>160.90035794963748</v>
      </c>
      <c r="AL135" s="432">
        <f t="shared" si="60"/>
        <v>319.84669401044141</v>
      </c>
      <c r="AM135" s="250">
        <v>161</v>
      </c>
      <c r="AN135" s="432">
        <f t="shared" si="61"/>
        <v>161</v>
      </c>
      <c r="AO135" s="432">
        <f t="shared" si="62"/>
        <v>173.80014399999999</v>
      </c>
      <c r="AP135" s="432">
        <f t="shared" si="63"/>
        <v>579.3338133333333</v>
      </c>
      <c r="AQ135" s="255">
        <v>45039</v>
      </c>
      <c r="AR135" s="13" t="s">
        <v>642</v>
      </c>
      <c r="AS135" s="434" t="s">
        <v>709</v>
      </c>
      <c r="AT135" s="429"/>
      <c r="AU135" s="241"/>
      <c r="AV135" s="243"/>
      <c r="AW135" s="72" t="s">
        <v>127</v>
      </c>
      <c r="AX135" s="243"/>
      <c r="AY135" s="71">
        <f t="shared" si="67"/>
        <v>0.55000000000000004</v>
      </c>
      <c r="BA135" s="72" t="str">
        <f t="shared" si="70"/>
        <v>W22</v>
      </c>
      <c r="BB135" s="72" t="str">
        <f t="shared" si="71"/>
        <v>Clear</v>
      </c>
      <c r="BC135" s="32"/>
      <c r="BD135" s="241"/>
      <c r="BE135" s="241"/>
      <c r="BF135" s="71"/>
      <c r="BG135" s="241"/>
      <c r="BH135" s="241"/>
      <c r="BI135" s="71"/>
      <c r="BJ135" s="123"/>
      <c r="BK135" s="123"/>
      <c r="BL135" s="126"/>
      <c r="BM135" s="123"/>
      <c r="BN135" s="123"/>
      <c r="BO135" s="108"/>
      <c r="BP135" s="108"/>
      <c r="BQ135" s="144"/>
      <c r="BR135" s="140"/>
      <c r="BS135" s="106"/>
      <c r="BT135" s="262"/>
      <c r="BU135" s="269"/>
      <c r="BV135" s="263"/>
      <c r="BW135" s="132"/>
      <c r="BX135" s="269"/>
      <c r="BY135" s="269"/>
      <c r="BZ135" s="132"/>
      <c r="CA135" s="271"/>
    </row>
    <row r="136" spans="1:79" s="72" customFormat="1">
      <c r="A136" s="13" t="s">
        <v>466</v>
      </c>
      <c r="B136" s="429" t="s">
        <v>649</v>
      </c>
      <c r="C136" s="13" t="s">
        <v>657</v>
      </c>
      <c r="D136" s="387" t="s">
        <v>657</v>
      </c>
      <c r="E136" s="13" t="s">
        <v>137</v>
      </c>
      <c r="F136" s="13" t="s">
        <v>167</v>
      </c>
      <c r="G136" s="13" t="s">
        <v>710</v>
      </c>
      <c r="H136" s="13" t="s">
        <v>121</v>
      </c>
      <c r="I136" s="13" t="s">
        <v>147</v>
      </c>
      <c r="J136" s="13" t="s">
        <v>5</v>
      </c>
      <c r="K136" s="13" t="s">
        <v>123</v>
      </c>
      <c r="L136" s="429" t="s">
        <v>711</v>
      </c>
      <c r="M136" s="13" t="s">
        <v>125</v>
      </c>
      <c r="N136" s="13" t="s">
        <v>126</v>
      </c>
      <c r="O136" s="247">
        <v>0.52</v>
      </c>
      <c r="P136" s="13">
        <v>90</v>
      </c>
      <c r="Q136" s="13">
        <v>30</v>
      </c>
      <c r="R136" s="13" t="s">
        <v>127</v>
      </c>
      <c r="S136" s="430" t="str">
        <f t="shared" si="49"/>
        <v>N/A</v>
      </c>
      <c r="T136" s="247">
        <v>0.8</v>
      </c>
      <c r="U136" s="13">
        <v>80</v>
      </c>
      <c r="V136" s="13">
        <v>480</v>
      </c>
      <c r="W136" s="430">
        <f t="shared" si="72"/>
        <v>400</v>
      </c>
      <c r="X136" s="430">
        <f t="shared" si="73"/>
        <v>120</v>
      </c>
      <c r="Y136" s="13">
        <v>80</v>
      </c>
      <c r="Z136" s="13">
        <v>500</v>
      </c>
      <c r="AA136" s="430">
        <f t="shared" si="50"/>
        <v>420</v>
      </c>
      <c r="AB136" s="430">
        <f t="shared" si="51"/>
        <v>100</v>
      </c>
      <c r="AC136" s="430" t="str">
        <f t="shared" si="52"/>
        <v>N/A</v>
      </c>
      <c r="AD136" s="430">
        <f t="shared" si="53"/>
        <v>60</v>
      </c>
      <c r="AE136" s="431">
        <f t="shared" si="54"/>
        <v>1.1120000000000001</v>
      </c>
      <c r="AF136" s="431"/>
      <c r="AG136" s="431">
        <f t="shared" si="55"/>
        <v>1.008</v>
      </c>
      <c r="AH136" s="431">
        <f t="shared" si="56"/>
        <v>1.0684800000000001</v>
      </c>
      <c r="AI136" s="432">
        <f t="shared" si="57"/>
        <v>881.85470400000008</v>
      </c>
      <c r="AJ136" s="432">
        <f t="shared" si="58"/>
        <v>150.32887413656297</v>
      </c>
      <c r="AK136" s="432">
        <f t="shared" si="59"/>
        <v>164.37302754567281</v>
      </c>
      <c r="AL136" s="432">
        <f t="shared" si="60"/>
        <v>326.74986006822076</v>
      </c>
      <c r="AM136" s="250">
        <v>164</v>
      </c>
      <c r="AN136" s="432">
        <f t="shared" si="61"/>
        <v>147.6</v>
      </c>
      <c r="AO136" s="432">
        <f t="shared" si="62"/>
        <v>157.70764800000001</v>
      </c>
      <c r="AP136" s="432">
        <f t="shared" si="63"/>
        <v>525.69216000000006</v>
      </c>
      <c r="AQ136" s="255">
        <v>44980</v>
      </c>
      <c r="AR136" s="13" t="s">
        <v>682</v>
      </c>
      <c r="AS136" s="434" t="s">
        <v>712</v>
      </c>
      <c r="AT136" s="429"/>
      <c r="AU136" s="241"/>
      <c r="AV136" s="243"/>
      <c r="AW136" s="72" t="s">
        <v>127</v>
      </c>
      <c r="AX136" s="243"/>
      <c r="AY136" s="71">
        <f t="shared" si="67"/>
        <v>0.53333333333333333</v>
      </c>
      <c r="BA136" s="72" t="str">
        <f t="shared" si="70"/>
        <v>W22</v>
      </c>
      <c r="BB136" s="72" t="str">
        <f t="shared" si="71"/>
        <v>Clear</v>
      </c>
      <c r="BC136" s="32">
        <f>IF(Q136="","",((P136/100*O136)+T136))</f>
        <v>1.268</v>
      </c>
      <c r="BD136" s="241">
        <f>IF(BC136="","",((PI()*((51/2)^2-(16.545/2)^2)/(BC136/10))/100))</f>
        <v>144.15047841544808</v>
      </c>
      <c r="BE136" s="241">
        <f>IF(BC136="","",(BD136-AK136))</f>
        <v>-20.222549130224735</v>
      </c>
      <c r="BF136" s="71">
        <f>IF(BC136="","",(BE136/AK136))</f>
        <v>-0.12302839116719246</v>
      </c>
      <c r="BG136" s="241">
        <f>IF(BF136="","",((PI()*((70/2)^2-(16.545/2)^2)/(BC136/10))/100))</f>
        <v>286.55035046992231</v>
      </c>
      <c r="BH136" s="241">
        <f>IF(BF136="","",(BG136-AL136))</f>
        <v>-40.199509598298448</v>
      </c>
      <c r="BI136" s="71">
        <f>IF(BG136="","",(BH136/AL136))</f>
        <v>-0.12302839116719241</v>
      </c>
      <c r="BJ136" s="123"/>
      <c r="BK136" s="123">
        <v>20</v>
      </c>
      <c r="BL136" s="126">
        <f>AH136</f>
        <v>1.0684800000000001</v>
      </c>
      <c r="BM136" s="123">
        <f>BK136/AH136</f>
        <v>18.718179095537586</v>
      </c>
      <c r="BN136" s="123">
        <f>BK136-BM136</f>
        <v>1.281820904462414</v>
      </c>
      <c r="BO136" s="123">
        <v>18.11</v>
      </c>
      <c r="BP136" s="108">
        <f>BO136-BM136</f>
        <v>-0.60817909553758653</v>
      </c>
      <c r="BQ136" s="115"/>
      <c r="BR136" s="140"/>
      <c r="BS136" s="80"/>
      <c r="BT136" s="22"/>
      <c r="BU136" s="87"/>
      <c r="BV136" s="73"/>
      <c r="BW136" s="109"/>
      <c r="BX136" s="87"/>
      <c r="BY136" s="87"/>
      <c r="BZ136" s="109"/>
      <c r="CA136" s="76"/>
    </row>
    <row r="137" spans="1:79" s="72" customFormat="1">
      <c r="A137" s="13" t="s">
        <v>466</v>
      </c>
      <c r="B137" s="429" t="s">
        <v>649</v>
      </c>
      <c r="C137" s="13" t="s">
        <v>657</v>
      </c>
      <c r="D137" s="387" t="s">
        <v>657</v>
      </c>
      <c r="E137" s="13" t="s">
        <v>137</v>
      </c>
      <c r="F137" s="13" t="s">
        <v>167</v>
      </c>
      <c r="G137" s="13" t="s">
        <v>713</v>
      </c>
      <c r="H137" s="13" t="s">
        <v>121</v>
      </c>
      <c r="I137" s="13" t="s">
        <v>147</v>
      </c>
      <c r="J137" s="13" t="s">
        <v>5</v>
      </c>
      <c r="K137" s="13" t="s">
        <v>123</v>
      </c>
      <c r="L137" s="429" t="s">
        <v>714</v>
      </c>
      <c r="M137" s="13" t="s">
        <v>125</v>
      </c>
      <c r="N137" s="13" t="s">
        <v>126</v>
      </c>
      <c r="O137" s="247">
        <v>0.52</v>
      </c>
      <c r="P137" s="13">
        <v>100</v>
      </c>
      <c r="Q137" s="13">
        <v>30</v>
      </c>
      <c r="R137" s="13" t="s">
        <v>127</v>
      </c>
      <c r="S137" s="430" t="str">
        <f t="shared" ref="S137:S200" si="74">IF(R137="n/a","N/A",P137-R137)</f>
        <v>N/A</v>
      </c>
      <c r="T137" s="247">
        <v>0.8</v>
      </c>
      <c r="U137" s="13">
        <v>180</v>
      </c>
      <c r="V137" s="13">
        <v>580</v>
      </c>
      <c r="W137" s="430">
        <f t="shared" si="72"/>
        <v>400</v>
      </c>
      <c r="X137" s="430">
        <f t="shared" si="73"/>
        <v>120</v>
      </c>
      <c r="Y137" s="13">
        <v>150</v>
      </c>
      <c r="Z137" s="13">
        <v>600</v>
      </c>
      <c r="AA137" s="430">
        <f t="shared" ref="AA137:AA200" si="75">Z137-Y137</f>
        <v>450</v>
      </c>
      <c r="AB137" s="430">
        <f t="shared" ref="AB137:AB200" si="76">AD137*10-Z137</f>
        <v>100</v>
      </c>
      <c r="AC137" s="430" t="str">
        <f t="shared" ref="AC137:AC200" si="77">IF(J137="clear","N/A",((Q137-R137)*10))</f>
        <v>N/A</v>
      </c>
      <c r="AD137" s="430">
        <f t="shared" ref="AD137:AD200" si="78">P137-Q137</f>
        <v>70</v>
      </c>
      <c r="AE137" s="431">
        <f t="shared" ref="AE137:AE200" si="79">T137+(O137/100*AD137)</f>
        <v>1.1640000000000001</v>
      </c>
      <c r="AF137" s="431"/>
      <c r="AG137" s="431">
        <f t="shared" ref="AG137:AG200" si="80">(((T137+(0.5*(AE137-T137)))*AD137)+(AE137*Q137))/P137</f>
        <v>1.0366000000000002</v>
      </c>
      <c r="AH137" s="431">
        <f t="shared" ref="AH137:AH200" si="81">IF(MID(G137,2,2)="10",(AG137/1000*$W$2),(IF(MID(G137,2,2)="11",(AG137/1000*$X$2),(IF(MID(G137,2,2)="12",(AG137/1000*$Y$2),(IF(MID(G137,2,2)="13",(AG137/1000*$Z$2),(IF(MID(G137,2,2)="20",(AG137/1000*$AA$2),(IF(MID(G137,2,2)="21",(AG137/1000*$AB$2),(IF(MID(G137,2,2)="22",(AG137/1000*$AC$2),(IF(MID(G137,2,2)="23",(AG137/1000*$AD$2),(IF(MID(G137,2,2)="50",(AG137/1000*$AE$2),(IF(MID(G137,2,2)="51",(AG137/1000*$AG$2),"?")))))))))))))))))))</f>
        <v>1.0987960000000001</v>
      </c>
      <c r="AI137" s="432">
        <f t="shared" ref="AI137:AI200" si="82">IF(MID(G137,2,2)="10",((T137+O137*(6.142)/100)*$W$2),(IF(MID(G137,2,2)="11",((T137+O137*(6.142)/100)*$X$2),(IF(MID(G137,2,2)="12",((T137+O137*(6.142)/100)*$Y$2),(IF(MID(G137,2,2)="13",((T137+O137*(6.142)/100)*$Z$2),(IF(MID(G137,2,2)="20",((T137+O137*(6.142)/100)*$AA$2),(IF(MID(G137,2,2)="21",((T137+O137*(6.142)/100)*$AB$2),(IF(MID(G137,2,2)="22",((T137+O137*(6.142)/100)*$AC$2),(IF(MID(G137,2,2)="23",((T137+O137*(6.142)/100)*$AD$2),(IF(MID(G137,2,2)="50",((T137+O137*(6.142)/100)*$AE$2),(IF(MID(G137,2,2)="51",((T137+O137*(6.142)/100)*$AG$2),"?")))))))))))))))))))</f>
        <v>881.85470400000008</v>
      </c>
      <c r="AJ137" s="432">
        <f t="shared" ref="AJ137:AJ200" si="83">(PI()*((49/2)^2-(16.51/2)^2)/(AE137/10))/100</f>
        <v>143.61315123699143</v>
      </c>
      <c r="AK137" s="432">
        <f t="shared" ref="AK137:AK200" si="84">(PI()*((51/2)^2-(16.545/2)^2)/(AE137/10))/100</f>
        <v>157.02990260376987</v>
      </c>
      <c r="AL137" s="432">
        <f t="shared" ref="AL137:AL200" si="85">(PI()*((70/2)^2-(16.545/2)^2)/(AE137/10))/100</f>
        <v>312.15278728166788</v>
      </c>
      <c r="AM137" s="250">
        <v>157</v>
      </c>
      <c r="AN137" s="432">
        <f t="shared" ref="AN137:AN200" si="86">AM137*P137/100</f>
        <v>157</v>
      </c>
      <c r="AO137" s="432">
        <f t="shared" ref="AO137:AO200" si="87">AN137*AH137</f>
        <v>172.51097200000001</v>
      </c>
      <c r="AP137" s="432">
        <f t="shared" ref="AP137:AP200" si="88">AO137/(Q137/100)</f>
        <v>575.03657333333342</v>
      </c>
      <c r="AQ137" s="255">
        <v>44980</v>
      </c>
      <c r="AR137" s="13" t="s">
        <v>682</v>
      </c>
      <c r="AS137" s="434" t="s">
        <v>715</v>
      </c>
      <c r="AT137" s="429" t="s">
        <v>716</v>
      </c>
      <c r="AU137" s="241"/>
      <c r="AV137" s="243"/>
      <c r="AW137" s="72" t="s">
        <v>127</v>
      </c>
      <c r="AX137" s="243"/>
      <c r="AY137" s="71">
        <f t="shared" si="67"/>
        <v>0.57999999999999996</v>
      </c>
      <c r="BA137" s="72" t="str">
        <f t="shared" si="70"/>
        <v>W22</v>
      </c>
      <c r="BB137" s="72" t="str">
        <f t="shared" si="71"/>
        <v>Clear</v>
      </c>
      <c r="BC137" s="32">
        <f>IF(Q137="","",((P137/100*O137)+T137))</f>
        <v>1.32</v>
      </c>
      <c r="BD137" s="241">
        <f>IF(BC137="","",((PI()*((51/2)^2-(16.545/2)^2)/(BC137/10))/100))</f>
        <v>138.47182320514256</v>
      </c>
      <c r="BE137" s="241">
        <f>IF(BC137="","",(BD137-AK137))</f>
        <v>-18.558079398627314</v>
      </c>
      <c r="BF137" s="71">
        <f>IF(BC137="","",(BE137/AK137))</f>
        <v>-0.11818181818181796</v>
      </c>
      <c r="BG137" s="241">
        <f>IF(BF137="","",((PI()*((70/2)^2-(16.545/2)^2)/(BC137/10))/100))</f>
        <v>275.26200333019807</v>
      </c>
      <c r="BH137" s="241">
        <f>IF(BF137="","",(BG137-AL137))</f>
        <v>-36.890783951469814</v>
      </c>
      <c r="BI137" s="71">
        <f>IF(BG137="","",(BH137/AL137))</f>
        <v>-0.1181818181818181</v>
      </c>
      <c r="BJ137" s="123"/>
      <c r="BK137" s="123">
        <v>20</v>
      </c>
      <c r="BL137" s="126">
        <f>AH137</f>
        <v>1.0987960000000001</v>
      </c>
      <c r="BM137" s="123">
        <f>BK137/AH137</f>
        <v>18.201740814491497</v>
      </c>
      <c r="BN137" s="123">
        <f>BK137-BM137</f>
        <v>1.7982591855085026</v>
      </c>
      <c r="BO137" s="123">
        <v>17.66</v>
      </c>
      <c r="BP137" s="108">
        <f>BO137-BM137</f>
        <v>-0.54174081449149725</v>
      </c>
      <c r="BQ137" s="115"/>
      <c r="BR137" s="113"/>
      <c r="BS137" s="80"/>
      <c r="BT137" s="22"/>
      <c r="BU137" s="87"/>
      <c r="BV137" s="73"/>
      <c r="BW137" s="109"/>
      <c r="BX137" s="87"/>
      <c r="BY137" s="87"/>
      <c r="BZ137" s="109"/>
      <c r="CA137" s="76"/>
    </row>
    <row r="138" spans="1:79" s="72" customFormat="1">
      <c r="A138" s="13" t="s">
        <v>466</v>
      </c>
      <c r="B138" s="429" t="s">
        <v>649</v>
      </c>
      <c r="C138" s="13" t="s">
        <v>657</v>
      </c>
      <c r="D138" s="387" t="s">
        <v>657</v>
      </c>
      <c r="E138" s="13" t="s">
        <v>137</v>
      </c>
      <c r="F138" s="13" t="s">
        <v>119</v>
      </c>
      <c r="G138" s="13" t="s">
        <v>717</v>
      </c>
      <c r="H138" s="13" t="s">
        <v>121</v>
      </c>
      <c r="I138" s="13" t="s">
        <v>147</v>
      </c>
      <c r="J138" s="13" t="s">
        <v>5</v>
      </c>
      <c r="K138" s="13" t="s">
        <v>123</v>
      </c>
      <c r="L138" s="13" t="s">
        <v>718</v>
      </c>
      <c r="M138" s="13" t="s">
        <v>125</v>
      </c>
      <c r="N138" s="13" t="s">
        <v>126</v>
      </c>
      <c r="O138" s="247">
        <v>0.52</v>
      </c>
      <c r="P138" s="13">
        <v>100</v>
      </c>
      <c r="Q138" s="13">
        <v>25</v>
      </c>
      <c r="R138" s="13" t="s">
        <v>127</v>
      </c>
      <c r="S138" s="430" t="str">
        <f t="shared" si="74"/>
        <v>N/A</v>
      </c>
      <c r="T138" s="247">
        <v>0.8</v>
      </c>
      <c r="U138" s="13">
        <v>180</v>
      </c>
      <c r="V138" s="13">
        <v>580</v>
      </c>
      <c r="W138" s="430">
        <f t="shared" si="72"/>
        <v>400</v>
      </c>
      <c r="X138" s="430">
        <f t="shared" si="73"/>
        <v>170</v>
      </c>
      <c r="Y138" s="13">
        <v>150</v>
      </c>
      <c r="Z138" s="13">
        <v>600</v>
      </c>
      <c r="AA138" s="430">
        <f t="shared" si="75"/>
        <v>450</v>
      </c>
      <c r="AB138" s="430">
        <f t="shared" si="76"/>
        <v>150</v>
      </c>
      <c r="AC138" s="430" t="str">
        <f t="shared" si="77"/>
        <v>N/A</v>
      </c>
      <c r="AD138" s="430">
        <f t="shared" si="78"/>
        <v>75</v>
      </c>
      <c r="AE138" s="431">
        <f t="shared" si="79"/>
        <v>1.19</v>
      </c>
      <c r="AF138" s="431"/>
      <c r="AG138" s="431">
        <f t="shared" si="80"/>
        <v>1.04375</v>
      </c>
      <c r="AH138" s="431">
        <f t="shared" si="81"/>
        <v>1.1063749999999999</v>
      </c>
      <c r="AI138" s="432">
        <f t="shared" si="82"/>
        <v>881.85470400000008</v>
      </c>
      <c r="AJ138" s="432">
        <f t="shared" si="83"/>
        <v>140.47538490744373</v>
      </c>
      <c r="AK138" s="432">
        <f t="shared" si="84"/>
        <v>153.59899716872957</v>
      </c>
      <c r="AL138" s="432">
        <f t="shared" si="85"/>
        <v>305.33264234946341</v>
      </c>
      <c r="AM138" s="250">
        <v>154</v>
      </c>
      <c r="AN138" s="432">
        <f t="shared" si="86"/>
        <v>154</v>
      </c>
      <c r="AO138" s="432">
        <f t="shared" si="87"/>
        <v>170.38174999999998</v>
      </c>
      <c r="AP138" s="432">
        <f t="shared" si="88"/>
        <v>681.52699999999993</v>
      </c>
      <c r="AQ138" s="255" t="s">
        <v>132</v>
      </c>
      <c r="AR138" s="13" t="s">
        <v>687</v>
      </c>
      <c r="AS138" s="434" t="s">
        <v>719</v>
      </c>
      <c r="AT138" s="434" t="s">
        <v>720</v>
      </c>
      <c r="AU138" s="252"/>
      <c r="AV138" s="260"/>
      <c r="AW138" s="13"/>
      <c r="AX138" s="260"/>
      <c r="AY138" s="103">
        <f t="shared" si="67"/>
        <v>0.57999999999999996</v>
      </c>
      <c r="AZ138" s="22"/>
      <c r="BA138" s="13" t="str">
        <f t="shared" si="70"/>
        <v>W22</v>
      </c>
      <c r="BB138" s="72" t="str">
        <f t="shared" si="71"/>
        <v>Clear</v>
      </c>
      <c r="BC138" s="32">
        <f>IF(Q138="","",((P138/100*O138)+T138))</f>
        <v>1.32</v>
      </c>
      <c r="BD138" s="241">
        <f>IF(BC138="","",((PI()*((51/2)^2-(16.545/2)^2)/(BC138/10))/100))</f>
        <v>138.47182320514256</v>
      </c>
      <c r="BE138" s="241"/>
      <c r="BF138" s="71"/>
      <c r="BG138" s="241"/>
      <c r="BH138" s="241"/>
      <c r="BI138" s="71"/>
      <c r="BJ138" s="88"/>
      <c r="BK138" s="83"/>
      <c r="BL138" s="196"/>
      <c r="BM138" s="83"/>
      <c r="BN138" s="108"/>
      <c r="BO138" s="83"/>
      <c r="BP138" s="83"/>
      <c r="BQ138" s="141"/>
      <c r="BR138" s="71"/>
      <c r="BS138" s="71"/>
      <c r="BT138" s="13">
        <f>P138-V138/10-120/10</f>
        <v>30</v>
      </c>
      <c r="BU138" s="79">
        <f>BT138-Q138</f>
        <v>5</v>
      </c>
      <c r="BV138" s="29">
        <f>T138+(O138/100*(P138-BT138))</f>
        <v>1.1640000000000001</v>
      </c>
      <c r="BW138" s="86">
        <f>(AE138-BV138)/AE138</f>
        <v>2.1848739495798151E-2</v>
      </c>
      <c r="BX138" s="79">
        <f>(PI()*((51/2)^2-(16.545/2)^2)/(BV138/10))/100</f>
        <v>157.02990260376987</v>
      </c>
      <c r="BY138" s="79">
        <f>BX138-AK138</f>
        <v>3.4309054350403017</v>
      </c>
      <c r="BZ138" s="86">
        <f>BY138/AK138</f>
        <v>2.233676975944985E-2</v>
      </c>
      <c r="CA138" s="76"/>
    </row>
    <row r="139" spans="1:79" s="72" customFormat="1">
      <c r="A139" s="13" t="s">
        <v>466</v>
      </c>
      <c r="B139" s="429" t="s">
        <v>649</v>
      </c>
      <c r="C139" s="13" t="s">
        <v>657</v>
      </c>
      <c r="D139" s="387" t="s">
        <v>657</v>
      </c>
      <c r="E139" s="13" t="s">
        <v>137</v>
      </c>
      <c r="F139" s="13" t="s">
        <v>167</v>
      </c>
      <c r="G139" s="13" t="s">
        <v>721</v>
      </c>
      <c r="H139" s="13" t="s">
        <v>121</v>
      </c>
      <c r="I139" s="13" t="s">
        <v>147</v>
      </c>
      <c r="J139" s="13" t="s">
        <v>5</v>
      </c>
      <c r="K139" s="13" t="s">
        <v>123</v>
      </c>
      <c r="L139" s="429" t="s">
        <v>722</v>
      </c>
      <c r="M139" s="13" t="s">
        <v>125</v>
      </c>
      <c r="N139" s="13" t="s">
        <v>126</v>
      </c>
      <c r="O139" s="247">
        <v>0.52</v>
      </c>
      <c r="P139" s="13">
        <v>103</v>
      </c>
      <c r="Q139" s="13">
        <v>30</v>
      </c>
      <c r="R139" s="13" t="s">
        <v>127</v>
      </c>
      <c r="S139" s="430" t="str">
        <f t="shared" si="74"/>
        <v>N/A</v>
      </c>
      <c r="T139" s="247">
        <v>0.8</v>
      </c>
      <c r="U139" s="13">
        <v>180</v>
      </c>
      <c r="V139" s="13">
        <v>580</v>
      </c>
      <c r="W139" s="430">
        <f t="shared" si="72"/>
        <v>400</v>
      </c>
      <c r="X139" s="430">
        <f t="shared" si="73"/>
        <v>150</v>
      </c>
      <c r="Y139" s="13">
        <v>150</v>
      </c>
      <c r="Z139" s="13">
        <v>600</v>
      </c>
      <c r="AA139" s="430">
        <f t="shared" si="75"/>
        <v>450</v>
      </c>
      <c r="AB139" s="430">
        <f t="shared" si="76"/>
        <v>130</v>
      </c>
      <c r="AC139" s="430" t="str">
        <f t="shared" si="77"/>
        <v>N/A</v>
      </c>
      <c r="AD139" s="430">
        <f t="shared" si="78"/>
        <v>73</v>
      </c>
      <c r="AE139" s="431">
        <f t="shared" si="79"/>
        <v>1.1796</v>
      </c>
      <c r="AF139" s="431"/>
      <c r="AG139" s="431">
        <f t="shared" si="80"/>
        <v>1.0450815533980582</v>
      </c>
      <c r="AH139" s="431">
        <f t="shared" si="81"/>
        <v>1.1077864466019418</v>
      </c>
      <c r="AI139" s="432">
        <f t="shared" si="82"/>
        <v>881.85470400000008</v>
      </c>
      <c r="AJ139" s="432">
        <f t="shared" si="83"/>
        <v>141.71389287882167</v>
      </c>
      <c r="AK139" s="432">
        <f t="shared" si="84"/>
        <v>154.95321009731111</v>
      </c>
      <c r="AL139" s="432">
        <f t="shared" si="85"/>
        <v>308.02462224132034</v>
      </c>
      <c r="AM139" s="250">
        <v>155</v>
      </c>
      <c r="AN139" s="432">
        <f t="shared" si="86"/>
        <v>159.65</v>
      </c>
      <c r="AO139" s="432">
        <f t="shared" si="87"/>
        <v>176.85810620000001</v>
      </c>
      <c r="AP139" s="432">
        <f t="shared" si="88"/>
        <v>589.52702066666677</v>
      </c>
      <c r="AQ139" s="255">
        <v>44980</v>
      </c>
      <c r="AR139" s="13" t="s">
        <v>682</v>
      </c>
      <c r="AS139" s="434" t="s">
        <v>723</v>
      </c>
      <c r="AT139" s="429"/>
      <c r="AU139" s="241"/>
      <c r="AV139" s="243"/>
      <c r="AW139" s="72" t="s">
        <v>127</v>
      </c>
      <c r="AX139" s="243"/>
      <c r="AY139" s="71">
        <f t="shared" si="67"/>
        <v>0.56310679611650483</v>
      </c>
      <c r="BA139" s="72" t="str">
        <f t="shared" si="70"/>
        <v>W22</v>
      </c>
      <c r="BB139" s="72" t="str">
        <f t="shared" si="71"/>
        <v>Clear</v>
      </c>
      <c r="BC139" s="32">
        <f>IF(Q139="","",((P139/100*O139)+T139))</f>
        <v>1.3356000000000001</v>
      </c>
      <c r="BD139" s="241">
        <f>IF(BC139="","",((PI()*((51/2)^2-(16.545/2)^2)/(BC139/10))/100))</f>
        <v>136.85445240400432</v>
      </c>
      <c r="BE139" s="241">
        <f>IF(BC139="","",(BD139-AK139))</f>
        <v>-18.098757693306794</v>
      </c>
      <c r="BF139" s="71">
        <f>IF(BC139="","",(BE139/AK139))</f>
        <v>-0.11680143755615463</v>
      </c>
      <c r="BG139" s="241">
        <f>IF(BF139="","",((PI()*((70/2)^2-(16.545/2)^2)/(BC139/10))/100))</f>
        <v>272.04690356084268</v>
      </c>
      <c r="BH139" s="241">
        <f>IF(BF139="","",(BG139-AL139))</f>
        <v>-35.977718680477665</v>
      </c>
      <c r="BI139" s="71">
        <f>IF(BG139="","",(BH139/AL139))</f>
        <v>-0.11680143755615452</v>
      </c>
      <c r="BJ139" s="123"/>
      <c r="BK139" s="123">
        <v>20</v>
      </c>
      <c r="BL139" s="126">
        <f>AH139</f>
        <v>1.1077864466019418</v>
      </c>
      <c r="BM139" s="123">
        <f>BK139/AH139</f>
        <v>18.054021207199831</v>
      </c>
      <c r="BN139" s="123">
        <f>BK139-BM139</f>
        <v>1.9459787928001688</v>
      </c>
      <c r="BO139" s="123">
        <v>17.73</v>
      </c>
      <c r="BP139" s="108">
        <f>BO139-BM139</f>
        <v>-0.32402120719983074</v>
      </c>
      <c r="BQ139" s="124"/>
      <c r="BR139" s="124"/>
      <c r="BS139" s="71"/>
      <c r="BU139" s="78"/>
      <c r="BV139" s="32"/>
      <c r="BW139" s="127"/>
      <c r="BX139" s="78"/>
      <c r="BY139" s="78"/>
      <c r="BZ139" s="127"/>
      <c r="CA139" s="76"/>
    </row>
    <row r="140" spans="1:79" s="72" customFormat="1">
      <c r="A140" s="13" t="s">
        <v>466</v>
      </c>
      <c r="B140" s="429" t="s">
        <v>649</v>
      </c>
      <c r="C140" s="13" t="s">
        <v>657</v>
      </c>
      <c r="D140" s="387" t="s">
        <v>657</v>
      </c>
      <c r="E140" s="13" t="s">
        <v>137</v>
      </c>
      <c r="F140" s="13" t="s">
        <v>167</v>
      </c>
      <c r="G140" s="13" t="s">
        <v>724</v>
      </c>
      <c r="H140" s="13" t="s">
        <v>121</v>
      </c>
      <c r="I140" s="13" t="s">
        <v>147</v>
      </c>
      <c r="J140" s="13" t="s">
        <v>5</v>
      </c>
      <c r="K140" s="13" t="s">
        <v>123</v>
      </c>
      <c r="L140" s="13" t="s">
        <v>725</v>
      </c>
      <c r="M140" s="13" t="s">
        <v>125</v>
      </c>
      <c r="N140" s="13" t="s">
        <v>126</v>
      </c>
      <c r="O140" s="247">
        <v>0.52</v>
      </c>
      <c r="P140" s="13">
        <v>107</v>
      </c>
      <c r="Q140" s="13">
        <v>30</v>
      </c>
      <c r="R140" s="13" t="s">
        <v>127</v>
      </c>
      <c r="S140" s="430" t="str">
        <f t="shared" si="74"/>
        <v>N/A</v>
      </c>
      <c r="T140" s="247">
        <v>0.8</v>
      </c>
      <c r="U140" s="13">
        <v>180</v>
      </c>
      <c r="V140" s="13">
        <v>580</v>
      </c>
      <c r="W140" s="430">
        <f t="shared" si="72"/>
        <v>400</v>
      </c>
      <c r="X140" s="430">
        <f t="shared" si="73"/>
        <v>190</v>
      </c>
      <c r="Y140" s="13">
        <v>150</v>
      </c>
      <c r="Z140" s="13">
        <v>600</v>
      </c>
      <c r="AA140" s="430">
        <f t="shared" si="75"/>
        <v>450</v>
      </c>
      <c r="AB140" s="430">
        <f t="shared" si="76"/>
        <v>170</v>
      </c>
      <c r="AC140" s="430" t="str">
        <f t="shared" si="77"/>
        <v>N/A</v>
      </c>
      <c r="AD140" s="430">
        <f t="shared" si="78"/>
        <v>77</v>
      </c>
      <c r="AE140" s="431">
        <f t="shared" si="79"/>
        <v>1.2004000000000001</v>
      </c>
      <c r="AF140" s="431"/>
      <c r="AG140" s="431">
        <f t="shared" si="80"/>
        <v>1.0563308411214953</v>
      </c>
      <c r="AH140" s="431">
        <f t="shared" si="81"/>
        <v>1.1197106915887849</v>
      </c>
      <c r="AI140" s="432">
        <f t="shared" si="82"/>
        <v>881.85470400000008</v>
      </c>
      <c r="AJ140" s="432">
        <f t="shared" si="83"/>
        <v>139.25833725413031</v>
      </c>
      <c r="AK140" s="432">
        <f t="shared" si="84"/>
        <v>152.2682494425093</v>
      </c>
      <c r="AL140" s="432">
        <f t="shared" si="85"/>
        <v>302.68730789391992</v>
      </c>
      <c r="AM140" s="250">
        <v>152</v>
      </c>
      <c r="AN140" s="432">
        <f t="shared" si="86"/>
        <v>162.63999999999999</v>
      </c>
      <c r="AO140" s="432">
        <f t="shared" si="87"/>
        <v>182.10974687999996</v>
      </c>
      <c r="AP140" s="432">
        <f t="shared" si="88"/>
        <v>607.03248959999985</v>
      </c>
      <c r="AQ140" s="255">
        <v>44980</v>
      </c>
      <c r="AR140" s="13" t="s">
        <v>726</v>
      </c>
      <c r="AS140" s="434" t="s">
        <v>727</v>
      </c>
      <c r="AT140" s="429" t="s">
        <v>728</v>
      </c>
      <c r="AU140" s="241"/>
      <c r="AV140" s="243"/>
      <c r="AW140" s="72" t="s">
        <v>127</v>
      </c>
      <c r="AX140" s="243"/>
      <c r="AY140" s="71">
        <f t="shared" si="67"/>
        <v>0.54205607476635509</v>
      </c>
      <c r="BA140" s="72" t="str">
        <f t="shared" si="70"/>
        <v>W22</v>
      </c>
      <c r="BB140" s="72" t="str">
        <f t="shared" si="71"/>
        <v>Clear</v>
      </c>
      <c r="BC140" s="32">
        <f>IF(Q140="","",((P140/100*O140)+T140))</f>
        <v>1.3564000000000001</v>
      </c>
      <c r="BD140" s="241">
        <f>IF(BC140="","",((PI()*((51/2)^2-(16.545/2)^2)/(BC140/10))/100))</f>
        <v>134.75582912915669</v>
      </c>
      <c r="BE140" s="241">
        <f>IF(BC140="","",(BD140-AK140))</f>
        <v>-17.512420313352607</v>
      </c>
      <c r="BF140" s="71">
        <f>IF(BC140="","",(BE140/AK140))</f>
        <v>-0.11501032143910363</v>
      </c>
      <c r="BG140" s="241">
        <f>IF(BF140="","",((PI()*((70/2)^2-(16.545/2)^2)/(BC140/10))/100))</f>
        <v>267.87514331750327</v>
      </c>
      <c r="BH140" s="241">
        <f>IF(BF140="","",(BG140-AL140))</f>
        <v>-34.812164576416649</v>
      </c>
      <c r="BI140" s="71">
        <f>IF(BG140="","",(BH140/AL140))</f>
        <v>-0.1150103214391036</v>
      </c>
      <c r="BJ140" s="123"/>
      <c r="BK140" s="123">
        <v>20</v>
      </c>
      <c r="BL140" s="126">
        <f>AH140</f>
        <v>1.1197106915887849</v>
      </c>
      <c r="BM140" s="123">
        <f>BK140/AH140</f>
        <v>17.861756746844591</v>
      </c>
      <c r="BN140" s="123">
        <f>BK140-BM140</f>
        <v>2.1382432531554088</v>
      </c>
      <c r="BO140" s="123">
        <v>17.559999999999999</v>
      </c>
      <c r="BP140" s="108">
        <f>BO140-BM140</f>
        <v>-0.30175674684459253</v>
      </c>
      <c r="BQ140" s="83"/>
      <c r="BR140" s="71"/>
      <c r="BS140" s="71"/>
      <c r="BT140" s="13">
        <f>P140-V140/10-120/10</f>
        <v>37</v>
      </c>
      <c r="BU140" s="79">
        <f>BT140-Q140</f>
        <v>7</v>
      </c>
      <c r="BV140" s="29">
        <f>T140+(O140/100*(P140-BT140))</f>
        <v>1.1640000000000001</v>
      </c>
      <c r="BW140" s="86">
        <f>(AE140-BV140)/AE140</f>
        <v>3.0323225591469497E-2</v>
      </c>
      <c r="BX140" s="79">
        <f>(PI()*((51/2)^2-(16.545/2)^2)/(BV140/10))/100</f>
        <v>157.02990260376987</v>
      </c>
      <c r="BY140" s="79">
        <f>BX140-AK140</f>
        <v>4.7616531612605684</v>
      </c>
      <c r="BZ140" s="86">
        <f>BY140/AK140</f>
        <v>3.1271477663230032E-2</v>
      </c>
      <c r="CA140" s="76"/>
    </row>
    <row r="141" spans="1:79" s="72" customFormat="1">
      <c r="A141" s="13" t="s">
        <v>466</v>
      </c>
      <c r="B141" s="429" t="s">
        <v>649</v>
      </c>
      <c r="C141" s="13" t="s">
        <v>657</v>
      </c>
      <c r="D141" s="387" t="s">
        <v>657</v>
      </c>
      <c r="E141" s="13" t="s">
        <v>137</v>
      </c>
      <c r="F141" s="13" t="s">
        <v>167</v>
      </c>
      <c r="G141" s="13" t="s">
        <v>729</v>
      </c>
      <c r="H141" s="13" t="s">
        <v>121</v>
      </c>
      <c r="I141" s="13" t="s">
        <v>147</v>
      </c>
      <c r="J141" s="13" t="s">
        <v>5</v>
      </c>
      <c r="K141" s="13" t="s">
        <v>123</v>
      </c>
      <c r="L141" s="429" t="s">
        <v>730</v>
      </c>
      <c r="M141" s="13" t="s">
        <v>125</v>
      </c>
      <c r="N141" s="13" t="s">
        <v>126</v>
      </c>
      <c r="O141" s="247">
        <v>0.52</v>
      </c>
      <c r="P141" s="13">
        <v>85</v>
      </c>
      <c r="Q141" s="13">
        <v>20</v>
      </c>
      <c r="R141" s="13" t="s">
        <v>127</v>
      </c>
      <c r="S141" s="430" t="str">
        <f t="shared" si="74"/>
        <v>N/A</v>
      </c>
      <c r="T141" s="247">
        <v>0.8</v>
      </c>
      <c r="U141" s="13">
        <v>150</v>
      </c>
      <c r="V141" s="13">
        <v>500</v>
      </c>
      <c r="W141" s="430">
        <f t="shared" si="72"/>
        <v>350</v>
      </c>
      <c r="X141" s="430">
        <f t="shared" si="73"/>
        <v>150</v>
      </c>
      <c r="Y141" s="13">
        <v>150</v>
      </c>
      <c r="Z141" s="13">
        <v>550</v>
      </c>
      <c r="AA141" s="430">
        <f t="shared" si="75"/>
        <v>400</v>
      </c>
      <c r="AB141" s="430">
        <f t="shared" si="76"/>
        <v>100</v>
      </c>
      <c r="AC141" s="430" t="str">
        <f t="shared" si="77"/>
        <v>N/A</v>
      </c>
      <c r="AD141" s="430">
        <f t="shared" si="78"/>
        <v>65</v>
      </c>
      <c r="AE141" s="431">
        <f t="shared" si="79"/>
        <v>1.1379999999999999</v>
      </c>
      <c r="AF141" s="431"/>
      <c r="AG141" s="431">
        <f t="shared" si="80"/>
        <v>1.008764705882353</v>
      </c>
      <c r="AH141" s="431">
        <f t="shared" si="81"/>
        <v>1.0692905882352943</v>
      </c>
      <c r="AI141" s="432">
        <f t="shared" si="82"/>
        <v>881.85470400000008</v>
      </c>
      <c r="AJ141" s="432">
        <f t="shared" si="83"/>
        <v>146.89429528985769</v>
      </c>
      <c r="AK141" s="432">
        <f t="shared" si="84"/>
        <v>160.61758051914606</v>
      </c>
      <c r="AL141" s="432">
        <f t="shared" si="85"/>
        <v>319.28457328283088</v>
      </c>
      <c r="AM141" s="250">
        <v>161</v>
      </c>
      <c r="AN141" s="432">
        <f t="shared" si="86"/>
        <v>136.85</v>
      </c>
      <c r="AO141" s="432">
        <f t="shared" si="87"/>
        <v>146.33241700000002</v>
      </c>
      <c r="AP141" s="432">
        <f t="shared" si="88"/>
        <v>731.66208500000005</v>
      </c>
      <c r="AQ141" s="255" t="s">
        <v>170</v>
      </c>
      <c r="AR141" s="13" t="s">
        <v>642</v>
      </c>
      <c r="AS141" s="434" t="s">
        <v>731</v>
      </c>
      <c r="AT141" s="429"/>
      <c r="AU141" s="241"/>
      <c r="AV141" s="243"/>
      <c r="AW141" s="72" t="s">
        <v>127</v>
      </c>
      <c r="AX141" s="243"/>
      <c r="AY141" s="71">
        <f t="shared" si="67"/>
        <v>0.58823529411764708</v>
      </c>
      <c r="BA141" s="72" t="str">
        <f t="shared" si="70"/>
        <v>W22</v>
      </c>
      <c r="BB141" s="72" t="str">
        <f t="shared" si="71"/>
        <v>Clear</v>
      </c>
      <c r="BC141" s="32"/>
      <c r="BD141" s="241"/>
      <c r="BE141" s="241"/>
      <c r="BF141" s="71"/>
      <c r="BG141" s="241"/>
      <c r="BH141" s="241"/>
      <c r="BI141" s="71"/>
      <c r="BJ141" s="123"/>
      <c r="BK141" s="123"/>
      <c r="BL141" s="126"/>
      <c r="BM141" s="123"/>
      <c r="BN141" s="123"/>
      <c r="BO141" s="108"/>
      <c r="BP141" s="108"/>
      <c r="BQ141" s="151"/>
      <c r="BR141" s="150">
        <v>2992</v>
      </c>
      <c r="BS141" s="80"/>
      <c r="BT141" s="22"/>
      <c r="BU141" s="87"/>
      <c r="BV141" s="73"/>
      <c r="BW141" s="109"/>
      <c r="BX141" s="87"/>
      <c r="BY141" s="87"/>
      <c r="BZ141" s="109"/>
      <c r="CA141" s="76"/>
    </row>
    <row r="142" spans="1:79" s="72" customFormat="1">
      <c r="A142" s="13" t="s">
        <v>466</v>
      </c>
      <c r="B142" s="429" t="s">
        <v>649</v>
      </c>
      <c r="C142" s="13" t="s">
        <v>657</v>
      </c>
      <c r="D142" s="387" t="s">
        <v>657</v>
      </c>
      <c r="E142" s="13" t="s">
        <v>137</v>
      </c>
      <c r="F142" s="13" t="s">
        <v>167</v>
      </c>
      <c r="G142" s="13" t="s">
        <v>732</v>
      </c>
      <c r="H142" s="13" t="s">
        <v>121</v>
      </c>
      <c r="I142" s="13" t="s">
        <v>147</v>
      </c>
      <c r="J142" s="13" t="s">
        <v>5</v>
      </c>
      <c r="K142" s="13" t="s">
        <v>123</v>
      </c>
      <c r="L142" s="429" t="s">
        <v>733</v>
      </c>
      <c r="M142" s="13" t="s">
        <v>125</v>
      </c>
      <c r="N142" s="13" t="s">
        <v>12</v>
      </c>
      <c r="O142" s="247">
        <v>0.52</v>
      </c>
      <c r="P142" s="13">
        <v>100</v>
      </c>
      <c r="Q142" s="13">
        <v>25</v>
      </c>
      <c r="R142" s="13" t="s">
        <v>127</v>
      </c>
      <c r="S142" s="430" t="str">
        <f t="shared" si="74"/>
        <v>N/A</v>
      </c>
      <c r="T142" s="247">
        <v>0.8</v>
      </c>
      <c r="U142" s="13">
        <v>150</v>
      </c>
      <c r="V142" s="13">
        <v>630</v>
      </c>
      <c r="W142" s="430">
        <f t="shared" si="72"/>
        <v>480</v>
      </c>
      <c r="X142" s="430">
        <f t="shared" si="73"/>
        <v>120</v>
      </c>
      <c r="Y142" s="13">
        <f>U142</f>
        <v>150</v>
      </c>
      <c r="Z142" s="13">
        <f>V142</f>
        <v>630</v>
      </c>
      <c r="AA142" s="430">
        <f t="shared" si="75"/>
        <v>480</v>
      </c>
      <c r="AB142" s="430">
        <f t="shared" si="76"/>
        <v>120</v>
      </c>
      <c r="AC142" s="430" t="str">
        <f t="shared" si="77"/>
        <v>N/A</v>
      </c>
      <c r="AD142" s="430">
        <f t="shared" si="78"/>
        <v>75</v>
      </c>
      <c r="AE142" s="431">
        <f t="shared" si="79"/>
        <v>1.19</v>
      </c>
      <c r="AF142" s="431"/>
      <c r="AG142" s="431">
        <f t="shared" si="80"/>
        <v>1.04375</v>
      </c>
      <c r="AH142" s="431">
        <f t="shared" si="81"/>
        <v>1.1063749999999999</v>
      </c>
      <c r="AI142" s="432">
        <f t="shared" si="82"/>
        <v>881.85470400000008</v>
      </c>
      <c r="AJ142" s="432">
        <f t="shared" si="83"/>
        <v>140.47538490744373</v>
      </c>
      <c r="AK142" s="432">
        <f t="shared" si="84"/>
        <v>153.59899716872957</v>
      </c>
      <c r="AL142" s="432">
        <f t="shared" si="85"/>
        <v>305.33264234946341</v>
      </c>
      <c r="AM142" s="250">
        <v>154</v>
      </c>
      <c r="AN142" s="432">
        <f t="shared" si="86"/>
        <v>154</v>
      </c>
      <c r="AO142" s="432">
        <f t="shared" si="87"/>
        <v>170.38174999999998</v>
      </c>
      <c r="AP142" s="432">
        <f t="shared" si="88"/>
        <v>681.52699999999993</v>
      </c>
      <c r="AQ142" s="255">
        <v>44621</v>
      </c>
      <c r="AR142" s="13" t="s">
        <v>701</v>
      </c>
      <c r="AS142" s="434" t="s">
        <v>734</v>
      </c>
      <c r="AT142" s="429" t="s">
        <v>703</v>
      </c>
      <c r="AU142" s="241"/>
      <c r="AV142" s="243"/>
      <c r="AW142" s="72" t="s">
        <v>127</v>
      </c>
      <c r="AX142" s="243">
        <v>44652</v>
      </c>
      <c r="AY142" s="103">
        <f t="shared" si="67"/>
        <v>0.63</v>
      </c>
      <c r="BA142" s="13" t="str">
        <f t="shared" si="70"/>
        <v>W22</v>
      </c>
      <c r="BB142" s="72" t="str">
        <f t="shared" si="71"/>
        <v>Clear</v>
      </c>
      <c r="BC142" s="32">
        <f>IF(Q142="","",((P142/100*O142)+T142))</f>
        <v>1.32</v>
      </c>
      <c r="BD142" s="241">
        <f>IF(BC142="","",((PI()*((51/2)^2-(16.545/2)^2)/(BC142/10))/100))</f>
        <v>138.47182320514256</v>
      </c>
      <c r="BE142" s="241">
        <f>IF(BC142="","",(BD142-AK142))</f>
        <v>-15.127173963587012</v>
      </c>
      <c r="BF142" s="71">
        <f>IF(BC142="","",(BE142/AK142))</f>
        <v>-9.848484848484855E-2</v>
      </c>
      <c r="BG142" s="241">
        <f>IF(BF142="","",((PI()*((70/2)^2-(16.545/2)^2)/(BC142/10))/100))</f>
        <v>275.26200333019807</v>
      </c>
      <c r="BH142" s="241">
        <f>IF(BF142="","",(BG142-AL142))</f>
        <v>-30.070639019265343</v>
      </c>
      <c r="BI142" s="71">
        <f>IF(BG142="","",(BH142/AL142))</f>
        <v>-9.8484848484848508E-2</v>
      </c>
      <c r="BJ142" s="123">
        <v>20</v>
      </c>
      <c r="BK142" s="123"/>
      <c r="BL142" s="126"/>
      <c r="BM142" s="123"/>
      <c r="BN142" s="123"/>
      <c r="BO142" s="123"/>
      <c r="BP142" s="108"/>
      <c r="BQ142" s="130"/>
      <c r="BR142" s="100"/>
      <c r="BS142" s="100"/>
      <c r="BU142" s="78"/>
      <c r="BV142" s="32"/>
      <c r="BW142" s="127"/>
      <c r="BX142" s="78"/>
      <c r="BY142" s="78"/>
      <c r="BZ142" s="127"/>
      <c r="CA142" s="76"/>
    </row>
    <row r="143" spans="1:79" s="72" customFormat="1">
      <c r="A143" s="13" t="s">
        <v>466</v>
      </c>
      <c r="B143" s="429" t="s">
        <v>649</v>
      </c>
      <c r="C143" s="13" t="s">
        <v>657</v>
      </c>
      <c r="D143" s="387" t="s">
        <v>657</v>
      </c>
      <c r="E143" s="13" t="s">
        <v>137</v>
      </c>
      <c r="F143" s="13" t="s">
        <v>167</v>
      </c>
      <c r="G143" s="13" t="s">
        <v>735</v>
      </c>
      <c r="H143" s="13" t="s">
        <v>121</v>
      </c>
      <c r="I143" s="13" t="s">
        <v>147</v>
      </c>
      <c r="J143" s="13" t="s">
        <v>5</v>
      </c>
      <c r="K143" s="13" t="s">
        <v>123</v>
      </c>
      <c r="L143" s="429" t="s">
        <v>736</v>
      </c>
      <c r="M143" s="13" t="s">
        <v>125</v>
      </c>
      <c r="N143" s="13" t="s">
        <v>12</v>
      </c>
      <c r="O143" s="247">
        <v>0.52</v>
      </c>
      <c r="P143" s="13">
        <v>103</v>
      </c>
      <c r="Q143" s="13">
        <v>28</v>
      </c>
      <c r="R143" s="13" t="s">
        <v>127</v>
      </c>
      <c r="S143" s="430" t="str">
        <f t="shared" si="74"/>
        <v>N/A</v>
      </c>
      <c r="T143" s="247">
        <v>0.8</v>
      </c>
      <c r="U143" s="13">
        <v>150</v>
      </c>
      <c r="V143" s="13">
        <v>630</v>
      </c>
      <c r="W143" s="430">
        <f t="shared" si="72"/>
        <v>480</v>
      </c>
      <c r="X143" s="430">
        <f t="shared" si="73"/>
        <v>120</v>
      </c>
      <c r="Y143" s="13">
        <v>150</v>
      </c>
      <c r="Z143" s="13">
        <v>630</v>
      </c>
      <c r="AA143" s="430">
        <f t="shared" si="75"/>
        <v>480</v>
      </c>
      <c r="AB143" s="430">
        <f t="shared" si="76"/>
        <v>120</v>
      </c>
      <c r="AC143" s="430" t="str">
        <f t="shared" si="77"/>
        <v>N/A</v>
      </c>
      <c r="AD143" s="430">
        <f t="shared" si="78"/>
        <v>75</v>
      </c>
      <c r="AE143" s="431">
        <f t="shared" si="79"/>
        <v>1.19</v>
      </c>
      <c r="AF143" s="431"/>
      <c r="AG143" s="431">
        <f t="shared" si="80"/>
        <v>1.0480097087378639</v>
      </c>
      <c r="AH143" s="431">
        <f t="shared" si="81"/>
        <v>1.1108902912621357</v>
      </c>
      <c r="AI143" s="432">
        <f t="shared" si="82"/>
        <v>881.85470400000008</v>
      </c>
      <c r="AJ143" s="432">
        <f t="shared" si="83"/>
        <v>140.47538490744373</v>
      </c>
      <c r="AK143" s="432">
        <f t="shared" si="84"/>
        <v>153.59899716872957</v>
      </c>
      <c r="AL143" s="432">
        <f t="shared" si="85"/>
        <v>305.33264234946341</v>
      </c>
      <c r="AM143" s="250">
        <v>154</v>
      </c>
      <c r="AN143" s="432">
        <f t="shared" si="86"/>
        <v>158.62</v>
      </c>
      <c r="AO143" s="432">
        <f t="shared" si="87"/>
        <v>176.20941799999997</v>
      </c>
      <c r="AP143" s="432">
        <f t="shared" si="88"/>
        <v>629.31934999999987</v>
      </c>
      <c r="AQ143" s="255">
        <v>44805</v>
      </c>
      <c r="AR143" s="13" t="s">
        <v>706</v>
      </c>
      <c r="AS143" s="434"/>
      <c r="AT143" s="429"/>
      <c r="AU143" s="241"/>
      <c r="AV143" s="243"/>
      <c r="AW143" s="72" t="s">
        <v>127</v>
      </c>
      <c r="AX143" s="243"/>
      <c r="AY143" s="103">
        <f t="shared" si="67"/>
        <v>0.61165048543689315</v>
      </c>
      <c r="BA143" s="13" t="str">
        <f t="shared" si="70"/>
        <v>W22</v>
      </c>
      <c r="BB143" s="72" t="str">
        <f t="shared" si="71"/>
        <v>Clear</v>
      </c>
      <c r="BC143" s="32">
        <f>IF(Q143="","",((P143/100*O143)+T143))</f>
        <v>1.3356000000000001</v>
      </c>
      <c r="BD143" s="241">
        <f>IF(BC143="","",((PI()*((51/2)^2-(16.545/2)^2)/(BC143/10))/100))</f>
        <v>136.85445240400432</v>
      </c>
      <c r="BE143" s="241">
        <f>IF(BC143="","",(BD143-AK143))</f>
        <v>-16.744544764725248</v>
      </c>
      <c r="BF143" s="71">
        <f>IF(BC143="","",(BE143/AK143))</f>
        <v>-0.10901467505241098</v>
      </c>
      <c r="BG143" s="241">
        <f>IF(BF143="","",((PI()*((70/2)^2-(16.545/2)^2)/(BC143/10))/100))</f>
        <v>272.04690356084268</v>
      </c>
      <c r="BH143" s="241">
        <f>IF(BF143="","",(BG143-AL143))</f>
        <v>-33.285738788620733</v>
      </c>
      <c r="BI143" s="71">
        <f>IF(BG143="","",(BH143/AL143))</f>
        <v>-0.10901467505241084</v>
      </c>
      <c r="BJ143" s="123"/>
      <c r="BK143" s="123"/>
      <c r="BL143" s="126"/>
      <c r="BM143" s="123"/>
      <c r="BN143" s="123"/>
      <c r="BO143" s="123"/>
      <c r="BP143" s="108"/>
      <c r="BQ143" s="71"/>
      <c r="BR143" s="71"/>
      <c r="BS143" s="71"/>
    </row>
    <row r="144" spans="1:79" s="22" customFormat="1">
      <c r="A144" s="13" t="s">
        <v>466</v>
      </c>
      <c r="B144" s="429" t="s">
        <v>649</v>
      </c>
      <c r="C144" s="13" t="s">
        <v>657</v>
      </c>
      <c r="D144" s="387" t="s">
        <v>657</v>
      </c>
      <c r="E144" s="13" t="s">
        <v>137</v>
      </c>
      <c r="F144" s="13" t="s">
        <v>167</v>
      </c>
      <c r="G144" s="13" t="s">
        <v>737</v>
      </c>
      <c r="H144" s="13" t="s">
        <v>121</v>
      </c>
      <c r="I144" s="13" t="s">
        <v>147</v>
      </c>
      <c r="J144" s="13" t="s">
        <v>5</v>
      </c>
      <c r="K144" s="13" t="s">
        <v>123</v>
      </c>
      <c r="L144" s="429" t="s">
        <v>738</v>
      </c>
      <c r="M144" s="13" t="s">
        <v>125</v>
      </c>
      <c r="N144" s="13" t="s">
        <v>12</v>
      </c>
      <c r="O144" s="247">
        <v>0.52</v>
      </c>
      <c r="P144" s="13">
        <v>107</v>
      </c>
      <c r="Q144" s="13">
        <v>30</v>
      </c>
      <c r="R144" s="13" t="s">
        <v>127</v>
      </c>
      <c r="S144" s="430" t="str">
        <f t="shared" si="74"/>
        <v>N/A</v>
      </c>
      <c r="T144" s="247">
        <v>0.8</v>
      </c>
      <c r="U144" s="13">
        <v>150</v>
      </c>
      <c r="V144" s="13">
        <v>630</v>
      </c>
      <c r="W144" s="430">
        <f t="shared" si="72"/>
        <v>480</v>
      </c>
      <c r="X144" s="430">
        <f t="shared" si="73"/>
        <v>140</v>
      </c>
      <c r="Y144" s="13">
        <v>150</v>
      </c>
      <c r="Z144" s="13">
        <v>630</v>
      </c>
      <c r="AA144" s="430">
        <f t="shared" si="75"/>
        <v>480</v>
      </c>
      <c r="AB144" s="430">
        <f t="shared" si="76"/>
        <v>140</v>
      </c>
      <c r="AC144" s="430" t="str">
        <f t="shared" si="77"/>
        <v>N/A</v>
      </c>
      <c r="AD144" s="430">
        <f t="shared" si="78"/>
        <v>77</v>
      </c>
      <c r="AE144" s="431">
        <f t="shared" si="79"/>
        <v>1.2004000000000001</v>
      </c>
      <c r="AF144" s="431"/>
      <c r="AG144" s="431">
        <f t="shared" si="80"/>
        <v>1.0563308411214953</v>
      </c>
      <c r="AH144" s="431">
        <f t="shared" si="81"/>
        <v>1.1197106915887849</v>
      </c>
      <c r="AI144" s="432">
        <f t="shared" si="82"/>
        <v>881.85470400000008</v>
      </c>
      <c r="AJ144" s="432">
        <f t="shared" si="83"/>
        <v>139.25833725413031</v>
      </c>
      <c r="AK144" s="432">
        <f t="shared" si="84"/>
        <v>152.2682494425093</v>
      </c>
      <c r="AL144" s="432">
        <f t="shared" si="85"/>
        <v>302.68730789391992</v>
      </c>
      <c r="AM144" s="250">
        <v>152</v>
      </c>
      <c r="AN144" s="432">
        <f t="shared" si="86"/>
        <v>162.63999999999999</v>
      </c>
      <c r="AO144" s="432">
        <f t="shared" si="87"/>
        <v>182.10974687999996</v>
      </c>
      <c r="AP144" s="432">
        <f t="shared" si="88"/>
        <v>607.03248959999985</v>
      </c>
      <c r="AQ144" s="255">
        <v>44835</v>
      </c>
      <c r="AR144" s="13" t="s">
        <v>706</v>
      </c>
      <c r="AS144" s="434"/>
      <c r="AT144" s="429"/>
      <c r="AU144" s="241"/>
      <c r="AV144" s="243"/>
      <c r="AW144" s="72" t="s">
        <v>127</v>
      </c>
      <c r="AX144" s="243"/>
      <c r="AY144" s="103">
        <f t="shared" si="67"/>
        <v>0.58878504672897192</v>
      </c>
      <c r="AZ144" s="72"/>
      <c r="BA144" s="13" t="str">
        <f t="shared" si="70"/>
        <v>W22</v>
      </c>
      <c r="BB144" s="72" t="str">
        <f t="shared" si="71"/>
        <v>Clear</v>
      </c>
      <c r="BC144" s="32">
        <f>IF(Q144="","",((P144/100*O144)+T144))</f>
        <v>1.3564000000000001</v>
      </c>
      <c r="BD144" s="241">
        <f>IF(BC144="","",((PI()*((51/2)^2-(16.545/2)^2)/(BC144/10))/100))</f>
        <v>134.75582912915669</v>
      </c>
      <c r="BE144" s="241">
        <f>IF(BC144="","",(BD144-AK144))</f>
        <v>-17.512420313352607</v>
      </c>
      <c r="BF144" s="71">
        <f>IF(BC144="","",(BE144/AK144))</f>
        <v>-0.11501032143910363</v>
      </c>
      <c r="BG144" s="241">
        <f>IF(BF144="","",((PI()*((70/2)^2-(16.545/2)^2)/(BC144/10))/100))</f>
        <v>267.87514331750327</v>
      </c>
      <c r="BH144" s="241">
        <f>IF(BF144="","",(BG144-AL144))</f>
        <v>-34.812164576416649</v>
      </c>
      <c r="BI144" s="71">
        <f>IF(BG144="","",(BH144/AL144))</f>
        <v>-0.1150103214391036</v>
      </c>
      <c r="BJ144" s="123"/>
      <c r="BK144" s="123"/>
      <c r="BL144" s="126"/>
      <c r="BM144" s="123"/>
      <c r="BN144" s="123"/>
      <c r="BO144" s="123"/>
      <c r="BP144" s="108"/>
      <c r="BQ144" s="83"/>
      <c r="BR144" s="71"/>
      <c r="BS144" s="71"/>
      <c r="BT144" s="13">
        <f>P144-V144/10-120/10</f>
        <v>32</v>
      </c>
      <c r="BU144" s="79">
        <f>BT144-Q144</f>
        <v>2</v>
      </c>
      <c r="BV144" s="29">
        <f>T144+(O144/100*(P144-BT144))</f>
        <v>1.19</v>
      </c>
      <c r="BW144" s="86">
        <f>(AE144-BV144)/AE144</f>
        <v>8.6637787404200139E-3</v>
      </c>
      <c r="BX144" s="79">
        <f>(PI()*((51/2)^2-(16.545/2)^2)/(BV144/10))/100</f>
        <v>153.59899716872957</v>
      </c>
      <c r="BY144" s="79">
        <f>BX144-AK144</f>
        <v>1.3307477262202667</v>
      </c>
      <c r="BZ144" s="86">
        <f>BY144/AK144</f>
        <v>8.7394957983194417E-3</v>
      </c>
      <c r="CA144" s="76"/>
    </row>
    <row r="145" spans="1:79" s="262" customFormat="1">
      <c r="A145" s="13" t="s">
        <v>466</v>
      </c>
      <c r="B145" s="429" t="s">
        <v>649</v>
      </c>
      <c r="C145" s="13" t="s">
        <v>657</v>
      </c>
      <c r="D145" s="387" t="s">
        <v>657</v>
      </c>
      <c r="E145" s="13" t="s">
        <v>137</v>
      </c>
      <c r="F145" s="13" t="s">
        <v>167</v>
      </c>
      <c r="G145" s="13" t="s">
        <v>739</v>
      </c>
      <c r="H145" s="13" t="s">
        <v>121</v>
      </c>
      <c r="I145" s="13" t="s">
        <v>147</v>
      </c>
      <c r="J145" s="13" t="s">
        <v>5</v>
      </c>
      <c r="K145" s="13" t="s">
        <v>123</v>
      </c>
      <c r="L145" s="429" t="s">
        <v>740</v>
      </c>
      <c r="M145" s="13" t="s">
        <v>125</v>
      </c>
      <c r="N145" s="13" t="s">
        <v>126</v>
      </c>
      <c r="O145" s="247">
        <v>0.59</v>
      </c>
      <c r="P145" s="13">
        <v>91</v>
      </c>
      <c r="Q145" s="13">
        <v>30</v>
      </c>
      <c r="R145" s="13" t="s">
        <v>127</v>
      </c>
      <c r="S145" s="430" t="str">
        <f t="shared" si="74"/>
        <v>N/A</v>
      </c>
      <c r="T145" s="247">
        <v>0.8</v>
      </c>
      <c r="U145" s="13">
        <v>90</v>
      </c>
      <c r="V145" s="13">
        <v>490</v>
      </c>
      <c r="W145" s="430">
        <f t="shared" si="72"/>
        <v>400</v>
      </c>
      <c r="X145" s="430">
        <f t="shared" si="73"/>
        <v>120</v>
      </c>
      <c r="Y145" s="13">
        <v>90</v>
      </c>
      <c r="Z145" s="13">
        <v>500</v>
      </c>
      <c r="AA145" s="430">
        <f t="shared" si="75"/>
        <v>410</v>
      </c>
      <c r="AB145" s="430">
        <f t="shared" si="76"/>
        <v>110</v>
      </c>
      <c r="AC145" s="430" t="str">
        <f t="shared" si="77"/>
        <v>N/A</v>
      </c>
      <c r="AD145" s="430">
        <f t="shared" si="78"/>
        <v>61</v>
      </c>
      <c r="AE145" s="431">
        <f t="shared" si="79"/>
        <v>1.1598999999999999</v>
      </c>
      <c r="AF145" s="431"/>
      <c r="AG145" s="431">
        <f t="shared" si="80"/>
        <v>1.0392741758241757</v>
      </c>
      <c r="AH145" s="431">
        <f t="shared" si="81"/>
        <v>1.1016306263736262</v>
      </c>
      <c r="AI145" s="432">
        <f t="shared" si="82"/>
        <v>886.41206799999998</v>
      </c>
      <c r="AJ145" s="432">
        <f t="shared" si="83"/>
        <v>144.12079320618849</v>
      </c>
      <c r="AK145" s="432">
        <f t="shared" si="84"/>
        <v>157.58496993774307</v>
      </c>
      <c r="AL145" s="432">
        <f t="shared" si="85"/>
        <v>313.25618104652256</v>
      </c>
      <c r="AM145" s="250">
        <v>158</v>
      </c>
      <c r="AN145" s="432">
        <f t="shared" si="86"/>
        <v>143.78</v>
      </c>
      <c r="AO145" s="432">
        <f t="shared" si="87"/>
        <v>158.39245145999996</v>
      </c>
      <c r="AP145" s="432">
        <f t="shared" si="88"/>
        <v>527.97483819999991</v>
      </c>
      <c r="AQ145" s="255">
        <v>44980</v>
      </c>
      <c r="AR145" s="13" t="s">
        <v>682</v>
      </c>
      <c r="AS145" s="434" t="s">
        <v>741</v>
      </c>
      <c r="AT145" s="429"/>
      <c r="AU145" s="241"/>
      <c r="AV145" s="243"/>
      <c r="AW145" s="72" t="s">
        <v>127</v>
      </c>
      <c r="AX145" s="243"/>
      <c r="AY145" s="71">
        <f t="shared" si="67"/>
        <v>0.53846153846153844</v>
      </c>
      <c r="AZ145" s="72"/>
      <c r="BA145" s="72" t="str">
        <f t="shared" si="70"/>
        <v>W22</v>
      </c>
      <c r="BB145" s="72" t="str">
        <f t="shared" si="71"/>
        <v>Clear</v>
      </c>
      <c r="BC145" s="32">
        <f>IF(Q145="","",((P145/100*O145)+T145))</f>
        <v>1.3369</v>
      </c>
      <c r="BD145" s="241">
        <f>IF(BC145="","",((PI()*((51/2)^2-(16.545/2)^2)/(BC145/10))/100))</f>
        <v>136.72137529417921</v>
      </c>
      <c r="BE145" s="241">
        <f>IF(BC145="","",(BD145-AK145))</f>
        <v>-20.863594643563857</v>
      </c>
      <c r="BF145" s="71">
        <f>IF(BC145="","",(BE145/AK145))</f>
        <v>-0.13239584112499064</v>
      </c>
      <c r="BG145" s="241">
        <f>IF(BF145="","",((PI()*((70/2)^2-(16.545/2)^2)/(BC145/10))/100))</f>
        <v>271.78236546926581</v>
      </c>
      <c r="BH145" s="241">
        <f>IF(BF145="","",(BG145-AL145))</f>
        <v>-41.473815577256744</v>
      </c>
      <c r="BI145" s="71">
        <f>IF(BG145="","",(BH145/AL145))</f>
        <v>-0.13239584112499075</v>
      </c>
      <c r="BJ145" s="123"/>
      <c r="BK145" s="123">
        <v>20</v>
      </c>
      <c r="BL145" s="126">
        <f>AH145</f>
        <v>1.1016306263736262</v>
      </c>
      <c r="BM145" s="123">
        <f>BK145/AH145</f>
        <v>18.154905574690197</v>
      </c>
      <c r="BN145" s="123">
        <f>BK145-BM145</f>
        <v>1.8450944253098029</v>
      </c>
      <c r="BO145" s="123">
        <v>17.670000000000002</v>
      </c>
      <c r="BP145" s="108">
        <f>BO145-BM145</f>
        <v>-0.48490557469019535</v>
      </c>
      <c r="BQ145" s="130"/>
      <c r="BR145" s="100"/>
      <c r="BS145" s="100"/>
      <c r="BT145" s="77"/>
      <c r="BU145" s="282"/>
      <c r="BV145" s="264"/>
      <c r="BW145" s="169"/>
      <c r="BX145" s="282"/>
      <c r="BY145" s="282"/>
      <c r="BZ145" s="169"/>
      <c r="CA145" s="271"/>
    </row>
    <row r="146" spans="1:79" s="262" customFormat="1">
      <c r="A146" s="13" t="s">
        <v>466</v>
      </c>
      <c r="B146" s="429" t="s">
        <v>649</v>
      </c>
      <c r="C146" s="13" t="s">
        <v>657</v>
      </c>
      <c r="D146" s="387" t="s">
        <v>657</v>
      </c>
      <c r="E146" s="13" t="s">
        <v>137</v>
      </c>
      <c r="F146" s="13" t="s">
        <v>167</v>
      </c>
      <c r="G146" s="13" t="s">
        <v>742</v>
      </c>
      <c r="H146" s="13" t="s">
        <v>121</v>
      </c>
      <c r="I146" s="13" t="s">
        <v>147</v>
      </c>
      <c r="J146" s="13" t="s">
        <v>5</v>
      </c>
      <c r="K146" s="13" t="s">
        <v>123</v>
      </c>
      <c r="L146" s="429" t="s">
        <v>743</v>
      </c>
      <c r="M146" s="13" t="s">
        <v>125</v>
      </c>
      <c r="N146" s="13" t="s">
        <v>126</v>
      </c>
      <c r="O146" s="247">
        <v>0.59</v>
      </c>
      <c r="P146" s="13">
        <v>115</v>
      </c>
      <c r="Q146" s="13">
        <v>30</v>
      </c>
      <c r="R146" s="13" t="s">
        <v>127</v>
      </c>
      <c r="S146" s="430" t="str">
        <f t="shared" si="74"/>
        <v>N/A</v>
      </c>
      <c r="T146" s="247">
        <v>0.8</v>
      </c>
      <c r="U146" s="13">
        <v>200</v>
      </c>
      <c r="V146" s="13">
        <v>600</v>
      </c>
      <c r="W146" s="430">
        <f t="shared" si="72"/>
        <v>400</v>
      </c>
      <c r="X146" s="430">
        <f t="shared" si="73"/>
        <v>250</v>
      </c>
      <c r="Y146" s="13">
        <v>150</v>
      </c>
      <c r="Z146" s="13">
        <v>600</v>
      </c>
      <c r="AA146" s="430">
        <f t="shared" si="75"/>
        <v>450</v>
      </c>
      <c r="AB146" s="430">
        <f t="shared" si="76"/>
        <v>250</v>
      </c>
      <c r="AC146" s="430" t="str">
        <f t="shared" si="77"/>
        <v>N/A</v>
      </c>
      <c r="AD146" s="430">
        <f t="shared" si="78"/>
        <v>85</v>
      </c>
      <c r="AE146" s="431">
        <f t="shared" si="79"/>
        <v>1.3014999999999999</v>
      </c>
      <c r="AF146" s="431"/>
      <c r="AG146" s="431">
        <f t="shared" si="80"/>
        <v>1.1161630434782608</v>
      </c>
      <c r="AH146" s="431">
        <f t="shared" si="81"/>
        <v>1.1831328260869565</v>
      </c>
      <c r="AI146" s="432">
        <f t="shared" si="82"/>
        <v>886.41206799999998</v>
      </c>
      <c r="AJ146" s="432">
        <f t="shared" si="83"/>
        <v>128.44080525536538</v>
      </c>
      <c r="AK146" s="432">
        <f t="shared" si="84"/>
        <v>140.4401126629183</v>
      </c>
      <c r="AL146" s="432">
        <f t="shared" si="85"/>
        <v>279.17467875210258</v>
      </c>
      <c r="AM146" s="250">
        <v>140</v>
      </c>
      <c r="AN146" s="432">
        <f t="shared" si="86"/>
        <v>161</v>
      </c>
      <c r="AO146" s="432">
        <f t="shared" si="87"/>
        <v>190.484385</v>
      </c>
      <c r="AP146" s="432">
        <f t="shared" si="88"/>
        <v>634.94794999999999</v>
      </c>
      <c r="AQ146" s="255">
        <v>44980</v>
      </c>
      <c r="AR146" s="13" t="s">
        <v>682</v>
      </c>
      <c r="AS146" s="434" t="s">
        <v>744</v>
      </c>
      <c r="AT146" s="429"/>
      <c r="AU146" s="241"/>
      <c r="AV146" s="243"/>
      <c r="AW146" s="72" t="s">
        <v>127</v>
      </c>
      <c r="AX146" s="243"/>
      <c r="AY146" s="71">
        <f t="shared" si="67"/>
        <v>0.52173913043478259</v>
      </c>
      <c r="AZ146" s="72"/>
      <c r="BA146" s="72" t="str">
        <f t="shared" si="70"/>
        <v>W22</v>
      </c>
      <c r="BB146" s="72" t="str">
        <f t="shared" si="71"/>
        <v>Clear</v>
      </c>
      <c r="BC146" s="32">
        <f>IF(Q146="","",((P146/100*O146)+T146))</f>
        <v>1.4784999999999999</v>
      </c>
      <c r="BD146" s="241">
        <f>IF(BC146="","",((PI()*((51/2)^2-(16.545/2)^2)/(BC146/10))/100))</f>
        <v>123.62719420411783</v>
      </c>
      <c r="BE146" s="241">
        <f>IF(BC146="","",(BD146-AK146))</f>
        <v>-16.812918458800468</v>
      </c>
      <c r="BF146" s="71">
        <f>IF(BC146="","",(BE146/AK146))</f>
        <v>-0.11971592830571502</v>
      </c>
      <c r="BG146" s="241">
        <f>IF(BF146="","",((PI()*((70/2)^2-(16.545/2)^2)/(BC146/10))/100))</f>
        <v>245.75302292584479</v>
      </c>
      <c r="BH146" s="241">
        <f>IF(BF146="","",(BG146-AL146))</f>
        <v>-33.421655826257791</v>
      </c>
      <c r="BI146" s="71">
        <f>IF(BG146="","",(BH146/AL146))</f>
        <v>-0.11971592830571522</v>
      </c>
      <c r="BJ146" s="123"/>
      <c r="BK146" s="123">
        <v>20</v>
      </c>
      <c r="BL146" s="126">
        <f>AH146</f>
        <v>1.1831328260869565</v>
      </c>
      <c r="BM146" s="123">
        <f>BK146/AH146</f>
        <v>16.904272757055651</v>
      </c>
      <c r="BN146" s="123">
        <f>BK146-BM146</f>
        <v>3.0957272429443492</v>
      </c>
      <c r="BO146" s="123">
        <v>16.66</v>
      </c>
      <c r="BP146" s="108">
        <f>BO146-BM146</f>
        <v>-0.24427275705565066</v>
      </c>
      <c r="BQ146" s="115"/>
      <c r="BR146" s="115"/>
      <c r="BS146" s="80"/>
      <c r="BT146" s="22"/>
      <c r="BU146" s="87"/>
      <c r="BV146" s="73"/>
      <c r="BW146" s="109"/>
      <c r="BX146" s="87"/>
      <c r="BY146" s="87"/>
      <c r="BZ146" s="109"/>
      <c r="CA146" s="284"/>
    </row>
    <row r="147" spans="1:79" s="262" customFormat="1">
      <c r="A147" s="13" t="s">
        <v>466</v>
      </c>
      <c r="B147" s="429" t="s">
        <v>649</v>
      </c>
      <c r="C147" s="13" t="s">
        <v>657</v>
      </c>
      <c r="D147" s="387" t="s">
        <v>657</v>
      </c>
      <c r="E147" s="13" t="s">
        <v>137</v>
      </c>
      <c r="F147" s="13" t="s">
        <v>167</v>
      </c>
      <c r="G147" s="13" t="s">
        <v>745</v>
      </c>
      <c r="H147" s="13" t="s">
        <v>121</v>
      </c>
      <c r="I147" s="13" t="s">
        <v>147</v>
      </c>
      <c r="J147" s="13" t="s">
        <v>5</v>
      </c>
      <c r="K147" s="13" t="s">
        <v>123</v>
      </c>
      <c r="L147" s="429" t="s">
        <v>746</v>
      </c>
      <c r="M147" s="13" t="s">
        <v>125</v>
      </c>
      <c r="N147" s="13" t="s">
        <v>126</v>
      </c>
      <c r="O147" s="247">
        <v>0.59</v>
      </c>
      <c r="P147" s="13">
        <v>85</v>
      </c>
      <c r="Q147" s="13">
        <v>20</v>
      </c>
      <c r="R147" s="13" t="s">
        <v>127</v>
      </c>
      <c r="S147" s="430" t="str">
        <f t="shared" si="74"/>
        <v>N/A</v>
      </c>
      <c r="T147" s="247">
        <v>0.8</v>
      </c>
      <c r="U147" s="13">
        <v>150</v>
      </c>
      <c r="V147" s="13">
        <v>500</v>
      </c>
      <c r="W147" s="430">
        <f t="shared" si="72"/>
        <v>350</v>
      </c>
      <c r="X147" s="430">
        <f t="shared" si="73"/>
        <v>150</v>
      </c>
      <c r="Y147" s="13">
        <v>150</v>
      </c>
      <c r="Z147" s="13">
        <v>550</v>
      </c>
      <c r="AA147" s="430">
        <f t="shared" si="75"/>
        <v>400</v>
      </c>
      <c r="AB147" s="430">
        <f t="shared" si="76"/>
        <v>100</v>
      </c>
      <c r="AC147" s="430" t="str">
        <f t="shared" si="77"/>
        <v>N/A</v>
      </c>
      <c r="AD147" s="430">
        <f t="shared" si="78"/>
        <v>65</v>
      </c>
      <c r="AE147" s="431">
        <f t="shared" si="79"/>
        <v>1.1835</v>
      </c>
      <c r="AF147" s="431"/>
      <c r="AG147" s="431">
        <f t="shared" si="80"/>
        <v>1.0368676470588236</v>
      </c>
      <c r="AH147" s="431">
        <f t="shared" si="81"/>
        <v>1.0990797058823529</v>
      </c>
      <c r="AI147" s="432">
        <f t="shared" si="82"/>
        <v>886.41206799999998</v>
      </c>
      <c r="AJ147" s="432">
        <f t="shared" si="83"/>
        <v>141.24690159683823</v>
      </c>
      <c r="AK147" s="432">
        <f t="shared" si="84"/>
        <v>154.44259115402465</v>
      </c>
      <c r="AL147" s="432">
        <f t="shared" si="85"/>
        <v>307.00958546333879</v>
      </c>
      <c r="AM147" s="250">
        <v>154</v>
      </c>
      <c r="AN147" s="432">
        <f t="shared" si="86"/>
        <v>130.9</v>
      </c>
      <c r="AO147" s="432">
        <f t="shared" si="87"/>
        <v>143.86953350000002</v>
      </c>
      <c r="AP147" s="432">
        <f t="shared" si="88"/>
        <v>719.34766750000006</v>
      </c>
      <c r="AQ147" s="255" t="s">
        <v>170</v>
      </c>
      <c r="AR147" s="13" t="s">
        <v>642</v>
      </c>
      <c r="AS147" s="434" t="s">
        <v>747</v>
      </c>
      <c r="AT147" s="429"/>
      <c r="AU147" s="241"/>
      <c r="AV147" s="243"/>
      <c r="AW147" s="72" t="s">
        <v>127</v>
      </c>
      <c r="AX147" s="243"/>
      <c r="AY147" s="71">
        <f t="shared" si="67"/>
        <v>0.58823529411764708</v>
      </c>
      <c r="AZ147" s="72"/>
      <c r="BA147" s="72" t="str">
        <f t="shared" si="70"/>
        <v>W22</v>
      </c>
      <c r="BB147" s="72" t="str">
        <f t="shared" si="71"/>
        <v>Clear</v>
      </c>
      <c r="BC147" s="32"/>
      <c r="BD147" s="241"/>
      <c r="BE147" s="241"/>
      <c r="BF147" s="71"/>
      <c r="BG147" s="241"/>
      <c r="BH147" s="241"/>
      <c r="BI147" s="71"/>
      <c r="BJ147" s="123"/>
      <c r="BK147" s="123"/>
      <c r="BL147" s="126"/>
      <c r="BM147" s="123"/>
      <c r="BN147" s="123"/>
      <c r="BO147" s="108"/>
      <c r="BP147" s="108"/>
      <c r="BQ147" s="155"/>
      <c r="BR147" s="124"/>
      <c r="BS147" s="71"/>
      <c r="BT147" s="72"/>
      <c r="BU147" s="78"/>
      <c r="BV147" s="32"/>
      <c r="BW147" s="127"/>
      <c r="BX147" s="78"/>
      <c r="BY147" s="78"/>
      <c r="BZ147" s="127"/>
      <c r="CA147" s="76"/>
    </row>
    <row r="148" spans="1:79" s="22" customFormat="1">
      <c r="A148" s="13" t="s">
        <v>466</v>
      </c>
      <c r="B148" s="429" t="s">
        <v>649</v>
      </c>
      <c r="C148" s="13" t="s">
        <v>657</v>
      </c>
      <c r="D148" s="387" t="s">
        <v>657</v>
      </c>
      <c r="E148" s="13" t="s">
        <v>137</v>
      </c>
      <c r="F148" s="13" t="s">
        <v>167</v>
      </c>
      <c r="G148" s="13" t="s">
        <v>748</v>
      </c>
      <c r="H148" s="13" t="s">
        <v>121</v>
      </c>
      <c r="I148" s="13" t="s">
        <v>147</v>
      </c>
      <c r="J148" s="13" t="s">
        <v>5</v>
      </c>
      <c r="K148" s="13" t="s">
        <v>123</v>
      </c>
      <c r="L148" s="429" t="s">
        <v>749</v>
      </c>
      <c r="M148" s="13" t="s">
        <v>125</v>
      </c>
      <c r="N148" s="13" t="s">
        <v>126</v>
      </c>
      <c r="O148" s="247">
        <v>0.59</v>
      </c>
      <c r="P148" s="438">
        <v>117</v>
      </c>
      <c r="Q148" s="13">
        <v>30</v>
      </c>
      <c r="R148" s="13" t="s">
        <v>127</v>
      </c>
      <c r="S148" s="430" t="str">
        <f t="shared" si="74"/>
        <v>N/A</v>
      </c>
      <c r="T148" s="247">
        <v>0.8</v>
      </c>
      <c r="U148" s="13">
        <v>200</v>
      </c>
      <c r="V148" s="13">
        <v>600</v>
      </c>
      <c r="W148" s="430">
        <f t="shared" si="72"/>
        <v>400</v>
      </c>
      <c r="X148" s="430">
        <f t="shared" si="73"/>
        <v>270</v>
      </c>
      <c r="Y148" s="13">
        <v>150</v>
      </c>
      <c r="Z148" s="13">
        <v>600</v>
      </c>
      <c r="AA148" s="430">
        <f t="shared" si="75"/>
        <v>450</v>
      </c>
      <c r="AB148" s="430">
        <f t="shared" si="76"/>
        <v>270</v>
      </c>
      <c r="AC148" s="430" t="str">
        <f t="shared" si="77"/>
        <v>N/A</v>
      </c>
      <c r="AD148" s="430">
        <f t="shared" si="78"/>
        <v>87</v>
      </c>
      <c r="AE148" s="431">
        <f t="shared" si="79"/>
        <v>1.3132999999999999</v>
      </c>
      <c r="AF148" s="431"/>
      <c r="AG148" s="431">
        <f t="shared" si="80"/>
        <v>1.1224576923076921</v>
      </c>
      <c r="AH148" s="431">
        <f t="shared" si="81"/>
        <v>1.1898051538461536</v>
      </c>
      <c r="AI148" s="432">
        <f t="shared" si="82"/>
        <v>886.41206799999998</v>
      </c>
      <c r="AJ148" s="432">
        <f t="shared" si="83"/>
        <v>127.28676466904594</v>
      </c>
      <c r="AK148" s="432">
        <f t="shared" si="84"/>
        <v>139.17825830411039</v>
      </c>
      <c r="AL148" s="432">
        <f t="shared" si="85"/>
        <v>276.66629436980236</v>
      </c>
      <c r="AM148" s="250">
        <v>139</v>
      </c>
      <c r="AN148" s="432">
        <f t="shared" si="86"/>
        <v>162.63</v>
      </c>
      <c r="AO148" s="432">
        <f t="shared" si="87"/>
        <v>193.49801216999995</v>
      </c>
      <c r="AP148" s="432">
        <f t="shared" si="88"/>
        <v>644.99337389999982</v>
      </c>
      <c r="AQ148" s="255" t="s">
        <v>170</v>
      </c>
      <c r="AR148" s="13" t="s">
        <v>642</v>
      </c>
      <c r="AS148" s="434" t="s">
        <v>750</v>
      </c>
      <c r="AT148" s="429"/>
      <c r="AU148" s="241"/>
      <c r="AV148" s="243"/>
      <c r="AW148" s="72" t="s">
        <v>127</v>
      </c>
      <c r="AX148" s="243"/>
      <c r="AY148" s="71">
        <f t="shared" si="67"/>
        <v>0.51282051282051277</v>
      </c>
      <c r="AZ148" s="72"/>
      <c r="BA148" s="72" t="str">
        <f t="shared" si="70"/>
        <v>W22</v>
      </c>
      <c r="BB148" s="72" t="str">
        <f t="shared" si="71"/>
        <v>Clear</v>
      </c>
      <c r="BC148" s="32"/>
      <c r="BD148" s="241"/>
      <c r="BE148" s="241"/>
      <c r="BF148" s="71"/>
      <c r="BG148" s="241"/>
      <c r="BH148" s="241"/>
      <c r="BI148" s="71"/>
      <c r="BJ148" s="123"/>
      <c r="BK148" s="123"/>
      <c r="BL148" s="126"/>
      <c r="BM148" s="123"/>
      <c r="BN148" s="123"/>
      <c r="BO148" s="108"/>
      <c r="BP148" s="108"/>
      <c r="BQ148" s="80"/>
      <c r="BR148" s="80"/>
      <c r="BS148" s="80"/>
      <c r="BU148" s="87"/>
      <c r="BV148" s="73"/>
      <c r="BW148" s="109"/>
      <c r="BX148" s="87"/>
      <c r="BY148" s="87"/>
      <c r="BZ148" s="109"/>
      <c r="CA148" s="76"/>
    </row>
    <row r="149" spans="1:79" s="262" customFormat="1">
      <c r="A149" s="13" t="s">
        <v>466</v>
      </c>
      <c r="B149" s="429" t="s">
        <v>649</v>
      </c>
      <c r="C149" s="13" t="s">
        <v>657</v>
      </c>
      <c r="D149" s="387" t="s">
        <v>657</v>
      </c>
      <c r="E149" s="13" t="s">
        <v>137</v>
      </c>
      <c r="F149" s="13" t="s">
        <v>167</v>
      </c>
      <c r="G149" s="13" t="s">
        <v>751</v>
      </c>
      <c r="H149" s="13" t="s">
        <v>121</v>
      </c>
      <c r="I149" s="13" t="s">
        <v>147</v>
      </c>
      <c r="J149" s="13" t="s">
        <v>5</v>
      </c>
      <c r="K149" s="13" t="s">
        <v>123</v>
      </c>
      <c r="L149" s="429" t="s">
        <v>752</v>
      </c>
      <c r="M149" s="13" t="s">
        <v>125</v>
      </c>
      <c r="N149" s="13" t="s">
        <v>126</v>
      </c>
      <c r="O149" s="247">
        <v>0.59</v>
      </c>
      <c r="P149" s="13">
        <v>100</v>
      </c>
      <c r="Q149" s="13">
        <v>30</v>
      </c>
      <c r="R149" s="13" t="s">
        <v>127</v>
      </c>
      <c r="S149" s="430" t="str">
        <f t="shared" si="74"/>
        <v>N/A</v>
      </c>
      <c r="T149" s="247">
        <v>0.8</v>
      </c>
      <c r="U149" s="13">
        <v>150</v>
      </c>
      <c r="V149" s="13">
        <v>550</v>
      </c>
      <c r="W149" s="430">
        <f t="shared" si="72"/>
        <v>400</v>
      </c>
      <c r="X149" s="430">
        <f t="shared" si="73"/>
        <v>150</v>
      </c>
      <c r="Y149" s="13">
        <v>150</v>
      </c>
      <c r="Z149" s="13">
        <v>600</v>
      </c>
      <c r="AA149" s="430">
        <f t="shared" si="75"/>
        <v>450</v>
      </c>
      <c r="AB149" s="430">
        <f t="shared" si="76"/>
        <v>100</v>
      </c>
      <c r="AC149" s="430" t="str">
        <f t="shared" si="77"/>
        <v>N/A</v>
      </c>
      <c r="AD149" s="430">
        <f t="shared" si="78"/>
        <v>70</v>
      </c>
      <c r="AE149" s="431">
        <f t="shared" si="79"/>
        <v>1.2130000000000001</v>
      </c>
      <c r="AF149" s="431"/>
      <c r="AG149" s="431">
        <f t="shared" si="80"/>
        <v>1.0684499999999999</v>
      </c>
      <c r="AH149" s="431">
        <f t="shared" si="81"/>
        <v>1.1325569999999998</v>
      </c>
      <c r="AI149" s="432">
        <f t="shared" si="82"/>
        <v>886.41206799999998</v>
      </c>
      <c r="AJ149" s="432">
        <f t="shared" si="83"/>
        <v>137.81179558108659</v>
      </c>
      <c r="AK149" s="432">
        <f t="shared" si="84"/>
        <v>150.68656770881134</v>
      </c>
      <c r="AL149" s="432">
        <f t="shared" si="85"/>
        <v>299.54315284077614</v>
      </c>
      <c r="AM149" s="250">
        <v>151</v>
      </c>
      <c r="AN149" s="432">
        <f t="shared" si="86"/>
        <v>151</v>
      </c>
      <c r="AO149" s="432">
        <f t="shared" si="87"/>
        <v>171.01610699999998</v>
      </c>
      <c r="AP149" s="432">
        <f t="shared" si="88"/>
        <v>570.05368999999996</v>
      </c>
      <c r="AQ149" s="255">
        <v>45047</v>
      </c>
      <c r="AR149" s="13" t="s">
        <v>753</v>
      </c>
      <c r="AS149" s="434" t="s">
        <v>754</v>
      </c>
      <c r="AT149" s="429" t="s">
        <v>755</v>
      </c>
      <c r="AU149" s="241"/>
      <c r="AV149" s="243"/>
      <c r="AW149" s="72"/>
      <c r="AX149" s="243"/>
      <c r="AY149" s="71">
        <f t="shared" si="67"/>
        <v>0.55000000000000004</v>
      </c>
      <c r="AZ149" s="72"/>
      <c r="BA149" s="72" t="str">
        <f t="shared" si="70"/>
        <v>W22</v>
      </c>
      <c r="BB149" s="72"/>
      <c r="BC149" s="32"/>
      <c r="BD149" s="241"/>
      <c r="BE149" s="241"/>
      <c r="BF149" s="71"/>
      <c r="BG149" s="241"/>
      <c r="BH149" s="241"/>
      <c r="BI149" s="71"/>
      <c r="BJ149" s="123"/>
      <c r="BK149" s="123"/>
      <c r="BL149" s="126"/>
      <c r="BM149" s="123"/>
      <c r="BN149" s="123"/>
      <c r="BO149" s="108"/>
      <c r="BP149" s="108"/>
      <c r="BQ149" s="103"/>
      <c r="BR149" s="71"/>
      <c r="BS149" s="71"/>
      <c r="BT149" s="13">
        <f>P149-V149/10-120/10</f>
        <v>33</v>
      </c>
      <c r="BU149" s="79">
        <f>BT149-Q149</f>
        <v>3</v>
      </c>
      <c r="BV149" s="29">
        <f>T149+(O149/100*(P149-BT149))</f>
        <v>1.1953</v>
      </c>
      <c r="BW149" s="86">
        <f>(AE149-BV149)/AE149</f>
        <v>1.459192085737844E-2</v>
      </c>
      <c r="BX149" s="79">
        <f>(PI()*((51/2)^2-(16.545/2)^2)/(BV149/10))/100</f>
        <v>152.91793410088528</v>
      </c>
      <c r="BY149" s="79">
        <f>BX149-AK149</f>
        <v>2.2313663920739373</v>
      </c>
      <c r="BZ149" s="86">
        <f>BY149/AK149</f>
        <v>1.4807997992135957E-2</v>
      </c>
      <c r="CA149" s="76"/>
    </row>
    <row r="150" spans="1:79" s="72" customFormat="1">
      <c r="A150" s="13" t="s">
        <v>466</v>
      </c>
      <c r="B150" s="429" t="s">
        <v>649</v>
      </c>
      <c r="C150" s="13" t="s">
        <v>657</v>
      </c>
      <c r="D150" s="387" t="s">
        <v>657</v>
      </c>
      <c r="E150" s="13" t="s">
        <v>137</v>
      </c>
      <c r="F150" s="13" t="s">
        <v>167</v>
      </c>
      <c r="G150" s="13" t="s">
        <v>756</v>
      </c>
      <c r="H150" s="13" t="s">
        <v>121</v>
      </c>
      <c r="I150" s="13" t="s">
        <v>147</v>
      </c>
      <c r="J150" s="13" t="s">
        <v>5</v>
      </c>
      <c r="K150" s="13" t="s">
        <v>123</v>
      </c>
      <c r="L150" s="13" t="s">
        <v>757</v>
      </c>
      <c r="M150" s="13" t="s">
        <v>125</v>
      </c>
      <c r="N150" s="13" t="s">
        <v>251</v>
      </c>
      <c r="O150" s="247">
        <v>0.59</v>
      </c>
      <c r="P150" s="13">
        <v>100</v>
      </c>
      <c r="Q150" s="13">
        <v>25</v>
      </c>
      <c r="R150" s="13" t="s">
        <v>127</v>
      </c>
      <c r="S150" s="430" t="str">
        <f t="shared" si="74"/>
        <v>N/A</v>
      </c>
      <c r="T150" s="247">
        <v>0.8</v>
      </c>
      <c r="U150" s="13">
        <v>150</v>
      </c>
      <c r="V150" s="13">
        <v>630</v>
      </c>
      <c r="W150" s="430">
        <f t="shared" si="72"/>
        <v>480</v>
      </c>
      <c r="X150" s="430">
        <f t="shared" si="73"/>
        <v>120</v>
      </c>
      <c r="Y150" s="13">
        <f>U150</f>
        <v>150</v>
      </c>
      <c r="Z150" s="13">
        <f>V150</f>
        <v>630</v>
      </c>
      <c r="AA150" s="430">
        <f t="shared" si="75"/>
        <v>480</v>
      </c>
      <c r="AB150" s="430">
        <f t="shared" si="76"/>
        <v>120</v>
      </c>
      <c r="AC150" s="430" t="str">
        <f t="shared" si="77"/>
        <v>N/A</v>
      </c>
      <c r="AD150" s="430">
        <f t="shared" si="78"/>
        <v>75</v>
      </c>
      <c r="AE150" s="431">
        <f t="shared" si="79"/>
        <v>1.2425000000000002</v>
      </c>
      <c r="AF150" s="431"/>
      <c r="AG150" s="431">
        <f t="shared" si="80"/>
        <v>1.0765625000000001</v>
      </c>
      <c r="AH150" s="431">
        <f t="shared" si="81"/>
        <v>1.1411562500000001</v>
      </c>
      <c r="AI150" s="432">
        <f t="shared" si="82"/>
        <v>886.41206799999998</v>
      </c>
      <c r="AJ150" s="432">
        <f t="shared" si="83"/>
        <v>134.5398052634672</v>
      </c>
      <c r="AK150" s="432">
        <f t="shared" si="84"/>
        <v>147.10889869681139</v>
      </c>
      <c r="AL150" s="432">
        <f t="shared" si="85"/>
        <v>292.4312630952607</v>
      </c>
      <c r="AM150" s="250">
        <v>147</v>
      </c>
      <c r="AN150" s="432">
        <f t="shared" si="86"/>
        <v>147</v>
      </c>
      <c r="AO150" s="432">
        <f t="shared" si="87"/>
        <v>167.74996875000002</v>
      </c>
      <c r="AP150" s="432">
        <f t="shared" si="88"/>
        <v>670.99987500000009</v>
      </c>
      <c r="AQ150" s="255">
        <v>44621</v>
      </c>
      <c r="AR150" s="13" t="s">
        <v>758</v>
      </c>
      <c r="AS150" s="434" t="s">
        <v>759</v>
      </c>
      <c r="AT150" s="429" t="s">
        <v>760</v>
      </c>
      <c r="AU150" s="241"/>
      <c r="AV150" s="243"/>
      <c r="AW150" s="72" t="s">
        <v>127</v>
      </c>
      <c r="AX150" s="243">
        <v>44652</v>
      </c>
      <c r="AY150" s="103">
        <f t="shared" si="67"/>
        <v>0.63</v>
      </c>
      <c r="BA150" s="13" t="str">
        <f t="shared" si="70"/>
        <v>W22</v>
      </c>
      <c r="BB150" s="72" t="str">
        <f>IF(R150="n/a","Clear","S/B")</f>
        <v>Clear</v>
      </c>
      <c r="BC150" s="32">
        <f>IF(Q150="","",((P150/100*O150)+T150))</f>
        <v>1.3900000000000001</v>
      </c>
      <c r="BD150" s="241">
        <f>IF(BC150="","",((PI()*((51/2)^2-(16.545/2)^2)/(BC150/10))/100))</f>
        <v>131.49842203653824</v>
      </c>
      <c r="BE150" s="241">
        <f>IF(BC150="","",(BD150-AK150))</f>
        <v>-15.61047666027315</v>
      </c>
      <c r="BF150" s="71">
        <f>IF(BC150="","",(BE150/AK150))</f>
        <v>-0.10611510791366906</v>
      </c>
      <c r="BG150" s="241">
        <f>IF(BF150="","",((PI()*((70/2)^2-(16.545/2)^2)/(BC150/10))/100))</f>
        <v>261.39988805457659</v>
      </c>
      <c r="BH150" s="241">
        <f>IF(BF150="","",(BG150-AL150))</f>
        <v>-31.031375040684111</v>
      </c>
      <c r="BI150" s="71">
        <f>IF(BG150="","",(BH150/AL150))</f>
        <v>-0.10611510791366897</v>
      </c>
      <c r="BJ150" s="123">
        <v>20</v>
      </c>
      <c r="BK150" s="123"/>
      <c r="BL150" s="126"/>
      <c r="BM150" s="123"/>
      <c r="BN150" s="123"/>
      <c r="BO150" s="123"/>
      <c r="BP150" s="108"/>
      <c r="BQ150" s="151"/>
      <c r="BR150" s="115"/>
      <c r="BS150" s="80"/>
      <c r="BT150" s="22"/>
      <c r="BU150" s="87"/>
      <c r="BV150" s="73"/>
      <c r="BW150" s="109"/>
      <c r="BX150" s="87"/>
      <c r="BY150" s="87"/>
      <c r="BZ150" s="109"/>
      <c r="CA150" s="284"/>
    </row>
    <row r="151" spans="1:79" s="72" customFormat="1">
      <c r="A151" s="13" t="s">
        <v>466</v>
      </c>
      <c r="B151" s="429" t="s">
        <v>649</v>
      </c>
      <c r="C151" s="13" t="s">
        <v>657</v>
      </c>
      <c r="D151" s="387" t="s">
        <v>657</v>
      </c>
      <c r="E151" s="13" t="s">
        <v>137</v>
      </c>
      <c r="F151" s="13" t="s">
        <v>167</v>
      </c>
      <c r="G151" s="13" t="s">
        <v>761</v>
      </c>
      <c r="H151" s="13" t="s">
        <v>121</v>
      </c>
      <c r="I151" s="13" t="s">
        <v>147</v>
      </c>
      <c r="J151" s="13" t="s">
        <v>5</v>
      </c>
      <c r="K151" s="13" t="s">
        <v>123</v>
      </c>
      <c r="L151" s="429" t="s">
        <v>762</v>
      </c>
      <c r="M151" s="13" t="s">
        <v>125</v>
      </c>
      <c r="N151" s="13" t="s">
        <v>126</v>
      </c>
      <c r="O151" s="247">
        <v>0.65</v>
      </c>
      <c r="P151" s="13">
        <v>108</v>
      </c>
      <c r="Q151" s="13">
        <v>30</v>
      </c>
      <c r="R151" s="13" t="s">
        <v>127</v>
      </c>
      <c r="S151" s="430" t="str">
        <f t="shared" si="74"/>
        <v>N/A</v>
      </c>
      <c r="T151" s="247">
        <v>0.8</v>
      </c>
      <c r="U151" s="13">
        <v>200</v>
      </c>
      <c r="V151" s="13">
        <v>600</v>
      </c>
      <c r="W151" s="430">
        <f t="shared" si="72"/>
        <v>400</v>
      </c>
      <c r="X151" s="430">
        <f t="shared" si="73"/>
        <v>180</v>
      </c>
      <c r="Y151" s="13">
        <v>150</v>
      </c>
      <c r="Z151" s="13">
        <v>600</v>
      </c>
      <c r="AA151" s="430">
        <f t="shared" si="75"/>
        <v>450</v>
      </c>
      <c r="AB151" s="430">
        <f t="shared" si="76"/>
        <v>180</v>
      </c>
      <c r="AC151" s="430" t="str">
        <f t="shared" si="77"/>
        <v>N/A</v>
      </c>
      <c r="AD151" s="430">
        <f t="shared" si="78"/>
        <v>78</v>
      </c>
      <c r="AE151" s="431">
        <f t="shared" si="79"/>
        <v>1.3069999999999999</v>
      </c>
      <c r="AF151" s="431"/>
      <c r="AG151" s="431">
        <f t="shared" si="80"/>
        <v>1.1239166666666667</v>
      </c>
      <c r="AH151" s="431">
        <f t="shared" si="81"/>
        <v>1.1913516666666668</v>
      </c>
      <c r="AI151" s="432">
        <f t="shared" si="82"/>
        <v>890.31838000000005</v>
      </c>
      <c r="AJ151" s="432">
        <f t="shared" si="83"/>
        <v>127.9003121957598</v>
      </c>
      <c r="AK151" s="432">
        <f t="shared" si="84"/>
        <v>139.84912519570634</v>
      </c>
      <c r="AL151" s="432">
        <f t="shared" si="85"/>
        <v>277.99988094557119</v>
      </c>
      <c r="AM151" s="250">
        <v>140</v>
      </c>
      <c r="AN151" s="432">
        <f t="shared" si="86"/>
        <v>151.19999999999999</v>
      </c>
      <c r="AO151" s="432">
        <f t="shared" si="87"/>
        <v>180.132372</v>
      </c>
      <c r="AP151" s="432">
        <f t="shared" si="88"/>
        <v>600.44123999999999</v>
      </c>
      <c r="AQ151" s="255">
        <v>44980</v>
      </c>
      <c r="AR151" s="13" t="s">
        <v>682</v>
      </c>
      <c r="AS151" s="434" t="s">
        <v>763</v>
      </c>
      <c r="AT151" s="429"/>
      <c r="AU151" s="241"/>
      <c r="AV151" s="243"/>
      <c r="AW151" s="72" t="s">
        <v>127</v>
      </c>
      <c r="AX151" s="243"/>
      <c r="AY151" s="71">
        <f t="shared" si="67"/>
        <v>0.55555555555555558</v>
      </c>
      <c r="BA151" s="72" t="str">
        <f t="shared" si="70"/>
        <v>W22</v>
      </c>
      <c r="BB151" s="72" t="str">
        <f>IF(R151="n/a","Clear","S/B")</f>
        <v>Clear</v>
      </c>
      <c r="BC151" s="32">
        <f>IF(Q151="","",((P151/100*O151)+T151))</f>
        <v>1.5020000000000002</v>
      </c>
      <c r="BD151" s="241">
        <f>IF(BC151="","",((PI()*((51/2)^2-(16.545/2)^2)/(BC151/10))/100))</f>
        <v>121.69294715764856</v>
      </c>
      <c r="BE151" s="241">
        <f>IF(BC151="","",(BD151-AK151))</f>
        <v>-18.156178038057774</v>
      </c>
      <c r="BF151" s="71">
        <f>IF(BC151="","",(BE151/AK151))</f>
        <v>-0.12982689747004014</v>
      </c>
      <c r="BG151" s="241">
        <f>IF(BF151="","",((PI()*((70/2)^2-(16.545/2)^2)/(BC151/10))/100))</f>
        <v>241.9080189053671</v>
      </c>
      <c r="BH151" s="241">
        <f>IF(BF151="","",(BG151-AL151))</f>
        <v>-36.091862040204091</v>
      </c>
      <c r="BI151" s="71">
        <f>IF(BG151="","",(BH151/AL151))</f>
        <v>-0.12982689747004034</v>
      </c>
      <c r="BJ151" s="123"/>
      <c r="BK151" s="123">
        <v>20</v>
      </c>
      <c r="BL151" s="126">
        <f>AH151</f>
        <v>1.1913516666666668</v>
      </c>
      <c r="BM151" s="123">
        <f>BK151/AH151</f>
        <v>16.787654358984401</v>
      </c>
      <c r="BN151" s="123">
        <f>BK151-BM151</f>
        <v>3.2123456410155988</v>
      </c>
      <c r="BO151" s="123">
        <v>16.309999999999999</v>
      </c>
      <c r="BP151" s="108">
        <f>BO151-BM151</f>
        <v>-0.47765435898440245</v>
      </c>
      <c r="BQ151" s="159"/>
      <c r="BR151" s="159"/>
      <c r="BS151" s="100"/>
      <c r="BU151" s="78"/>
      <c r="BV151" s="32"/>
      <c r="BW151" s="127"/>
      <c r="BX151" s="78"/>
      <c r="BY151" s="78"/>
      <c r="BZ151" s="127"/>
      <c r="CA151" s="76"/>
    </row>
    <row r="152" spans="1:79" s="72" customFormat="1">
      <c r="A152" s="13" t="s">
        <v>466</v>
      </c>
      <c r="B152" s="429" t="s">
        <v>649</v>
      </c>
      <c r="C152" s="13" t="s">
        <v>657</v>
      </c>
      <c r="D152" s="387" t="s">
        <v>657</v>
      </c>
      <c r="E152" s="13" t="s">
        <v>137</v>
      </c>
      <c r="F152" s="13" t="s">
        <v>167</v>
      </c>
      <c r="G152" s="13" t="s">
        <v>764</v>
      </c>
      <c r="H152" s="13" t="s">
        <v>121</v>
      </c>
      <c r="I152" s="13" t="s">
        <v>147</v>
      </c>
      <c r="J152" s="13" t="s">
        <v>5</v>
      </c>
      <c r="K152" s="13" t="s">
        <v>123</v>
      </c>
      <c r="L152" s="429" t="s">
        <v>765</v>
      </c>
      <c r="M152" s="13" t="s">
        <v>125</v>
      </c>
      <c r="N152" s="13" t="s">
        <v>126</v>
      </c>
      <c r="O152" s="247">
        <v>0.65</v>
      </c>
      <c r="P152" s="13">
        <v>120</v>
      </c>
      <c r="Q152" s="13">
        <v>30</v>
      </c>
      <c r="R152" s="13" t="s">
        <v>127</v>
      </c>
      <c r="S152" s="430" t="str">
        <f t="shared" si="74"/>
        <v>N/A</v>
      </c>
      <c r="T152" s="247">
        <v>0.8</v>
      </c>
      <c r="U152" s="13">
        <v>200</v>
      </c>
      <c r="V152" s="13">
        <v>600</v>
      </c>
      <c r="W152" s="430">
        <f t="shared" si="72"/>
        <v>400</v>
      </c>
      <c r="X152" s="430">
        <f t="shared" si="73"/>
        <v>300</v>
      </c>
      <c r="Y152" s="13">
        <v>150</v>
      </c>
      <c r="Z152" s="13">
        <v>600</v>
      </c>
      <c r="AA152" s="430">
        <f t="shared" si="75"/>
        <v>450</v>
      </c>
      <c r="AB152" s="430">
        <f t="shared" si="76"/>
        <v>300</v>
      </c>
      <c r="AC152" s="430" t="str">
        <f t="shared" si="77"/>
        <v>N/A</v>
      </c>
      <c r="AD152" s="430">
        <f t="shared" si="78"/>
        <v>90</v>
      </c>
      <c r="AE152" s="431">
        <f t="shared" si="79"/>
        <v>1.3850000000000002</v>
      </c>
      <c r="AF152" s="431"/>
      <c r="AG152" s="431">
        <f t="shared" si="80"/>
        <v>1.1656250000000001</v>
      </c>
      <c r="AH152" s="431">
        <f t="shared" si="81"/>
        <v>1.2355625000000001</v>
      </c>
      <c r="AI152" s="432">
        <f t="shared" si="82"/>
        <v>890.31838000000005</v>
      </c>
      <c r="AJ152" s="432">
        <f t="shared" si="83"/>
        <v>120.69726212264116</v>
      </c>
      <c r="AK152" s="432">
        <f t="shared" si="84"/>
        <v>131.9731455817965</v>
      </c>
      <c r="AL152" s="432">
        <f t="shared" si="85"/>
        <v>262.34356996091077</v>
      </c>
      <c r="AM152" s="250">
        <v>132</v>
      </c>
      <c r="AN152" s="432">
        <f t="shared" si="86"/>
        <v>158.4</v>
      </c>
      <c r="AO152" s="432">
        <f t="shared" si="87"/>
        <v>195.71310000000003</v>
      </c>
      <c r="AP152" s="432">
        <f t="shared" si="88"/>
        <v>652.37700000000007</v>
      </c>
      <c r="AQ152" s="255" t="s">
        <v>170</v>
      </c>
      <c r="AR152" s="13" t="s">
        <v>642</v>
      </c>
      <c r="AS152" s="434" t="s">
        <v>766</v>
      </c>
      <c r="AT152" s="429"/>
      <c r="AU152" s="241"/>
      <c r="AV152" s="243"/>
      <c r="AW152" s="72" t="s">
        <v>127</v>
      </c>
      <c r="AX152" s="243"/>
      <c r="AY152" s="71">
        <f t="shared" si="67"/>
        <v>0.5</v>
      </c>
      <c r="BA152" s="72" t="str">
        <f t="shared" si="70"/>
        <v>W22</v>
      </c>
      <c r="BB152" s="72" t="str">
        <f>IF(R152="n/a","Clear","S/B")</f>
        <v>Clear</v>
      </c>
      <c r="BC152" s="32"/>
      <c r="BD152" s="241"/>
      <c r="BE152" s="241"/>
      <c r="BF152" s="71"/>
      <c r="BG152" s="241"/>
      <c r="BH152" s="241"/>
      <c r="BI152" s="71"/>
      <c r="BJ152" s="123"/>
      <c r="BK152" s="123"/>
      <c r="BL152" s="126"/>
      <c r="BM152" s="123"/>
      <c r="BN152" s="123"/>
      <c r="BO152" s="108"/>
      <c r="BP152" s="108"/>
      <c r="BQ152" s="124"/>
      <c r="BR152" s="124"/>
      <c r="BS152" s="71"/>
      <c r="BU152" s="78"/>
      <c r="BV152" s="32"/>
      <c r="BW152" s="127"/>
      <c r="BX152" s="78"/>
      <c r="BY152" s="78"/>
      <c r="BZ152" s="127"/>
      <c r="CA152" s="76"/>
    </row>
    <row r="153" spans="1:79" s="72" customFormat="1">
      <c r="A153" s="13" t="s">
        <v>466</v>
      </c>
      <c r="B153" s="429" t="s">
        <v>649</v>
      </c>
      <c r="C153" s="13" t="s">
        <v>657</v>
      </c>
      <c r="D153" s="387" t="s">
        <v>657</v>
      </c>
      <c r="E153" s="13" t="s">
        <v>137</v>
      </c>
      <c r="F153" s="13" t="s">
        <v>167</v>
      </c>
      <c r="G153" s="13" t="s">
        <v>767</v>
      </c>
      <c r="H153" s="13" t="s">
        <v>121</v>
      </c>
      <c r="I153" s="13" t="s">
        <v>147</v>
      </c>
      <c r="J153" s="13" t="s">
        <v>5</v>
      </c>
      <c r="K153" s="13" t="s">
        <v>123</v>
      </c>
      <c r="L153" s="429" t="s">
        <v>768</v>
      </c>
      <c r="M153" s="13" t="s">
        <v>125</v>
      </c>
      <c r="N153" s="13" t="s">
        <v>126</v>
      </c>
      <c r="O153" s="247">
        <v>0.68</v>
      </c>
      <c r="P153" s="13">
        <v>100</v>
      </c>
      <c r="Q153" s="13">
        <v>30</v>
      </c>
      <c r="R153" s="13" t="s">
        <v>127</v>
      </c>
      <c r="S153" s="430" t="str">
        <f t="shared" si="74"/>
        <v>N/A</v>
      </c>
      <c r="T153" s="247">
        <v>0.8</v>
      </c>
      <c r="U153" s="13">
        <v>180</v>
      </c>
      <c r="V153" s="13">
        <v>580</v>
      </c>
      <c r="W153" s="430">
        <f t="shared" si="72"/>
        <v>400</v>
      </c>
      <c r="X153" s="430">
        <f t="shared" si="73"/>
        <v>120</v>
      </c>
      <c r="Y153" s="13">
        <v>150</v>
      </c>
      <c r="Z153" s="13">
        <v>600</v>
      </c>
      <c r="AA153" s="430">
        <f t="shared" si="75"/>
        <v>450</v>
      </c>
      <c r="AB153" s="430">
        <f t="shared" si="76"/>
        <v>100</v>
      </c>
      <c r="AC153" s="430" t="str">
        <f t="shared" si="77"/>
        <v>N/A</v>
      </c>
      <c r="AD153" s="430">
        <f t="shared" si="78"/>
        <v>70</v>
      </c>
      <c r="AE153" s="431">
        <f t="shared" si="79"/>
        <v>1.276</v>
      </c>
      <c r="AF153" s="431"/>
      <c r="AG153" s="431">
        <f t="shared" si="80"/>
        <v>1.1093999999999999</v>
      </c>
      <c r="AH153" s="431">
        <f t="shared" si="81"/>
        <v>1.175964</v>
      </c>
      <c r="AI153" s="432">
        <f t="shared" si="82"/>
        <v>892.27153599999997</v>
      </c>
      <c r="AJ153" s="432">
        <f t="shared" si="83"/>
        <v>131.00760818170693</v>
      </c>
      <c r="AK153" s="432">
        <f t="shared" si="84"/>
        <v>143.2467136604923</v>
      </c>
      <c r="AL153" s="432">
        <f t="shared" si="85"/>
        <v>284.75379654848081</v>
      </c>
      <c r="AM153" s="250">
        <v>143</v>
      </c>
      <c r="AN153" s="432">
        <f t="shared" si="86"/>
        <v>143</v>
      </c>
      <c r="AO153" s="432">
        <f t="shared" si="87"/>
        <v>168.16285200000002</v>
      </c>
      <c r="AP153" s="432">
        <f t="shared" si="88"/>
        <v>560.54284000000007</v>
      </c>
      <c r="AQ153" s="255">
        <v>44980</v>
      </c>
      <c r="AR153" s="13" t="s">
        <v>682</v>
      </c>
      <c r="AS153" s="434" t="s">
        <v>769</v>
      </c>
      <c r="AT153" s="429" t="s">
        <v>770</v>
      </c>
      <c r="AU153" s="241"/>
      <c r="AV153" s="243"/>
      <c r="AW153" s="72" t="s">
        <v>127</v>
      </c>
      <c r="AX153" s="243"/>
      <c r="AY153" s="71">
        <f t="shared" si="67"/>
        <v>0.57999999999999996</v>
      </c>
      <c r="BA153" s="72" t="str">
        <f t="shared" si="70"/>
        <v>W22</v>
      </c>
      <c r="BB153" s="72" t="str">
        <f>IF(R153="n/a","Clear","S/B")</f>
        <v>Clear</v>
      </c>
      <c r="BC153" s="32">
        <f>IF(Q153="","",((P153/100*O153)+T153))</f>
        <v>1.48</v>
      </c>
      <c r="BD153" s="241">
        <f>IF(BC153="","",((PI()*((51/2)^2-(16.545/2)^2)/(BC153/10))/100))</f>
        <v>123.50189637215416</v>
      </c>
      <c r="BE153" s="241">
        <f>IF(BC153="","",(BD153-AK153))</f>
        <v>-19.74481728833814</v>
      </c>
      <c r="BF153" s="71">
        <f>IF(BC153="","",(BE153/AK153))</f>
        <v>-0.13783783783783793</v>
      </c>
      <c r="BG153" s="241">
        <f>IF(BF153="","",((PI()*((70/2)^2-(16.545/2)^2)/(BC153/10))/100))</f>
        <v>245.5039489161226</v>
      </c>
      <c r="BH153" s="241">
        <f>IF(BF153="","",(BG153-AL153))</f>
        <v>-39.249847632358211</v>
      </c>
      <c r="BI153" s="71">
        <f>IF(BG153="","",(BH153/AL153))</f>
        <v>-0.13783783783783801</v>
      </c>
      <c r="BJ153" s="123"/>
      <c r="BK153" s="123">
        <v>20</v>
      </c>
      <c r="BL153" s="126">
        <f>AH153</f>
        <v>1.175964</v>
      </c>
      <c r="BM153" s="123">
        <f>BK153/AH153</f>
        <v>17.007323353435989</v>
      </c>
      <c r="BN153" s="123">
        <f>BK153-BM153</f>
        <v>2.9926766465640107</v>
      </c>
      <c r="BO153" s="123">
        <v>16.73</v>
      </c>
      <c r="BP153" s="108">
        <f>BO153-BM153</f>
        <v>-0.27732335343598891</v>
      </c>
      <c r="BQ153" s="124"/>
      <c r="BR153" s="159"/>
      <c r="BS153" s="100"/>
      <c r="BT153" s="72">
        <f>P153-V153/10-120/10</f>
        <v>30</v>
      </c>
      <c r="BU153" s="78">
        <f>BT153-Q153</f>
        <v>0</v>
      </c>
      <c r="BV153" s="32">
        <f>T153+(O153/100*(P153-BT153))</f>
        <v>1.276</v>
      </c>
      <c r="BW153" s="127">
        <f>(AE153-BV153)/AE153</f>
        <v>0</v>
      </c>
      <c r="BX153" s="78">
        <f>(PI()*((51/2)^2-(16.545/2)^2)/(BV153/10))/100</f>
        <v>143.2467136604923</v>
      </c>
      <c r="BY153" s="78">
        <f>BX153-AK153</f>
        <v>0</v>
      </c>
      <c r="BZ153" s="127">
        <f>BY153/AK153</f>
        <v>0</v>
      </c>
      <c r="CA153" s="76"/>
    </row>
    <row r="154" spans="1:79" s="22" customFormat="1">
      <c r="A154" s="13" t="s">
        <v>466</v>
      </c>
      <c r="B154" s="429" t="s">
        <v>649</v>
      </c>
      <c r="C154" s="13" t="s">
        <v>657</v>
      </c>
      <c r="D154" s="387" t="s">
        <v>657</v>
      </c>
      <c r="E154" s="13" t="s">
        <v>137</v>
      </c>
      <c r="F154" s="13" t="s">
        <v>167</v>
      </c>
      <c r="G154" s="13" t="s">
        <v>771</v>
      </c>
      <c r="H154" s="13" t="s">
        <v>121</v>
      </c>
      <c r="I154" s="13" t="s">
        <v>147</v>
      </c>
      <c r="J154" s="13" t="s">
        <v>5</v>
      </c>
      <c r="K154" s="13" t="s">
        <v>123</v>
      </c>
      <c r="L154" s="13" t="s">
        <v>772</v>
      </c>
      <c r="M154" s="13" t="s">
        <v>125</v>
      </c>
      <c r="N154" s="13" t="s">
        <v>126</v>
      </c>
      <c r="O154" s="247">
        <v>0.68</v>
      </c>
      <c r="P154" s="13">
        <v>100</v>
      </c>
      <c r="Q154" s="13">
        <v>25</v>
      </c>
      <c r="R154" s="13" t="s">
        <v>127</v>
      </c>
      <c r="S154" s="430" t="str">
        <f t="shared" si="74"/>
        <v>N/A</v>
      </c>
      <c r="T154" s="247">
        <v>0.8</v>
      </c>
      <c r="U154" s="13">
        <v>180</v>
      </c>
      <c r="V154" s="13">
        <v>580</v>
      </c>
      <c r="W154" s="430">
        <f t="shared" si="72"/>
        <v>400</v>
      </c>
      <c r="X154" s="430">
        <f t="shared" si="73"/>
        <v>170</v>
      </c>
      <c r="Y154" s="13">
        <v>150</v>
      </c>
      <c r="Z154" s="13">
        <v>600</v>
      </c>
      <c r="AA154" s="430">
        <f t="shared" si="75"/>
        <v>450</v>
      </c>
      <c r="AB154" s="430">
        <f t="shared" si="76"/>
        <v>150</v>
      </c>
      <c r="AC154" s="430" t="str">
        <f t="shared" si="77"/>
        <v>N/A</v>
      </c>
      <c r="AD154" s="430">
        <f t="shared" si="78"/>
        <v>75</v>
      </c>
      <c r="AE154" s="431">
        <f t="shared" si="79"/>
        <v>1.31</v>
      </c>
      <c r="AF154" s="431"/>
      <c r="AG154" s="431">
        <f t="shared" si="80"/>
        <v>1.1187500000000001</v>
      </c>
      <c r="AH154" s="431">
        <f t="shared" si="81"/>
        <v>1.1858750000000002</v>
      </c>
      <c r="AI154" s="432">
        <f t="shared" si="82"/>
        <v>892.27153599999997</v>
      </c>
      <c r="AJ154" s="432">
        <f t="shared" si="83"/>
        <v>127.60741071744887</v>
      </c>
      <c r="AK154" s="432">
        <f t="shared" si="84"/>
        <v>139.52886002350243</v>
      </c>
      <c r="AL154" s="432">
        <f t="shared" si="85"/>
        <v>277.36323999684083</v>
      </c>
      <c r="AM154" s="250">
        <v>140</v>
      </c>
      <c r="AN154" s="432">
        <f t="shared" si="86"/>
        <v>140</v>
      </c>
      <c r="AO154" s="432">
        <f t="shared" si="87"/>
        <v>166.02250000000004</v>
      </c>
      <c r="AP154" s="432">
        <f t="shared" si="88"/>
        <v>664.09000000000015</v>
      </c>
      <c r="AQ154" s="255" t="s">
        <v>132</v>
      </c>
      <c r="AR154" s="13" t="s">
        <v>687</v>
      </c>
      <c r="AS154" s="434" t="s">
        <v>773</v>
      </c>
      <c r="AT154" s="434" t="s">
        <v>774</v>
      </c>
      <c r="AU154" s="241"/>
      <c r="AV154" s="243"/>
      <c r="AW154" s="72"/>
      <c r="AX154" s="243"/>
      <c r="AY154" s="71">
        <f t="shared" si="67"/>
        <v>0.57999999999999996</v>
      </c>
      <c r="AZ154" s="72"/>
      <c r="BA154" s="72"/>
      <c r="BB154" s="72"/>
      <c r="BC154" s="32"/>
      <c r="BD154" s="241"/>
      <c r="BE154" s="241"/>
      <c r="BF154" s="71"/>
      <c r="BG154" s="241"/>
      <c r="BH154" s="241"/>
      <c r="BI154" s="71"/>
      <c r="BJ154" s="123"/>
      <c r="BK154" s="123"/>
      <c r="BL154" s="126"/>
      <c r="BM154" s="123"/>
      <c r="BN154" s="123"/>
      <c r="BO154" s="123"/>
      <c r="BP154" s="108"/>
      <c r="BQ154" s="124"/>
      <c r="BR154" s="124"/>
      <c r="BS154" s="71"/>
      <c r="BT154" s="72"/>
      <c r="BU154" s="78"/>
      <c r="BV154" s="32"/>
      <c r="BW154" s="127"/>
      <c r="BX154" s="78"/>
      <c r="BY154" s="78"/>
      <c r="BZ154" s="127"/>
      <c r="CA154" s="76"/>
    </row>
    <row r="155" spans="1:79" s="22" customFormat="1">
      <c r="A155" s="13" t="s">
        <v>466</v>
      </c>
      <c r="B155" s="429" t="s">
        <v>649</v>
      </c>
      <c r="C155" s="13" t="s">
        <v>657</v>
      </c>
      <c r="D155" s="387" t="s">
        <v>657</v>
      </c>
      <c r="E155" s="13" t="s">
        <v>137</v>
      </c>
      <c r="F155" s="13" t="s">
        <v>167</v>
      </c>
      <c r="G155" s="13" t="s">
        <v>775</v>
      </c>
      <c r="H155" s="13" t="s">
        <v>121</v>
      </c>
      <c r="I155" s="13" t="s">
        <v>147</v>
      </c>
      <c r="J155" s="13" t="s">
        <v>5</v>
      </c>
      <c r="K155" s="13" t="s">
        <v>123</v>
      </c>
      <c r="L155" s="429" t="s">
        <v>776</v>
      </c>
      <c r="M155" s="13" t="s">
        <v>125</v>
      </c>
      <c r="N155" s="13" t="s">
        <v>126</v>
      </c>
      <c r="O155" s="247">
        <v>0.68</v>
      </c>
      <c r="P155" s="13">
        <v>115</v>
      </c>
      <c r="Q155" s="13">
        <v>30</v>
      </c>
      <c r="R155" s="13" t="s">
        <v>127</v>
      </c>
      <c r="S155" s="430" t="str">
        <f t="shared" si="74"/>
        <v>N/A</v>
      </c>
      <c r="T155" s="247">
        <v>0.8</v>
      </c>
      <c r="U155" s="13">
        <v>180</v>
      </c>
      <c r="V155" s="13">
        <v>580</v>
      </c>
      <c r="W155" s="430">
        <f t="shared" si="72"/>
        <v>400</v>
      </c>
      <c r="X155" s="430">
        <f t="shared" si="73"/>
        <v>270</v>
      </c>
      <c r="Y155" s="13">
        <v>150</v>
      </c>
      <c r="Z155" s="13">
        <v>600</v>
      </c>
      <c r="AA155" s="430">
        <f t="shared" si="75"/>
        <v>450</v>
      </c>
      <c r="AB155" s="430">
        <f t="shared" si="76"/>
        <v>250</v>
      </c>
      <c r="AC155" s="430" t="str">
        <f t="shared" si="77"/>
        <v>N/A</v>
      </c>
      <c r="AD155" s="430">
        <f t="shared" si="78"/>
        <v>85</v>
      </c>
      <c r="AE155" s="431">
        <f t="shared" si="79"/>
        <v>1.3780000000000001</v>
      </c>
      <c r="AF155" s="431"/>
      <c r="AG155" s="431">
        <f t="shared" si="80"/>
        <v>1.164391304347826</v>
      </c>
      <c r="AH155" s="431">
        <f t="shared" si="81"/>
        <v>1.2342547826086956</v>
      </c>
      <c r="AI155" s="432">
        <f t="shared" si="82"/>
        <v>892.27153599999997</v>
      </c>
      <c r="AJ155" s="432">
        <f t="shared" si="83"/>
        <v>121.31038319293035</v>
      </c>
      <c r="AK155" s="432">
        <f t="shared" si="84"/>
        <v>132.64354617618881</v>
      </c>
      <c r="AL155" s="432">
        <f t="shared" si="85"/>
        <v>263.67622960512443</v>
      </c>
      <c r="AM155" s="250">
        <v>133</v>
      </c>
      <c r="AN155" s="432">
        <f t="shared" si="86"/>
        <v>152.94999999999999</v>
      </c>
      <c r="AO155" s="432">
        <f t="shared" si="87"/>
        <v>188.77926899999997</v>
      </c>
      <c r="AP155" s="432">
        <f t="shared" si="88"/>
        <v>629.26422999999988</v>
      </c>
      <c r="AQ155" s="255">
        <v>44980</v>
      </c>
      <c r="AR155" s="13" t="s">
        <v>682</v>
      </c>
      <c r="AS155" s="434" t="s">
        <v>777</v>
      </c>
      <c r="AT155" s="429" t="s">
        <v>778</v>
      </c>
      <c r="AU155" s="241"/>
      <c r="AV155" s="243"/>
      <c r="AW155" s="72" t="s">
        <v>127</v>
      </c>
      <c r="AX155" s="243"/>
      <c r="AY155" s="71">
        <f t="shared" si="67"/>
        <v>0.5043478260869565</v>
      </c>
      <c r="AZ155" s="72"/>
      <c r="BA155" s="72" t="str">
        <f>LEFT(G155,3)</f>
        <v>W22</v>
      </c>
      <c r="BB155" s="72" t="str">
        <f>IF(R155="n/a","Clear","S/B")</f>
        <v>Clear</v>
      </c>
      <c r="BC155" s="32">
        <f>IF(Q155="","",((P155/100*O155)+T155))</f>
        <v>1.5820000000000001</v>
      </c>
      <c r="BD155" s="241">
        <f>IF(BC155="","",((PI()*((51/2)^2-(16.545/2)^2)/(BC155/10))/100))</f>
        <v>115.53906866674346</v>
      </c>
      <c r="BE155" s="241">
        <f>IF(BC155="","",(BD155-AK155))</f>
        <v>-17.104477509445346</v>
      </c>
      <c r="BF155" s="71">
        <f>IF(BC155="","",(BE155/AK155))</f>
        <v>-0.12895069532237682</v>
      </c>
      <c r="BG155" s="241">
        <f>IF(BF155="","",((PI()*((70/2)^2-(16.545/2)^2)/(BC155/10))/100))</f>
        <v>229.67499645756095</v>
      </c>
      <c r="BH155" s="241">
        <f>IF(BF155="","",(BG155-AL155))</f>
        <v>-34.001233147563482</v>
      </c>
      <c r="BI155" s="71">
        <f>IF(BG155="","",(BH155/AL155))</f>
        <v>-0.12895069532237685</v>
      </c>
      <c r="BJ155" s="123"/>
      <c r="BK155" s="123">
        <v>20</v>
      </c>
      <c r="BL155" s="126">
        <f>AH155</f>
        <v>1.2342547826086956</v>
      </c>
      <c r="BM155" s="123">
        <f>BK155/AH155</f>
        <v>16.204109784957375</v>
      </c>
      <c r="BN155" s="123">
        <f>BK155-BM155</f>
        <v>3.7958902150426255</v>
      </c>
      <c r="BO155" s="123">
        <v>15.71</v>
      </c>
      <c r="BP155" s="108">
        <f>BO155-BM155</f>
        <v>-0.49410978495737368</v>
      </c>
      <c r="BQ155" s="108"/>
      <c r="BR155" s="71"/>
      <c r="BS155" s="71"/>
      <c r="BT155" s="72"/>
      <c r="BU155" s="78"/>
      <c r="BV155" s="32"/>
      <c r="BW155" s="127"/>
      <c r="BX155" s="78"/>
      <c r="BY155" s="78"/>
      <c r="BZ155" s="127"/>
      <c r="CA155" s="76"/>
    </row>
    <row r="156" spans="1:79" s="72" customFormat="1">
      <c r="A156" s="13" t="s">
        <v>466</v>
      </c>
      <c r="B156" s="387" t="s">
        <v>779</v>
      </c>
      <c r="C156" s="13" t="s">
        <v>132</v>
      </c>
      <c r="D156" s="387" t="s">
        <v>132</v>
      </c>
      <c r="E156" s="13"/>
      <c r="F156" s="13" t="s">
        <v>119</v>
      </c>
      <c r="G156" s="13" t="s">
        <v>780</v>
      </c>
      <c r="H156" s="13" t="s">
        <v>389</v>
      </c>
      <c r="I156" s="13" t="s">
        <v>139</v>
      </c>
      <c r="J156" s="13" t="s">
        <v>5</v>
      </c>
      <c r="K156" s="13" t="s">
        <v>140</v>
      </c>
      <c r="L156" s="13" t="s">
        <v>781</v>
      </c>
      <c r="M156" s="13"/>
      <c r="N156" s="13" t="s">
        <v>142</v>
      </c>
      <c r="O156" s="247">
        <v>0.44</v>
      </c>
      <c r="P156" s="13">
        <v>100</v>
      </c>
      <c r="Q156" s="13">
        <v>30</v>
      </c>
      <c r="R156" s="13" t="s">
        <v>127</v>
      </c>
      <c r="S156" s="430" t="str">
        <f t="shared" si="74"/>
        <v>N/A</v>
      </c>
      <c r="T156" s="247">
        <v>0.76</v>
      </c>
      <c r="U156" s="13">
        <v>150</v>
      </c>
      <c r="V156" s="13">
        <v>550</v>
      </c>
      <c r="W156" s="430">
        <f t="shared" si="72"/>
        <v>400</v>
      </c>
      <c r="X156" s="430">
        <f t="shared" si="73"/>
        <v>150</v>
      </c>
      <c r="Y156" s="13">
        <v>150</v>
      </c>
      <c r="Z156" s="13">
        <v>600</v>
      </c>
      <c r="AA156" s="430">
        <f t="shared" si="75"/>
        <v>450</v>
      </c>
      <c r="AB156" s="430">
        <f t="shared" si="76"/>
        <v>100</v>
      </c>
      <c r="AC156" s="430" t="str">
        <f t="shared" si="77"/>
        <v>N/A</v>
      </c>
      <c r="AD156" s="430">
        <f t="shared" si="78"/>
        <v>70</v>
      </c>
      <c r="AE156" s="431">
        <f t="shared" si="79"/>
        <v>1.0680000000000001</v>
      </c>
      <c r="AF156" s="431"/>
      <c r="AG156" s="431">
        <f t="shared" si="80"/>
        <v>0.96020000000000005</v>
      </c>
      <c r="AH156" s="431">
        <f t="shared" si="81"/>
        <v>1.022613</v>
      </c>
      <c r="AI156" s="432">
        <f t="shared" si="82"/>
        <v>838.18141200000002</v>
      </c>
      <c r="AJ156" s="432">
        <f t="shared" si="83"/>
        <v>156.52219853919291</v>
      </c>
      <c r="AK156" s="432">
        <f t="shared" si="84"/>
        <v>171.14495002882788</v>
      </c>
      <c r="AL156" s="432">
        <f t="shared" si="85"/>
        <v>340.21146479013242</v>
      </c>
      <c r="AM156" s="250">
        <v>171</v>
      </c>
      <c r="AN156" s="432">
        <f t="shared" si="86"/>
        <v>171</v>
      </c>
      <c r="AO156" s="432">
        <f t="shared" si="87"/>
        <v>174.86682300000001</v>
      </c>
      <c r="AP156" s="432">
        <f t="shared" si="88"/>
        <v>582.88941000000011</v>
      </c>
      <c r="AQ156" s="255" t="s">
        <v>132</v>
      </c>
      <c r="AR156" s="13" t="s">
        <v>782</v>
      </c>
      <c r="AS156" s="434" t="s">
        <v>783</v>
      </c>
      <c r="AT156" s="429"/>
      <c r="AU156" s="252"/>
      <c r="AV156" s="260"/>
      <c r="AW156" s="13" t="s">
        <v>127</v>
      </c>
      <c r="AX156" s="260"/>
      <c r="AY156" s="103">
        <f t="shared" si="67"/>
        <v>0.55000000000000004</v>
      </c>
      <c r="AZ156" s="22"/>
      <c r="BA156" s="13" t="str">
        <f>LEFT(G156,3)</f>
        <v>W50</v>
      </c>
      <c r="BC156" s="32"/>
      <c r="BD156" s="241"/>
      <c r="BE156" s="241"/>
      <c r="BF156" s="71"/>
      <c r="BG156" s="241"/>
      <c r="BH156" s="241"/>
      <c r="BI156" s="71"/>
      <c r="BJ156" s="114"/>
      <c r="BK156" s="88"/>
      <c r="BL156" s="128"/>
      <c r="BM156" s="88"/>
      <c r="BN156" s="80"/>
      <c r="BO156" s="88"/>
      <c r="BP156" s="88"/>
      <c r="BQ156" s="83"/>
      <c r="BR156" s="71"/>
      <c r="BS156" s="71"/>
      <c r="BT156" s="72">
        <f>P156-V156/10-120/10</f>
        <v>33</v>
      </c>
      <c r="BU156" s="78">
        <f>BT156-Q156</f>
        <v>3</v>
      </c>
      <c r="BV156" s="32">
        <f>T156+(O156/100*(P156-BT156))</f>
        <v>1.0548</v>
      </c>
      <c r="BW156" s="127">
        <f>(AE156-BV156)/AE156</f>
        <v>1.2359550561797846E-2</v>
      </c>
      <c r="BX156" s="78">
        <f>(PI()*((51/2)^2-(16.545/2)^2)/(BV156/10))/100</f>
        <v>173.28669570609421</v>
      </c>
      <c r="BY156" s="78">
        <f>BX156-AK156</f>
        <v>2.1417456772663286</v>
      </c>
      <c r="BZ156" s="127">
        <f>BY156/AK156</f>
        <v>1.2514220705346959E-2</v>
      </c>
      <c r="CA156" s="76"/>
    </row>
    <row r="157" spans="1:79" s="72" customFormat="1">
      <c r="A157" s="13" t="s">
        <v>466</v>
      </c>
      <c r="B157" s="387" t="s">
        <v>779</v>
      </c>
      <c r="C157" s="13" t="s">
        <v>573</v>
      </c>
      <c r="D157" s="387" t="s">
        <v>784</v>
      </c>
      <c r="E157" s="13" t="s">
        <v>118</v>
      </c>
      <c r="F157" s="13" t="s">
        <v>167</v>
      </c>
      <c r="G157" s="13" t="s">
        <v>785</v>
      </c>
      <c r="H157" s="13" t="s">
        <v>121</v>
      </c>
      <c r="I157" s="13" t="s">
        <v>147</v>
      </c>
      <c r="J157" s="13" t="s">
        <v>5</v>
      </c>
      <c r="K157" s="13" t="s">
        <v>123</v>
      </c>
      <c r="L157" s="13" t="s">
        <v>786</v>
      </c>
      <c r="M157" s="13" t="s">
        <v>125</v>
      </c>
      <c r="N157" s="13" t="s">
        <v>126</v>
      </c>
      <c r="O157" s="247">
        <v>0.22</v>
      </c>
      <c r="P157" s="13">
        <v>115</v>
      </c>
      <c r="Q157" s="13">
        <v>30</v>
      </c>
      <c r="R157" s="13" t="s">
        <v>127</v>
      </c>
      <c r="S157" s="430" t="str">
        <f t="shared" si="74"/>
        <v>N/A</v>
      </c>
      <c r="T157" s="247">
        <v>0.8</v>
      </c>
      <c r="U157" s="13">
        <v>229</v>
      </c>
      <c r="V157" s="13">
        <v>629</v>
      </c>
      <c r="W157" s="430">
        <f t="shared" si="72"/>
        <v>400</v>
      </c>
      <c r="X157" s="430">
        <f t="shared" si="73"/>
        <v>221</v>
      </c>
      <c r="Y157" s="13">
        <v>200</v>
      </c>
      <c r="Z157" s="13">
        <v>650</v>
      </c>
      <c r="AA157" s="430">
        <f t="shared" si="75"/>
        <v>450</v>
      </c>
      <c r="AB157" s="430">
        <f t="shared" si="76"/>
        <v>200</v>
      </c>
      <c r="AC157" s="430" t="str">
        <f t="shared" si="77"/>
        <v>N/A</v>
      </c>
      <c r="AD157" s="430">
        <f t="shared" si="78"/>
        <v>85</v>
      </c>
      <c r="AE157" s="431">
        <f t="shared" si="79"/>
        <v>0.9870000000000001</v>
      </c>
      <c r="AF157" s="431"/>
      <c r="AG157" s="431">
        <f t="shared" si="80"/>
        <v>0.91789130434782618</v>
      </c>
      <c r="AH157" s="431">
        <f t="shared" si="81"/>
        <v>0.97296478260869568</v>
      </c>
      <c r="AI157" s="432">
        <f t="shared" si="82"/>
        <v>862.32314400000007</v>
      </c>
      <c r="AJ157" s="432">
        <f t="shared" si="83"/>
        <v>169.36748534940023</v>
      </c>
      <c r="AK157" s="432">
        <f t="shared" si="84"/>
        <v>185.19028027435476</v>
      </c>
      <c r="AL157" s="432">
        <f t="shared" si="85"/>
        <v>368.13155460573603</v>
      </c>
      <c r="AM157" s="250">
        <v>120</v>
      </c>
      <c r="AN157" s="432">
        <f t="shared" si="86"/>
        <v>138</v>
      </c>
      <c r="AO157" s="432">
        <f t="shared" si="87"/>
        <v>134.26913999999999</v>
      </c>
      <c r="AP157" s="432">
        <f t="shared" si="88"/>
        <v>447.56380000000001</v>
      </c>
      <c r="AQ157" s="255">
        <v>44927</v>
      </c>
      <c r="AR157" s="13" t="s">
        <v>545</v>
      </c>
      <c r="AS157" s="436" t="s">
        <v>787</v>
      </c>
      <c r="AT157" s="429"/>
      <c r="AU157" s="241"/>
      <c r="AV157" s="243"/>
      <c r="AW157" s="72" t="s">
        <v>127</v>
      </c>
      <c r="AX157" s="243"/>
      <c r="AY157" s="103">
        <f t="shared" si="67"/>
        <v>0.54695652173913045</v>
      </c>
      <c r="BA157" s="72" t="str">
        <f>LEFT(G157,3)</f>
        <v>W22</v>
      </c>
      <c r="BB157" s="72" t="str">
        <f>IF(R157="n/a","Clear","S/B")</f>
        <v>Clear</v>
      </c>
      <c r="BC157" s="32">
        <f>IF(Q157="","",((P157/100*O157)+T157))</f>
        <v>1.0529999999999999</v>
      </c>
      <c r="BD157" s="241">
        <f>IF(BC157="","",((PI()*((51/2)^2-(16.545/2)^2)/(BC157/10))/100))</f>
        <v>173.58291227995079</v>
      </c>
      <c r="BE157" s="241">
        <f>IF(BC157="","",(BD157-AK157))</f>
        <v>-11.607367994403972</v>
      </c>
      <c r="BF157" s="71">
        <f>IF(BC157="","",(BE157/AK157))</f>
        <v>-6.2678062678062516E-2</v>
      </c>
      <c r="BG157" s="241">
        <f>IF(BF157="","",((PI()*((70/2)^2-(16.545/2)^2)/(BC157/10))/100))</f>
        <v>345.05778195238514</v>
      </c>
      <c r="BH157" s="241">
        <f>IF(BF157="","",(BG157-AL157))</f>
        <v>-23.073772653350886</v>
      </c>
      <c r="BI157" s="71">
        <f>IF(BG157="","",(BH157/AL157))</f>
        <v>-6.2678062678062432E-2</v>
      </c>
      <c r="BJ157" s="123"/>
      <c r="BK157" s="123"/>
      <c r="BL157" s="126"/>
      <c r="BM157" s="123"/>
      <c r="BN157" s="123"/>
      <c r="BO157" s="108"/>
      <c r="BP157" s="108"/>
      <c r="BQ157" s="83"/>
      <c r="BR157" s="71"/>
      <c r="BS157" s="71"/>
      <c r="BT157" s="72">
        <f>P157-V157/10-120/10</f>
        <v>40.1</v>
      </c>
      <c r="BU157" s="78">
        <f>BT157-Q157</f>
        <v>10.100000000000001</v>
      </c>
      <c r="BV157" s="32">
        <f>T157+(O157/100*(P157-BT157))</f>
        <v>0.96478000000000008</v>
      </c>
      <c r="BW157" s="127">
        <f>(AE157-BV157)/AE157</f>
        <v>2.2512664640324229E-2</v>
      </c>
      <c r="BX157" s="78">
        <f>(PI()*((51/2)^2-(16.545/2)^2)/(BV157/10))/100</f>
        <v>189.45542676132192</v>
      </c>
      <c r="BY157" s="78">
        <f>BX157-AK157</f>
        <v>4.2651464869671543</v>
      </c>
      <c r="BZ157" s="127">
        <f>BY157/AK157</f>
        <v>2.3031157362300259E-2</v>
      </c>
      <c r="CA157" s="76"/>
    </row>
    <row r="158" spans="1:79" s="72" customFormat="1">
      <c r="A158" s="13" t="s">
        <v>466</v>
      </c>
      <c r="B158" s="387" t="s">
        <v>779</v>
      </c>
      <c r="C158" s="13" t="s">
        <v>573</v>
      </c>
      <c r="D158" s="387" t="s">
        <v>788</v>
      </c>
      <c r="E158" s="13" t="s">
        <v>118</v>
      </c>
      <c r="F158" s="13" t="s">
        <v>167</v>
      </c>
      <c r="G158" s="13" t="s">
        <v>789</v>
      </c>
      <c r="H158" s="13" t="s">
        <v>121</v>
      </c>
      <c r="I158" s="13" t="s">
        <v>147</v>
      </c>
      <c r="J158" s="13" t="s">
        <v>5</v>
      </c>
      <c r="K158" s="13" t="s">
        <v>123</v>
      </c>
      <c r="L158" s="13" t="s">
        <v>790</v>
      </c>
      <c r="M158" s="13" t="s">
        <v>125</v>
      </c>
      <c r="N158" s="13" t="s">
        <v>126</v>
      </c>
      <c r="O158" s="247">
        <v>0.3</v>
      </c>
      <c r="P158" s="13">
        <v>115</v>
      </c>
      <c r="Q158" s="13">
        <v>25</v>
      </c>
      <c r="R158" s="13" t="s">
        <v>127</v>
      </c>
      <c r="S158" s="430" t="str">
        <f t="shared" si="74"/>
        <v>N/A</v>
      </c>
      <c r="T158" s="247">
        <v>0.8</v>
      </c>
      <c r="U158" s="13">
        <v>150</v>
      </c>
      <c r="V158" s="13">
        <v>650</v>
      </c>
      <c r="W158" s="430">
        <f t="shared" si="72"/>
        <v>500</v>
      </c>
      <c r="X158" s="430">
        <f t="shared" si="73"/>
        <v>250</v>
      </c>
      <c r="Y158" s="13">
        <v>150</v>
      </c>
      <c r="Z158" s="13">
        <v>650</v>
      </c>
      <c r="AA158" s="430">
        <f t="shared" si="75"/>
        <v>500</v>
      </c>
      <c r="AB158" s="430">
        <f t="shared" si="76"/>
        <v>250</v>
      </c>
      <c r="AC158" s="430" t="str">
        <f t="shared" si="77"/>
        <v>N/A</v>
      </c>
      <c r="AD158" s="430">
        <f t="shared" si="78"/>
        <v>90</v>
      </c>
      <c r="AE158" s="431">
        <f t="shared" si="79"/>
        <v>1.07</v>
      </c>
      <c r="AF158" s="431"/>
      <c r="AG158" s="431">
        <f t="shared" si="80"/>
        <v>0.96434782608695657</v>
      </c>
      <c r="AH158" s="431">
        <f t="shared" si="81"/>
        <v>1.0222086956521741</v>
      </c>
      <c r="AI158" s="432">
        <f t="shared" si="82"/>
        <v>867.53156000000013</v>
      </c>
      <c r="AJ158" s="432">
        <f t="shared" si="83"/>
        <v>156.22963368211029</v>
      </c>
      <c r="AK158" s="432">
        <f t="shared" si="84"/>
        <v>170.82505292597023</v>
      </c>
      <c r="AL158" s="432">
        <f t="shared" si="85"/>
        <v>339.57555551015088</v>
      </c>
      <c r="AM158" s="250">
        <v>171</v>
      </c>
      <c r="AN158" s="432">
        <f t="shared" si="86"/>
        <v>196.65</v>
      </c>
      <c r="AO158" s="432">
        <f t="shared" si="87"/>
        <v>201.01734000000005</v>
      </c>
      <c r="AP158" s="432">
        <f t="shared" si="88"/>
        <v>804.06936000000019</v>
      </c>
      <c r="AQ158" s="255">
        <v>45444</v>
      </c>
      <c r="AR158" s="13" t="s">
        <v>791</v>
      </c>
      <c r="AS158" s="434" t="s">
        <v>792</v>
      </c>
      <c r="AT158" s="429" t="s">
        <v>245</v>
      </c>
      <c r="AU158" s="241"/>
      <c r="AV158" s="243"/>
      <c r="AX158" s="243"/>
      <c r="AY158" s="71">
        <f t="shared" si="67"/>
        <v>0.56521739130434778</v>
      </c>
      <c r="BC158" s="32"/>
      <c r="BD158" s="241"/>
      <c r="BE158" s="241"/>
      <c r="BF158" s="71"/>
      <c r="BG158" s="241"/>
      <c r="BH158" s="241"/>
      <c r="BI158" s="71"/>
      <c r="BJ158" s="123"/>
      <c r="BK158" s="123"/>
      <c r="BL158" s="126"/>
      <c r="BM158" s="123"/>
      <c r="BN158" s="123"/>
      <c r="BO158" s="108"/>
      <c r="BP158" s="108"/>
      <c r="BQ158" s="124"/>
      <c r="BR158" s="124"/>
      <c r="BS158" s="71"/>
      <c r="BU158" s="78"/>
      <c r="BV158" s="32"/>
      <c r="BW158" s="127"/>
      <c r="BX158" s="78"/>
      <c r="BY158" s="78"/>
      <c r="BZ158" s="127"/>
      <c r="CA158" s="76"/>
    </row>
    <row r="159" spans="1:79" s="72" customFormat="1">
      <c r="A159" s="13" t="s">
        <v>466</v>
      </c>
      <c r="B159" s="387" t="s">
        <v>779</v>
      </c>
      <c r="C159" s="13" t="s">
        <v>573</v>
      </c>
      <c r="D159" s="387" t="s">
        <v>788</v>
      </c>
      <c r="E159" s="13" t="s">
        <v>118</v>
      </c>
      <c r="F159" s="13" t="s">
        <v>167</v>
      </c>
      <c r="G159" s="445" t="s">
        <v>582</v>
      </c>
      <c r="H159" s="13" t="s">
        <v>121</v>
      </c>
      <c r="I159" s="13" t="s">
        <v>147</v>
      </c>
      <c r="J159" s="13" t="s">
        <v>5</v>
      </c>
      <c r="K159" s="13" t="s">
        <v>123</v>
      </c>
      <c r="L159" s="13" t="s">
        <v>793</v>
      </c>
      <c r="M159" s="13" t="s">
        <v>125</v>
      </c>
      <c r="N159" s="13" t="s">
        <v>126</v>
      </c>
      <c r="O159" s="247">
        <v>0.33</v>
      </c>
      <c r="P159" s="13">
        <v>116</v>
      </c>
      <c r="Q159" s="13">
        <v>30</v>
      </c>
      <c r="R159" s="13" t="s">
        <v>127</v>
      </c>
      <c r="S159" s="430" t="str">
        <f t="shared" si="74"/>
        <v>N/A</v>
      </c>
      <c r="T159" s="247">
        <v>0.8</v>
      </c>
      <c r="U159" s="13">
        <v>200</v>
      </c>
      <c r="V159" s="13">
        <v>600</v>
      </c>
      <c r="W159" s="430">
        <f t="shared" si="72"/>
        <v>400</v>
      </c>
      <c r="X159" s="430">
        <f t="shared" si="73"/>
        <v>260</v>
      </c>
      <c r="Y159" s="13">
        <v>200</v>
      </c>
      <c r="Z159" s="13">
        <v>600</v>
      </c>
      <c r="AA159" s="430">
        <f t="shared" si="75"/>
        <v>400</v>
      </c>
      <c r="AB159" s="430">
        <f t="shared" si="76"/>
        <v>260</v>
      </c>
      <c r="AC159" s="430" t="str">
        <f t="shared" si="77"/>
        <v>N/A</v>
      </c>
      <c r="AD159" s="430">
        <f t="shared" si="78"/>
        <v>86</v>
      </c>
      <c r="AE159" s="431">
        <f t="shared" si="79"/>
        <v>1.0838000000000001</v>
      </c>
      <c r="AF159" s="431"/>
      <c r="AG159" s="431">
        <f t="shared" si="80"/>
        <v>0.97859827586206904</v>
      </c>
      <c r="AH159" s="431">
        <f t="shared" si="81"/>
        <v>1.0373141724137933</v>
      </c>
      <c r="AI159" s="432">
        <f t="shared" si="82"/>
        <v>869.48471600000005</v>
      </c>
      <c r="AJ159" s="432">
        <f t="shared" si="83"/>
        <v>154.24036541784281</v>
      </c>
      <c r="AK159" s="432">
        <f t="shared" si="84"/>
        <v>168.64994153052976</v>
      </c>
      <c r="AL159" s="432">
        <f t="shared" si="85"/>
        <v>335.25174792015264</v>
      </c>
      <c r="AM159" s="250">
        <v>169</v>
      </c>
      <c r="AN159" s="432">
        <f t="shared" si="86"/>
        <v>196.04</v>
      </c>
      <c r="AO159" s="432">
        <f t="shared" si="87"/>
        <v>203.35507036000004</v>
      </c>
      <c r="AP159" s="432">
        <f t="shared" si="88"/>
        <v>677.85023453333349</v>
      </c>
      <c r="AQ159" s="255">
        <v>45323</v>
      </c>
      <c r="AR159" s="13" t="s">
        <v>794</v>
      </c>
      <c r="AS159" s="434" t="s">
        <v>795</v>
      </c>
      <c r="AT159" s="429" t="s">
        <v>796</v>
      </c>
      <c r="AU159" s="252"/>
      <c r="AV159" s="260"/>
      <c r="AW159" s="13"/>
      <c r="AX159" s="260"/>
      <c r="AY159" s="103">
        <f t="shared" si="67"/>
        <v>0.51724137931034486</v>
      </c>
      <c r="AZ159" s="22"/>
      <c r="BA159" s="13" t="str">
        <f>LEFT(G159,3)</f>
        <v>W22</v>
      </c>
      <c r="BC159" s="32"/>
      <c r="BD159" s="241"/>
      <c r="BE159" s="241"/>
      <c r="BF159" s="71"/>
      <c r="BG159" s="241"/>
      <c r="BH159" s="241"/>
      <c r="BI159" s="71"/>
      <c r="BJ159" s="114"/>
      <c r="BK159" s="111"/>
      <c r="BL159" s="112"/>
      <c r="BM159" s="111"/>
      <c r="BN159" s="123"/>
      <c r="BO159" s="83"/>
      <c r="BP159" s="88"/>
      <c r="BQ159" s="103"/>
      <c r="BR159" s="71"/>
      <c r="BS159" s="71"/>
      <c r="BT159" s="13">
        <f>P159-V159/10-120/10</f>
        <v>44</v>
      </c>
      <c r="BU159" s="79">
        <f>BT159-Q159</f>
        <v>14</v>
      </c>
      <c r="BV159" s="29">
        <f>T159+(O159/100*(P159-BT159))</f>
        <v>1.0376000000000001</v>
      </c>
      <c r="BW159" s="86">
        <f>(AE159-BV159)/AE159</f>
        <v>4.262779110537001E-2</v>
      </c>
      <c r="BX159" s="79">
        <f>(PI()*((51/2)^2-(16.545/2)^2)/(BV159/10))/100</f>
        <v>176.15921996028158</v>
      </c>
      <c r="BY159" s="79">
        <f>BX159-AK159</f>
        <v>7.5092784297518165</v>
      </c>
      <c r="BZ159" s="86">
        <f>BY159/AK159</f>
        <v>4.4525828835774925E-2</v>
      </c>
      <c r="CA159" s="76"/>
    </row>
    <row r="160" spans="1:79" s="262" customFormat="1">
      <c r="A160" s="13" t="s">
        <v>466</v>
      </c>
      <c r="B160" s="387" t="s">
        <v>779</v>
      </c>
      <c r="C160" s="13" t="s">
        <v>573</v>
      </c>
      <c r="D160" s="387" t="s">
        <v>788</v>
      </c>
      <c r="E160" s="13" t="s">
        <v>118</v>
      </c>
      <c r="F160" s="13" t="s">
        <v>186</v>
      </c>
      <c r="G160" s="13" t="s">
        <v>580</v>
      </c>
      <c r="H160" s="13" t="s">
        <v>121</v>
      </c>
      <c r="I160" s="13" t="s">
        <v>147</v>
      </c>
      <c r="J160" s="13" t="s">
        <v>5</v>
      </c>
      <c r="K160" s="13" t="s">
        <v>123</v>
      </c>
      <c r="L160" s="13" t="s">
        <v>797</v>
      </c>
      <c r="M160" s="13" t="s">
        <v>125</v>
      </c>
      <c r="N160" s="13" t="s">
        <v>126</v>
      </c>
      <c r="O160" s="247">
        <v>0.32</v>
      </c>
      <c r="P160" s="438">
        <v>116</v>
      </c>
      <c r="Q160" s="13">
        <v>30</v>
      </c>
      <c r="R160" s="13" t="s">
        <v>127</v>
      </c>
      <c r="S160" s="430" t="str">
        <f t="shared" si="74"/>
        <v>N/A</v>
      </c>
      <c r="T160" s="247">
        <v>0.8</v>
      </c>
      <c r="U160" s="13">
        <v>200</v>
      </c>
      <c r="V160" s="13">
        <v>600</v>
      </c>
      <c r="W160" s="430">
        <f t="shared" si="72"/>
        <v>400</v>
      </c>
      <c r="X160" s="430">
        <f t="shared" si="73"/>
        <v>260</v>
      </c>
      <c r="Y160" s="13">
        <v>200</v>
      </c>
      <c r="Z160" s="13">
        <v>600</v>
      </c>
      <c r="AA160" s="430">
        <f t="shared" si="75"/>
        <v>400</v>
      </c>
      <c r="AB160" s="430">
        <f t="shared" si="76"/>
        <v>260</v>
      </c>
      <c r="AC160" s="430" t="str">
        <f t="shared" si="77"/>
        <v>N/A</v>
      </c>
      <c r="AD160" s="430">
        <f t="shared" si="78"/>
        <v>86</v>
      </c>
      <c r="AE160" s="431">
        <f t="shared" si="79"/>
        <v>1.0752000000000002</v>
      </c>
      <c r="AF160" s="431"/>
      <c r="AG160" s="431">
        <f t="shared" si="80"/>
        <v>0.973186206896552</v>
      </c>
      <c r="AH160" s="431">
        <f t="shared" si="81"/>
        <v>1.0315773793103451</v>
      </c>
      <c r="AI160" s="432">
        <f t="shared" si="82"/>
        <v>868.833664</v>
      </c>
      <c r="AJ160" s="432">
        <f t="shared" si="83"/>
        <v>155.47405881683221</v>
      </c>
      <c r="AK160" s="432">
        <f t="shared" si="84"/>
        <v>169.99889009559908</v>
      </c>
      <c r="AL160" s="432">
        <f t="shared" si="85"/>
        <v>337.9332630169842</v>
      </c>
      <c r="AM160" s="250">
        <v>170</v>
      </c>
      <c r="AN160" s="432">
        <f t="shared" si="86"/>
        <v>197.2</v>
      </c>
      <c r="AO160" s="432">
        <f t="shared" si="87"/>
        <v>203.42705920000003</v>
      </c>
      <c r="AP160" s="432">
        <f t="shared" si="88"/>
        <v>678.09019733333344</v>
      </c>
      <c r="AQ160" s="255">
        <v>45566</v>
      </c>
      <c r="AR160" s="13" t="s">
        <v>798</v>
      </c>
      <c r="AS160" s="434" t="s">
        <v>799</v>
      </c>
      <c r="AT160" s="429" t="s">
        <v>800</v>
      </c>
      <c r="AU160" s="257"/>
      <c r="AV160" s="259"/>
      <c r="AW160" s="38"/>
      <c r="AX160" s="259"/>
      <c r="AY160" s="102"/>
      <c r="BA160" s="38"/>
      <c r="BB160" s="77"/>
      <c r="BC160" s="264"/>
      <c r="BD160" s="253"/>
      <c r="BE160" s="253"/>
      <c r="BF160" s="100"/>
      <c r="BG160" s="253"/>
      <c r="BH160" s="253"/>
      <c r="BI160" s="100"/>
      <c r="BJ160" s="143"/>
      <c r="BK160" s="105"/>
      <c r="BL160" s="170"/>
      <c r="BM160" s="105"/>
      <c r="BN160" s="106"/>
      <c r="BO160" s="105"/>
      <c r="BP160" s="105"/>
      <c r="BQ160" s="144"/>
      <c r="BR160" s="140"/>
      <c r="BS160" s="106"/>
      <c r="BU160" s="269"/>
      <c r="BV160" s="263"/>
      <c r="BW160" s="132"/>
      <c r="BX160" s="269"/>
      <c r="BY160" s="269"/>
      <c r="BZ160" s="132"/>
      <c r="CA160" s="271"/>
    </row>
    <row r="161" spans="1:79" s="72" customFormat="1">
      <c r="A161" s="13" t="s">
        <v>466</v>
      </c>
      <c r="B161" s="387" t="s">
        <v>779</v>
      </c>
      <c r="C161" s="13" t="s">
        <v>573</v>
      </c>
      <c r="D161" s="387" t="s">
        <v>788</v>
      </c>
      <c r="E161" s="13" t="s">
        <v>118</v>
      </c>
      <c r="F161" s="13" t="s">
        <v>167</v>
      </c>
      <c r="G161" s="13" t="s">
        <v>801</v>
      </c>
      <c r="H161" s="13" t="s">
        <v>121</v>
      </c>
      <c r="I161" s="13" t="s">
        <v>147</v>
      </c>
      <c r="J161" s="13" t="s">
        <v>5</v>
      </c>
      <c r="K161" s="13" t="s">
        <v>123</v>
      </c>
      <c r="L161" s="13" t="s">
        <v>802</v>
      </c>
      <c r="M161" s="13" t="s">
        <v>125</v>
      </c>
      <c r="N161" s="13" t="s">
        <v>126</v>
      </c>
      <c r="O161" s="247">
        <v>0.35</v>
      </c>
      <c r="P161" s="13">
        <v>116</v>
      </c>
      <c r="Q161" s="13">
        <v>30</v>
      </c>
      <c r="R161" s="13" t="s">
        <v>127</v>
      </c>
      <c r="S161" s="430" t="str">
        <f t="shared" si="74"/>
        <v>N/A</v>
      </c>
      <c r="T161" s="247">
        <v>0.8</v>
      </c>
      <c r="U161" s="13">
        <v>200</v>
      </c>
      <c r="V161" s="13">
        <v>600</v>
      </c>
      <c r="W161" s="430">
        <f t="shared" si="72"/>
        <v>400</v>
      </c>
      <c r="X161" s="430">
        <f t="shared" si="73"/>
        <v>260</v>
      </c>
      <c r="Y161" s="13">
        <v>200</v>
      </c>
      <c r="Z161" s="13">
        <v>600</v>
      </c>
      <c r="AA161" s="430">
        <f t="shared" si="75"/>
        <v>400</v>
      </c>
      <c r="AB161" s="430">
        <f t="shared" si="76"/>
        <v>260</v>
      </c>
      <c r="AC161" s="430" t="str">
        <f t="shared" si="77"/>
        <v>N/A</v>
      </c>
      <c r="AD161" s="430">
        <f t="shared" si="78"/>
        <v>86</v>
      </c>
      <c r="AE161" s="431">
        <f t="shared" si="79"/>
        <v>1.101</v>
      </c>
      <c r="AF161" s="431"/>
      <c r="AG161" s="431">
        <f t="shared" si="80"/>
        <v>0.98942241379310336</v>
      </c>
      <c r="AH161" s="431">
        <f t="shared" si="81"/>
        <v>1.0487877586206895</v>
      </c>
      <c r="AI161" s="432">
        <f t="shared" si="82"/>
        <v>870.78682000000003</v>
      </c>
      <c r="AJ161" s="432">
        <f t="shared" si="83"/>
        <v>151.83079749305907</v>
      </c>
      <c r="AK161" s="432">
        <f t="shared" si="84"/>
        <v>166.01526487810006</v>
      </c>
      <c r="AL161" s="432">
        <f t="shared" si="85"/>
        <v>330.01439091358895</v>
      </c>
      <c r="AM161" s="250">
        <v>166</v>
      </c>
      <c r="AN161" s="432">
        <f t="shared" si="86"/>
        <v>192.56</v>
      </c>
      <c r="AO161" s="432">
        <f t="shared" si="87"/>
        <v>201.95457079999997</v>
      </c>
      <c r="AP161" s="432">
        <f t="shared" si="88"/>
        <v>673.18190266666659</v>
      </c>
      <c r="AQ161" s="255">
        <v>45323</v>
      </c>
      <c r="AR161" s="13" t="s">
        <v>803</v>
      </c>
      <c r="AS161" s="434" t="s">
        <v>804</v>
      </c>
      <c r="AT161" s="429"/>
      <c r="AU161" s="241"/>
      <c r="AV161" s="243"/>
      <c r="AX161" s="243"/>
      <c r="AY161" s="103">
        <f>(V161/10)/P161</f>
        <v>0.51724137931034486</v>
      </c>
      <c r="BA161" s="72" t="str">
        <f>LEFT(G161,3)</f>
        <v>W22</v>
      </c>
      <c r="BC161" s="32"/>
      <c r="BD161" s="241"/>
      <c r="BE161" s="241"/>
      <c r="BF161" s="71"/>
      <c r="BG161" s="241"/>
      <c r="BH161" s="241"/>
      <c r="BI161" s="71"/>
      <c r="BJ161" s="123"/>
      <c r="BK161" s="123"/>
      <c r="BL161" s="126"/>
      <c r="BM161" s="123"/>
      <c r="BN161" s="123"/>
      <c r="BO161" s="108"/>
      <c r="BP161" s="108"/>
      <c r="BQ161" s="83"/>
      <c r="BR161" s="103"/>
      <c r="BS161" s="103"/>
      <c r="BT161" s="13"/>
      <c r="BU161" s="79"/>
      <c r="BV161" s="29"/>
      <c r="BW161" s="86"/>
      <c r="BX161" s="79"/>
      <c r="BY161" s="79"/>
      <c r="BZ161" s="86"/>
      <c r="CA161" s="247"/>
    </row>
    <row r="162" spans="1:79" s="22" customFormat="1">
      <c r="A162" s="13" t="s">
        <v>466</v>
      </c>
      <c r="B162" s="13" t="s">
        <v>779</v>
      </c>
      <c r="C162" s="13" t="s">
        <v>573</v>
      </c>
      <c r="D162" s="387" t="s">
        <v>788</v>
      </c>
      <c r="E162" s="13" t="s">
        <v>118</v>
      </c>
      <c r="F162" s="13" t="s">
        <v>167</v>
      </c>
      <c r="G162" s="13" t="s">
        <v>805</v>
      </c>
      <c r="H162" s="13" t="s">
        <v>121</v>
      </c>
      <c r="I162" s="13" t="s">
        <v>147</v>
      </c>
      <c r="J162" s="13" t="s">
        <v>5</v>
      </c>
      <c r="K162" s="13" t="s">
        <v>123</v>
      </c>
      <c r="L162" s="13" t="s">
        <v>806</v>
      </c>
      <c r="M162" s="13" t="s">
        <v>125</v>
      </c>
      <c r="N162" s="13" t="s">
        <v>126</v>
      </c>
      <c r="O162" s="247">
        <v>0.4</v>
      </c>
      <c r="P162" s="13">
        <v>110</v>
      </c>
      <c r="Q162" s="13">
        <v>30</v>
      </c>
      <c r="R162" s="13" t="s">
        <v>127</v>
      </c>
      <c r="S162" s="430" t="str">
        <f t="shared" si="74"/>
        <v>N/A</v>
      </c>
      <c r="T162" s="247">
        <v>0.8</v>
      </c>
      <c r="U162" s="13">
        <v>200</v>
      </c>
      <c r="V162" s="13">
        <v>600</v>
      </c>
      <c r="W162" s="430">
        <f t="shared" si="72"/>
        <v>400</v>
      </c>
      <c r="X162" s="430">
        <f t="shared" si="73"/>
        <v>200</v>
      </c>
      <c r="Y162" s="13">
        <v>150</v>
      </c>
      <c r="Z162" s="13">
        <v>600</v>
      </c>
      <c r="AA162" s="430">
        <f t="shared" si="75"/>
        <v>450</v>
      </c>
      <c r="AB162" s="430">
        <f t="shared" si="76"/>
        <v>200</v>
      </c>
      <c r="AC162" s="430" t="str">
        <f t="shared" si="77"/>
        <v>N/A</v>
      </c>
      <c r="AD162" s="430">
        <f t="shared" si="78"/>
        <v>80</v>
      </c>
      <c r="AE162" s="431">
        <f t="shared" si="79"/>
        <v>1.1200000000000001</v>
      </c>
      <c r="AF162" s="431"/>
      <c r="AG162" s="431">
        <f t="shared" si="80"/>
        <v>1.0036363636363637</v>
      </c>
      <c r="AH162" s="431">
        <f t="shared" si="81"/>
        <v>1.0638545454545454</v>
      </c>
      <c r="AI162" s="432">
        <f t="shared" si="82"/>
        <v>874.04208000000006</v>
      </c>
      <c r="AJ162" s="432">
        <f t="shared" si="83"/>
        <v>149.25509646415895</v>
      </c>
      <c r="AK162" s="432">
        <f t="shared" si="84"/>
        <v>163.19893449177513</v>
      </c>
      <c r="AL162" s="432">
        <f t="shared" si="85"/>
        <v>324.41593249630483</v>
      </c>
      <c r="AM162" s="250">
        <v>163</v>
      </c>
      <c r="AN162" s="432">
        <f t="shared" si="86"/>
        <v>179.3</v>
      </c>
      <c r="AO162" s="432">
        <f t="shared" si="87"/>
        <v>190.74912</v>
      </c>
      <c r="AP162" s="432">
        <f t="shared" si="88"/>
        <v>635.83040000000005</v>
      </c>
      <c r="AQ162" s="255">
        <v>45413</v>
      </c>
      <c r="AR162" s="13" t="s">
        <v>807</v>
      </c>
      <c r="AS162" s="434" t="s">
        <v>808</v>
      </c>
      <c r="AT162" s="429" t="s">
        <v>809</v>
      </c>
      <c r="AU162" s="241"/>
      <c r="AV162" s="243"/>
      <c r="AW162" s="72" t="s">
        <v>127</v>
      </c>
      <c r="AX162" s="243"/>
      <c r="AY162" s="71">
        <f>(V162/10)/P162</f>
        <v>0.54545454545454541</v>
      </c>
      <c r="AZ162" s="72"/>
      <c r="BA162" s="72" t="str">
        <f>LEFT(G162,3)</f>
        <v>W22</v>
      </c>
      <c r="BB162" s="72" t="str">
        <f>IF(R162="n/a","Clear","S/B")</f>
        <v>Clear</v>
      </c>
      <c r="BC162" s="32"/>
      <c r="BD162" s="241"/>
      <c r="BE162" s="241"/>
      <c r="BF162" s="71"/>
      <c r="BG162" s="241"/>
      <c r="BH162" s="241"/>
      <c r="BI162" s="71"/>
      <c r="BJ162" s="123"/>
      <c r="BK162" s="123"/>
      <c r="BL162" s="126"/>
      <c r="BM162" s="123"/>
      <c r="BN162" s="123"/>
      <c r="BO162" s="108"/>
      <c r="BP162" s="108"/>
      <c r="BQ162" s="18"/>
      <c r="BR162" s="30"/>
      <c r="BS162" s="30"/>
      <c r="BT162" s="2"/>
      <c r="BU162" s="2"/>
      <c r="BV162" s="2"/>
      <c r="BW162" s="2"/>
      <c r="BX162" s="2"/>
      <c r="BY162" s="2"/>
      <c r="BZ162" s="2"/>
      <c r="CA162" s="2"/>
    </row>
    <row r="163" spans="1:79" s="72" customFormat="1">
      <c r="A163" s="13" t="s">
        <v>466</v>
      </c>
      <c r="B163" s="387" t="s">
        <v>779</v>
      </c>
      <c r="C163" s="13" t="s">
        <v>573</v>
      </c>
      <c r="D163" s="387" t="s">
        <v>810</v>
      </c>
      <c r="E163" s="13" t="s">
        <v>118</v>
      </c>
      <c r="F163" s="13" t="s">
        <v>119</v>
      </c>
      <c r="G163" s="13" t="s">
        <v>811</v>
      </c>
      <c r="H163" s="13" t="s">
        <v>121</v>
      </c>
      <c r="I163" s="13" t="s">
        <v>147</v>
      </c>
      <c r="J163" s="13" t="s">
        <v>5</v>
      </c>
      <c r="K163" s="13" t="s">
        <v>123</v>
      </c>
      <c r="L163" s="13" t="s">
        <v>812</v>
      </c>
      <c r="M163" s="13" t="s">
        <v>125</v>
      </c>
      <c r="N163" s="13" t="s">
        <v>126</v>
      </c>
      <c r="O163" s="247">
        <v>0.23</v>
      </c>
      <c r="P163" s="13">
        <v>108</v>
      </c>
      <c r="Q163" s="13">
        <v>30</v>
      </c>
      <c r="R163" s="13" t="s">
        <v>127</v>
      </c>
      <c r="S163" s="430" t="str">
        <f t="shared" si="74"/>
        <v>N/A</v>
      </c>
      <c r="T163" s="247">
        <v>0.8</v>
      </c>
      <c r="U163" s="13">
        <v>200</v>
      </c>
      <c r="V163" s="13">
        <v>600</v>
      </c>
      <c r="W163" s="430">
        <f t="shared" si="72"/>
        <v>400</v>
      </c>
      <c r="X163" s="430">
        <f t="shared" si="73"/>
        <v>180</v>
      </c>
      <c r="Y163" s="13">
        <v>200</v>
      </c>
      <c r="Z163" s="13">
        <v>600</v>
      </c>
      <c r="AA163" s="430">
        <f t="shared" si="75"/>
        <v>400</v>
      </c>
      <c r="AB163" s="430">
        <f t="shared" si="76"/>
        <v>180</v>
      </c>
      <c r="AC163" s="430" t="str">
        <f t="shared" si="77"/>
        <v>N/A</v>
      </c>
      <c r="AD163" s="430">
        <f t="shared" si="78"/>
        <v>78</v>
      </c>
      <c r="AE163" s="431">
        <f t="shared" si="79"/>
        <v>0.97940000000000005</v>
      </c>
      <c r="AF163" s="431"/>
      <c r="AG163" s="431">
        <f t="shared" si="80"/>
        <v>0.91461666666666674</v>
      </c>
      <c r="AH163" s="431">
        <f t="shared" si="81"/>
        <v>0.96949366666666681</v>
      </c>
      <c r="AI163" s="432">
        <f t="shared" si="82"/>
        <v>862.97419600000001</v>
      </c>
      <c r="AJ163" s="432">
        <f t="shared" si="83"/>
        <v>170.68175213381463</v>
      </c>
      <c r="AK163" s="432">
        <f t="shared" si="84"/>
        <v>186.62732962098039</v>
      </c>
      <c r="AL163" s="432">
        <f t="shared" si="85"/>
        <v>370.98820134353838</v>
      </c>
      <c r="AM163" s="250">
        <v>187</v>
      </c>
      <c r="AN163" s="432">
        <f t="shared" si="86"/>
        <v>201.96</v>
      </c>
      <c r="AO163" s="432">
        <f t="shared" si="87"/>
        <v>195.79894092000004</v>
      </c>
      <c r="AP163" s="432">
        <f t="shared" si="88"/>
        <v>652.6631364000001</v>
      </c>
      <c r="AQ163" s="255">
        <v>45292</v>
      </c>
      <c r="AR163" s="13" t="s">
        <v>813</v>
      </c>
      <c r="AS163" s="436" t="s">
        <v>814</v>
      </c>
      <c r="AT163" s="429"/>
      <c r="AU163" s="252"/>
      <c r="AV163" s="260"/>
      <c r="AW163" s="13"/>
      <c r="AX163" s="260"/>
      <c r="AY163" s="103">
        <f>(V163/10)/P163</f>
        <v>0.55555555555555558</v>
      </c>
      <c r="AZ163" s="22"/>
      <c r="BA163" s="13" t="str">
        <f>LEFT(G163,3)</f>
        <v>W22</v>
      </c>
      <c r="BC163" s="32"/>
      <c r="BD163" s="241"/>
      <c r="BE163" s="241"/>
      <c r="BF163" s="71"/>
      <c r="BG163" s="241"/>
      <c r="BH163" s="241"/>
      <c r="BI163" s="71"/>
      <c r="BJ163" s="114"/>
      <c r="BK163" s="111"/>
      <c r="BL163" s="112"/>
      <c r="BM163" s="111"/>
      <c r="BN163" s="123"/>
      <c r="BO163" s="83"/>
      <c r="BP163" s="88"/>
      <c r="BQ163" s="115"/>
      <c r="BR163" s="113"/>
      <c r="BS163" s="80"/>
      <c r="BT163" s="22"/>
      <c r="BU163" s="87"/>
      <c r="BV163" s="73"/>
      <c r="BW163" s="109"/>
      <c r="BX163" s="87"/>
      <c r="BY163" s="87"/>
      <c r="BZ163" s="109"/>
      <c r="CA163" s="76"/>
    </row>
    <row r="164" spans="1:79" s="38" customFormat="1">
      <c r="A164" s="13" t="s">
        <v>466</v>
      </c>
      <c r="B164" s="387" t="s">
        <v>779</v>
      </c>
      <c r="C164" s="13" t="s">
        <v>815</v>
      </c>
      <c r="D164" s="387" t="s">
        <v>816</v>
      </c>
      <c r="E164" s="13" t="s">
        <v>118</v>
      </c>
      <c r="F164" s="13" t="s">
        <v>186</v>
      </c>
      <c r="G164" s="13" t="s">
        <v>817</v>
      </c>
      <c r="H164" s="13" t="s">
        <v>389</v>
      </c>
      <c r="I164" s="13" t="s">
        <v>139</v>
      </c>
      <c r="J164" s="13" t="s">
        <v>5</v>
      </c>
      <c r="K164" s="13" t="s">
        <v>140</v>
      </c>
      <c r="L164" s="13" t="s">
        <v>818</v>
      </c>
      <c r="M164" s="13"/>
      <c r="N164" s="13" t="s">
        <v>142</v>
      </c>
      <c r="O164" s="247">
        <v>0.37</v>
      </c>
      <c r="P164" s="13">
        <v>107</v>
      </c>
      <c r="Q164" s="13">
        <v>30</v>
      </c>
      <c r="R164" s="13" t="s">
        <v>127</v>
      </c>
      <c r="S164" s="430" t="str">
        <f t="shared" si="74"/>
        <v>N/A</v>
      </c>
      <c r="T164" s="247">
        <v>0.76</v>
      </c>
      <c r="U164" s="13">
        <v>200</v>
      </c>
      <c r="V164" s="13">
        <v>600</v>
      </c>
      <c r="W164" s="430">
        <f t="shared" si="72"/>
        <v>400</v>
      </c>
      <c r="X164" s="430">
        <f t="shared" si="73"/>
        <v>170</v>
      </c>
      <c r="Y164" s="13">
        <v>150</v>
      </c>
      <c r="Z164" s="13">
        <v>600</v>
      </c>
      <c r="AA164" s="430">
        <f t="shared" si="75"/>
        <v>450</v>
      </c>
      <c r="AB164" s="430">
        <f t="shared" si="76"/>
        <v>170</v>
      </c>
      <c r="AC164" s="430" t="str">
        <f t="shared" si="77"/>
        <v>N/A</v>
      </c>
      <c r="AD164" s="430">
        <f t="shared" si="78"/>
        <v>77</v>
      </c>
      <c r="AE164" s="431">
        <f t="shared" si="79"/>
        <v>1.0448999999999999</v>
      </c>
      <c r="AF164" s="431"/>
      <c r="AG164" s="431">
        <f t="shared" si="80"/>
        <v>0.94238925233644844</v>
      </c>
      <c r="AH164" s="431">
        <f t="shared" si="81"/>
        <v>1.0036445537383176</v>
      </c>
      <c r="AI164" s="432">
        <f t="shared" si="82"/>
        <v>833.60255100000006</v>
      </c>
      <c r="AJ164" s="432">
        <f t="shared" si="83"/>
        <v>159.98249405671169</v>
      </c>
      <c r="AK164" s="432">
        <f t="shared" si="84"/>
        <v>174.92851625111317</v>
      </c>
      <c r="AL164" s="432">
        <f t="shared" si="85"/>
        <v>347.73264847914777</v>
      </c>
      <c r="AM164" s="250">
        <v>120</v>
      </c>
      <c r="AN164" s="432">
        <f t="shared" si="86"/>
        <v>128.4</v>
      </c>
      <c r="AO164" s="432">
        <f t="shared" si="87"/>
        <v>128.8679607</v>
      </c>
      <c r="AP164" s="432">
        <f t="shared" si="88"/>
        <v>429.55986899999999</v>
      </c>
      <c r="AQ164" s="255" t="s">
        <v>132</v>
      </c>
      <c r="AR164" s="13" t="s">
        <v>819</v>
      </c>
      <c r="AS164" s="434" t="s">
        <v>820</v>
      </c>
      <c r="AT164" s="429"/>
      <c r="AU164" s="241"/>
      <c r="AV164" s="243"/>
      <c r="AW164" s="13" t="s">
        <v>127</v>
      </c>
      <c r="AX164" s="260"/>
      <c r="AY164" s="103">
        <f>(V164/10)/P164</f>
        <v>0.56074766355140182</v>
      </c>
      <c r="AZ164" s="22"/>
      <c r="BA164" s="13" t="str">
        <f>LEFT(G164,3)</f>
        <v>W50</v>
      </c>
      <c r="BB164" s="72" t="str">
        <f>IF(R164="n/a","Clear","S/B")</f>
        <v>Clear</v>
      </c>
      <c r="BC164" s="32"/>
      <c r="BD164" s="241"/>
      <c r="BE164" s="241"/>
      <c r="BF164" s="71"/>
      <c r="BG164" s="241"/>
      <c r="BH164" s="241"/>
      <c r="BI164" s="71"/>
      <c r="BJ164" s="123"/>
      <c r="BK164" s="108"/>
      <c r="BL164" s="126"/>
      <c r="BM164" s="108"/>
      <c r="BN164" s="71"/>
      <c r="BO164" s="108"/>
      <c r="BP164" s="108"/>
      <c r="BQ164" s="124"/>
      <c r="BR164" s="124"/>
      <c r="BS164" s="71"/>
      <c r="BT164" s="72"/>
      <c r="BU164" s="78"/>
      <c r="BV164" s="32"/>
      <c r="BW164" s="127"/>
      <c r="BX164" s="78"/>
      <c r="BY164" s="78"/>
      <c r="BZ164" s="127"/>
      <c r="CA164" s="76"/>
    </row>
    <row r="165" spans="1:79" s="72" customFormat="1">
      <c r="A165" s="13" t="s">
        <v>466</v>
      </c>
      <c r="B165" s="387" t="s">
        <v>779</v>
      </c>
      <c r="C165" s="13" t="s">
        <v>815</v>
      </c>
      <c r="D165" s="387" t="s">
        <v>816</v>
      </c>
      <c r="E165" s="13" t="s">
        <v>118</v>
      </c>
      <c r="F165" s="13" t="s">
        <v>119</v>
      </c>
      <c r="G165" s="13" t="s">
        <v>821</v>
      </c>
      <c r="H165" s="13" t="s">
        <v>389</v>
      </c>
      <c r="I165" s="13" t="s">
        <v>139</v>
      </c>
      <c r="J165" s="13" t="s">
        <v>5</v>
      </c>
      <c r="K165" s="13" t="s">
        <v>140</v>
      </c>
      <c r="L165" s="13" t="s">
        <v>822</v>
      </c>
      <c r="M165" s="13" t="s">
        <v>125</v>
      </c>
      <c r="N165" s="13" t="s">
        <v>142</v>
      </c>
      <c r="O165" s="247">
        <v>0.39</v>
      </c>
      <c r="P165" s="13">
        <v>107</v>
      </c>
      <c r="Q165" s="13">
        <v>30</v>
      </c>
      <c r="R165" s="13" t="s">
        <v>127</v>
      </c>
      <c r="S165" s="430" t="str">
        <f t="shared" si="74"/>
        <v>N/A</v>
      </c>
      <c r="T165" s="247">
        <v>0.76</v>
      </c>
      <c r="U165" s="13">
        <v>200</v>
      </c>
      <c r="V165" s="13">
        <v>600</v>
      </c>
      <c r="W165" s="430">
        <f t="shared" si="72"/>
        <v>400</v>
      </c>
      <c r="X165" s="430">
        <f t="shared" si="73"/>
        <v>170</v>
      </c>
      <c r="Y165" s="13">
        <v>200</v>
      </c>
      <c r="Z165" s="13">
        <v>600</v>
      </c>
      <c r="AA165" s="430">
        <f t="shared" si="75"/>
        <v>400</v>
      </c>
      <c r="AB165" s="430">
        <f t="shared" si="76"/>
        <v>170</v>
      </c>
      <c r="AC165" s="430" t="str">
        <f t="shared" si="77"/>
        <v>N/A</v>
      </c>
      <c r="AD165" s="430">
        <f t="shared" si="78"/>
        <v>77</v>
      </c>
      <c r="AE165" s="431">
        <f t="shared" si="79"/>
        <v>1.0603</v>
      </c>
      <c r="AF165" s="431"/>
      <c r="AG165" s="431">
        <f t="shared" si="80"/>
        <v>0.95224813084112159</v>
      </c>
      <c r="AH165" s="431">
        <f t="shared" si="81"/>
        <v>1.0141442593457946</v>
      </c>
      <c r="AI165" s="432">
        <f t="shared" si="82"/>
        <v>834.910797</v>
      </c>
      <c r="AJ165" s="432">
        <f t="shared" si="83"/>
        <v>157.6588777137207</v>
      </c>
      <c r="AK165" s="432">
        <f t="shared" si="84"/>
        <v>172.38782102309554</v>
      </c>
      <c r="AL165" s="432">
        <f t="shared" si="85"/>
        <v>342.68211298298729</v>
      </c>
      <c r="AM165" s="250">
        <v>172</v>
      </c>
      <c r="AN165" s="432">
        <f t="shared" si="86"/>
        <v>184.04</v>
      </c>
      <c r="AO165" s="432">
        <f t="shared" si="87"/>
        <v>186.64310949000003</v>
      </c>
      <c r="AP165" s="432">
        <f t="shared" si="88"/>
        <v>622.1436983000001</v>
      </c>
      <c r="AQ165" s="255" t="s">
        <v>132</v>
      </c>
      <c r="AR165" s="13" t="s">
        <v>823</v>
      </c>
      <c r="AS165" s="434"/>
      <c r="AT165" s="429"/>
      <c r="AU165" s="252"/>
      <c r="AV165" s="260"/>
      <c r="AW165" s="13"/>
      <c r="AX165" s="260"/>
      <c r="AY165" s="103"/>
      <c r="AZ165" s="22"/>
      <c r="BA165" s="13"/>
      <c r="BC165" s="32"/>
      <c r="BD165" s="241"/>
      <c r="BE165" s="241"/>
      <c r="BF165" s="71"/>
      <c r="BG165" s="241"/>
      <c r="BH165" s="241"/>
      <c r="BI165" s="71"/>
      <c r="BJ165" s="114"/>
      <c r="BK165" s="111"/>
      <c r="BL165" s="112"/>
      <c r="BM165" s="111"/>
      <c r="BN165" s="123"/>
      <c r="BO165" s="83"/>
      <c r="BP165" s="88"/>
      <c r="BQ165" s="124"/>
      <c r="BR165" s="159"/>
      <c r="BS165" s="71"/>
      <c r="BU165" s="78"/>
      <c r="BV165" s="32"/>
      <c r="BW165" s="127"/>
      <c r="BX165" s="78"/>
      <c r="BY165" s="78"/>
      <c r="BZ165" s="127"/>
      <c r="CA165" s="76"/>
    </row>
    <row r="166" spans="1:79" s="72" customFormat="1">
      <c r="A166" s="13" t="s">
        <v>466</v>
      </c>
      <c r="B166" s="387" t="s">
        <v>779</v>
      </c>
      <c r="C166" s="13" t="s">
        <v>815</v>
      </c>
      <c r="D166" s="387" t="s">
        <v>816</v>
      </c>
      <c r="E166" s="13" t="s">
        <v>118</v>
      </c>
      <c r="F166" s="13" t="s">
        <v>119</v>
      </c>
      <c r="G166" s="13" t="s">
        <v>824</v>
      </c>
      <c r="H166" s="13" t="s">
        <v>121</v>
      </c>
      <c r="I166" s="13" t="s">
        <v>147</v>
      </c>
      <c r="J166" s="13" t="s">
        <v>5</v>
      </c>
      <c r="K166" s="13" t="s">
        <v>123</v>
      </c>
      <c r="L166" s="13" t="s">
        <v>228</v>
      </c>
      <c r="M166" s="13" t="s">
        <v>125</v>
      </c>
      <c r="N166" s="13" t="s">
        <v>126</v>
      </c>
      <c r="O166" s="247">
        <v>0.39</v>
      </c>
      <c r="P166" s="13">
        <v>108</v>
      </c>
      <c r="Q166" s="13">
        <v>30</v>
      </c>
      <c r="R166" s="13" t="s">
        <v>127</v>
      </c>
      <c r="S166" s="430" t="str">
        <f t="shared" si="74"/>
        <v>N/A</v>
      </c>
      <c r="T166" s="247">
        <v>0.8</v>
      </c>
      <c r="U166" s="13">
        <v>150</v>
      </c>
      <c r="V166" s="13">
        <v>650</v>
      </c>
      <c r="W166" s="430">
        <f t="shared" si="72"/>
        <v>500</v>
      </c>
      <c r="X166" s="430">
        <f t="shared" si="73"/>
        <v>130</v>
      </c>
      <c r="Y166" s="13">
        <v>150</v>
      </c>
      <c r="Z166" s="13">
        <v>650</v>
      </c>
      <c r="AA166" s="430">
        <f t="shared" si="75"/>
        <v>500</v>
      </c>
      <c r="AB166" s="430">
        <f t="shared" si="76"/>
        <v>130</v>
      </c>
      <c r="AC166" s="430" t="str">
        <f t="shared" si="77"/>
        <v>N/A</v>
      </c>
      <c r="AD166" s="430">
        <f t="shared" si="78"/>
        <v>78</v>
      </c>
      <c r="AE166" s="431">
        <f t="shared" si="79"/>
        <v>1.1042000000000001</v>
      </c>
      <c r="AF166" s="431"/>
      <c r="AG166" s="431">
        <f t="shared" si="80"/>
        <v>0.99435000000000007</v>
      </c>
      <c r="AH166" s="431">
        <f t="shared" si="81"/>
        <v>1.054011</v>
      </c>
      <c r="AI166" s="432">
        <f t="shared" si="82"/>
        <v>873.39102800000012</v>
      </c>
      <c r="AJ166" s="432">
        <f t="shared" si="83"/>
        <v>151.39078793683936</v>
      </c>
      <c r="AK166" s="432">
        <f t="shared" si="84"/>
        <v>165.53414837057434</v>
      </c>
      <c r="AL166" s="432">
        <f t="shared" si="85"/>
        <v>329.0580007207584</v>
      </c>
      <c r="AM166" s="250">
        <v>166</v>
      </c>
      <c r="AN166" s="432">
        <f t="shared" si="86"/>
        <v>179.28</v>
      </c>
      <c r="AO166" s="432">
        <f t="shared" si="87"/>
        <v>188.96309208</v>
      </c>
      <c r="AP166" s="432">
        <f t="shared" si="88"/>
        <v>629.87697360000004</v>
      </c>
      <c r="AQ166" s="255" t="s">
        <v>132</v>
      </c>
      <c r="AR166" s="13" t="s">
        <v>825</v>
      </c>
      <c r="AS166" s="434"/>
      <c r="AT166" s="429"/>
      <c r="AU166" s="252"/>
      <c r="AV166" s="260"/>
      <c r="AW166" s="13"/>
      <c r="AX166" s="260"/>
      <c r="AY166" s="103"/>
      <c r="AZ166" s="22"/>
      <c r="BA166" s="13"/>
      <c r="BC166" s="32"/>
      <c r="BD166" s="241"/>
      <c r="BE166" s="241"/>
      <c r="BF166" s="71"/>
      <c r="BG166" s="241"/>
      <c r="BH166" s="241"/>
      <c r="BI166" s="71"/>
      <c r="BJ166" s="114"/>
      <c r="BK166" s="111"/>
      <c r="BL166" s="112"/>
      <c r="BM166" s="111"/>
      <c r="BN166" s="123"/>
      <c r="BO166" s="83"/>
      <c r="BP166" s="88"/>
      <c r="BQ166" s="124"/>
      <c r="BR166" s="124"/>
      <c r="BS166" s="71"/>
      <c r="BU166" s="78"/>
      <c r="BV166" s="32"/>
      <c r="BW166" s="127"/>
      <c r="BX166" s="78"/>
      <c r="BY166" s="78"/>
      <c r="BZ166" s="127"/>
      <c r="CA166" s="76"/>
    </row>
    <row r="167" spans="1:79" s="72" customFormat="1">
      <c r="A167" s="13" t="s">
        <v>466</v>
      </c>
      <c r="B167" s="387" t="s">
        <v>779</v>
      </c>
      <c r="C167" s="13" t="s">
        <v>815</v>
      </c>
      <c r="D167" s="387" t="s">
        <v>826</v>
      </c>
      <c r="E167" s="13" t="s">
        <v>118</v>
      </c>
      <c r="F167" s="13" t="s">
        <v>119</v>
      </c>
      <c r="G167" s="13" t="s">
        <v>827</v>
      </c>
      <c r="H167" s="13" t="s">
        <v>121</v>
      </c>
      <c r="I167" s="13" t="s">
        <v>147</v>
      </c>
      <c r="J167" s="13" t="s">
        <v>5</v>
      </c>
      <c r="K167" s="13" t="s">
        <v>123</v>
      </c>
      <c r="L167" s="13"/>
      <c r="M167" s="13" t="s">
        <v>125</v>
      </c>
      <c r="N167" s="13" t="s">
        <v>126</v>
      </c>
      <c r="O167" s="247">
        <v>0.28000000000000003</v>
      </c>
      <c r="P167" s="13">
        <v>110</v>
      </c>
      <c r="Q167" s="13">
        <v>30</v>
      </c>
      <c r="R167" s="13" t="s">
        <v>127</v>
      </c>
      <c r="S167" s="430" t="str">
        <f t="shared" si="74"/>
        <v>N/A</v>
      </c>
      <c r="T167" s="247">
        <v>0.8</v>
      </c>
      <c r="U167" s="13">
        <v>200</v>
      </c>
      <c r="V167" s="13">
        <v>600</v>
      </c>
      <c r="W167" s="430">
        <f t="shared" si="72"/>
        <v>400</v>
      </c>
      <c r="X167" s="430">
        <f t="shared" si="73"/>
        <v>200</v>
      </c>
      <c r="Y167" s="13">
        <v>200</v>
      </c>
      <c r="Z167" s="13">
        <v>600</v>
      </c>
      <c r="AA167" s="430">
        <f t="shared" si="75"/>
        <v>400</v>
      </c>
      <c r="AB167" s="430">
        <f t="shared" si="76"/>
        <v>200</v>
      </c>
      <c r="AC167" s="430" t="str">
        <f t="shared" si="77"/>
        <v>N/A</v>
      </c>
      <c r="AD167" s="430">
        <f t="shared" si="78"/>
        <v>80</v>
      </c>
      <c r="AE167" s="431">
        <f t="shared" si="79"/>
        <v>1.024</v>
      </c>
      <c r="AF167" s="431"/>
      <c r="AG167" s="431">
        <f t="shared" si="80"/>
        <v>0.94254545454545458</v>
      </c>
      <c r="AH167" s="431">
        <f t="shared" si="81"/>
        <v>0.99909818181818189</v>
      </c>
      <c r="AI167" s="432">
        <f t="shared" si="82"/>
        <v>866.22945600000003</v>
      </c>
      <c r="AJ167" s="432">
        <f t="shared" si="83"/>
        <v>163.24776175767386</v>
      </c>
      <c r="AK167" s="432">
        <f t="shared" si="84"/>
        <v>178.49883460037904</v>
      </c>
      <c r="AL167" s="432">
        <f t="shared" si="85"/>
        <v>354.82992616783349</v>
      </c>
      <c r="AM167" s="250">
        <v>178</v>
      </c>
      <c r="AN167" s="432">
        <f t="shared" si="86"/>
        <v>195.8</v>
      </c>
      <c r="AO167" s="432">
        <f t="shared" si="87"/>
        <v>195.62342400000003</v>
      </c>
      <c r="AP167" s="432">
        <f t="shared" si="88"/>
        <v>652.07808000000011</v>
      </c>
      <c r="AQ167" s="255">
        <v>45627</v>
      </c>
      <c r="AR167" s="13" t="s">
        <v>828</v>
      </c>
      <c r="AS167" s="434"/>
      <c r="AT167" s="429" t="s">
        <v>245</v>
      </c>
      <c r="AU167" s="241"/>
      <c r="AV167" s="243"/>
      <c r="AW167" s="13"/>
      <c r="AX167" s="260"/>
      <c r="AY167" s="103"/>
      <c r="AZ167" s="22"/>
      <c r="BA167" s="13"/>
      <c r="BC167" s="32"/>
      <c r="BD167" s="241"/>
      <c r="BE167" s="241"/>
      <c r="BF167" s="71"/>
      <c r="BG167" s="241"/>
      <c r="BH167" s="241"/>
      <c r="BI167" s="71"/>
      <c r="BJ167" s="123"/>
      <c r="BK167" s="108"/>
      <c r="BL167" s="126"/>
      <c r="BM167" s="108"/>
      <c r="BN167" s="71"/>
      <c r="BO167" s="108"/>
      <c r="BP167" s="108"/>
      <c r="BQ167" s="115"/>
      <c r="BR167" s="113"/>
      <c r="BS167" s="71"/>
      <c r="BT167" s="13"/>
      <c r="BU167" s="79"/>
      <c r="BV167" s="29"/>
      <c r="BW167" s="86"/>
      <c r="BX167" s="79"/>
      <c r="BY167" s="79"/>
      <c r="BZ167" s="86"/>
      <c r="CA167" s="76"/>
    </row>
    <row r="168" spans="1:79" s="262" customFormat="1">
      <c r="A168" s="13" t="s">
        <v>466</v>
      </c>
      <c r="B168" s="387" t="s">
        <v>779</v>
      </c>
      <c r="C168" s="13" t="s">
        <v>815</v>
      </c>
      <c r="D168" s="387" t="s">
        <v>826</v>
      </c>
      <c r="E168" s="13" t="s">
        <v>118</v>
      </c>
      <c r="F168" s="13" t="s">
        <v>119</v>
      </c>
      <c r="G168" s="13" t="s">
        <v>829</v>
      </c>
      <c r="H168" s="13" t="s">
        <v>121</v>
      </c>
      <c r="I168" s="13" t="s">
        <v>147</v>
      </c>
      <c r="J168" s="13" t="s">
        <v>5</v>
      </c>
      <c r="K168" s="13" t="s">
        <v>123</v>
      </c>
      <c r="L168" s="13"/>
      <c r="M168" s="13" t="s">
        <v>125</v>
      </c>
      <c r="N168" s="13" t="s">
        <v>126</v>
      </c>
      <c r="O168" s="247">
        <v>0.36</v>
      </c>
      <c r="P168" s="13">
        <v>105</v>
      </c>
      <c r="Q168" s="13">
        <v>30</v>
      </c>
      <c r="R168" s="13" t="s">
        <v>127</v>
      </c>
      <c r="S168" s="430" t="str">
        <f t="shared" si="74"/>
        <v>N/A</v>
      </c>
      <c r="T168" s="247">
        <v>0.8</v>
      </c>
      <c r="U168" s="13">
        <v>200</v>
      </c>
      <c r="V168" s="13">
        <v>600</v>
      </c>
      <c r="W168" s="430">
        <f t="shared" si="72"/>
        <v>400</v>
      </c>
      <c r="X168" s="430">
        <f t="shared" si="73"/>
        <v>150</v>
      </c>
      <c r="Y168" s="13">
        <v>200</v>
      </c>
      <c r="Z168" s="13">
        <v>600</v>
      </c>
      <c r="AA168" s="430">
        <f t="shared" si="75"/>
        <v>400</v>
      </c>
      <c r="AB168" s="430">
        <f t="shared" si="76"/>
        <v>150</v>
      </c>
      <c r="AC168" s="430" t="str">
        <f t="shared" si="77"/>
        <v>N/A</v>
      </c>
      <c r="AD168" s="430">
        <f t="shared" si="78"/>
        <v>75</v>
      </c>
      <c r="AE168" s="431">
        <f t="shared" si="79"/>
        <v>1.07</v>
      </c>
      <c r="AF168" s="431"/>
      <c r="AG168" s="431">
        <f t="shared" si="80"/>
        <v>0.97357142857142853</v>
      </c>
      <c r="AH168" s="431">
        <f t="shared" si="81"/>
        <v>1.0319857142857143</v>
      </c>
      <c r="AI168" s="432">
        <f t="shared" si="82"/>
        <v>871.43787200000008</v>
      </c>
      <c r="AJ168" s="432">
        <f t="shared" si="83"/>
        <v>156.22963368211029</v>
      </c>
      <c r="AK168" s="432">
        <f t="shared" si="84"/>
        <v>170.82505292597023</v>
      </c>
      <c r="AL168" s="432">
        <f t="shared" si="85"/>
        <v>339.57555551015088</v>
      </c>
      <c r="AM168" s="250">
        <v>171</v>
      </c>
      <c r="AN168" s="432">
        <f t="shared" si="86"/>
        <v>179.55</v>
      </c>
      <c r="AO168" s="432">
        <f t="shared" si="87"/>
        <v>185.293035</v>
      </c>
      <c r="AP168" s="432">
        <f t="shared" si="88"/>
        <v>617.64345000000003</v>
      </c>
      <c r="AQ168" s="255">
        <v>45627</v>
      </c>
      <c r="AR168" s="13" t="s">
        <v>830</v>
      </c>
      <c r="AS168" s="434"/>
      <c r="AT168" s="429" t="s">
        <v>831</v>
      </c>
      <c r="AU168" s="241"/>
      <c r="AV168" s="243"/>
      <c r="AW168" s="13"/>
      <c r="AX168" s="260"/>
      <c r="AY168" s="103"/>
      <c r="AZ168" s="22"/>
      <c r="BA168" s="13"/>
      <c r="BB168" s="72"/>
      <c r="BC168" s="32"/>
      <c r="BD168" s="241"/>
      <c r="BE168" s="241"/>
      <c r="BF168" s="71"/>
      <c r="BG168" s="241"/>
      <c r="BH168" s="241"/>
      <c r="BI168" s="71"/>
      <c r="BJ168" s="123"/>
      <c r="BK168" s="108"/>
      <c r="BL168" s="126"/>
      <c r="BM168" s="108"/>
      <c r="BN168" s="71"/>
      <c r="BO168" s="108"/>
      <c r="BP168" s="108"/>
      <c r="BQ168" s="108"/>
      <c r="BR168" s="71"/>
      <c r="BS168" s="71"/>
      <c r="BT168" s="72"/>
      <c r="BU168" s="78"/>
      <c r="BV168" s="32"/>
      <c r="BW168" s="127"/>
      <c r="BX168" s="78"/>
      <c r="BY168" s="78"/>
      <c r="BZ168" s="127"/>
      <c r="CA168" s="76"/>
    </row>
    <row r="169" spans="1:79" s="22" customFormat="1">
      <c r="A169" s="13" t="s">
        <v>466</v>
      </c>
      <c r="B169" s="387" t="s">
        <v>779</v>
      </c>
      <c r="C169" s="13" t="s">
        <v>815</v>
      </c>
      <c r="D169" s="13" t="s">
        <v>826</v>
      </c>
      <c r="E169" s="13" t="s">
        <v>118</v>
      </c>
      <c r="F169" s="13" t="s">
        <v>119</v>
      </c>
      <c r="G169" s="13" t="s">
        <v>832</v>
      </c>
      <c r="H169" s="13" t="s">
        <v>121</v>
      </c>
      <c r="I169" s="13" t="s">
        <v>147</v>
      </c>
      <c r="J169" s="13" t="s">
        <v>5</v>
      </c>
      <c r="K169" s="13" t="s">
        <v>123</v>
      </c>
      <c r="L169" s="13" t="s">
        <v>833</v>
      </c>
      <c r="M169" s="13" t="s">
        <v>125</v>
      </c>
      <c r="N169" s="13" t="s">
        <v>126</v>
      </c>
      <c r="O169" s="247">
        <v>0.37</v>
      </c>
      <c r="P169" s="13">
        <v>107</v>
      </c>
      <c r="Q169" s="13">
        <v>30</v>
      </c>
      <c r="R169" s="13" t="s">
        <v>127</v>
      </c>
      <c r="S169" s="430" t="str">
        <f t="shared" si="74"/>
        <v>N/A</v>
      </c>
      <c r="T169" s="247">
        <v>0.8</v>
      </c>
      <c r="U169" s="13">
        <v>213</v>
      </c>
      <c r="V169" s="13">
        <v>428</v>
      </c>
      <c r="W169" s="430">
        <f t="shared" si="72"/>
        <v>215</v>
      </c>
      <c r="X169" s="430">
        <f t="shared" si="73"/>
        <v>342</v>
      </c>
      <c r="Y169" s="13">
        <v>200</v>
      </c>
      <c r="Z169" s="13">
        <v>600</v>
      </c>
      <c r="AA169" s="430">
        <f t="shared" si="75"/>
        <v>400</v>
      </c>
      <c r="AB169" s="430">
        <f t="shared" si="76"/>
        <v>170</v>
      </c>
      <c r="AC169" s="430" t="str">
        <f t="shared" si="77"/>
        <v>N/A</v>
      </c>
      <c r="AD169" s="430">
        <f t="shared" si="78"/>
        <v>77</v>
      </c>
      <c r="AE169" s="431">
        <f t="shared" si="79"/>
        <v>1.0849</v>
      </c>
      <c r="AF169" s="431"/>
      <c r="AG169" s="431">
        <f t="shared" si="80"/>
        <v>0.98238925233644858</v>
      </c>
      <c r="AH169" s="431">
        <f t="shared" si="81"/>
        <v>1.0413326074766356</v>
      </c>
      <c r="AI169" s="432">
        <f t="shared" si="82"/>
        <v>872.08892400000002</v>
      </c>
      <c r="AJ169" s="432">
        <f t="shared" si="83"/>
        <v>154.08397828358193</v>
      </c>
      <c r="AK169" s="432">
        <f t="shared" si="84"/>
        <v>168.47894426287047</v>
      </c>
      <c r="AL169" s="432">
        <f t="shared" si="85"/>
        <v>334.91183002660284</v>
      </c>
      <c r="AM169" s="250">
        <v>120</v>
      </c>
      <c r="AN169" s="432">
        <f t="shared" si="86"/>
        <v>128.4</v>
      </c>
      <c r="AO169" s="432">
        <f t="shared" si="87"/>
        <v>133.70710680000002</v>
      </c>
      <c r="AP169" s="432">
        <f t="shared" si="88"/>
        <v>445.69035600000007</v>
      </c>
      <c r="AQ169" s="255">
        <v>44927</v>
      </c>
      <c r="AR169" s="13" t="s">
        <v>545</v>
      </c>
      <c r="AS169" s="434" t="s">
        <v>834</v>
      </c>
      <c r="AT169" s="429" t="s">
        <v>831</v>
      </c>
      <c r="AU169" s="252"/>
      <c r="AV169" s="260"/>
      <c r="AW169" s="13" t="s">
        <v>127</v>
      </c>
      <c r="AX169" s="260"/>
      <c r="AY169" s="103">
        <f t="shared" ref="AY169:AY175" si="89">(V169/10)/P169</f>
        <v>0.39999999999999997</v>
      </c>
      <c r="BA169" s="13" t="str">
        <f>LEFT(G169,3)</f>
        <v>W22</v>
      </c>
      <c r="BB169" s="72" t="str">
        <f>IF(R169="n/a","Clear","S/B")</f>
        <v>Clear</v>
      </c>
      <c r="BC169" s="32">
        <f>IF(Q169="","",((P169/100*O169)+T169))</f>
        <v>1.1959</v>
      </c>
      <c r="BD169" s="241">
        <f>IF(BC169="","",((PI()*((51/2)^2-(16.545/2)^2)/(BC169/10))/100))</f>
        <v>152.84121300341849</v>
      </c>
      <c r="BE169" s="241">
        <f>IF(BC169="","",(BD169-AK169))</f>
        <v>-15.637731259451982</v>
      </c>
      <c r="BF169" s="71">
        <f>IF(BC169="","",(BE169/AK169))</f>
        <v>-9.281712517769046E-2</v>
      </c>
      <c r="BG169" s="241">
        <f>IF(BF169="","",((PI()*((70/2)^2-(16.545/2)^2)/(BC169/10))/100))</f>
        <v>303.82627677553427</v>
      </c>
      <c r="BH169" s="241">
        <f>IF(BF169="","",(BG169-AL169))</f>
        <v>-31.085553251068575</v>
      </c>
      <c r="BI169" s="71">
        <f>IF(BG169="","",(BH169/AL169))</f>
        <v>-9.2817125177690418E-2</v>
      </c>
      <c r="BJ169" s="114"/>
      <c r="BK169" s="111"/>
      <c r="BL169" s="112"/>
      <c r="BM169" s="111"/>
      <c r="BN169" s="123"/>
      <c r="BO169" s="83"/>
      <c r="BP169" s="88"/>
      <c r="BQ169" s="124"/>
      <c r="BR169" s="159"/>
      <c r="BS169" s="71"/>
      <c r="BT169" s="72"/>
      <c r="BU169" s="78"/>
      <c r="BV169" s="32"/>
      <c r="BW169" s="127"/>
      <c r="BX169" s="78"/>
      <c r="BY169" s="78"/>
      <c r="BZ169" s="127"/>
      <c r="CA169" s="76"/>
    </row>
    <row r="170" spans="1:79" s="22" customFormat="1">
      <c r="A170" s="13" t="s">
        <v>466</v>
      </c>
      <c r="B170" s="387" t="s">
        <v>779</v>
      </c>
      <c r="C170" s="13" t="s">
        <v>815</v>
      </c>
      <c r="D170" s="387" t="s">
        <v>835</v>
      </c>
      <c r="E170" s="13" t="s">
        <v>118</v>
      </c>
      <c r="F170" s="13" t="s">
        <v>119</v>
      </c>
      <c r="G170" s="13" t="s">
        <v>836</v>
      </c>
      <c r="H170" s="13" t="s">
        <v>121</v>
      </c>
      <c r="I170" s="13" t="s">
        <v>147</v>
      </c>
      <c r="J170" s="13" t="s">
        <v>5</v>
      </c>
      <c r="K170" s="13" t="s">
        <v>123</v>
      </c>
      <c r="L170" s="13" t="s">
        <v>837</v>
      </c>
      <c r="M170" s="13" t="s">
        <v>125</v>
      </c>
      <c r="N170" s="13" t="s">
        <v>126</v>
      </c>
      <c r="O170" s="247">
        <v>0.21</v>
      </c>
      <c r="P170" s="438">
        <v>131</v>
      </c>
      <c r="Q170" s="13">
        <v>25</v>
      </c>
      <c r="R170" s="13" t="s">
        <v>127</v>
      </c>
      <c r="S170" s="430" t="str">
        <f t="shared" si="74"/>
        <v>N/A</v>
      </c>
      <c r="T170" s="247">
        <v>0.8</v>
      </c>
      <c r="U170" s="13" t="s">
        <v>127</v>
      </c>
      <c r="V170" s="13" t="s">
        <v>127</v>
      </c>
      <c r="W170" s="430" t="e">
        <f t="shared" si="72"/>
        <v>#VALUE!</v>
      </c>
      <c r="X170" s="430" t="e">
        <f t="shared" si="73"/>
        <v>#VALUE!</v>
      </c>
      <c r="Y170" s="13">
        <v>540</v>
      </c>
      <c r="Z170" s="13">
        <v>940</v>
      </c>
      <c r="AA170" s="430">
        <f t="shared" si="75"/>
        <v>400</v>
      </c>
      <c r="AB170" s="430">
        <f t="shared" si="76"/>
        <v>120</v>
      </c>
      <c r="AC170" s="430" t="str">
        <f t="shared" si="77"/>
        <v>N/A</v>
      </c>
      <c r="AD170" s="430">
        <f t="shared" si="78"/>
        <v>106</v>
      </c>
      <c r="AE170" s="431">
        <f t="shared" si="79"/>
        <v>1.0226</v>
      </c>
      <c r="AF170" s="431"/>
      <c r="AG170" s="431">
        <f t="shared" si="80"/>
        <v>0.93254045801526719</v>
      </c>
      <c r="AH170" s="431">
        <f t="shared" si="81"/>
        <v>0.9884928854961833</v>
      </c>
      <c r="AI170" s="432">
        <f t="shared" si="82"/>
        <v>861.67209200000002</v>
      </c>
      <c r="AJ170" s="432">
        <f t="shared" si="83"/>
        <v>163.47125761769806</v>
      </c>
      <c r="AK170" s="432">
        <f t="shared" si="84"/>
        <v>178.74321008291435</v>
      </c>
      <c r="AL170" s="432">
        <f t="shared" si="85"/>
        <v>355.31570936422992</v>
      </c>
      <c r="AM170" s="250">
        <v>179</v>
      </c>
      <c r="AN170" s="432">
        <f t="shared" si="86"/>
        <v>234.49</v>
      </c>
      <c r="AO170" s="432">
        <f t="shared" si="87"/>
        <v>231.79169672000003</v>
      </c>
      <c r="AP170" s="432">
        <f t="shared" si="88"/>
        <v>927.16678688000013</v>
      </c>
      <c r="AQ170" s="255">
        <v>45597</v>
      </c>
      <c r="AR170" s="13" t="s">
        <v>838</v>
      </c>
      <c r="AS170" s="434" t="s">
        <v>839</v>
      </c>
      <c r="AT170" s="429" t="s">
        <v>840</v>
      </c>
      <c r="AU170" s="252"/>
      <c r="AV170" s="260"/>
      <c r="AW170" s="13"/>
      <c r="AX170" s="260"/>
      <c r="AY170" s="103" t="e">
        <f t="shared" si="89"/>
        <v>#VALUE!</v>
      </c>
      <c r="BA170" s="13"/>
      <c r="BB170" s="72"/>
      <c r="BC170" s="32"/>
      <c r="BD170" s="241"/>
      <c r="BE170" s="241"/>
      <c r="BF170" s="71"/>
      <c r="BG170" s="241"/>
      <c r="BH170" s="241"/>
      <c r="BI170" s="71"/>
      <c r="BJ170" s="114"/>
      <c r="BK170" s="88"/>
      <c r="BL170" s="128"/>
      <c r="BM170" s="88"/>
      <c r="BN170" s="80"/>
      <c r="BO170" s="88"/>
      <c r="BP170" s="88"/>
      <c r="BQ170" s="124"/>
      <c r="BR170" s="124"/>
      <c r="BS170" s="71"/>
      <c r="BT170" s="72"/>
      <c r="BU170" s="78"/>
      <c r="BV170" s="32"/>
      <c r="BW170" s="127"/>
      <c r="BX170" s="78"/>
      <c r="BY170" s="78"/>
      <c r="BZ170" s="127"/>
      <c r="CA170" s="76"/>
    </row>
    <row r="171" spans="1:79" s="77" customFormat="1">
      <c r="A171" s="13" t="s">
        <v>466</v>
      </c>
      <c r="B171" s="387" t="s">
        <v>779</v>
      </c>
      <c r="C171" s="13" t="s">
        <v>815</v>
      </c>
      <c r="D171" s="387" t="s">
        <v>835</v>
      </c>
      <c r="E171" s="13" t="s">
        <v>118</v>
      </c>
      <c r="F171" s="13" t="s">
        <v>167</v>
      </c>
      <c r="G171" s="13" t="s">
        <v>841</v>
      </c>
      <c r="H171" s="13" t="s">
        <v>121</v>
      </c>
      <c r="I171" s="13" t="s">
        <v>147</v>
      </c>
      <c r="J171" s="13" t="s">
        <v>5</v>
      </c>
      <c r="K171" s="13" t="s">
        <v>123</v>
      </c>
      <c r="L171" s="13" t="s">
        <v>842</v>
      </c>
      <c r="M171" s="13" t="s">
        <v>125</v>
      </c>
      <c r="N171" s="13" t="s">
        <v>126</v>
      </c>
      <c r="O171" s="247">
        <v>0.28999999999999998</v>
      </c>
      <c r="P171" s="438">
        <v>122</v>
      </c>
      <c r="Q171" s="13">
        <v>15</v>
      </c>
      <c r="R171" s="13" t="s">
        <v>127</v>
      </c>
      <c r="S171" s="430" t="str">
        <f t="shared" si="74"/>
        <v>N/A</v>
      </c>
      <c r="T171" s="247">
        <v>0.8</v>
      </c>
      <c r="U171" s="13" t="s">
        <v>127</v>
      </c>
      <c r="V171" s="13" t="s">
        <v>127</v>
      </c>
      <c r="W171" s="430" t="e">
        <f t="shared" si="72"/>
        <v>#VALUE!</v>
      </c>
      <c r="X171" s="430" t="e">
        <f t="shared" si="73"/>
        <v>#VALUE!</v>
      </c>
      <c r="Y171" s="13">
        <v>540</v>
      </c>
      <c r="Z171" s="13">
        <v>940</v>
      </c>
      <c r="AA171" s="430">
        <f t="shared" si="75"/>
        <v>400</v>
      </c>
      <c r="AB171" s="430">
        <f t="shared" si="76"/>
        <v>130</v>
      </c>
      <c r="AC171" s="430" t="str">
        <f t="shared" si="77"/>
        <v>N/A</v>
      </c>
      <c r="AD171" s="430">
        <f t="shared" si="78"/>
        <v>107</v>
      </c>
      <c r="AE171" s="431">
        <f t="shared" si="79"/>
        <v>1.1103000000000001</v>
      </c>
      <c r="AF171" s="431"/>
      <c r="AG171" s="431">
        <f t="shared" si="80"/>
        <v>0.97422581967213118</v>
      </c>
      <c r="AH171" s="431">
        <f t="shared" si="81"/>
        <v>1.0326793688524591</v>
      </c>
      <c r="AI171" s="432">
        <f t="shared" si="82"/>
        <v>866.88050800000008</v>
      </c>
      <c r="AJ171" s="432">
        <f t="shared" si="83"/>
        <v>150.55904533896967</v>
      </c>
      <c r="AK171" s="432">
        <f t="shared" si="84"/>
        <v>164.62470200016949</v>
      </c>
      <c r="AL171" s="432">
        <f t="shared" si="85"/>
        <v>327.25015256764971</v>
      </c>
      <c r="AM171" s="250">
        <v>165</v>
      </c>
      <c r="AN171" s="432">
        <f t="shared" si="86"/>
        <v>201.3</v>
      </c>
      <c r="AO171" s="432">
        <f t="shared" si="87"/>
        <v>207.87835695000004</v>
      </c>
      <c r="AP171" s="432">
        <f t="shared" si="88"/>
        <v>1385.8557130000004</v>
      </c>
      <c r="AQ171" s="255">
        <v>45505</v>
      </c>
      <c r="AR171" s="13" t="s">
        <v>843</v>
      </c>
      <c r="AS171" s="434" t="s">
        <v>844</v>
      </c>
      <c r="AT171" s="429" t="s">
        <v>845</v>
      </c>
      <c r="AU171" s="241"/>
      <c r="AV171" s="243"/>
      <c r="AW171" s="72"/>
      <c r="AX171" s="243"/>
      <c r="AY171" s="71" t="e">
        <f t="shared" si="89"/>
        <v>#VALUE!</v>
      </c>
      <c r="AZ171" s="72"/>
      <c r="BA171" s="72"/>
      <c r="BB171" s="72"/>
      <c r="BC171" s="32"/>
      <c r="BD171" s="241"/>
      <c r="BE171" s="241"/>
      <c r="BF171" s="71"/>
      <c r="BG171" s="241"/>
      <c r="BH171" s="241"/>
      <c r="BI171" s="71"/>
      <c r="BJ171" s="123"/>
      <c r="BK171" s="108"/>
      <c r="BL171" s="126"/>
      <c r="BM171" s="108"/>
      <c r="BN171" s="71"/>
      <c r="BO171" s="108"/>
      <c r="BP171" s="108"/>
      <c r="BQ171" s="155">
        <v>2712</v>
      </c>
      <c r="BR171" s="155">
        <v>9576</v>
      </c>
      <c r="BS171" s="167"/>
      <c r="BT171" s="72"/>
      <c r="BU171" s="78"/>
      <c r="BV171" s="32"/>
      <c r="BW171" s="127"/>
      <c r="BX171" s="78"/>
      <c r="BY171" s="78"/>
      <c r="BZ171" s="127"/>
      <c r="CA171" s="76"/>
    </row>
    <row r="172" spans="1:79" s="77" customFormat="1">
      <c r="A172" s="13" t="s">
        <v>466</v>
      </c>
      <c r="B172" s="387" t="s">
        <v>779</v>
      </c>
      <c r="C172" s="13" t="s">
        <v>846</v>
      </c>
      <c r="D172" s="387" t="s">
        <v>847</v>
      </c>
      <c r="E172" s="13" t="s">
        <v>118</v>
      </c>
      <c r="F172" s="13" t="s">
        <v>119</v>
      </c>
      <c r="G172" s="13" t="s">
        <v>848</v>
      </c>
      <c r="H172" s="13" t="s">
        <v>121</v>
      </c>
      <c r="I172" s="13" t="s">
        <v>147</v>
      </c>
      <c r="J172" s="13" t="s">
        <v>5</v>
      </c>
      <c r="K172" s="13" t="s">
        <v>123</v>
      </c>
      <c r="L172" s="13" t="s">
        <v>849</v>
      </c>
      <c r="M172" s="13" t="s">
        <v>125</v>
      </c>
      <c r="N172" s="13" t="s">
        <v>126</v>
      </c>
      <c r="O172" s="247">
        <v>0.5</v>
      </c>
      <c r="P172" s="13">
        <v>102</v>
      </c>
      <c r="Q172" s="13">
        <v>30</v>
      </c>
      <c r="R172" s="13" t="s">
        <v>127</v>
      </c>
      <c r="S172" s="430" t="str">
        <f t="shared" si="74"/>
        <v>N/A</v>
      </c>
      <c r="T172" s="247">
        <v>0.8</v>
      </c>
      <c r="U172" s="13">
        <v>193</v>
      </c>
      <c r="V172" s="13">
        <v>356</v>
      </c>
      <c r="W172" s="430">
        <f t="shared" si="72"/>
        <v>163</v>
      </c>
      <c r="X172" s="430">
        <f t="shared" si="73"/>
        <v>364</v>
      </c>
      <c r="Y172" s="13">
        <v>150</v>
      </c>
      <c r="Z172" s="13">
        <v>550</v>
      </c>
      <c r="AA172" s="430">
        <f t="shared" si="75"/>
        <v>400</v>
      </c>
      <c r="AB172" s="430">
        <f t="shared" si="76"/>
        <v>170</v>
      </c>
      <c r="AC172" s="430" t="str">
        <f t="shared" si="77"/>
        <v>N/A</v>
      </c>
      <c r="AD172" s="430">
        <f t="shared" si="78"/>
        <v>72</v>
      </c>
      <c r="AE172" s="431">
        <f t="shared" si="79"/>
        <v>1.1600000000000001</v>
      </c>
      <c r="AF172" s="431"/>
      <c r="AG172" s="431">
        <f t="shared" si="80"/>
        <v>1.0329411764705885</v>
      </c>
      <c r="AH172" s="431">
        <f t="shared" si="81"/>
        <v>1.0949176470588238</v>
      </c>
      <c r="AI172" s="432">
        <f t="shared" si="82"/>
        <v>880.5526000000001</v>
      </c>
      <c r="AJ172" s="432">
        <f t="shared" si="83"/>
        <v>144.1083689998776</v>
      </c>
      <c r="AK172" s="432">
        <f t="shared" si="84"/>
        <v>157.57138502654149</v>
      </c>
      <c r="AL172" s="432">
        <f t="shared" si="85"/>
        <v>313.22917620332879</v>
      </c>
      <c r="AM172" s="250">
        <v>158</v>
      </c>
      <c r="AN172" s="432">
        <f t="shared" si="86"/>
        <v>161.16</v>
      </c>
      <c r="AO172" s="432">
        <f t="shared" si="87"/>
        <v>176.45692800000003</v>
      </c>
      <c r="AP172" s="432">
        <f t="shared" si="88"/>
        <v>588.18976000000009</v>
      </c>
      <c r="AQ172" s="255">
        <v>45039</v>
      </c>
      <c r="AR172" s="13" t="s">
        <v>850</v>
      </c>
      <c r="AS172" s="434" t="s">
        <v>851</v>
      </c>
      <c r="AT172" s="429"/>
      <c r="AU172" s="252"/>
      <c r="AV172" s="260"/>
      <c r="AW172" s="13" t="s">
        <v>127</v>
      </c>
      <c r="AX172" s="260"/>
      <c r="AY172" s="103">
        <f t="shared" si="89"/>
        <v>0.34901960784313729</v>
      </c>
      <c r="AZ172" s="22"/>
      <c r="BA172" s="13" t="str">
        <f>LEFT(G172,3)</f>
        <v>W22</v>
      </c>
      <c r="BB172" s="72" t="str">
        <f>IF(R172="n/a","Clear","S/B")</f>
        <v>Clear</v>
      </c>
      <c r="BC172" s="32"/>
      <c r="BD172" s="241"/>
      <c r="BE172" s="241"/>
      <c r="BF172" s="71"/>
      <c r="BG172" s="241"/>
      <c r="BH172" s="241"/>
      <c r="BI172" s="71"/>
      <c r="BJ172" s="114"/>
      <c r="BK172" s="111"/>
      <c r="BL172" s="112"/>
      <c r="BM172" s="111"/>
      <c r="BN172" s="123"/>
      <c r="BO172" s="83"/>
      <c r="BP172" s="88"/>
      <c r="BQ172" s="115"/>
      <c r="BR172" s="113"/>
      <c r="BS172" s="80"/>
      <c r="BT172" s="22"/>
      <c r="BU172" s="87"/>
      <c r="BV172" s="73"/>
      <c r="BW172" s="109"/>
      <c r="BX172" s="87"/>
      <c r="BY172" s="87"/>
      <c r="BZ172" s="109"/>
      <c r="CA172" s="76"/>
    </row>
    <row r="173" spans="1:79" s="72" customFormat="1">
      <c r="A173" s="13" t="s">
        <v>466</v>
      </c>
      <c r="B173" s="387" t="s">
        <v>779</v>
      </c>
      <c r="C173" s="13" t="s">
        <v>846</v>
      </c>
      <c r="D173" s="387" t="s">
        <v>847</v>
      </c>
      <c r="E173" s="13" t="s">
        <v>118</v>
      </c>
      <c r="F173" s="13" t="s">
        <v>167</v>
      </c>
      <c r="G173" s="13" t="s">
        <v>852</v>
      </c>
      <c r="H173" s="13" t="s">
        <v>121</v>
      </c>
      <c r="I173" s="13" t="s">
        <v>147</v>
      </c>
      <c r="J173" s="13" t="s">
        <v>5</v>
      </c>
      <c r="K173" s="13" t="s">
        <v>123</v>
      </c>
      <c r="L173" s="13" t="s">
        <v>853</v>
      </c>
      <c r="M173" s="13" t="s">
        <v>125</v>
      </c>
      <c r="N173" s="13" t="s">
        <v>126</v>
      </c>
      <c r="O173" s="247">
        <v>0.5</v>
      </c>
      <c r="P173" s="13">
        <v>104</v>
      </c>
      <c r="Q173" s="13">
        <v>30</v>
      </c>
      <c r="R173" s="13" t="s">
        <v>127</v>
      </c>
      <c r="S173" s="430" t="str">
        <f t="shared" si="74"/>
        <v>N/A</v>
      </c>
      <c r="T173" s="247">
        <v>0.8</v>
      </c>
      <c r="U173" s="13">
        <v>193</v>
      </c>
      <c r="V173" s="13">
        <v>356</v>
      </c>
      <c r="W173" s="430">
        <f t="shared" si="72"/>
        <v>163</v>
      </c>
      <c r="X173" s="430">
        <f t="shared" si="73"/>
        <v>384</v>
      </c>
      <c r="Y173" s="13">
        <v>150</v>
      </c>
      <c r="Z173" s="13">
        <v>550</v>
      </c>
      <c r="AA173" s="430">
        <f t="shared" si="75"/>
        <v>400</v>
      </c>
      <c r="AB173" s="430">
        <f t="shared" si="76"/>
        <v>190</v>
      </c>
      <c r="AC173" s="430" t="str">
        <f t="shared" si="77"/>
        <v>N/A</v>
      </c>
      <c r="AD173" s="430">
        <f t="shared" si="78"/>
        <v>74</v>
      </c>
      <c r="AE173" s="431">
        <f t="shared" si="79"/>
        <v>1.17</v>
      </c>
      <c r="AF173" s="431"/>
      <c r="AG173" s="431">
        <f t="shared" si="80"/>
        <v>1.0383653846153846</v>
      </c>
      <c r="AH173" s="431">
        <f t="shared" si="81"/>
        <v>1.1006673076923077</v>
      </c>
      <c r="AI173" s="432">
        <f t="shared" si="82"/>
        <v>880.5526000000001</v>
      </c>
      <c r="AJ173" s="432">
        <f t="shared" si="83"/>
        <v>142.87667353834021</v>
      </c>
      <c r="AK173" s="432">
        <f t="shared" si="84"/>
        <v>156.22462105195572</v>
      </c>
      <c r="AL173" s="432">
        <f t="shared" si="85"/>
        <v>310.55200375714657</v>
      </c>
      <c r="AM173" s="250">
        <v>120</v>
      </c>
      <c r="AN173" s="432">
        <f t="shared" si="86"/>
        <v>124.8</v>
      </c>
      <c r="AO173" s="432">
        <f t="shared" si="87"/>
        <v>137.36328</v>
      </c>
      <c r="AP173" s="432">
        <f t="shared" si="88"/>
        <v>457.87760000000003</v>
      </c>
      <c r="AQ173" s="255">
        <v>44980</v>
      </c>
      <c r="AR173" s="13" t="s">
        <v>545</v>
      </c>
      <c r="AS173" s="436" t="s">
        <v>854</v>
      </c>
      <c r="AT173" s="429"/>
      <c r="AU173" s="241"/>
      <c r="AV173" s="243"/>
      <c r="AW173" s="13" t="s">
        <v>127</v>
      </c>
      <c r="AX173" s="243"/>
      <c r="AY173" s="103">
        <f t="shared" si="89"/>
        <v>0.34230769230769231</v>
      </c>
      <c r="BA173" s="13" t="str">
        <f>LEFT(G173,3)</f>
        <v>W22</v>
      </c>
      <c r="BB173" s="72" t="str">
        <f>IF(R173="n/a","Clear","S/B")</f>
        <v>Clear</v>
      </c>
      <c r="BC173" s="32">
        <f>IF(Q173="","",((P173/100*O173)+T173))</f>
        <v>1.32</v>
      </c>
      <c r="BD173" s="241">
        <f>IF(BC173="","",((PI()*((51/2)^2-(16.545/2)^2)/(BC173/10))/100))</f>
        <v>138.47182320514256</v>
      </c>
      <c r="BE173" s="241">
        <f>IF(BC173="","",(BD173-AK173))</f>
        <v>-17.752797846813166</v>
      </c>
      <c r="BF173" s="71">
        <f>IF(BC173="","",(BE173/AK173))</f>
        <v>-0.11363636363636374</v>
      </c>
      <c r="BG173" s="241">
        <f>IF(BF173="","",((PI()*((70/2)^2-(16.545/2)^2)/(BC173/10))/100))</f>
        <v>275.26200333019807</v>
      </c>
      <c r="BH173" s="241">
        <f>IF(BF173="","",(BG173-AL173))</f>
        <v>-35.290000426948495</v>
      </c>
      <c r="BI173" s="71">
        <f>IF(BG173="","",(BH173/AL173))</f>
        <v>-0.1136363636363637</v>
      </c>
      <c r="BJ173" s="123"/>
      <c r="BK173" s="123"/>
      <c r="BL173" s="126"/>
      <c r="BM173" s="123"/>
      <c r="BN173" s="123"/>
      <c r="BO173" s="108"/>
      <c r="BP173" s="108"/>
      <c r="BQ173" s="115"/>
      <c r="BR173" s="113"/>
      <c r="BS173" s="71"/>
      <c r="BT173" s="13">
        <f>P173-V173/10-120/10</f>
        <v>56.400000000000006</v>
      </c>
      <c r="BU173" s="79">
        <f>BT173-Q173</f>
        <v>26.400000000000006</v>
      </c>
      <c r="BV173" s="29">
        <f>T173+(O173/100*(P173-BT173))</f>
        <v>1.038</v>
      </c>
      <c r="BW173" s="86">
        <f>(AE173-BV173)/AE173</f>
        <v>0.11282051282051274</v>
      </c>
      <c r="BX173" s="79">
        <f>(PI()*((51/2)^2-(16.545/2)^2)/(BV173/10))/100</f>
        <v>176.09133586781132</v>
      </c>
      <c r="BY173" s="79">
        <f>BX173-AK173</f>
        <v>19.866714815855602</v>
      </c>
      <c r="BZ173" s="86">
        <f>BY173/AK173</f>
        <v>0.12716763005780321</v>
      </c>
      <c r="CA173" s="76"/>
    </row>
    <row r="174" spans="1:79" s="38" customFormat="1">
      <c r="A174" s="13" t="s">
        <v>466</v>
      </c>
      <c r="B174" s="387" t="s">
        <v>779</v>
      </c>
      <c r="C174" s="13" t="s">
        <v>846</v>
      </c>
      <c r="D174" s="387" t="s">
        <v>855</v>
      </c>
      <c r="E174" s="13" t="s">
        <v>118</v>
      </c>
      <c r="F174" s="13" t="s">
        <v>186</v>
      </c>
      <c r="G174" s="13" t="s">
        <v>856</v>
      </c>
      <c r="H174" s="13" t="s">
        <v>121</v>
      </c>
      <c r="I174" s="13" t="s">
        <v>147</v>
      </c>
      <c r="J174" s="13" t="s">
        <v>5</v>
      </c>
      <c r="K174" s="13" t="s">
        <v>123</v>
      </c>
      <c r="L174" s="13" t="s">
        <v>857</v>
      </c>
      <c r="M174" s="13" t="s">
        <v>125</v>
      </c>
      <c r="N174" s="13" t="s">
        <v>126</v>
      </c>
      <c r="O174" s="247">
        <v>0.19</v>
      </c>
      <c r="P174" s="13">
        <v>105</v>
      </c>
      <c r="Q174" s="13">
        <v>25</v>
      </c>
      <c r="R174" s="13" t="s">
        <v>127</v>
      </c>
      <c r="S174" s="430" t="str">
        <f t="shared" si="74"/>
        <v>N/A</v>
      </c>
      <c r="T174" s="247">
        <v>0.8</v>
      </c>
      <c r="U174" s="13">
        <v>200</v>
      </c>
      <c r="V174" s="13">
        <v>600</v>
      </c>
      <c r="W174" s="430">
        <f t="shared" si="72"/>
        <v>400</v>
      </c>
      <c r="X174" s="430">
        <f t="shared" si="73"/>
        <v>200</v>
      </c>
      <c r="Y174" s="13">
        <v>200</v>
      </c>
      <c r="Z174" s="13">
        <v>600</v>
      </c>
      <c r="AA174" s="430">
        <f t="shared" si="75"/>
        <v>400</v>
      </c>
      <c r="AB174" s="430">
        <f t="shared" si="76"/>
        <v>200</v>
      </c>
      <c r="AC174" s="430" t="str">
        <f t="shared" si="77"/>
        <v>N/A</v>
      </c>
      <c r="AD174" s="430">
        <f t="shared" si="78"/>
        <v>80</v>
      </c>
      <c r="AE174" s="431">
        <f t="shared" si="79"/>
        <v>0.95200000000000007</v>
      </c>
      <c r="AF174" s="431"/>
      <c r="AG174" s="431">
        <f t="shared" si="80"/>
        <v>0.89409523809523817</v>
      </c>
      <c r="AH174" s="431">
        <f t="shared" si="81"/>
        <v>0.94774095238095246</v>
      </c>
      <c r="AI174" s="432">
        <f t="shared" si="82"/>
        <v>860.36998800000003</v>
      </c>
      <c r="AJ174" s="432">
        <f t="shared" si="83"/>
        <v>175.59423113430464</v>
      </c>
      <c r="AK174" s="432">
        <f t="shared" si="84"/>
        <v>191.99874646091195</v>
      </c>
      <c r="AL174" s="432">
        <f t="shared" si="85"/>
        <v>381.66580293682927</v>
      </c>
      <c r="AM174" s="250">
        <v>192</v>
      </c>
      <c r="AN174" s="432">
        <f t="shared" si="86"/>
        <v>201.6</v>
      </c>
      <c r="AO174" s="432">
        <f t="shared" si="87"/>
        <v>191.06457600000002</v>
      </c>
      <c r="AP174" s="432">
        <f t="shared" si="88"/>
        <v>764.25830400000007</v>
      </c>
      <c r="AQ174" s="255">
        <v>45444</v>
      </c>
      <c r="AR174" s="13" t="s">
        <v>858</v>
      </c>
      <c r="AS174" s="429" t="s">
        <v>859</v>
      </c>
      <c r="AT174" s="13"/>
      <c r="AU174" s="257"/>
      <c r="AV174" s="259"/>
      <c r="AX174" s="259"/>
      <c r="AY174" s="102">
        <f t="shared" si="89"/>
        <v>0.5714285714285714</v>
      </c>
      <c r="AZ174" s="262"/>
      <c r="BB174" s="77"/>
      <c r="BC174" s="264"/>
      <c r="BD174" s="253"/>
      <c r="BE174" s="253"/>
      <c r="BF174" s="100"/>
      <c r="BG174" s="253"/>
      <c r="BH174" s="253"/>
      <c r="BI174" s="100"/>
      <c r="BJ174" s="143"/>
      <c r="BK174" s="139"/>
      <c r="BL174" s="191"/>
      <c r="BM174" s="139"/>
      <c r="BN174" s="162"/>
      <c r="BO174" s="101"/>
      <c r="BP174" s="105"/>
      <c r="BQ174" s="159"/>
      <c r="BR174" s="159"/>
      <c r="BS174" s="100"/>
      <c r="BT174" s="77"/>
      <c r="BU174" s="282"/>
      <c r="BV174" s="264"/>
      <c r="BW174" s="169"/>
      <c r="BX174" s="282"/>
      <c r="BY174" s="282"/>
      <c r="BZ174" s="169"/>
      <c r="CA174" s="271"/>
    </row>
    <row r="175" spans="1:79" s="77" customFormat="1">
      <c r="A175" s="13" t="s">
        <v>466</v>
      </c>
      <c r="B175" s="387" t="s">
        <v>779</v>
      </c>
      <c r="C175" s="13" t="s">
        <v>846</v>
      </c>
      <c r="D175" s="387" t="s">
        <v>855</v>
      </c>
      <c r="E175" s="13" t="s">
        <v>118</v>
      </c>
      <c r="F175" s="13" t="s">
        <v>167</v>
      </c>
      <c r="G175" s="13" t="s">
        <v>860</v>
      </c>
      <c r="H175" s="13" t="s">
        <v>121</v>
      </c>
      <c r="I175" s="13" t="s">
        <v>147</v>
      </c>
      <c r="J175" s="13" t="s">
        <v>5</v>
      </c>
      <c r="K175" s="13" t="s">
        <v>123</v>
      </c>
      <c r="L175" s="13" t="s">
        <v>861</v>
      </c>
      <c r="M175" s="13" t="s">
        <v>125</v>
      </c>
      <c r="N175" s="13" t="s">
        <v>126</v>
      </c>
      <c r="O175" s="247">
        <v>0.27</v>
      </c>
      <c r="P175" s="13">
        <v>102</v>
      </c>
      <c r="Q175" s="13">
        <v>25</v>
      </c>
      <c r="R175" s="13" t="s">
        <v>127</v>
      </c>
      <c r="S175" s="430" t="str">
        <f t="shared" si="74"/>
        <v>N/A</v>
      </c>
      <c r="T175" s="247">
        <v>0.8</v>
      </c>
      <c r="U175" s="13">
        <v>200</v>
      </c>
      <c r="V175" s="13">
        <v>600</v>
      </c>
      <c r="W175" s="430">
        <f t="shared" si="72"/>
        <v>400</v>
      </c>
      <c r="X175" s="430">
        <f t="shared" si="73"/>
        <v>170</v>
      </c>
      <c r="Y175" s="13">
        <v>200</v>
      </c>
      <c r="Z175" s="13">
        <v>600</v>
      </c>
      <c r="AA175" s="430">
        <f t="shared" si="75"/>
        <v>400</v>
      </c>
      <c r="AB175" s="430">
        <f t="shared" si="76"/>
        <v>170</v>
      </c>
      <c r="AC175" s="430" t="str">
        <f t="shared" si="77"/>
        <v>N/A</v>
      </c>
      <c r="AD175" s="430">
        <f t="shared" si="78"/>
        <v>77</v>
      </c>
      <c r="AE175" s="431">
        <f t="shared" si="79"/>
        <v>1.0079</v>
      </c>
      <c r="AF175" s="431"/>
      <c r="AG175" s="431">
        <f t="shared" si="80"/>
        <v>0.92942794117647065</v>
      </c>
      <c r="AH175" s="431">
        <f t="shared" si="81"/>
        <v>0.98519361764705893</v>
      </c>
      <c r="AI175" s="432">
        <f t="shared" si="82"/>
        <v>865.57840400000009</v>
      </c>
      <c r="AJ175" s="432">
        <f t="shared" si="83"/>
        <v>165.8554499849767</v>
      </c>
      <c r="AK175" s="432">
        <f t="shared" si="84"/>
        <v>181.35014052067484</v>
      </c>
      <c r="AL175" s="432">
        <f t="shared" si="85"/>
        <v>360.49791089975338</v>
      </c>
      <c r="AM175" s="250">
        <v>181</v>
      </c>
      <c r="AN175" s="432">
        <f t="shared" si="86"/>
        <v>184.62</v>
      </c>
      <c r="AO175" s="432">
        <f t="shared" si="87"/>
        <v>181.88644569000002</v>
      </c>
      <c r="AP175" s="432">
        <f t="shared" si="88"/>
        <v>727.54578276000007</v>
      </c>
      <c r="AQ175" s="255">
        <v>45444</v>
      </c>
      <c r="AR175" s="13" t="s">
        <v>791</v>
      </c>
      <c r="AS175" s="434" t="s">
        <v>862</v>
      </c>
      <c r="AT175" s="429"/>
      <c r="AU175" s="241"/>
      <c r="AV175" s="243"/>
      <c r="AW175" s="72"/>
      <c r="AX175" s="243"/>
      <c r="AY175" s="71">
        <f t="shared" si="89"/>
        <v>0.58823529411764708</v>
      </c>
      <c r="AZ175" s="72"/>
      <c r="BA175" s="72"/>
      <c r="BB175" s="72"/>
      <c r="BC175" s="32"/>
      <c r="BD175" s="241"/>
      <c r="BE175" s="241"/>
      <c r="BF175" s="71"/>
      <c r="BG175" s="241"/>
      <c r="BH175" s="241"/>
      <c r="BI175" s="71"/>
      <c r="BJ175" s="123"/>
      <c r="BK175" s="123"/>
      <c r="BL175" s="126"/>
      <c r="BM175" s="123"/>
      <c r="BN175" s="123"/>
      <c r="BO175" s="108"/>
      <c r="BP175" s="108"/>
      <c r="BQ175" s="124"/>
      <c r="BR175" s="124"/>
      <c r="BS175" s="71"/>
      <c r="BT175" s="72"/>
      <c r="BU175" s="78"/>
      <c r="BV175" s="32"/>
      <c r="BW175" s="127"/>
      <c r="BX175" s="78"/>
      <c r="BY175" s="78"/>
      <c r="BZ175" s="127"/>
      <c r="CA175" s="76"/>
    </row>
    <row r="176" spans="1:79" s="72" customFormat="1">
      <c r="A176" s="13" t="s">
        <v>466</v>
      </c>
      <c r="B176" s="387" t="s">
        <v>779</v>
      </c>
      <c r="C176" s="13" t="s">
        <v>846</v>
      </c>
      <c r="D176" s="387" t="s">
        <v>863</v>
      </c>
      <c r="E176" s="13" t="s">
        <v>118</v>
      </c>
      <c r="F176" s="13" t="s">
        <v>119</v>
      </c>
      <c r="G176" s="13" t="s">
        <v>864</v>
      </c>
      <c r="H176" s="13" t="s">
        <v>121</v>
      </c>
      <c r="I176" s="13" t="s">
        <v>147</v>
      </c>
      <c r="J176" s="13" t="s">
        <v>5</v>
      </c>
      <c r="K176" s="13" t="s">
        <v>123</v>
      </c>
      <c r="L176" s="13" t="s">
        <v>865</v>
      </c>
      <c r="M176" s="13" t="s">
        <v>125</v>
      </c>
      <c r="N176" s="13" t="s">
        <v>126</v>
      </c>
      <c r="O176" s="247">
        <v>0.22</v>
      </c>
      <c r="P176" s="13">
        <v>115</v>
      </c>
      <c r="Q176" s="13">
        <v>30</v>
      </c>
      <c r="R176" s="13" t="s">
        <v>127</v>
      </c>
      <c r="S176" s="430" t="str">
        <f t="shared" si="74"/>
        <v>N/A</v>
      </c>
      <c r="T176" s="247">
        <v>0.8</v>
      </c>
      <c r="U176" s="13">
        <v>200</v>
      </c>
      <c r="V176" s="13">
        <v>600</v>
      </c>
      <c r="W176" s="430">
        <f t="shared" si="72"/>
        <v>400</v>
      </c>
      <c r="X176" s="430">
        <f t="shared" si="73"/>
        <v>250</v>
      </c>
      <c r="Y176" s="13">
        <v>200</v>
      </c>
      <c r="Z176" s="13">
        <v>600</v>
      </c>
      <c r="AA176" s="430">
        <f t="shared" si="75"/>
        <v>400</v>
      </c>
      <c r="AB176" s="430">
        <f t="shared" si="76"/>
        <v>250</v>
      </c>
      <c r="AC176" s="430" t="str">
        <f t="shared" si="77"/>
        <v>N/A</v>
      </c>
      <c r="AD176" s="430">
        <f t="shared" si="78"/>
        <v>85</v>
      </c>
      <c r="AE176" s="431">
        <f t="shared" si="79"/>
        <v>0.9870000000000001</v>
      </c>
      <c r="AF176" s="431"/>
      <c r="AG176" s="431">
        <f t="shared" si="80"/>
        <v>0.91789130434782618</v>
      </c>
      <c r="AH176" s="431">
        <f t="shared" si="81"/>
        <v>0.97296478260869568</v>
      </c>
      <c r="AI176" s="432">
        <f t="shared" si="82"/>
        <v>862.32314400000007</v>
      </c>
      <c r="AJ176" s="432">
        <f t="shared" si="83"/>
        <v>169.36748534940023</v>
      </c>
      <c r="AK176" s="432">
        <f t="shared" si="84"/>
        <v>185.19028027435476</v>
      </c>
      <c r="AL176" s="432">
        <f t="shared" si="85"/>
        <v>368.13155460573603</v>
      </c>
      <c r="AM176" s="250">
        <v>185</v>
      </c>
      <c r="AN176" s="432">
        <f t="shared" si="86"/>
        <v>212.75</v>
      </c>
      <c r="AO176" s="432">
        <f t="shared" si="87"/>
        <v>206.99825749999999</v>
      </c>
      <c r="AP176" s="432">
        <f t="shared" si="88"/>
        <v>689.99419166666667</v>
      </c>
      <c r="AQ176" s="255">
        <v>45566</v>
      </c>
      <c r="AR176" s="13" t="s">
        <v>866</v>
      </c>
      <c r="AS176" s="434" t="s">
        <v>867</v>
      </c>
      <c r="AT176" s="429" t="s">
        <v>245</v>
      </c>
      <c r="AU176" s="252"/>
      <c r="AV176" s="260"/>
      <c r="AW176" s="13"/>
      <c r="AX176" s="260"/>
      <c r="AY176" s="103"/>
      <c r="AZ176" s="22"/>
      <c r="BA176" s="13"/>
      <c r="BC176" s="32"/>
      <c r="BD176" s="241"/>
      <c r="BE176" s="241"/>
      <c r="BF176" s="71"/>
      <c r="BG176" s="241"/>
      <c r="BH176" s="241"/>
      <c r="BI176" s="71"/>
      <c r="BJ176" s="114"/>
      <c r="BK176" s="111"/>
      <c r="BL176" s="112"/>
      <c r="BM176" s="111"/>
      <c r="BN176" s="123"/>
      <c r="BO176" s="83"/>
      <c r="BP176" s="88"/>
      <c r="BQ176" s="130"/>
      <c r="BR176" s="100"/>
      <c r="BS176" s="100"/>
      <c r="BU176" s="78"/>
      <c r="BV176" s="32"/>
      <c r="BW176" s="127"/>
      <c r="BX176" s="78"/>
      <c r="BY176" s="78"/>
      <c r="BZ176" s="127"/>
      <c r="CA176" s="76"/>
    </row>
    <row r="177" spans="1:79" s="72" customFormat="1">
      <c r="A177" s="13" t="s">
        <v>466</v>
      </c>
      <c r="B177" s="387" t="s">
        <v>779</v>
      </c>
      <c r="C177" s="13" t="s">
        <v>846</v>
      </c>
      <c r="D177" s="387" t="s">
        <v>863</v>
      </c>
      <c r="E177" s="13" t="s">
        <v>118</v>
      </c>
      <c r="F177" s="13" t="s">
        <v>119</v>
      </c>
      <c r="G177" s="13" t="s">
        <v>868</v>
      </c>
      <c r="H177" s="13" t="s">
        <v>121</v>
      </c>
      <c r="I177" s="13" t="s">
        <v>147</v>
      </c>
      <c r="J177" s="13" t="s">
        <v>5</v>
      </c>
      <c r="K177" s="13" t="s">
        <v>123</v>
      </c>
      <c r="L177" s="13" t="s">
        <v>869</v>
      </c>
      <c r="M177" s="13" t="s">
        <v>125</v>
      </c>
      <c r="N177" s="13" t="s">
        <v>126</v>
      </c>
      <c r="O177" s="247">
        <v>0.3</v>
      </c>
      <c r="P177" s="13">
        <v>109</v>
      </c>
      <c r="Q177" s="13">
        <v>30</v>
      </c>
      <c r="R177" s="13" t="s">
        <v>127</v>
      </c>
      <c r="S177" s="430" t="str">
        <f t="shared" si="74"/>
        <v>N/A</v>
      </c>
      <c r="T177" s="247">
        <v>0.8</v>
      </c>
      <c r="U177" s="13">
        <v>200</v>
      </c>
      <c r="V177" s="13">
        <v>600</v>
      </c>
      <c r="W177" s="430">
        <f t="shared" si="72"/>
        <v>400</v>
      </c>
      <c r="X177" s="430">
        <f t="shared" si="73"/>
        <v>190</v>
      </c>
      <c r="Y177" s="13">
        <v>200</v>
      </c>
      <c r="Z177" s="13">
        <v>600</v>
      </c>
      <c r="AA177" s="430">
        <f t="shared" si="75"/>
        <v>400</v>
      </c>
      <c r="AB177" s="430">
        <f t="shared" si="76"/>
        <v>190</v>
      </c>
      <c r="AC177" s="430" t="str">
        <f t="shared" si="77"/>
        <v>N/A</v>
      </c>
      <c r="AD177" s="430">
        <f t="shared" si="78"/>
        <v>79</v>
      </c>
      <c r="AE177" s="431">
        <f t="shared" si="79"/>
        <v>1.0370000000000001</v>
      </c>
      <c r="AF177" s="431"/>
      <c r="AG177" s="431">
        <f t="shared" si="80"/>
        <v>0.95111467889908263</v>
      </c>
      <c r="AH177" s="431">
        <f t="shared" si="81"/>
        <v>1.0081815596330277</v>
      </c>
      <c r="AI177" s="432">
        <f t="shared" si="82"/>
        <v>867.53156000000013</v>
      </c>
      <c r="AJ177" s="432">
        <f t="shared" si="83"/>
        <v>161.20126136919768</v>
      </c>
      <c r="AK177" s="432">
        <f t="shared" si="84"/>
        <v>176.26114429198472</v>
      </c>
      <c r="AL177" s="432">
        <f t="shared" si="85"/>
        <v>350.38172072889239</v>
      </c>
      <c r="AM177" s="250">
        <v>176</v>
      </c>
      <c r="AN177" s="432">
        <f t="shared" si="86"/>
        <v>191.84</v>
      </c>
      <c r="AO177" s="432">
        <f t="shared" si="87"/>
        <v>193.40955040000003</v>
      </c>
      <c r="AP177" s="432">
        <f t="shared" si="88"/>
        <v>644.69850133333341</v>
      </c>
      <c r="AQ177" s="255">
        <v>45627</v>
      </c>
      <c r="AR177" s="13" t="s">
        <v>870</v>
      </c>
      <c r="AS177" s="434" t="s">
        <v>871</v>
      </c>
      <c r="AT177" s="429" t="s">
        <v>831</v>
      </c>
      <c r="AU177" s="241"/>
      <c r="AV177" s="243"/>
      <c r="AW177" s="13"/>
      <c r="AX177" s="260"/>
      <c r="AY177" s="103"/>
      <c r="AZ177" s="22"/>
      <c r="BA177" s="13"/>
      <c r="BC177" s="32"/>
      <c r="BD177" s="241"/>
      <c r="BE177" s="241"/>
      <c r="BF177" s="71"/>
      <c r="BG177" s="241"/>
      <c r="BH177" s="241"/>
      <c r="BI177" s="71"/>
      <c r="BJ177" s="123"/>
      <c r="BK177" s="108"/>
      <c r="BL177" s="126"/>
      <c r="BM177" s="108"/>
      <c r="BN177" s="71"/>
      <c r="BO177" s="108"/>
      <c r="BP177" s="108"/>
      <c r="BQ177" s="124"/>
      <c r="BR177" s="124"/>
      <c r="BS177" s="71"/>
      <c r="BU177" s="78"/>
      <c r="BV177" s="32"/>
      <c r="BW177" s="127"/>
      <c r="BX177" s="78"/>
      <c r="BY177" s="78"/>
      <c r="BZ177" s="127"/>
      <c r="CA177" s="76"/>
    </row>
    <row r="178" spans="1:79" s="72" customFormat="1">
      <c r="A178" s="13" t="s">
        <v>466</v>
      </c>
      <c r="B178" s="387" t="s">
        <v>779</v>
      </c>
      <c r="C178" s="13" t="s">
        <v>846</v>
      </c>
      <c r="D178" s="387" t="s">
        <v>872</v>
      </c>
      <c r="E178" s="13" t="s">
        <v>118</v>
      </c>
      <c r="F178" s="13" t="s">
        <v>167</v>
      </c>
      <c r="G178" s="13" t="s">
        <v>873</v>
      </c>
      <c r="H178" s="13" t="s">
        <v>121</v>
      </c>
      <c r="I178" s="13" t="s">
        <v>147</v>
      </c>
      <c r="J178" s="13" t="s">
        <v>5</v>
      </c>
      <c r="K178" s="13" t="s">
        <v>123</v>
      </c>
      <c r="L178" s="13" t="s">
        <v>874</v>
      </c>
      <c r="M178" s="13" t="s">
        <v>125</v>
      </c>
      <c r="N178" s="13" t="s">
        <v>126</v>
      </c>
      <c r="O178" s="247">
        <v>0.47</v>
      </c>
      <c r="P178" s="13">
        <v>96</v>
      </c>
      <c r="Q178" s="13">
        <v>30</v>
      </c>
      <c r="R178" s="13" t="s">
        <v>127</v>
      </c>
      <c r="S178" s="430" t="str">
        <f t="shared" si="74"/>
        <v>N/A</v>
      </c>
      <c r="T178" s="247">
        <v>0.8</v>
      </c>
      <c r="U178" s="13">
        <v>171</v>
      </c>
      <c r="V178" s="13">
        <v>375</v>
      </c>
      <c r="W178" s="430">
        <f t="shared" si="72"/>
        <v>204</v>
      </c>
      <c r="X178" s="430">
        <f t="shared" si="73"/>
        <v>285</v>
      </c>
      <c r="Y178" s="13">
        <v>150</v>
      </c>
      <c r="Z178" s="13">
        <v>550</v>
      </c>
      <c r="AA178" s="430">
        <f t="shared" si="75"/>
        <v>400</v>
      </c>
      <c r="AB178" s="430">
        <f t="shared" si="76"/>
        <v>110</v>
      </c>
      <c r="AC178" s="430" t="str">
        <f t="shared" si="77"/>
        <v>N/A</v>
      </c>
      <c r="AD178" s="430">
        <f t="shared" si="78"/>
        <v>66</v>
      </c>
      <c r="AE178" s="431">
        <f t="shared" si="79"/>
        <v>1.1102000000000001</v>
      </c>
      <c r="AF178" s="431"/>
      <c r="AG178" s="431">
        <f t="shared" si="80"/>
        <v>1.0035687500000001</v>
      </c>
      <c r="AH178" s="431">
        <f t="shared" si="81"/>
        <v>1.063782875</v>
      </c>
      <c r="AI178" s="432">
        <f t="shared" si="82"/>
        <v>878.59944400000006</v>
      </c>
      <c r="AJ178" s="432">
        <f t="shared" si="83"/>
        <v>150.57260677342643</v>
      </c>
      <c r="AK178" s="432">
        <f t="shared" si="84"/>
        <v>164.63953038262309</v>
      </c>
      <c r="AL178" s="432">
        <f t="shared" si="85"/>
        <v>327.27962925226217</v>
      </c>
      <c r="AM178" s="250">
        <v>120</v>
      </c>
      <c r="AN178" s="432">
        <f t="shared" si="86"/>
        <v>115.2</v>
      </c>
      <c r="AO178" s="432">
        <f t="shared" si="87"/>
        <v>122.5477872</v>
      </c>
      <c r="AP178" s="432">
        <f t="shared" si="88"/>
        <v>408.49262400000003</v>
      </c>
      <c r="AQ178" s="255">
        <v>44927</v>
      </c>
      <c r="AR178" s="13" t="s">
        <v>545</v>
      </c>
      <c r="AS178" s="436" t="s">
        <v>875</v>
      </c>
      <c r="AT178" s="429" t="s">
        <v>876</v>
      </c>
      <c r="AU178" s="241"/>
      <c r="AV178" s="243"/>
      <c r="AW178" s="13" t="s">
        <v>127</v>
      </c>
      <c r="AX178" s="243"/>
      <c r="AY178" s="103">
        <f t="shared" ref="AY178:AY190" si="90">(V178/10)/P178</f>
        <v>0.390625</v>
      </c>
      <c r="BA178" s="13" t="str">
        <f>LEFT(G178,3)</f>
        <v>W22</v>
      </c>
      <c r="BB178" s="72" t="str">
        <f>IF(R178="n/a","Clear","S/B")</f>
        <v>Clear</v>
      </c>
      <c r="BC178" s="32">
        <f>IF(Q178="","",((P178/100*O178)+T178))</f>
        <v>1.2511999999999999</v>
      </c>
      <c r="BD178" s="241">
        <f>IF(BC178="","",((PI()*((51/2)^2-(16.545/2)^2)/(BC178/10))/100))</f>
        <v>146.08600274199824</v>
      </c>
      <c r="BE178" s="241">
        <f>IF(BC178="","",(BD178-AK178))</f>
        <v>-18.55352764062485</v>
      </c>
      <c r="BF178" s="71">
        <f>IF(BC178="","",(BE178/AK178))</f>
        <v>-0.11269181585677727</v>
      </c>
      <c r="BG178" s="241">
        <f>IF(BF178="","",((PI()*((70/2)^2-(16.545/2)^2)/(BC178/10))/100))</f>
        <v>290.39789353889188</v>
      </c>
      <c r="BH178" s="241">
        <f>IF(BF178="","",(BG178-AL178))</f>
        <v>-36.88173571337029</v>
      </c>
      <c r="BI178" s="71">
        <f>IF(BG178="","",(BH178/AL178))</f>
        <v>-0.11269181585677734</v>
      </c>
      <c r="BJ178" s="123"/>
      <c r="BK178" s="123"/>
      <c r="BL178" s="126"/>
      <c r="BM178" s="123"/>
      <c r="BN178" s="123"/>
      <c r="BO178" s="108"/>
      <c r="BP178" s="108"/>
      <c r="BQ178" s="124"/>
      <c r="BR178" s="159"/>
      <c r="BS178" s="71"/>
      <c r="BU178" s="78"/>
      <c r="BV178" s="32"/>
      <c r="BW178" s="127"/>
      <c r="BX178" s="78"/>
      <c r="BY178" s="78"/>
      <c r="BZ178" s="127"/>
      <c r="CA178" s="76"/>
    </row>
    <row r="179" spans="1:79" s="72" customFormat="1">
      <c r="A179" s="13" t="s">
        <v>466</v>
      </c>
      <c r="B179" s="387" t="s">
        <v>779</v>
      </c>
      <c r="C179" s="13" t="s">
        <v>846</v>
      </c>
      <c r="D179" s="387" t="s">
        <v>872</v>
      </c>
      <c r="E179" s="13" t="s">
        <v>118</v>
      </c>
      <c r="F179" s="13" t="s">
        <v>167</v>
      </c>
      <c r="G179" s="13" t="s">
        <v>877</v>
      </c>
      <c r="H179" s="13" t="s">
        <v>121</v>
      </c>
      <c r="I179" s="13" t="s">
        <v>147</v>
      </c>
      <c r="J179" s="13" t="s">
        <v>5</v>
      </c>
      <c r="K179" s="13" t="s">
        <v>123</v>
      </c>
      <c r="L179" s="13" t="s">
        <v>878</v>
      </c>
      <c r="M179" s="13" t="s">
        <v>125</v>
      </c>
      <c r="N179" s="13" t="s">
        <v>126</v>
      </c>
      <c r="O179" s="247">
        <v>0.47</v>
      </c>
      <c r="P179" s="13">
        <v>96</v>
      </c>
      <c r="Q179" s="13">
        <v>30</v>
      </c>
      <c r="R179" s="13" t="s">
        <v>127</v>
      </c>
      <c r="S179" s="430" t="str">
        <f t="shared" si="74"/>
        <v>N/A</v>
      </c>
      <c r="T179" s="247">
        <v>0.8</v>
      </c>
      <c r="U179" s="13">
        <v>150</v>
      </c>
      <c r="V179" s="13">
        <v>500</v>
      </c>
      <c r="W179" s="430">
        <f t="shared" si="72"/>
        <v>350</v>
      </c>
      <c r="X179" s="430">
        <f t="shared" si="73"/>
        <v>160</v>
      </c>
      <c r="Y179" s="13">
        <v>150</v>
      </c>
      <c r="Z179" s="13">
        <v>550</v>
      </c>
      <c r="AA179" s="430">
        <f t="shared" si="75"/>
        <v>400</v>
      </c>
      <c r="AB179" s="430">
        <f t="shared" si="76"/>
        <v>110</v>
      </c>
      <c r="AC179" s="430" t="str">
        <f t="shared" si="77"/>
        <v>N/A</v>
      </c>
      <c r="AD179" s="430">
        <f t="shared" si="78"/>
        <v>66</v>
      </c>
      <c r="AE179" s="431">
        <f t="shared" si="79"/>
        <v>1.1102000000000001</v>
      </c>
      <c r="AF179" s="431"/>
      <c r="AG179" s="431">
        <f t="shared" si="80"/>
        <v>1.0035687500000001</v>
      </c>
      <c r="AH179" s="431">
        <f t="shared" si="81"/>
        <v>1.063782875</v>
      </c>
      <c r="AI179" s="432">
        <f t="shared" si="82"/>
        <v>878.59944400000006</v>
      </c>
      <c r="AJ179" s="432">
        <f t="shared" si="83"/>
        <v>150.57260677342643</v>
      </c>
      <c r="AK179" s="432">
        <f t="shared" si="84"/>
        <v>164.63953038262309</v>
      </c>
      <c r="AL179" s="432">
        <f t="shared" si="85"/>
        <v>327.27962925226217</v>
      </c>
      <c r="AM179" s="250">
        <v>165</v>
      </c>
      <c r="AN179" s="432">
        <f t="shared" si="86"/>
        <v>158.4</v>
      </c>
      <c r="AO179" s="432">
        <f t="shared" si="87"/>
        <v>168.50320740000001</v>
      </c>
      <c r="AP179" s="432">
        <f t="shared" si="88"/>
        <v>561.67735800000003</v>
      </c>
      <c r="AQ179" s="255" t="s">
        <v>170</v>
      </c>
      <c r="AR179" s="13" t="s">
        <v>879</v>
      </c>
      <c r="AS179" s="434" t="s">
        <v>880</v>
      </c>
      <c r="AT179" s="429" t="s">
        <v>881</v>
      </c>
      <c r="AU179" s="241"/>
      <c r="AV179" s="243"/>
      <c r="AW179" s="13" t="s">
        <v>127</v>
      </c>
      <c r="AX179" s="243"/>
      <c r="AY179" s="103">
        <f t="shared" si="90"/>
        <v>0.52083333333333337</v>
      </c>
      <c r="BA179" s="13" t="str">
        <f>LEFT(G179,3)</f>
        <v>W22</v>
      </c>
      <c r="BB179" s="72" t="str">
        <f>IF(R179="n/a","Clear","S/B")</f>
        <v>Clear</v>
      </c>
      <c r="BC179" s="32"/>
      <c r="BD179" s="241"/>
      <c r="BE179" s="241"/>
      <c r="BF179" s="71"/>
      <c r="BG179" s="241"/>
      <c r="BH179" s="241"/>
      <c r="BI179" s="71"/>
      <c r="BJ179" s="123"/>
      <c r="BK179" s="123"/>
      <c r="BL179" s="126"/>
      <c r="BM179" s="123"/>
      <c r="BN179" s="123"/>
      <c r="BO179" s="123"/>
      <c r="BP179" s="108"/>
      <c r="BQ179" s="103"/>
      <c r="BR179" s="71"/>
      <c r="BS179" s="71"/>
      <c r="BT179" s="13">
        <f>P179-V179/10-120/10</f>
        <v>34</v>
      </c>
      <c r="BU179" s="79">
        <f>BT179-Q179</f>
        <v>4</v>
      </c>
      <c r="BV179" s="29">
        <f>T179+(O179/100*(P179-BT179))</f>
        <v>1.0913999999999999</v>
      </c>
      <c r="BW179" s="86">
        <f>(AE179-BV179)/AE179</f>
        <v>1.6933885786344936E-2</v>
      </c>
      <c r="BX179" s="79">
        <f>(PI()*((51/2)^2-(16.545/2)^2)/(BV179/10))/100</f>
        <v>167.47554208428457</v>
      </c>
      <c r="BY179" s="79">
        <f>BX179-AK179</f>
        <v>2.8360117016614765</v>
      </c>
      <c r="BZ179" s="86">
        <f>BY179/AK179</f>
        <v>1.722558182151377E-2</v>
      </c>
      <c r="CA179" s="76"/>
    </row>
    <row r="180" spans="1:79" s="72" customFormat="1">
      <c r="A180" s="13" t="s">
        <v>466</v>
      </c>
      <c r="B180" s="387" t="s">
        <v>779</v>
      </c>
      <c r="C180" s="13" t="s">
        <v>846</v>
      </c>
      <c r="D180" s="387" t="s">
        <v>872</v>
      </c>
      <c r="E180" s="13" t="s">
        <v>118</v>
      </c>
      <c r="F180" s="13" t="s">
        <v>167</v>
      </c>
      <c r="G180" s="13" t="s">
        <v>882</v>
      </c>
      <c r="H180" s="13" t="s">
        <v>121</v>
      </c>
      <c r="I180" s="13" t="s">
        <v>147</v>
      </c>
      <c r="J180" s="13" t="s">
        <v>5</v>
      </c>
      <c r="K180" s="13" t="s">
        <v>123</v>
      </c>
      <c r="L180" s="13" t="s">
        <v>883</v>
      </c>
      <c r="M180" s="13" t="s">
        <v>125</v>
      </c>
      <c r="N180" s="13" t="s">
        <v>126</v>
      </c>
      <c r="O180" s="247">
        <v>0.5</v>
      </c>
      <c r="P180" s="13">
        <v>96</v>
      </c>
      <c r="Q180" s="13">
        <v>25</v>
      </c>
      <c r="R180" s="13" t="s">
        <v>127</v>
      </c>
      <c r="S180" s="430" t="str">
        <f t="shared" si="74"/>
        <v>N/A</v>
      </c>
      <c r="T180" s="247">
        <v>0.8</v>
      </c>
      <c r="U180" s="13">
        <v>150</v>
      </c>
      <c r="V180" s="13">
        <v>550</v>
      </c>
      <c r="W180" s="430">
        <f t="shared" si="72"/>
        <v>400</v>
      </c>
      <c r="X180" s="430">
        <f t="shared" si="73"/>
        <v>160</v>
      </c>
      <c r="Y180" s="13">
        <v>150</v>
      </c>
      <c r="Z180" s="13">
        <v>550</v>
      </c>
      <c r="AA180" s="430">
        <f t="shared" si="75"/>
        <v>400</v>
      </c>
      <c r="AB180" s="430">
        <f t="shared" si="76"/>
        <v>160</v>
      </c>
      <c r="AC180" s="430" t="str">
        <f t="shared" si="77"/>
        <v>N/A</v>
      </c>
      <c r="AD180" s="430">
        <f t="shared" si="78"/>
        <v>71</v>
      </c>
      <c r="AE180" s="431">
        <f t="shared" si="79"/>
        <v>1.155</v>
      </c>
      <c r="AF180" s="431"/>
      <c r="AG180" s="431">
        <f t="shared" si="80"/>
        <v>1.0237239583333333</v>
      </c>
      <c r="AH180" s="431">
        <f t="shared" si="81"/>
        <v>1.0851473958333333</v>
      </c>
      <c r="AI180" s="432">
        <f t="shared" si="82"/>
        <v>880.5526000000001</v>
      </c>
      <c r="AJ180" s="432">
        <f t="shared" si="83"/>
        <v>144.73221475312383</v>
      </c>
      <c r="AK180" s="432">
        <f t="shared" si="84"/>
        <v>158.25351223444864</v>
      </c>
      <c r="AL180" s="432">
        <f t="shared" si="85"/>
        <v>314.58514666308349</v>
      </c>
      <c r="AM180" s="250">
        <v>158</v>
      </c>
      <c r="AN180" s="432">
        <f t="shared" si="86"/>
        <v>151.68</v>
      </c>
      <c r="AO180" s="432">
        <f t="shared" si="87"/>
        <v>164.595157</v>
      </c>
      <c r="AP180" s="432">
        <f t="shared" si="88"/>
        <v>658.380628</v>
      </c>
      <c r="AQ180" s="255">
        <v>45047</v>
      </c>
      <c r="AR180" s="13" t="s">
        <v>884</v>
      </c>
      <c r="AS180" s="436" t="s">
        <v>885</v>
      </c>
      <c r="AT180" s="429"/>
      <c r="AU180" s="241"/>
      <c r="AV180" s="243"/>
      <c r="AW180" s="72" t="s">
        <v>127</v>
      </c>
      <c r="AX180" s="243"/>
      <c r="AY180" s="103">
        <f t="shared" si="90"/>
        <v>0.57291666666666663</v>
      </c>
      <c r="BA180" s="72" t="str">
        <f>LEFT(G180,3)</f>
        <v>W22</v>
      </c>
      <c r="BC180" s="32"/>
      <c r="BD180" s="241"/>
      <c r="BE180" s="241"/>
      <c r="BF180" s="71"/>
      <c r="BG180" s="241"/>
      <c r="BH180" s="241"/>
      <c r="BI180" s="71"/>
      <c r="BJ180" s="123"/>
      <c r="BK180" s="123"/>
      <c r="BL180" s="126"/>
      <c r="BM180" s="123"/>
      <c r="BN180" s="123"/>
      <c r="BO180" s="108"/>
      <c r="BP180" s="108"/>
      <c r="BQ180" s="166">
        <v>94355</v>
      </c>
      <c r="BR180" s="140">
        <v>692</v>
      </c>
      <c r="BS180" s="106"/>
      <c r="BT180" s="262"/>
      <c r="BU180" s="269"/>
      <c r="BV180" s="263"/>
      <c r="BW180" s="132"/>
      <c r="BX180" s="269"/>
      <c r="BY180" s="269"/>
      <c r="BZ180" s="132"/>
      <c r="CA180" s="271"/>
    </row>
    <row r="181" spans="1:79" s="72" customFormat="1">
      <c r="A181" s="13" t="s">
        <v>466</v>
      </c>
      <c r="B181" s="387" t="s">
        <v>779</v>
      </c>
      <c r="C181" s="13" t="s">
        <v>846</v>
      </c>
      <c r="D181" s="387" t="s">
        <v>872</v>
      </c>
      <c r="E181" s="13" t="s">
        <v>118</v>
      </c>
      <c r="F181" s="387" t="s">
        <v>186</v>
      </c>
      <c r="G181" s="13" t="s">
        <v>886</v>
      </c>
      <c r="H181" s="13" t="s">
        <v>121</v>
      </c>
      <c r="I181" s="13" t="s">
        <v>147</v>
      </c>
      <c r="J181" s="13" t="s">
        <v>5</v>
      </c>
      <c r="K181" s="13" t="s">
        <v>123</v>
      </c>
      <c r="L181" s="13" t="s">
        <v>887</v>
      </c>
      <c r="M181" s="13" t="s">
        <v>125</v>
      </c>
      <c r="N181" s="13" t="s">
        <v>126</v>
      </c>
      <c r="O181" s="247">
        <v>0.52</v>
      </c>
      <c r="P181" s="13">
        <v>96</v>
      </c>
      <c r="Q181" s="13">
        <v>25</v>
      </c>
      <c r="R181" s="13" t="s">
        <v>127</v>
      </c>
      <c r="S181" s="430" t="str">
        <f t="shared" si="74"/>
        <v>N/A</v>
      </c>
      <c r="T181" s="247">
        <v>0.8</v>
      </c>
      <c r="U181" s="13">
        <v>140</v>
      </c>
      <c r="V181" s="13">
        <v>540</v>
      </c>
      <c r="W181" s="430">
        <f t="shared" si="72"/>
        <v>400</v>
      </c>
      <c r="X181" s="430">
        <f t="shared" si="73"/>
        <v>170</v>
      </c>
      <c r="Y181" s="13">
        <v>140</v>
      </c>
      <c r="Z181" s="13">
        <v>540</v>
      </c>
      <c r="AA181" s="430">
        <f t="shared" si="75"/>
        <v>400</v>
      </c>
      <c r="AB181" s="430">
        <f t="shared" si="76"/>
        <v>170</v>
      </c>
      <c r="AC181" s="430" t="str">
        <f t="shared" si="77"/>
        <v>N/A</v>
      </c>
      <c r="AD181" s="430">
        <f t="shared" si="78"/>
        <v>71</v>
      </c>
      <c r="AE181" s="431">
        <f t="shared" si="79"/>
        <v>1.1692</v>
      </c>
      <c r="AF181" s="431"/>
      <c r="AG181" s="431">
        <f t="shared" si="80"/>
        <v>1.0326729166666666</v>
      </c>
      <c r="AH181" s="431">
        <f t="shared" si="81"/>
        <v>1.0946332916666666</v>
      </c>
      <c r="AI181" s="432">
        <f t="shared" si="82"/>
        <v>881.85470400000008</v>
      </c>
      <c r="AJ181" s="432">
        <f t="shared" si="83"/>
        <v>142.97443383497949</v>
      </c>
      <c r="AK181" s="432">
        <f t="shared" si="84"/>
        <v>156.33151439513188</v>
      </c>
      <c r="AL181" s="432">
        <f t="shared" si="85"/>
        <v>310.76449229888937</v>
      </c>
      <c r="AM181" s="250" t="s">
        <v>888</v>
      </c>
      <c r="AN181" s="432" t="e">
        <f t="shared" si="86"/>
        <v>#VALUE!</v>
      </c>
      <c r="AO181" s="432" t="e">
        <f t="shared" si="87"/>
        <v>#VALUE!</v>
      </c>
      <c r="AP181" s="432" t="e">
        <f t="shared" si="88"/>
        <v>#VALUE!</v>
      </c>
      <c r="AQ181" s="255">
        <v>45352</v>
      </c>
      <c r="AR181" s="13" t="s">
        <v>889</v>
      </c>
      <c r="AS181" s="434" t="s">
        <v>890</v>
      </c>
      <c r="AT181" s="429" t="s">
        <v>891</v>
      </c>
      <c r="AU181" s="253"/>
      <c r="AV181" s="268"/>
      <c r="AW181" s="38"/>
      <c r="AX181" s="268"/>
      <c r="AY181" s="103">
        <f t="shared" si="90"/>
        <v>0.5625</v>
      </c>
      <c r="AZ181" s="77"/>
      <c r="BA181" s="13"/>
      <c r="BB181" s="77"/>
      <c r="BC181" s="264"/>
      <c r="BD181" s="253"/>
      <c r="BE181" s="253"/>
      <c r="BF181" s="100"/>
      <c r="BG181" s="253"/>
      <c r="BH181" s="253"/>
      <c r="BI181" s="100"/>
      <c r="BJ181" s="162"/>
      <c r="BK181" s="162"/>
      <c r="BL181" s="168"/>
      <c r="BM181" s="162"/>
      <c r="BN181" s="162"/>
      <c r="BO181" s="130"/>
      <c r="BP181" s="130"/>
      <c r="BQ181" s="130"/>
      <c r="BR181" s="100"/>
      <c r="BS181" s="100"/>
      <c r="BT181" s="77"/>
      <c r="BU181" s="282"/>
      <c r="BV181" s="264"/>
      <c r="BW181" s="169"/>
      <c r="BX181" s="282"/>
      <c r="BY181" s="282"/>
      <c r="BZ181" s="169"/>
      <c r="CA181" s="271"/>
    </row>
    <row r="182" spans="1:79" s="77" customFormat="1">
      <c r="A182" s="13" t="s">
        <v>466</v>
      </c>
      <c r="B182" s="387" t="s">
        <v>779</v>
      </c>
      <c r="C182" s="13" t="s">
        <v>846</v>
      </c>
      <c r="D182" s="387" t="s">
        <v>872</v>
      </c>
      <c r="E182" s="13" t="s">
        <v>118</v>
      </c>
      <c r="F182" s="387" t="s">
        <v>167</v>
      </c>
      <c r="G182" s="13" t="s">
        <v>892</v>
      </c>
      <c r="H182" s="13" t="s">
        <v>121</v>
      </c>
      <c r="I182" s="13" t="s">
        <v>147</v>
      </c>
      <c r="J182" s="13" t="s">
        <v>5</v>
      </c>
      <c r="K182" s="13" t="s">
        <v>123</v>
      </c>
      <c r="L182" s="13" t="s">
        <v>893</v>
      </c>
      <c r="M182" s="13" t="s">
        <v>125</v>
      </c>
      <c r="N182" s="13" t="s">
        <v>126</v>
      </c>
      <c r="O182" s="247">
        <v>0.52</v>
      </c>
      <c r="P182" s="13">
        <v>96</v>
      </c>
      <c r="Q182" s="13">
        <v>30</v>
      </c>
      <c r="R182" s="13" t="s">
        <v>127</v>
      </c>
      <c r="S182" s="430" t="str">
        <f t="shared" si="74"/>
        <v>N/A</v>
      </c>
      <c r="T182" s="247">
        <v>0.8</v>
      </c>
      <c r="U182" s="13">
        <v>140</v>
      </c>
      <c r="V182" s="13">
        <v>540</v>
      </c>
      <c r="W182" s="430">
        <f t="shared" si="72"/>
        <v>400</v>
      </c>
      <c r="X182" s="430">
        <f t="shared" si="73"/>
        <v>120</v>
      </c>
      <c r="Y182" s="13">
        <v>140</v>
      </c>
      <c r="Z182" s="13">
        <v>540</v>
      </c>
      <c r="AA182" s="430">
        <f t="shared" si="75"/>
        <v>400</v>
      </c>
      <c r="AB182" s="430">
        <f t="shared" si="76"/>
        <v>120</v>
      </c>
      <c r="AC182" s="430" t="str">
        <f t="shared" si="77"/>
        <v>N/A</v>
      </c>
      <c r="AD182" s="430">
        <f t="shared" si="78"/>
        <v>66</v>
      </c>
      <c r="AE182" s="431">
        <f t="shared" si="79"/>
        <v>1.1432</v>
      </c>
      <c r="AF182" s="431"/>
      <c r="AG182" s="431">
        <f t="shared" si="80"/>
        <v>1.0252250000000001</v>
      </c>
      <c r="AH182" s="431">
        <f t="shared" si="81"/>
        <v>1.0867385000000001</v>
      </c>
      <c r="AI182" s="432">
        <f t="shared" si="82"/>
        <v>881.85470400000008</v>
      </c>
      <c r="AJ182" s="432">
        <f t="shared" si="83"/>
        <v>146.22612669686671</v>
      </c>
      <c r="AK182" s="432">
        <f t="shared" si="84"/>
        <v>159.88698970502813</v>
      </c>
      <c r="AL182" s="432">
        <f t="shared" si="85"/>
        <v>317.83226416712864</v>
      </c>
      <c r="AM182" s="250">
        <v>160</v>
      </c>
      <c r="AN182" s="432">
        <f t="shared" si="86"/>
        <v>153.6</v>
      </c>
      <c r="AO182" s="432">
        <f t="shared" si="87"/>
        <v>166.9230336</v>
      </c>
      <c r="AP182" s="432">
        <f t="shared" si="88"/>
        <v>556.41011200000003</v>
      </c>
      <c r="AQ182" s="255">
        <v>45231</v>
      </c>
      <c r="AR182" s="13" t="s">
        <v>850</v>
      </c>
      <c r="AS182" s="434" t="s">
        <v>894</v>
      </c>
      <c r="AT182" s="429"/>
      <c r="AU182" s="241"/>
      <c r="AV182" s="243"/>
      <c r="AW182" s="72" t="s">
        <v>127</v>
      </c>
      <c r="AX182" s="243"/>
      <c r="AY182" s="71">
        <f t="shared" si="90"/>
        <v>0.5625</v>
      </c>
      <c r="AZ182" s="72"/>
      <c r="BA182" s="72" t="str">
        <f t="shared" ref="BA182:BA190" si="91">LEFT(G182,3)</f>
        <v>W22</v>
      </c>
      <c r="BB182" s="72" t="str">
        <f>IF(R182="n/a","Clear","S/B")</f>
        <v>Clear</v>
      </c>
      <c r="BC182" s="32"/>
      <c r="BD182" s="241"/>
      <c r="BE182" s="241"/>
      <c r="BF182" s="71"/>
      <c r="BG182" s="241"/>
      <c r="BH182" s="241"/>
      <c r="BI182" s="71"/>
      <c r="BJ182" s="123"/>
      <c r="BK182" s="123"/>
      <c r="BL182" s="126"/>
      <c r="BM182" s="123"/>
      <c r="BN182" s="123"/>
      <c r="BO182" s="108"/>
      <c r="BP182" s="108"/>
      <c r="BQ182" s="71"/>
      <c r="BR182" s="71"/>
      <c r="BS182" s="71"/>
      <c r="BT182" s="72"/>
      <c r="BU182" s="72"/>
      <c r="BV182" s="72"/>
      <c r="BW182" s="72"/>
      <c r="BX182" s="72"/>
      <c r="BY182" s="72"/>
      <c r="BZ182" s="72"/>
      <c r="CA182" s="72"/>
    </row>
    <row r="183" spans="1:79" s="77" customFormat="1">
      <c r="A183" s="13" t="s">
        <v>466</v>
      </c>
      <c r="B183" s="13" t="s">
        <v>779</v>
      </c>
      <c r="C183" s="13" t="s">
        <v>895</v>
      </c>
      <c r="D183" s="387" t="s">
        <v>896</v>
      </c>
      <c r="E183" s="13" t="s">
        <v>118</v>
      </c>
      <c r="F183" s="13" t="s">
        <v>119</v>
      </c>
      <c r="G183" s="13" t="s">
        <v>897</v>
      </c>
      <c r="H183" s="13" t="s">
        <v>121</v>
      </c>
      <c r="I183" s="13" t="s">
        <v>147</v>
      </c>
      <c r="J183" s="13" t="s">
        <v>5</v>
      </c>
      <c r="K183" s="13" t="s">
        <v>123</v>
      </c>
      <c r="L183" s="13" t="s">
        <v>898</v>
      </c>
      <c r="M183" s="13" t="s">
        <v>125</v>
      </c>
      <c r="N183" s="13" t="s">
        <v>126</v>
      </c>
      <c r="O183" s="247">
        <v>0.28999999999999998</v>
      </c>
      <c r="P183" s="13">
        <v>110</v>
      </c>
      <c r="Q183" s="13">
        <v>30</v>
      </c>
      <c r="R183" s="13" t="s">
        <v>127</v>
      </c>
      <c r="S183" s="430" t="str">
        <f t="shared" si="74"/>
        <v>N/A</v>
      </c>
      <c r="T183" s="247">
        <v>0.8</v>
      </c>
      <c r="U183" s="13">
        <v>200</v>
      </c>
      <c r="V183" s="13">
        <v>600</v>
      </c>
      <c r="W183" s="430">
        <f t="shared" si="72"/>
        <v>400</v>
      </c>
      <c r="X183" s="430">
        <f t="shared" si="73"/>
        <v>200</v>
      </c>
      <c r="Y183" s="13">
        <v>200</v>
      </c>
      <c r="Z183" s="13">
        <v>600</v>
      </c>
      <c r="AA183" s="430">
        <f t="shared" si="75"/>
        <v>400</v>
      </c>
      <c r="AB183" s="430">
        <f t="shared" si="76"/>
        <v>200</v>
      </c>
      <c r="AC183" s="430" t="str">
        <f t="shared" si="77"/>
        <v>N/A</v>
      </c>
      <c r="AD183" s="430">
        <f t="shared" si="78"/>
        <v>80</v>
      </c>
      <c r="AE183" s="431">
        <f t="shared" si="79"/>
        <v>1.032</v>
      </c>
      <c r="AF183" s="431"/>
      <c r="AG183" s="431">
        <f t="shared" si="80"/>
        <v>0.94763636363636372</v>
      </c>
      <c r="AH183" s="431">
        <f t="shared" si="81"/>
        <v>1.0044945454545455</v>
      </c>
      <c r="AI183" s="432">
        <f t="shared" si="82"/>
        <v>866.88050800000008</v>
      </c>
      <c r="AJ183" s="432">
        <f t="shared" si="83"/>
        <v>161.98227523242059</v>
      </c>
      <c r="AK183" s="432">
        <f t="shared" si="84"/>
        <v>177.11512270425209</v>
      </c>
      <c r="AL183" s="432">
        <f t="shared" si="85"/>
        <v>352.07930658513709</v>
      </c>
      <c r="AM183" s="250">
        <v>177</v>
      </c>
      <c r="AN183" s="432">
        <f t="shared" si="86"/>
        <v>194.7</v>
      </c>
      <c r="AO183" s="432">
        <f t="shared" si="87"/>
        <v>195.57508799999999</v>
      </c>
      <c r="AP183" s="432">
        <f t="shared" si="88"/>
        <v>651.91696000000002</v>
      </c>
      <c r="AQ183" s="255">
        <v>45352</v>
      </c>
      <c r="AR183" s="13" t="s">
        <v>899</v>
      </c>
      <c r="AS183" s="429" t="s">
        <v>900</v>
      </c>
      <c r="AT183" s="429" t="s">
        <v>901</v>
      </c>
      <c r="AU183" s="252"/>
      <c r="AV183" s="260"/>
      <c r="AW183" s="72" t="s">
        <v>127</v>
      </c>
      <c r="AX183" s="243"/>
      <c r="AY183" s="103">
        <f t="shared" si="90"/>
        <v>0.54545454545454541</v>
      </c>
      <c r="AZ183" s="72"/>
      <c r="BA183" s="13" t="str">
        <f t="shared" si="91"/>
        <v>W22</v>
      </c>
      <c r="BB183" s="72" t="str">
        <f>IF(R183="n/a","Clear","S/B")</f>
        <v>Clear</v>
      </c>
      <c r="BC183" s="32"/>
      <c r="BD183" s="241"/>
      <c r="BE183" s="241"/>
      <c r="BF183" s="71"/>
      <c r="BG183" s="241"/>
      <c r="BH183" s="241"/>
      <c r="BI183" s="71"/>
      <c r="BJ183" s="114"/>
      <c r="BK183" s="111"/>
      <c r="BL183" s="112"/>
      <c r="BM183" s="111"/>
      <c r="BN183" s="123"/>
      <c r="BO183" s="83"/>
      <c r="BP183" s="88"/>
      <c r="BQ183" s="115"/>
      <c r="BR183" s="113"/>
      <c r="BS183" s="80"/>
      <c r="BT183" s="22"/>
      <c r="BU183" s="87"/>
      <c r="BV183" s="73"/>
      <c r="BW183" s="109"/>
      <c r="BX183" s="87"/>
      <c r="BY183" s="87"/>
      <c r="BZ183" s="109"/>
      <c r="CA183" s="76"/>
    </row>
    <row r="184" spans="1:79" s="22" customFormat="1">
      <c r="A184" s="13" t="s">
        <v>466</v>
      </c>
      <c r="B184" s="387" t="s">
        <v>779</v>
      </c>
      <c r="C184" s="13" t="s">
        <v>895</v>
      </c>
      <c r="D184" s="387" t="s">
        <v>902</v>
      </c>
      <c r="E184" s="13" t="s">
        <v>118</v>
      </c>
      <c r="F184" s="13" t="s">
        <v>186</v>
      </c>
      <c r="G184" s="13" t="s">
        <v>903</v>
      </c>
      <c r="H184" s="13" t="s">
        <v>389</v>
      </c>
      <c r="I184" s="13" t="s">
        <v>139</v>
      </c>
      <c r="J184" s="13" t="s">
        <v>5</v>
      </c>
      <c r="K184" s="13" t="s">
        <v>140</v>
      </c>
      <c r="L184" s="13" t="s">
        <v>904</v>
      </c>
      <c r="M184" s="13"/>
      <c r="N184" s="13" t="s">
        <v>142</v>
      </c>
      <c r="O184" s="247">
        <v>0.48</v>
      </c>
      <c r="P184" s="13">
        <v>106</v>
      </c>
      <c r="Q184" s="13">
        <v>30</v>
      </c>
      <c r="R184" s="13" t="s">
        <v>127</v>
      </c>
      <c r="S184" s="430" t="str">
        <f t="shared" si="74"/>
        <v>N/A</v>
      </c>
      <c r="T184" s="247">
        <v>0.76</v>
      </c>
      <c r="U184" s="13">
        <v>200</v>
      </c>
      <c r="V184" s="13">
        <v>600</v>
      </c>
      <c r="W184" s="430">
        <f t="shared" si="72"/>
        <v>400</v>
      </c>
      <c r="X184" s="430">
        <f t="shared" si="73"/>
        <v>160</v>
      </c>
      <c r="Y184" s="13">
        <v>150</v>
      </c>
      <c r="Z184" s="13">
        <v>600</v>
      </c>
      <c r="AA184" s="430">
        <f t="shared" si="75"/>
        <v>450</v>
      </c>
      <c r="AB184" s="430">
        <f t="shared" si="76"/>
        <v>160</v>
      </c>
      <c r="AC184" s="430" t="str">
        <f t="shared" si="77"/>
        <v>N/A</v>
      </c>
      <c r="AD184" s="430">
        <f t="shared" si="78"/>
        <v>76</v>
      </c>
      <c r="AE184" s="431">
        <f t="shared" si="79"/>
        <v>1.1248</v>
      </c>
      <c r="AF184" s="431"/>
      <c r="AG184" s="431">
        <f t="shared" si="80"/>
        <v>0.99402264150943398</v>
      </c>
      <c r="AH184" s="431">
        <f t="shared" si="81"/>
        <v>1.0586341132075472</v>
      </c>
      <c r="AI184" s="432">
        <f t="shared" si="82"/>
        <v>840.79790400000002</v>
      </c>
      <c r="AJ184" s="432">
        <f t="shared" si="83"/>
        <v>148.61816148636026</v>
      </c>
      <c r="AK184" s="432">
        <f t="shared" si="84"/>
        <v>162.50249522651865</v>
      </c>
      <c r="AL184" s="432">
        <f t="shared" si="85"/>
        <v>323.0315117317403</v>
      </c>
      <c r="AM184" s="250">
        <v>163</v>
      </c>
      <c r="AN184" s="432">
        <f t="shared" si="86"/>
        <v>172.78</v>
      </c>
      <c r="AO184" s="432">
        <f t="shared" si="87"/>
        <v>182.91080208</v>
      </c>
      <c r="AP184" s="432">
        <f t="shared" si="88"/>
        <v>609.70267360000003</v>
      </c>
      <c r="AQ184" s="255" t="s">
        <v>132</v>
      </c>
      <c r="AR184" s="13" t="s">
        <v>905</v>
      </c>
      <c r="AS184" s="434" t="s">
        <v>906</v>
      </c>
      <c r="AT184" s="429"/>
      <c r="AU184" s="241"/>
      <c r="AV184" s="243"/>
      <c r="AW184" s="13" t="s">
        <v>127</v>
      </c>
      <c r="AX184" s="260"/>
      <c r="AY184" s="103">
        <f t="shared" si="90"/>
        <v>0.56603773584905659</v>
      </c>
      <c r="BA184" s="13" t="str">
        <f t="shared" si="91"/>
        <v>W50</v>
      </c>
      <c r="BB184" s="72" t="str">
        <f>IF(R184="n/a","Clear","S/B")</f>
        <v>Clear</v>
      </c>
      <c r="BC184" s="32"/>
      <c r="BD184" s="241"/>
      <c r="BE184" s="241"/>
      <c r="BF184" s="71"/>
      <c r="BG184" s="241"/>
      <c r="BH184" s="241"/>
      <c r="BI184" s="71"/>
      <c r="BJ184" s="123"/>
      <c r="BK184" s="108"/>
      <c r="BL184" s="126"/>
      <c r="BM184" s="108"/>
      <c r="BN184" s="71"/>
      <c r="BO184" s="108"/>
      <c r="BP184" s="108"/>
      <c r="BQ184" s="83"/>
      <c r="BR184" s="71"/>
      <c r="BS184" s="71"/>
      <c r="BT184" s="13">
        <f>P184-V184/10-120/10</f>
        <v>34</v>
      </c>
      <c r="BU184" s="79">
        <f>BT184-Q184</f>
        <v>4</v>
      </c>
      <c r="BV184" s="29">
        <f>T184+(O184/100*(P184-BT184))</f>
        <v>1.1055999999999999</v>
      </c>
      <c r="BW184" s="86">
        <f>(AE184-BV184)/AE184</f>
        <v>1.7069701280227691E-2</v>
      </c>
      <c r="BX184" s="79">
        <f>(PI()*((51/2)^2-(16.545/2)^2)/(BV184/10))/100</f>
        <v>165.32453566460583</v>
      </c>
      <c r="BY184" s="79">
        <f>BX184-AK184</f>
        <v>2.8220404380871855</v>
      </c>
      <c r="BZ184" s="86">
        <f>BY184/AK184</f>
        <v>1.7366136034732464E-2</v>
      </c>
      <c r="CA184" s="76"/>
    </row>
    <row r="185" spans="1:79" s="77" customFormat="1">
      <c r="A185" s="13" t="s">
        <v>466</v>
      </c>
      <c r="B185" s="387" t="s">
        <v>779</v>
      </c>
      <c r="C185" s="13" t="s">
        <v>895</v>
      </c>
      <c r="D185" s="387" t="s">
        <v>902</v>
      </c>
      <c r="E185" s="13" t="s">
        <v>118</v>
      </c>
      <c r="F185" s="13" t="s">
        <v>167</v>
      </c>
      <c r="G185" s="13" t="s">
        <v>907</v>
      </c>
      <c r="H185" s="13" t="s">
        <v>121</v>
      </c>
      <c r="I185" s="13" t="s">
        <v>147</v>
      </c>
      <c r="J185" s="13" t="s">
        <v>5</v>
      </c>
      <c r="K185" s="13" t="s">
        <v>123</v>
      </c>
      <c r="L185" s="13" t="s">
        <v>908</v>
      </c>
      <c r="M185" s="13" t="s">
        <v>125</v>
      </c>
      <c r="N185" s="13" t="s">
        <v>126</v>
      </c>
      <c r="O185" s="247">
        <v>0.48</v>
      </c>
      <c r="P185" s="13">
        <v>106</v>
      </c>
      <c r="Q185" s="13">
        <v>30</v>
      </c>
      <c r="R185" s="13" t="s">
        <v>127</v>
      </c>
      <c r="S185" s="430" t="str">
        <f t="shared" si="74"/>
        <v>N/A</v>
      </c>
      <c r="T185" s="247">
        <v>0.8</v>
      </c>
      <c r="U185" s="13">
        <v>267</v>
      </c>
      <c r="V185" s="13">
        <v>459</v>
      </c>
      <c r="W185" s="430">
        <f t="shared" si="72"/>
        <v>192</v>
      </c>
      <c r="X185" s="430">
        <f t="shared" si="73"/>
        <v>301</v>
      </c>
      <c r="Y185" s="13">
        <v>200</v>
      </c>
      <c r="Z185" s="13">
        <v>600</v>
      </c>
      <c r="AA185" s="430">
        <f t="shared" si="75"/>
        <v>400</v>
      </c>
      <c r="AB185" s="430">
        <f t="shared" si="76"/>
        <v>160</v>
      </c>
      <c r="AC185" s="430" t="str">
        <f t="shared" si="77"/>
        <v>N/A</v>
      </c>
      <c r="AD185" s="430">
        <f t="shared" si="78"/>
        <v>76</v>
      </c>
      <c r="AE185" s="431">
        <f t="shared" si="79"/>
        <v>1.1648000000000001</v>
      </c>
      <c r="AF185" s="431"/>
      <c r="AG185" s="431">
        <f t="shared" si="80"/>
        <v>1.034022641509434</v>
      </c>
      <c r="AH185" s="431">
        <f t="shared" si="81"/>
        <v>1.0960640000000001</v>
      </c>
      <c r="AI185" s="432">
        <f t="shared" si="82"/>
        <v>879.250496</v>
      </c>
      <c r="AJ185" s="432">
        <f t="shared" si="83"/>
        <v>143.51451583092208</v>
      </c>
      <c r="AK185" s="432">
        <f t="shared" si="84"/>
        <v>156.92205239593764</v>
      </c>
      <c r="AL185" s="432">
        <f t="shared" si="85"/>
        <v>311.9383966310624</v>
      </c>
      <c r="AM185" s="250">
        <v>120</v>
      </c>
      <c r="AN185" s="432">
        <f t="shared" si="86"/>
        <v>127.2</v>
      </c>
      <c r="AO185" s="432">
        <f t="shared" si="87"/>
        <v>139.41934080000001</v>
      </c>
      <c r="AP185" s="432">
        <f t="shared" si="88"/>
        <v>464.73113600000005</v>
      </c>
      <c r="AQ185" s="255" t="s">
        <v>170</v>
      </c>
      <c r="AR185" s="13" t="s">
        <v>545</v>
      </c>
      <c r="AS185" s="434" t="s">
        <v>909</v>
      </c>
      <c r="AT185" s="429" t="s">
        <v>910</v>
      </c>
      <c r="AU185" s="241"/>
      <c r="AV185" s="243"/>
      <c r="AW185" s="13" t="s">
        <v>127</v>
      </c>
      <c r="AX185" s="260"/>
      <c r="AY185" s="103">
        <f t="shared" si="90"/>
        <v>0.43301886792452826</v>
      </c>
      <c r="AZ185" s="22"/>
      <c r="BA185" s="13" t="str">
        <f t="shared" si="91"/>
        <v>W22</v>
      </c>
      <c r="BB185" s="72" t="str">
        <f>IF(R185="n/a","Clear","S/B")</f>
        <v>Clear</v>
      </c>
      <c r="BC185" s="32">
        <f>IF(Q185="","",((P185/100*O185)+T185))</f>
        <v>1.3088000000000002</v>
      </c>
      <c r="BD185" s="241">
        <f>IF(BC185="","",((PI()*((51/2)^2-(16.545/2)^2)/(BC185/10))/100))</f>
        <v>139.65678990738704</v>
      </c>
      <c r="BE185" s="241">
        <f>IF(BC185="","",(BD185-AK185))</f>
        <v>-17.265262488550604</v>
      </c>
      <c r="BF185" s="71">
        <f>IF(BC185="","",(BE185/AK185))</f>
        <v>-0.11002444987775066</v>
      </c>
      <c r="BG185" s="241">
        <f>IF(BF185="","",((PI()*((70/2)^2-(16.545/2)^2)/(BC185/10))/100))</f>
        <v>277.61754614598215</v>
      </c>
      <c r="BH185" s="241">
        <f>IF(BF185="","",(BG185-AL185))</f>
        <v>-34.320850485080257</v>
      </c>
      <c r="BI185" s="71">
        <f>IF(BG185="","",(BH185/AL185))</f>
        <v>-0.11002444987775074</v>
      </c>
      <c r="BJ185" s="123"/>
      <c r="BK185" s="108"/>
      <c r="BL185" s="126"/>
      <c r="BM185" s="108"/>
      <c r="BN185" s="71"/>
      <c r="BO185" s="108"/>
      <c r="BP185" s="108"/>
      <c r="BQ185" s="144"/>
      <c r="BR185" s="144"/>
      <c r="BS185" s="106"/>
      <c r="BT185" s="262"/>
      <c r="BU185" s="269"/>
      <c r="BV185" s="263"/>
      <c r="BW185" s="132"/>
      <c r="BX185" s="269"/>
      <c r="BY185" s="269"/>
      <c r="BZ185" s="132"/>
      <c r="CA185" s="295"/>
    </row>
    <row r="186" spans="1:79" s="22" customFormat="1">
      <c r="A186" s="13" t="s">
        <v>466</v>
      </c>
      <c r="B186" s="387" t="s">
        <v>779</v>
      </c>
      <c r="C186" s="13" t="s">
        <v>895</v>
      </c>
      <c r="D186" s="13" t="s">
        <v>911</v>
      </c>
      <c r="E186" s="13" t="s">
        <v>118</v>
      </c>
      <c r="F186" s="13" t="s">
        <v>186</v>
      </c>
      <c r="G186" s="13" t="s">
        <v>912</v>
      </c>
      <c r="H186" s="13" t="s">
        <v>121</v>
      </c>
      <c r="I186" s="13" t="s">
        <v>147</v>
      </c>
      <c r="J186" s="13" t="s">
        <v>5</v>
      </c>
      <c r="K186" s="13" t="s">
        <v>123</v>
      </c>
      <c r="L186" s="13" t="s">
        <v>913</v>
      </c>
      <c r="M186" s="13" t="s">
        <v>125</v>
      </c>
      <c r="N186" s="13" t="s">
        <v>126</v>
      </c>
      <c r="O186" s="247">
        <v>0.49</v>
      </c>
      <c r="P186" s="13">
        <v>102</v>
      </c>
      <c r="Q186" s="13">
        <v>30</v>
      </c>
      <c r="R186" s="13" t="s">
        <v>127</v>
      </c>
      <c r="S186" s="430" t="str">
        <f t="shared" si="74"/>
        <v>N/A</v>
      </c>
      <c r="T186" s="247">
        <v>0.8</v>
      </c>
      <c r="U186" s="13">
        <v>150</v>
      </c>
      <c r="V186" s="13">
        <v>550</v>
      </c>
      <c r="W186" s="430">
        <f t="shared" si="72"/>
        <v>400</v>
      </c>
      <c r="X186" s="430">
        <f t="shared" si="73"/>
        <v>170</v>
      </c>
      <c r="Y186" s="13">
        <v>150</v>
      </c>
      <c r="Z186" s="13">
        <v>550</v>
      </c>
      <c r="AA186" s="430">
        <f t="shared" si="75"/>
        <v>400</v>
      </c>
      <c r="AB186" s="430">
        <f t="shared" si="76"/>
        <v>170</v>
      </c>
      <c r="AC186" s="430" t="str">
        <f t="shared" si="77"/>
        <v>N/A</v>
      </c>
      <c r="AD186" s="430">
        <f t="shared" si="78"/>
        <v>72</v>
      </c>
      <c r="AE186" s="431">
        <f t="shared" si="79"/>
        <v>1.1528</v>
      </c>
      <c r="AF186" s="431"/>
      <c r="AG186" s="431">
        <f t="shared" si="80"/>
        <v>1.0282823529411766</v>
      </c>
      <c r="AH186" s="431">
        <f t="shared" si="81"/>
        <v>1.0899792941176472</v>
      </c>
      <c r="AI186" s="432">
        <f t="shared" si="82"/>
        <v>879.90154800000005</v>
      </c>
      <c r="AJ186" s="432">
        <f t="shared" si="83"/>
        <v>145.00842126982826</v>
      </c>
      <c r="AK186" s="432">
        <f t="shared" si="84"/>
        <v>158.55552275398003</v>
      </c>
      <c r="AL186" s="432">
        <f t="shared" si="85"/>
        <v>315.18549999640999</v>
      </c>
      <c r="AM186" s="250">
        <v>159</v>
      </c>
      <c r="AN186" s="432">
        <f t="shared" si="86"/>
        <v>162.18</v>
      </c>
      <c r="AO186" s="432">
        <f t="shared" si="87"/>
        <v>176.77284192000002</v>
      </c>
      <c r="AP186" s="432">
        <f t="shared" si="88"/>
        <v>589.24280640000006</v>
      </c>
      <c r="AQ186" s="255">
        <v>45231</v>
      </c>
      <c r="AR186" s="13" t="s">
        <v>914</v>
      </c>
      <c r="AS186" s="434" t="s">
        <v>915</v>
      </c>
      <c r="AT186" s="429"/>
      <c r="AU186" s="249"/>
      <c r="AV186" s="254"/>
      <c r="AW186" s="38" t="s">
        <v>127</v>
      </c>
      <c r="AX186" s="254"/>
      <c r="AY186" s="103">
        <f t="shared" si="90"/>
        <v>0.53921568627450978</v>
      </c>
      <c r="AZ186" s="38"/>
      <c r="BA186" s="13" t="str">
        <f t="shared" si="91"/>
        <v>W22</v>
      </c>
      <c r="BB186" s="77"/>
      <c r="BC186" s="264"/>
      <c r="BD186" s="253"/>
      <c r="BE186" s="253"/>
      <c r="BF186" s="100"/>
      <c r="BG186" s="253"/>
      <c r="BH186" s="253"/>
      <c r="BI186" s="100"/>
      <c r="BJ186" s="162"/>
      <c r="BK186" s="130"/>
      <c r="BL186" s="168"/>
      <c r="BM186" s="130"/>
      <c r="BN186" s="100"/>
      <c r="BO186" s="130"/>
      <c r="BP186" s="130"/>
      <c r="BQ186" s="108"/>
      <c r="BR186" s="71"/>
      <c r="BS186" s="71"/>
      <c r="BT186" s="72"/>
      <c r="BU186" s="78"/>
      <c r="BV186" s="32"/>
      <c r="BW186" s="127"/>
      <c r="BX186" s="78"/>
      <c r="BY186" s="78"/>
      <c r="BZ186" s="127"/>
      <c r="CA186" s="76"/>
    </row>
    <row r="187" spans="1:79" s="77" customFormat="1">
      <c r="A187" s="13" t="s">
        <v>466</v>
      </c>
      <c r="B187" s="387" t="s">
        <v>779</v>
      </c>
      <c r="C187" s="13" t="s">
        <v>895</v>
      </c>
      <c r="D187" s="13" t="s">
        <v>911</v>
      </c>
      <c r="E187" s="13" t="s">
        <v>118</v>
      </c>
      <c r="F187" s="13" t="s">
        <v>167</v>
      </c>
      <c r="G187" s="13" t="s">
        <v>916</v>
      </c>
      <c r="H187" s="13" t="s">
        <v>121</v>
      </c>
      <c r="I187" s="13" t="s">
        <v>147</v>
      </c>
      <c r="J187" s="13" t="s">
        <v>5</v>
      </c>
      <c r="K187" s="13" t="s">
        <v>123</v>
      </c>
      <c r="L187" s="13" t="s">
        <v>917</v>
      </c>
      <c r="M187" s="13" t="s">
        <v>125</v>
      </c>
      <c r="N187" s="13" t="s">
        <v>12</v>
      </c>
      <c r="O187" s="247">
        <v>0.49</v>
      </c>
      <c r="P187" s="13">
        <v>102</v>
      </c>
      <c r="Q187" s="13">
        <v>30</v>
      </c>
      <c r="R187" s="13" t="s">
        <v>127</v>
      </c>
      <c r="S187" s="430" t="str">
        <f t="shared" si="74"/>
        <v>N/A</v>
      </c>
      <c r="T187" s="247">
        <v>0.8</v>
      </c>
      <c r="U187" s="13">
        <v>195</v>
      </c>
      <c r="V187" s="13">
        <v>595</v>
      </c>
      <c r="W187" s="430">
        <f t="shared" si="72"/>
        <v>400</v>
      </c>
      <c r="X187" s="430">
        <f t="shared" si="73"/>
        <v>125</v>
      </c>
      <c r="Y187" s="13">
        <v>150</v>
      </c>
      <c r="Z187" s="13">
        <v>630</v>
      </c>
      <c r="AA187" s="430">
        <f t="shared" si="75"/>
        <v>480</v>
      </c>
      <c r="AB187" s="430">
        <f t="shared" si="76"/>
        <v>90</v>
      </c>
      <c r="AC187" s="430" t="str">
        <f t="shared" si="77"/>
        <v>N/A</v>
      </c>
      <c r="AD187" s="430">
        <f t="shared" si="78"/>
        <v>72</v>
      </c>
      <c r="AE187" s="431">
        <f t="shared" si="79"/>
        <v>1.1528</v>
      </c>
      <c r="AF187" s="431"/>
      <c r="AG187" s="431">
        <f t="shared" si="80"/>
        <v>1.0282823529411766</v>
      </c>
      <c r="AH187" s="431">
        <f t="shared" si="81"/>
        <v>1.0899792941176472</v>
      </c>
      <c r="AI187" s="432">
        <f t="shared" si="82"/>
        <v>879.90154800000005</v>
      </c>
      <c r="AJ187" s="432">
        <f t="shared" si="83"/>
        <v>145.00842126982826</v>
      </c>
      <c r="AK187" s="432">
        <f t="shared" si="84"/>
        <v>158.55552275398003</v>
      </c>
      <c r="AL187" s="432">
        <f t="shared" si="85"/>
        <v>315.18549999640999</v>
      </c>
      <c r="AM187" s="250">
        <v>159</v>
      </c>
      <c r="AN187" s="432">
        <f t="shared" si="86"/>
        <v>162.18</v>
      </c>
      <c r="AO187" s="432">
        <f t="shared" si="87"/>
        <v>176.77284192000002</v>
      </c>
      <c r="AP187" s="432">
        <f t="shared" si="88"/>
        <v>589.24280640000006</v>
      </c>
      <c r="AQ187" s="255">
        <v>44593</v>
      </c>
      <c r="AR187" s="13" t="s">
        <v>918</v>
      </c>
      <c r="AS187" s="434" t="s">
        <v>919</v>
      </c>
      <c r="AT187" s="429" t="s">
        <v>920</v>
      </c>
      <c r="AU187" s="241"/>
      <c r="AV187" s="243"/>
      <c r="AW187" s="72" t="s">
        <v>127</v>
      </c>
      <c r="AX187" s="243">
        <v>44682</v>
      </c>
      <c r="AY187" s="103">
        <f t="shared" si="90"/>
        <v>0.58333333333333337</v>
      </c>
      <c r="AZ187" s="72"/>
      <c r="BA187" s="13" t="str">
        <f t="shared" si="91"/>
        <v>W22</v>
      </c>
      <c r="BB187" s="72" t="str">
        <f>IF(R187="n/a","Clear","S/B")</f>
        <v>Clear</v>
      </c>
      <c r="BC187" s="32">
        <f>IF(Q187="","",((P187/100*O187)+T187))</f>
        <v>1.2998000000000001</v>
      </c>
      <c r="BD187" s="241">
        <f>IF(BC187="","",((PI()*((51/2)^2-(16.545/2)^2)/(BC187/10))/100))</f>
        <v>140.62379337651035</v>
      </c>
      <c r="BE187" s="241">
        <f>IF(BC187="","",(BD187-AK187))</f>
        <v>-17.931729377469679</v>
      </c>
      <c r="BF187" s="71">
        <f>IF(BC187="","",(BE187/AK187))</f>
        <v>-0.11309432220341603</v>
      </c>
      <c r="BG187" s="241">
        <f>IF(BF187="","",((PI()*((70/2)^2-(16.545/2)^2)/(BC187/10))/100))</f>
        <v>279.53980950597122</v>
      </c>
      <c r="BH187" s="241">
        <f>IF(BF187="","",(BG187-AL187))</f>
        <v>-35.645690490438767</v>
      </c>
      <c r="BI187" s="71">
        <f>IF(BG187="","",(BH187/AL187))</f>
        <v>-0.11309432220341602</v>
      </c>
      <c r="BJ187" s="123">
        <v>20</v>
      </c>
      <c r="BK187" s="123">
        <v>20</v>
      </c>
      <c r="BL187" s="126">
        <f>AH187</f>
        <v>1.0899792941176472</v>
      </c>
      <c r="BM187" s="123">
        <f>BK187/AH187</f>
        <v>18.348972414370742</v>
      </c>
      <c r="BN187" s="123">
        <f>BK187-BM187</f>
        <v>1.651027585629258</v>
      </c>
      <c r="BO187" s="123">
        <v>18.510000000000002</v>
      </c>
      <c r="BP187" s="161">
        <f>BO187-BM187</f>
        <v>0.16102758562925956</v>
      </c>
      <c r="BQ187" s="71"/>
      <c r="BR187" s="71"/>
      <c r="BS187" s="71"/>
      <c r="BT187" s="72"/>
      <c r="BU187" s="72"/>
      <c r="BV187" s="72"/>
      <c r="BW187" s="72"/>
      <c r="BX187" s="72"/>
      <c r="BY187" s="72"/>
      <c r="BZ187" s="72"/>
      <c r="CA187" s="72"/>
    </row>
    <row r="188" spans="1:79" s="38" customFormat="1">
      <c r="A188" s="13" t="s">
        <v>466</v>
      </c>
      <c r="B188" s="387" t="s">
        <v>779</v>
      </c>
      <c r="C188" s="13" t="s">
        <v>895</v>
      </c>
      <c r="D188" s="13" t="s">
        <v>911</v>
      </c>
      <c r="E188" s="13" t="s">
        <v>118</v>
      </c>
      <c r="F188" s="13" t="s">
        <v>167</v>
      </c>
      <c r="G188" s="13" t="s">
        <v>921</v>
      </c>
      <c r="H188" s="13" t="s">
        <v>121</v>
      </c>
      <c r="I188" s="13" t="s">
        <v>147</v>
      </c>
      <c r="J188" s="13" t="s">
        <v>5</v>
      </c>
      <c r="K188" s="13" t="s">
        <v>123</v>
      </c>
      <c r="L188" s="13" t="s">
        <v>922</v>
      </c>
      <c r="M188" s="13" t="s">
        <v>125</v>
      </c>
      <c r="N188" s="13" t="s">
        <v>12</v>
      </c>
      <c r="O188" s="247">
        <v>0.49</v>
      </c>
      <c r="P188" s="13">
        <v>104</v>
      </c>
      <c r="Q188" s="13">
        <v>30</v>
      </c>
      <c r="R188" s="13" t="s">
        <v>127</v>
      </c>
      <c r="S188" s="430" t="str">
        <f t="shared" si="74"/>
        <v>N/A</v>
      </c>
      <c r="T188" s="247">
        <v>0.8</v>
      </c>
      <c r="U188" s="13">
        <v>192</v>
      </c>
      <c r="V188" s="13">
        <v>403</v>
      </c>
      <c r="W188" s="430">
        <f t="shared" si="72"/>
        <v>211</v>
      </c>
      <c r="X188" s="430">
        <f t="shared" si="73"/>
        <v>337</v>
      </c>
      <c r="Y188" s="13">
        <v>100</v>
      </c>
      <c r="Z188" s="13">
        <v>500</v>
      </c>
      <c r="AA188" s="430">
        <f t="shared" si="75"/>
        <v>400</v>
      </c>
      <c r="AB188" s="430">
        <f t="shared" si="76"/>
        <v>240</v>
      </c>
      <c r="AC188" s="430" t="str">
        <f t="shared" si="77"/>
        <v>N/A</v>
      </c>
      <c r="AD188" s="430">
        <f t="shared" si="78"/>
        <v>74</v>
      </c>
      <c r="AE188" s="431">
        <f t="shared" si="79"/>
        <v>1.1626000000000001</v>
      </c>
      <c r="AF188" s="431"/>
      <c r="AG188" s="431">
        <f t="shared" si="80"/>
        <v>1.033598076923077</v>
      </c>
      <c r="AH188" s="431">
        <f t="shared" si="81"/>
        <v>1.0956139615384617</v>
      </c>
      <c r="AI188" s="432">
        <f t="shared" si="82"/>
        <v>879.90154800000005</v>
      </c>
      <c r="AJ188" s="432">
        <f t="shared" si="83"/>
        <v>143.78608983301052</v>
      </c>
      <c r="AK188" s="432">
        <f t="shared" si="84"/>
        <v>157.2189976180872</v>
      </c>
      <c r="AL188" s="432">
        <f t="shared" si="85"/>
        <v>312.52868088410582</v>
      </c>
      <c r="AM188" s="250">
        <v>157</v>
      </c>
      <c r="AN188" s="432">
        <f t="shared" si="86"/>
        <v>163.28</v>
      </c>
      <c r="AO188" s="432">
        <f t="shared" si="87"/>
        <v>178.89184764000004</v>
      </c>
      <c r="AP188" s="432">
        <f t="shared" si="88"/>
        <v>596.30615880000016</v>
      </c>
      <c r="AQ188" s="255" t="s">
        <v>170</v>
      </c>
      <c r="AR188" s="13" t="s">
        <v>923</v>
      </c>
      <c r="AS188" s="434" t="s">
        <v>924</v>
      </c>
      <c r="AT188" s="429" t="s">
        <v>925</v>
      </c>
      <c r="AU188" s="241"/>
      <c r="AV188" s="243"/>
      <c r="AW188" s="72" t="s">
        <v>127</v>
      </c>
      <c r="AX188" s="243" t="s">
        <v>926</v>
      </c>
      <c r="AY188" s="103">
        <f t="shared" si="90"/>
        <v>0.38749999999999996</v>
      </c>
      <c r="AZ188" s="72"/>
      <c r="BA188" s="13" t="str">
        <f t="shared" si="91"/>
        <v>W22</v>
      </c>
      <c r="BB188" s="72" t="str">
        <f>IF(R188="n/a","Clear","S/B")</f>
        <v>Clear</v>
      </c>
      <c r="BC188" s="32">
        <f>IF(Q188="","",((P188/100*O188)+T188))</f>
        <v>1.3096000000000001</v>
      </c>
      <c r="BD188" s="241">
        <f>IF(BC188="","",((PI()*((51/2)^2-(16.545/2)^2)/(BC188/10))/100))</f>
        <v>139.57147726846989</v>
      </c>
      <c r="BE188" s="241">
        <f>IF(BC188="","",(BD188-AK188))</f>
        <v>-17.647520349617309</v>
      </c>
      <c r="BF188" s="71">
        <f>IF(BC188="","",(BE188/AK188))</f>
        <v>-0.11224801466096523</v>
      </c>
      <c r="BG188" s="241">
        <f>IF(BF188="","",((PI()*((70/2)^2-(16.545/2)^2)/(BC188/10))/100))</f>
        <v>277.44795693025458</v>
      </c>
      <c r="BH188" s="241">
        <f>IF(BF188="","",(BG188-AL188))</f>
        <v>-35.080723953851248</v>
      </c>
      <c r="BI188" s="71">
        <f>IF(BG188="","",(BH188/AL188))</f>
        <v>-0.11224801466096528</v>
      </c>
      <c r="BJ188" s="162"/>
      <c r="BK188" s="123"/>
      <c r="BL188" s="126"/>
      <c r="BM188" s="123"/>
      <c r="BN188" s="123"/>
      <c r="BO188" s="123"/>
      <c r="BP188" s="108"/>
      <c r="BQ188" s="124">
        <v>8160</v>
      </c>
      <c r="BR188" s="164"/>
      <c r="BS188" s="71"/>
      <c r="BT188" s="72">
        <f>P188-V188/10-120/10</f>
        <v>51.7</v>
      </c>
      <c r="BU188" s="78">
        <f>BT188-Q188</f>
        <v>21.700000000000003</v>
      </c>
      <c r="BV188" s="32">
        <f>T188+(O188/100*(P188-BT188))</f>
        <v>1.05627</v>
      </c>
      <c r="BW188" s="127">
        <f>(AE188-BV188)/AE188</f>
        <v>9.1458799243075886E-2</v>
      </c>
      <c r="BX188" s="78">
        <f>(PI()*((51/2)^2-(16.545/2)^2)/(BV188/10))/100</f>
        <v>173.04553440956209</v>
      </c>
      <c r="BY188" s="78">
        <f>BX188-AK188</f>
        <v>15.826536791474894</v>
      </c>
      <c r="BZ188" s="127">
        <f>BY188/AK188</f>
        <v>0.10066554952805612</v>
      </c>
      <c r="CA188" s="76"/>
    </row>
    <row r="189" spans="1:79" s="22" customFormat="1">
      <c r="A189" s="13" t="s">
        <v>466</v>
      </c>
      <c r="B189" s="387" t="s">
        <v>779</v>
      </c>
      <c r="C189" s="13" t="s">
        <v>895</v>
      </c>
      <c r="D189" s="387" t="s">
        <v>927</v>
      </c>
      <c r="E189" s="13" t="s">
        <v>118</v>
      </c>
      <c r="F189" s="13" t="s">
        <v>186</v>
      </c>
      <c r="G189" s="13" t="s">
        <v>928</v>
      </c>
      <c r="H189" s="13" t="s">
        <v>121</v>
      </c>
      <c r="I189" s="13" t="s">
        <v>147</v>
      </c>
      <c r="J189" s="13" t="s">
        <v>5</v>
      </c>
      <c r="K189" s="13" t="s">
        <v>123</v>
      </c>
      <c r="L189" s="13" t="s">
        <v>929</v>
      </c>
      <c r="M189" s="13" t="s">
        <v>125</v>
      </c>
      <c r="N189" s="13" t="s">
        <v>126</v>
      </c>
      <c r="O189" s="247">
        <v>0.32</v>
      </c>
      <c r="P189" s="438">
        <v>118</v>
      </c>
      <c r="Q189" s="13">
        <v>30</v>
      </c>
      <c r="R189" s="13" t="s">
        <v>127</v>
      </c>
      <c r="S189" s="430" t="str">
        <f t="shared" si="74"/>
        <v>N/A</v>
      </c>
      <c r="T189" s="247">
        <v>0.8</v>
      </c>
      <c r="U189" s="13">
        <v>273</v>
      </c>
      <c r="V189" s="13">
        <v>448</v>
      </c>
      <c r="W189" s="430">
        <f t="shared" si="72"/>
        <v>175</v>
      </c>
      <c r="X189" s="430">
        <f t="shared" si="73"/>
        <v>432</v>
      </c>
      <c r="Y189" s="13">
        <v>160</v>
      </c>
      <c r="Z189" s="13">
        <v>560</v>
      </c>
      <c r="AA189" s="430">
        <f t="shared" si="75"/>
        <v>400</v>
      </c>
      <c r="AB189" s="430">
        <f t="shared" si="76"/>
        <v>320</v>
      </c>
      <c r="AC189" s="430" t="str">
        <f t="shared" si="77"/>
        <v>N/A</v>
      </c>
      <c r="AD189" s="430">
        <f t="shared" si="78"/>
        <v>88</v>
      </c>
      <c r="AE189" s="431">
        <f t="shared" si="79"/>
        <v>1.0816000000000001</v>
      </c>
      <c r="AF189" s="431"/>
      <c r="AG189" s="431">
        <f t="shared" si="80"/>
        <v>0.97659661016949162</v>
      </c>
      <c r="AH189" s="431">
        <f t="shared" si="81"/>
        <v>1.0351924067796612</v>
      </c>
      <c r="AI189" s="432">
        <f t="shared" si="82"/>
        <v>868.833664</v>
      </c>
      <c r="AJ189" s="432">
        <f t="shared" si="83"/>
        <v>154.55409397176223</v>
      </c>
      <c r="AK189" s="432">
        <f t="shared" si="84"/>
        <v>168.99297950331749</v>
      </c>
      <c r="AL189" s="432">
        <f t="shared" si="85"/>
        <v>335.93365791037485</v>
      </c>
      <c r="AM189" s="250">
        <v>169</v>
      </c>
      <c r="AN189" s="432">
        <f t="shared" si="86"/>
        <v>199.42</v>
      </c>
      <c r="AO189" s="432">
        <f t="shared" si="87"/>
        <v>206.43806976000002</v>
      </c>
      <c r="AP189" s="432">
        <f t="shared" si="88"/>
        <v>688.12689920000014</v>
      </c>
      <c r="AQ189" s="255">
        <v>45139</v>
      </c>
      <c r="AR189" s="13" t="s">
        <v>930</v>
      </c>
      <c r="AS189" s="434" t="s">
        <v>931</v>
      </c>
      <c r="AT189" s="429" t="s">
        <v>932</v>
      </c>
      <c r="AU189" s="257"/>
      <c r="AV189" s="259"/>
      <c r="AW189" s="38" t="s">
        <v>127</v>
      </c>
      <c r="AX189" s="259"/>
      <c r="AY189" s="103">
        <f t="shared" si="90"/>
        <v>0.3796610169491525</v>
      </c>
      <c r="AZ189" s="262"/>
      <c r="BA189" s="13" t="str">
        <f t="shared" si="91"/>
        <v>W22</v>
      </c>
      <c r="BB189" s="77"/>
      <c r="BC189" s="264"/>
      <c r="BD189" s="253"/>
      <c r="BE189" s="253"/>
      <c r="BF189" s="100"/>
      <c r="BG189" s="253"/>
      <c r="BH189" s="253"/>
      <c r="BI189" s="100"/>
      <c r="BJ189" s="143"/>
      <c r="BK189" s="105"/>
      <c r="BL189" s="170"/>
      <c r="BM189" s="105"/>
      <c r="BN189" s="106"/>
      <c r="BO189" s="105"/>
      <c r="BP189" s="105"/>
      <c r="BQ189" s="115"/>
      <c r="BR189" s="113"/>
      <c r="BS189" s="80"/>
      <c r="BU189" s="87"/>
      <c r="BV189" s="73"/>
      <c r="BW189" s="109"/>
      <c r="BX189" s="87"/>
      <c r="BY189" s="87"/>
      <c r="BZ189" s="109"/>
      <c r="CA189" s="76"/>
    </row>
    <row r="190" spans="1:79" s="22" customFormat="1">
      <c r="A190" s="13" t="s">
        <v>466</v>
      </c>
      <c r="B190" s="387" t="s">
        <v>779</v>
      </c>
      <c r="C190" s="13" t="s">
        <v>895</v>
      </c>
      <c r="D190" s="387" t="s">
        <v>927</v>
      </c>
      <c r="E190" s="13" t="s">
        <v>118</v>
      </c>
      <c r="F190" s="13" t="s">
        <v>167</v>
      </c>
      <c r="G190" s="13" t="s">
        <v>933</v>
      </c>
      <c r="H190" s="13" t="s">
        <v>121</v>
      </c>
      <c r="I190" s="13" t="s">
        <v>147</v>
      </c>
      <c r="J190" s="13" t="s">
        <v>5</v>
      </c>
      <c r="K190" s="13" t="s">
        <v>123</v>
      </c>
      <c r="L190" s="13" t="s">
        <v>934</v>
      </c>
      <c r="M190" s="13" t="s">
        <v>125</v>
      </c>
      <c r="N190" s="13" t="s">
        <v>126</v>
      </c>
      <c r="O190" s="247">
        <v>0.32</v>
      </c>
      <c r="P190" s="13">
        <v>115</v>
      </c>
      <c r="Q190" s="13">
        <v>30</v>
      </c>
      <c r="R190" s="13" t="s">
        <v>127</v>
      </c>
      <c r="S190" s="430" t="str">
        <f t="shared" si="74"/>
        <v>N/A</v>
      </c>
      <c r="T190" s="247">
        <v>0.8</v>
      </c>
      <c r="U190" s="13">
        <v>273</v>
      </c>
      <c r="V190" s="13">
        <v>448</v>
      </c>
      <c r="W190" s="430">
        <f t="shared" si="72"/>
        <v>175</v>
      </c>
      <c r="X190" s="430">
        <f t="shared" si="73"/>
        <v>402</v>
      </c>
      <c r="Y190" s="13">
        <v>160</v>
      </c>
      <c r="Z190" s="13">
        <v>560</v>
      </c>
      <c r="AA190" s="430">
        <f t="shared" si="75"/>
        <v>400</v>
      </c>
      <c r="AB190" s="430">
        <f t="shared" si="76"/>
        <v>290</v>
      </c>
      <c r="AC190" s="430" t="str">
        <f t="shared" si="77"/>
        <v>N/A</v>
      </c>
      <c r="AD190" s="430">
        <f t="shared" si="78"/>
        <v>85</v>
      </c>
      <c r="AE190" s="431">
        <f t="shared" si="79"/>
        <v>1.0720000000000001</v>
      </c>
      <c r="AF190" s="431"/>
      <c r="AG190" s="431">
        <f t="shared" si="80"/>
        <v>0.97147826086956524</v>
      </c>
      <c r="AH190" s="431">
        <f t="shared" si="81"/>
        <v>1.0297669565217391</v>
      </c>
      <c r="AI190" s="432">
        <f t="shared" si="82"/>
        <v>868.833664</v>
      </c>
      <c r="AJ190" s="432">
        <f t="shared" si="83"/>
        <v>155.93816048494219</v>
      </c>
      <c r="AK190" s="432">
        <f t="shared" si="84"/>
        <v>170.50634946901883</v>
      </c>
      <c r="AL190" s="432">
        <f t="shared" si="85"/>
        <v>338.94201902599013</v>
      </c>
      <c r="AM190" s="250">
        <v>171</v>
      </c>
      <c r="AN190" s="432">
        <f t="shared" si="86"/>
        <v>196.65</v>
      </c>
      <c r="AO190" s="432">
        <f t="shared" si="87"/>
        <v>202.50367199999999</v>
      </c>
      <c r="AP190" s="432">
        <f t="shared" si="88"/>
        <v>675.01224000000002</v>
      </c>
      <c r="AQ190" s="255">
        <v>44805</v>
      </c>
      <c r="AR190" s="13" t="s">
        <v>935</v>
      </c>
      <c r="AS190" s="434" t="s">
        <v>936</v>
      </c>
      <c r="AT190" s="429" t="s">
        <v>937</v>
      </c>
      <c r="AU190" s="241"/>
      <c r="AV190" s="243"/>
      <c r="AW190" s="72" t="s">
        <v>127</v>
      </c>
      <c r="AX190" s="243" t="s">
        <v>926</v>
      </c>
      <c r="AY190" s="103">
        <f t="shared" si="90"/>
        <v>0.38956521739130434</v>
      </c>
      <c r="AZ190" s="72"/>
      <c r="BA190" s="13" t="str">
        <f t="shared" si="91"/>
        <v>W22</v>
      </c>
      <c r="BB190" s="72" t="str">
        <f>IF(R190="n/a","Clear","S/B")</f>
        <v>Clear</v>
      </c>
      <c r="BC190" s="32">
        <f>IF(Q190="","",((P190/100*O190)+T190))</f>
        <v>1.1680000000000001</v>
      </c>
      <c r="BD190" s="241">
        <f>IF(BC190="","",((PI()*((51/2)^2-(16.545/2)^2)/(BC190/10))/100))</f>
        <v>156.49212896471587</v>
      </c>
      <c r="BE190" s="241">
        <f>IF(BC190="","",(BD190-AK190))</f>
        <v>-14.014220504302955</v>
      </c>
      <c r="BF190" s="71">
        <f>IF(BC190="","",(BE190/AK190))</f>
        <v>-8.2191780821918026E-2</v>
      </c>
      <c r="BG190" s="241">
        <f>IF(BF190="","",((PI()*((70/2)^2-(16.545/2)^2)/(BC190/10))/100))</f>
        <v>311.08377088686763</v>
      </c>
      <c r="BH190" s="241">
        <f>IF(BF190="","",(BG190-AL190))</f>
        <v>-27.858248139122509</v>
      </c>
      <c r="BI190" s="71">
        <f>IF(BG190="","",(BH190/AL190))</f>
        <v>-8.2191780821917901E-2</v>
      </c>
      <c r="BJ190" s="123">
        <v>20</v>
      </c>
      <c r="BK190" s="123">
        <v>20</v>
      </c>
      <c r="BL190" s="126">
        <f>AH190</f>
        <v>1.0297669565217391</v>
      </c>
      <c r="BM190" s="123">
        <f>BK190/AH190</f>
        <v>19.421870038978849</v>
      </c>
      <c r="BN190" s="123">
        <f>BK190-BM190</f>
        <v>0.57812996102115122</v>
      </c>
      <c r="BO190" s="123">
        <v>19.899999999999999</v>
      </c>
      <c r="BP190" s="161">
        <f>BO190-BM190</f>
        <v>0.4781299610211498</v>
      </c>
      <c r="BQ190" s="124"/>
      <c r="BR190" s="124"/>
      <c r="BS190" s="71"/>
      <c r="BT190" s="72"/>
      <c r="BU190" s="78"/>
      <c r="BV190" s="32"/>
      <c r="BW190" s="127"/>
      <c r="BX190" s="78"/>
      <c r="BY190" s="78"/>
      <c r="BZ190" s="127"/>
      <c r="CA190" s="76"/>
    </row>
    <row r="191" spans="1:79" s="22" customFormat="1">
      <c r="A191" s="13" t="s">
        <v>466</v>
      </c>
      <c r="B191" s="387" t="s">
        <v>779</v>
      </c>
      <c r="C191" s="13"/>
      <c r="D191" s="387"/>
      <c r="E191" s="13" t="s">
        <v>118</v>
      </c>
      <c r="F191" s="13" t="s">
        <v>119</v>
      </c>
      <c r="G191" s="13" t="s">
        <v>938</v>
      </c>
      <c r="H191" s="13" t="s">
        <v>121</v>
      </c>
      <c r="I191" s="13" t="s">
        <v>147</v>
      </c>
      <c r="J191" s="13" t="s">
        <v>5</v>
      </c>
      <c r="K191" s="13" t="s">
        <v>123</v>
      </c>
      <c r="L191" s="13"/>
      <c r="M191" s="13" t="s">
        <v>125</v>
      </c>
      <c r="N191" s="13" t="s">
        <v>126</v>
      </c>
      <c r="O191" s="247">
        <v>0.28999999999999998</v>
      </c>
      <c r="P191" s="13">
        <v>108</v>
      </c>
      <c r="Q191" s="13">
        <v>30</v>
      </c>
      <c r="R191" s="13" t="s">
        <v>127</v>
      </c>
      <c r="S191" s="430" t="str">
        <f t="shared" si="74"/>
        <v>N/A</v>
      </c>
      <c r="T191" s="247">
        <v>0.8</v>
      </c>
      <c r="U191" s="13">
        <v>200</v>
      </c>
      <c r="V191" s="13">
        <v>600</v>
      </c>
      <c r="W191" s="430">
        <f t="shared" si="72"/>
        <v>400</v>
      </c>
      <c r="X191" s="430">
        <f t="shared" si="73"/>
        <v>180</v>
      </c>
      <c r="Y191" s="13">
        <v>200</v>
      </c>
      <c r="Z191" s="13">
        <v>600</v>
      </c>
      <c r="AA191" s="430">
        <f t="shared" si="75"/>
        <v>400</v>
      </c>
      <c r="AB191" s="430">
        <f t="shared" si="76"/>
        <v>180</v>
      </c>
      <c r="AC191" s="430" t="str">
        <f t="shared" si="77"/>
        <v>N/A</v>
      </c>
      <c r="AD191" s="430">
        <f t="shared" si="78"/>
        <v>78</v>
      </c>
      <c r="AE191" s="431">
        <f t="shared" si="79"/>
        <v>1.0262</v>
      </c>
      <c r="AF191" s="431"/>
      <c r="AG191" s="431">
        <f t="shared" si="80"/>
        <v>0.94451666666666667</v>
      </c>
      <c r="AH191" s="431">
        <f t="shared" si="81"/>
        <v>1.0011876666666668</v>
      </c>
      <c r="AI191" s="432">
        <f t="shared" si="82"/>
        <v>866.88050800000008</v>
      </c>
      <c r="AJ191" s="432">
        <f t="shared" si="83"/>
        <v>162.8977860454668</v>
      </c>
      <c r="AK191" s="432">
        <f t="shared" si="84"/>
        <v>178.11616315609837</v>
      </c>
      <c r="AL191" s="432">
        <f t="shared" si="85"/>
        <v>354.06923055531223</v>
      </c>
      <c r="AM191" s="250">
        <v>178</v>
      </c>
      <c r="AN191" s="432">
        <f t="shared" si="86"/>
        <v>192.24</v>
      </c>
      <c r="AO191" s="432">
        <f t="shared" si="87"/>
        <v>192.46831704000004</v>
      </c>
      <c r="AP191" s="432">
        <f t="shared" si="88"/>
        <v>641.56105680000019</v>
      </c>
      <c r="AQ191" s="255" t="s">
        <v>132</v>
      </c>
      <c r="AR191" s="13" t="s">
        <v>828</v>
      </c>
      <c r="AS191" s="434"/>
      <c r="AT191" s="429"/>
      <c r="AU191" s="241"/>
      <c r="AV191" s="243"/>
      <c r="AW191" s="13"/>
      <c r="AX191" s="260"/>
      <c r="AY191" s="103"/>
      <c r="BA191" s="13"/>
      <c r="BB191" s="72"/>
      <c r="BC191" s="32"/>
      <c r="BD191" s="241"/>
      <c r="BE191" s="241"/>
      <c r="BF191" s="71"/>
      <c r="BG191" s="241"/>
      <c r="BH191" s="241"/>
      <c r="BI191" s="71"/>
      <c r="BJ191" s="123"/>
      <c r="BK191" s="108"/>
      <c r="BL191" s="126"/>
      <c r="BM191" s="108"/>
      <c r="BN191" s="71"/>
      <c r="BO191" s="108"/>
      <c r="BP191" s="108"/>
      <c r="BQ191" s="115"/>
      <c r="BR191" s="113"/>
      <c r="BS191" s="80"/>
      <c r="BU191" s="87"/>
      <c r="BV191" s="73"/>
      <c r="BW191" s="109"/>
      <c r="BX191" s="87"/>
      <c r="BY191" s="87"/>
      <c r="BZ191" s="109"/>
      <c r="CA191" s="76"/>
    </row>
    <row r="192" spans="1:79" s="72" customFormat="1">
      <c r="A192" s="13" t="s">
        <v>466</v>
      </c>
      <c r="B192" s="387" t="s">
        <v>779</v>
      </c>
      <c r="C192" s="13"/>
      <c r="D192" s="387"/>
      <c r="E192" s="13" t="s">
        <v>118</v>
      </c>
      <c r="F192" s="13" t="s">
        <v>119</v>
      </c>
      <c r="G192" s="13" t="s">
        <v>939</v>
      </c>
      <c r="H192" s="13" t="s">
        <v>121</v>
      </c>
      <c r="I192" s="13" t="s">
        <v>147</v>
      </c>
      <c r="J192" s="13" t="s">
        <v>5</v>
      </c>
      <c r="K192" s="13" t="s">
        <v>123</v>
      </c>
      <c r="L192" s="13" t="s">
        <v>940</v>
      </c>
      <c r="M192" s="13" t="s">
        <v>125</v>
      </c>
      <c r="N192" s="13" t="s">
        <v>126</v>
      </c>
      <c r="O192" s="247">
        <v>0.35</v>
      </c>
      <c r="P192" s="13">
        <v>105</v>
      </c>
      <c r="Q192" s="13">
        <v>30</v>
      </c>
      <c r="R192" s="13" t="s">
        <v>127</v>
      </c>
      <c r="S192" s="430" t="str">
        <f t="shared" si="74"/>
        <v>N/A</v>
      </c>
      <c r="T192" s="247">
        <v>0.8</v>
      </c>
      <c r="U192" s="13">
        <v>200</v>
      </c>
      <c r="V192" s="13">
        <v>600</v>
      </c>
      <c r="W192" s="430">
        <f t="shared" si="72"/>
        <v>400</v>
      </c>
      <c r="X192" s="430">
        <f t="shared" si="73"/>
        <v>150</v>
      </c>
      <c r="Y192" s="13">
        <v>200</v>
      </c>
      <c r="Z192" s="13">
        <v>600</v>
      </c>
      <c r="AA192" s="430">
        <f t="shared" si="75"/>
        <v>400</v>
      </c>
      <c r="AB192" s="430">
        <f t="shared" si="76"/>
        <v>150</v>
      </c>
      <c r="AC192" s="430" t="str">
        <f t="shared" si="77"/>
        <v>N/A</v>
      </c>
      <c r="AD192" s="430">
        <f t="shared" si="78"/>
        <v>75</v>
      </c>
      <c r="AE192" s="431">
        <f t="shared" si="79"/>
        <v>1.0625</v>
      </c>
      <c r="AF192" s="431"/>
      <c r="AG192" s="431">
        <f t="shared" si="80"/>
        <v>0.96875</v>
      </c>
      <c r="AH192" s="431">
        <f t="shared" si="81"/>
        <v>1.026875</v>
      </c>
      <c r="AI192" s="432">
        <f t="shared" si="82"/>
        <v>870.78682000000003</v>
      </c>
      <c r="AJ192" s="432">
        <f t="shared" si="83"/>
        <v>157.33243109633696</v>
      </c>
      <c r="AK192" s="432">
        <f t="shared" si="84"/>
        <v>172.03087682897711</v>
      </c>
      <c r="AL192" s="432">
        <f t="shared" si="85"/>
        <v>341.97255943139908</v>
      </c>
      <c r="AM192" s="250">
        <v>172</v>
      </c>
      <c r="AN192" s="432">
        <f t="shared" si="86"/>
        <v>180.6</v>
      </c>
      <c r="AO192" s="432">
        <f t="shared" si="87"/>
        <v>185.45362499999999</v>
      </c>
      <c r="AP192" s="432">
        <f t="shared" si="88"/>
        <v>618.17875000000004</v>
      </c>
      <c r="AQ192" s="255" t="s">
        <v>132</v>
      </c>
      <c r="AR192" s="13" t="s">
        <v>866</v>
      </c>
      <c r="AS192" s="434" t="s">
        <v>941</v>
      </c>
      <c r="AT192" s="429"/>
      <c r="AU192" s="252"/>
      <c r="AV192" s="260"/>
      <c r="AW192" s="13"/>
      <c r="AX192" s="260"/>
      <c r="AY192" s="103"/>
      <c r="AZ192" s="22"/>
      <c r="BA192" s="13"/>
      <c r="BC192" s="32"/>
      <c r="BD192" s="241"/>
      <c r="BE192" s="241"/>
      <c r="BF192" s="71"/>
      <c r="BG192" s="241"/>
      <c r="BH192" s="241"/>
      <c r="BI192" s="71"/>
      <c r="BJ192" s="114"/>
      <c r="BK192" s="111"/>
      <c r="BL192" s="112"/>
      <c r="BM192" s="111"/>
      <c r="BN192" s="123"/>
      <c r="BO192" s="83"/>
      <c r="BP192" s="88"/>
      <c r="BQ192" s="124"/>
      <c r="BR192" s="124"/>
      <c r="BS192" s="71"/>
      <c r="BU192" s="78"/>
      <c r="BV192" s="32"/>
      <c r="BW192" s="127"/>
      <c r="BX192" s="78"/>
      <c r="BY192" s="78"/>
      <c r="BZ192" s="127"/>
      <c r="CA192" s="76"/>
    </row>
    <row r="193" spans="1:79" s="72" customFormat="1">
      <c r="A193" s="13" t="s">
        <v>466</v>
      </c>
      <c r="B193" s="387" t="s">
        <v>779</v>
      </c>
      <c r="C193" s="13"/>
      <c r="D193" s="387"/>
      <c r="E193" s="13" t="s">
        <v>118</v>
      </c>
      <c r="F193" s="13" t="s">
        <v>119</v>
      </c>
      <c r="G193" s="13" t="s">
        <v>942</v>
      </c>
      <c r="H193" s="13" t="s">
        <v>121</v>
      </c>
      <c r="I193" s="13" t="s">
        <v>147</v>
      </c>
      <c r="J193" s="13" t="s">
        <v>5</v>
      </c>
      <c r="K193" s="13" t="s">
        <v>123</v>
      </c>
      <c r="L193" s="13" t="s">
        <v>228</v>
      </c>
      <c r="M193" s="13" t="s">
        <v>125</v>
      </c>
      <c r="N193" s="13" t="s">
        <v>126</v>
      </c>
      <c r="O193" s="247">
        <v>0.28999999999999998</v>
      </c>
      <c r="P193" s="438">
        <v>118</v>
      </c>
      <c r="Q193" s="13">
        <v>30</v>
      </c>
      <c r="R193" s="13" t="s">
        <v>127</v>
      </c>
      <c r="S193" s="430" t="str">
        <f t="shared" si="74"/>
        <v>N/A</v>
      </c>
      <c r="T193" s="247">
        <v>0.8</v>
      </c>
      <c r="U193" s="13">
        <v>150</v>
      </c>
      <c r="V193" s="13">
        <v>750</v>
      </c>
      <c r="W193" s="430">
        <f t="shared" si="72"/>
        <v>600</v>
      </c>
      <c r="X193" s="430">
        <f t="shared" si="73"/>
        <v>130</v>
      </c>
      <c r="Y193" s="13">
        <v>150</v>
      </c>
      <c r="Z193" s="13">
        <v>750</v>
      </c>
      <c r="AA193" s="430">
        <f t="shared" si="75"/>
        <v>600</v>
      </c>
      <c r="AB193" s="430">
        <f t="shared" si="76"/>
        <v>130</v>
      </c>
      <c r="AC193" s="430" t="str">
        <f t="shared" si="77"/>
        <v>N/A</v>
      </c>
      <c r="AD193" s="430">
        <f t="shared" si="78"/>
        <v>88</v>
      </c>
      <c r="AE193" s="431">
        <f t="shared" si="79"/>
        <v>1.0552000000000001</v>
      </c>
      <c r="AF193" s="431"/>
      <c r="AG193" s="431">
        <f t="shared" si="80"/>
        <v>0.96004067796610182</v>
      </c>
      <c r="AH193" s="431">
        <f t="shared" si="81"/>
        <v>1.017643118644068</v>
      </c>
      <c r="AI193" s="432">
        <f t="shared" si="82"/>
        <v>866.88050800000008</v>
      </c>
      <c r="AJ193" s="432">
        <f t="shared" si="83"/>
        <v>158.4208757011543</v>
      </c>
      <c r="AK193" s="432">
        <f t="shared" si="84"/>
        <v>173.22100704206608</v>
      </c>
      <c r="AL193" s="432">
        <f t="shared" si="85"/>
        <v>344.33836656165789</v>
      </c>
      <c r="AM193" s="250">
        <v>173</v>
      </c>
      <c r="AN193" s="432">
        <f t="shared" si="86"/>
        <v>204.14</v>
      </c>
      <c r="AO193" s="432">
        <f t="shared" si="87"/>
        <v>207.74166624000003</v>
      </c>
      <c r="AP193" s="432">
        <f t="shared" si="88"/>
        <v>692.47222080000017</v>
      </c>
      <c r="AQ193" s="255" t="s">
        <v>132</v>
      </c>
      <c r="AR193" s="13" t="s">
        <v>943</v>
      </c>
      <c r="AS193" s="434"/>
      <c r="AT193" s="429"/>
      <c r="AU193" s="252"/>
      <c r="AV193" s="260"/>
      <c r="AW193" s="13"/>
      <c r="AX193" s="260"/>
      <c r="AY193" s="103"/>
      <c r="AZ193" s="22"/>
      <c r="BA193" s="13"/>
      <c r="BC193" s="32"/>
      <c r="BD193" s="241"/>
      <c r="BE193" s="241"/>
      <c r="BF193" s="71"/>
      <c r="BG193" s="241"/>
      <c r="BH193" s="241"/>
      <c r="BI193" s="71"/>
      <c r="BJ193" s="114"/>
      <c r="BK193" s="111"/>
      <c r="BL193" s="112"/>
      <c r="BM193" s="111"/>
      <c r="BN193" s="123"/>
      <c r="BO193" s="83"/>
      <c r="BP193" s="88"/>
      <c r="BQ193" s="124"/>
      <c r="BR193" s="124"/>
      <c r="BS193" s="71"/>
      <c r="BU193" s="78"/>
      <c r="BV193" s="32"/>
      <c r="BW193" s="127"/>
      <c r="BX193" s="78"/>
      <c r="BY193" s="78"/>
      <c r="BZ193" s="127"/>
      <c r="CA193" s="76"/>
    </row>
    <row r="194" spans="1:79" s="72" customFormat="1">
      <c r="A194" s="13" t="s">
        <v>466</v>
      </c>
      <c r="B194" s="387" t="s">
        <v>779</v>
      </c>
      <c r="C194" s="13"/>
      <c r="D194" s="387"/>
      <c r="E194" s="13" t="s">
        <v>118</v>
      </c>
      <c r="F194" s="13" t="s">
        <v>119</v>
      </c>
      <c r="G194" s="13" t="s">
        <v>944</v>
      </c>
      <c r="H194" s="13" t="s">
        <v>389</v>
      </c>
      <c r="I194" s="13" t="s">
        <v>139</v>
      </c>
      <c r="J194" s="13" t="s">
        <v>5</v>
      </c>
      <c r="K194" s="13" t="s">
        <v>140</v>
      </c>
      <c r="L194" s="13" t="s">
        <v>228</v>
      </c>
      <c r="M194" s="13" t="s">
        <v>125</v>
      </c>
      <c r="N194" s="13" t="s">
        <v>142</v>
      </c>
      <c r="O194" s="247">
        <v>0.39</v>
      </c>
      <c r="P194" s="13">
        <v>108</v>
      </c>
      <c r="Q194" s="13">
        <v>20</v>
      </c>
      <c r="R194" s="13" t="s">
        <v>127</v>
      </c>
      <c r="S194" s="430" t="str">
        <f t="shared" si="74"/>
        <v>N/A</v>
      </c>
      <c r="T194" s="247">
        <v>0.76</v>
      </c>
      <c r="U194" s="13">
        <v>200</v>
      </c>
      <c r="V194" s="13">
        <v>750</v>
      </c>
      <c r="W194" s="430">
        <f t="shared" si="72"/>
        <v>550</v>
      </c>
      <c r="X194" s="430">
        <f t="shared" si="73"/>
        <v>130</v>
      </c>
      <c r="Y194" s="13">
        <v>200</v>
      </c>
      <c r="Z194" s="13">
        <v>750</v>
      </c>
      <c r="AA194" s="430">
        <f t="shared" si="75"/>
        <v>550</v>
      </c>
      <c r="AB194" s="430">
        <f t="shared" si="76"/>
        <v>130</v>
      </c>
      <c r="AC194" s="430" t="str">
        <f t="shared" si="77"/>
        <v>N/A</v>
      </c>
      <c r="AD194" s="430">
        <f t="shared" si="78"/>
        <v>88</v>
      </c>
      <c r="AE194" s="431">
        <f t="shared" si="79"/>
        <v>1.1032</v>
      </c>
      <c r="AF194" s="431"/>
      <c r="AG194" s="431">
        <f t="shared" si="80"/>
        <v>0.96337777777777789</v>
      </c>
      <c r="AH194" s="431">
        <f t="shared" si="81"/>
        <v>1.0259973333333334</v>
      </c>
      <c r="AI194" s="432">
        <f t="shared" si="82"/>
        <v>834.910797</v>
      </c>
      <c r="AJ194" s="432">
        <f t="shared" si="83"/>
        <v>151.5280167148822</v>
      </c>
      <c r="AK194" s="432">
        <f t="shared" si="84"/>
        <v>165.6841974535788</v>
      </c>
      <c r="AL194" s="432">
        <f t="shared" si="85"/>
        <v>329.3562766459948</v>
      </c>
      <c r="AM194" s="250">
        <v>166</v>
      </c>
      <c r="AN194" s="432">
        <f t="shared" si="86"/>
        <v>179.28</v>
      </c>
      <c r="AO194" s="432">
        <f t="shared" si="87"/>
        <v>183.94080192000001</v>
      </c>
      <c r="AP194" s="432">
        <f t="shared" si="88"/>
        <v>919.70400960000006</v>
      </c>
      <c r="AQ194" s="255" t="s">
        <v>132</v>
      </c>
      <c r="AR194" s="13" t="s">
        <v>943</v>
      </c>
      <c r="AS194" s="434"/>
      <c r="AT194" s="429"/>
      <c r="AU194" s="252"/>
      <c r="AV194" s="260"/>
      <c r="AW194" s="13"/>
      <c r="AX194" s="260"/>
      <c r="AY194" s="103"/>
      <c r="AZ194" s="22"/>
      <c r="BA194" s="13"/>
      <c r="BC194" s="32"/>
      <c r="BD194" s="241"/>
      <c r="BE194" s="241"/>
      <c r="BF194" s="71"/>
      <c r="BG194" s="241"/>
      <c r="BH194" s="241"/>
      <c r="BI194" s="71"/>
      <c r="BJ194" s="114"/>
      <c r="BK194" s="111"/>
      <c r="BL194" s="112"/>
      <c r="BM194" s="111"/>
      <c r="BN194" s="123"/>
      <c r="BO194" s="83"/>
      <c r="BP194" s="88"/>
      <c r="BQ194" s="124"/>
      <c r="BR194" s="124"/>
      <c r="BS194" s="71"/>
      <c r="BU194" s="78"/>
      <c r="BV194" s="32"/>
      <c r="BW194" s="127"/>
      <c r="BX194" s="78"/>
      <c r="BY194" s="78"/>
      <c r="BZ194" s="127"/>
      <c r="CA194" s="76"/>
    </row>
    <row r="195" spans="1:79" s="72" customFormat="1">
      <c r="A195" s="13" t="s">
        <v>466</v>
      </c>
      <c r="B195" s="387" t="s">
        <v>779</v>
      </c>
      <c r="C195" s="13"/>
      <c r="D195" s="387"/>
      <c r="E195" s="13" t="s">
        <v>118</v>
      </c>
      <c r="F195" s="13" t="s">
        <v>119</v>
      </c>
      <c r="G195" s="13" t="s">
        <v>945</v>
      </c>
      <c r="H195" s="13" t="s">
        <v>121</v>
      </c>
      <c r="I195" s="13" t="s">
        <v>147</v>
      </c>
      <c r="J195" s="13" t="s">
        <v>5</v>
      </c>
      <c r="K195" s="13" t="s">
        <v>123</v>
      </c>
      <c r="L195" s="13" t="s">
        <v>946</v>
      </c>
      <c r="M195" s="13" t="s">
        <v>125</v>
      </c>
      <c r="N195" s="13" t="s">
        <v>126</v>
      </c>
      <c r="O195" s="247">
        <v>0.4</v>
      </c>
      <c r="P195" s="13">
        <v>108</v>
      </c>
      <c r="Q195" s="13">
        <v>25</v>
      </c>
      <c r="R195" s="13" t="s">
        <v>127</v>
      </c>
      <c r="S195" s="430" t="str">
        <f t="shared" si="74"/>
        <v>N/A</v>
      </c>
      <c r="T195" s="247">
        <v>0.8</v>
      </c>
      <c r="U195" s="13">
        <v>200</v>
      </c>
      <c r="V195" s="13">
        <v>600</v>
      </c>
      <c r="W195" s="430">
        <f t="shared" si="72"/>
        <v>400</v>
      </c>
      <c r="X195" s="430">
        <f t="shared" si="73"/>
        <v>230</v>
      </c>
      <c r="Y195" s="13">
        <v>200</v>
      </c>
      <c r="Z195" s="13">
        <v>600</v>
      </c>
      <c r="AA195" s="430">
        <f t="shared" si="75"/>
        <v>400</v>
      </c>
      <c r="AB195" s="430">
        <f t="shared" si="76"/>
        <v>230</v>
      </c>
      <c r="AC195" s="430" t="str">
        <f t="shared" si="77"/>
        <v>N/A</v>
      </c>
      <c r="AD195" s="430">
        <f t="shared" si="78"/>
        <v>83</v>
      </c>
      <c r="AE195" s="431">
        <f t="shared" si="79"/>
        <v>1.1320000000000001</v>
      </c>
      <c r="AF195" s="431"/>
      <c r="AG195" s="431">
        <f t="shared" si="80"/>
        <v>1.0044259259259261</v>
      </c>
      <c r="AH195" s="431">
        <f t="shared" si="81"/>
        <v>1.0646914814814816</v>
      </c>
      <c r="AI195" s="432">
        <f t="shared" si="82"/>
        <v>874.04208000000006</v>
      </c>
      <c r="AJ195" s="432">
        <f t="shared" si="83"/>
        <v>147.6728869610053</v>
      </c>
      <c r="AK195" s="432">
        <f t="shared" si="84"/>
        <v>161.46891045122629</v>
      </c>
      <c r="AL195" s="432">
        <f t="shared" si="85"/>
        <v>320.97689434263378</v>
      </c>
      <c r="AM195" s="250">
        <v>161</v>
      </c>
      <c r="AN195" s="432">
        <f t="shared" si="86"/>
        <v>173.88</v>
      </c>
      <c r="AO195" s="432">
        <f t="shared" si="87"/>
        <v>185.12855480000002</v>
      </c>
      <c r="AP195" s="432">
        <f t="shared" si="88"/>
        <v>740.51421920000007</v>
      </c>
      <c r="AQ195" s="255" t="s">
        <v>132</v>
      </c>
      <c r="AR195" s="13" t="s">
        <v>791</v>
      </c>
      <c r="AS195" s="434" t="s">
        <v>947</v>
      </c>
      <c r="AT195" s="429"/>
      <c r="AU195" s="252"/>
      <c r="AV195" s="260"/>
      <c r="AW195" s="13"/>
      <c r="AX195" s="260"/>
      <c r="AY195" s="103">
        <f t="shared" ref="AY195:AY203" si="92">(V195/10)/P195</f>
        <v>0.55555555555555558</v>
      </c>
      <c r="AZ195" s="22"/>
      <c r="BA195" s="13"/>
      <c r="BC195" s="32"/>
      <c r="BD195" s="241"/>
      <c r="BE195" s="241"/>
      <c r="BF195" s="71"/>
      <c r="BG195" s="241"/>
      <c r="BH195" s="241"/>
      <c r="BI195" s="71"/>
      <c r="BJ195" s="114"/>
      <c r="BK195" s="111"/>
      <c r="BL195" s="112"/>
      <c r="BM195" s="111"/>
      <c r="BN195" s="123"/>
      <c r="BO195" s="83"/>
      <c r="BP195" s="88"/>
      <c r="BQ195" s="124"/>
      <c r="BR195" s="124">
        <v>4032</v>
      </c>
      <c r="BS195" s="71"/>
      <c r="BU195" s="78"/>
      <c r="BV195" s="32"/>
      <c r="BW195" s="127"/>
      <c r="BX195" s="78"/>
      <c r="BY195" s="78"/>
      <c r="BZ195" s="127"/>
      <c r="CA195" s="76"/>
    </row>
    <row r="196" spans="1:79" s="22" customFormat="1">
      <c r="A196" s="13" t="s">
        <v>466</v>
      </c>
      <c r="B196" s="387" t="s">
        <v>948</v>
      </c>
      <c r="C196" s="13" t="s">
        <v>563</v>
      </c>
      <c r="D196" s="387" t="s">
        <v>949</v>
      </c>
      <c r="E196" s="13" t="s">
        <v>118</v>
      </c>
      <c r="F196" s="13" t="s">
        <v>167</v>
      </c>
      <c r="G196" s="13" t="s">
        <v>950</v>
      </c>
      <c r="H196" s="13" t="s">
        <v>389</v>
      </c>
      <c r="I196" s="13" t="s">
        <v>139</v>
      </c>
      <c r="J196" s="13" t="s">
        <v>5</v>
      </c>
      <c r="K196" s="13" t="s">
        <v>140</v>
      </c>
      <c r="L196" s="13" t="s">
        <v>951</v>
      </c>
      <c r="M196" s="13"/>
      <c r="N196" s="13" t="s">
        <v>142</v>
      </c>
      <c r="O196" s="247">
        <v>0.21</v>
      </c>
      <c r="P196" s="13">
        <v>110</v>
      </c>
      <c r="Q196" s="13">
        <v>30</v>
      </c>
      <c r="R196" s="13" t="s">
        <v>127</v>
      </c>
      <c r="S196" s="430" t="str">
        <f t="shared" si="74"/>
        <v>N/A</v>
      </c>
      <c r="T196" s="247">
        <v>0.76</v>
      </c>
      <c r="U196" s="13">
        <v>300</v>
      </c>
      <c r="V196" s="13">
        <v>600</v>
      </c>
      <c r="W196" s="430">
        <f t="shared" si="72"/>
        <v>300</v>
      </c>
      <c r="X196" s="430">
        <f t="shared" si="73"/>
        <v>200</v>
      </c>
      <c r="Y196" s="13">
        <v>200</v>
      </c>
      <c r="Z196" s="13">
        <v>700</v>
      </c>
      <c r="AA196" s="430">
        <f t="shared" si="75"/>
        <v>500</v>
      </c>
      <c r="AB196" s="430">
        <f t="shared" si="76"/>
        <v>100</v>
      </c>
      <c r="AC196" s="430" t="str">
        <f t="shared" si="77"/>
        <v>N/A</v>
      </c>
      <c r="AD196" s="430">
        <f t="shared" si="78"/>
        <v>80</v>
      </c>
      <c r="AE196" s="431">
        <f t="shared" si="79"/>
        <v>0.92799999999999994</v>
      </c>
      <c r="AF196" s="431"/>
      <c r="AG196" s="431">
        <f t="shared" si="80"/>
        <v>0.86690909090909074</v>
      </c>
      <c r="AH196" s="431">
        <f t="shared" si="81"/>
        <v>0.92325818181818164</v>
      </c>
      <c r="AI196" s="432">
        <f t="shared" si="82"/>
        <v>823.13658299999997</v>
      </c>
      <c r="AJ196" s="432">
        <f t="shared" si="83"/>
        <v>180.13546124984703</v>
      </c>
      <c r="AK196" s="432">
        <f t="shared" si="84"/>
        <v>196.96423128317693</v>
      </c>
      <c r="AL196" s="432">
        <f t="shared" si="85"/>
        <v>391.53647025416109</v>
      </c>
      <c r="AM196" s="250">
        <v>50</v>
      </c>
      <c r="AN196" s="432">
        <f t="shared" si="86"/>
        <v>55</v>
      </c>
      <c r="AO196" s="432">
        <f t="shared" si="87"/>
        <v>50.779199999999989</v>
      </c>
      <c r="AP196" s="432">
        <f t="shared" si="88"/>
        <v>169.26399999999998</v>
      </c>
      <c r="AQ196" s="255" t="s">
        <v>132</v>
      </c>
      <c r="AR196" s="13" t="s">
        <v>952</v>
      </c>
      <c r="AS196" s="434"/>
      <c r="AT196" s="429"/>
      <c r="AU196" s="241"/>
      <c r="AV196" s="243"/>
      <c r="AW196" s="72" t="s">
        <v>127</v>
      </c>
      <c r="AX196" s="243"/>
      <c r="AY196" s="103">
        <f t="shared" si="92"/>
        <v>0.54545454545454541</v>
      </c>
      <c r="AZ196" s="72"/>
      <c r="BA196" s="13" t="str">
        <f t="shared" ref="BA196:BA201" si="93">LEFT(G196,3)</f>
        <v>W50</v>
      </c>
      <c r="BB196" s="72" t="str">
        <f>IF(R196="n/a","Clear","S/B")</f>
        <v>Clear</v>
      </c>
      <c r="BC196" s="32">
        <f>IF(Q196="","",((P196/100*O196)+T196))</f>
        <v>0.99099999999999999</v>
      </c>
      <c r="BD196" s="241">
        <f>IF(BC196="","",((PI()*((51/2)^2-(16.545/2)^2)/(BC196/10))/100))</f>
        <v>184.44279175659759</v>
      </c>
      <c r="BE196" s="241">
        <f>IF(BC196="","",(BD196-AK196))</f>
        <v>-12.521439526579343</v>
      </c>
      <c r="BF196" s="71">
        <f>IF(BC196="","",(BE196/AK196))</f>
        <v>-6.3572149344096787E-2</v>
      </c>
      <c r="BG196" s="241">
        <f>IF(BF196="","",((PI()*((70/2)^2-(16.545/2)^2)/(BC196/10))/100))</f>
        <v>366.64565529350301</v>
      </c>
      <c r="BH196" s="241">
        <f>IF(BF196="","",(BG196-AL196))</f>
        <v>-24.890814960658076</v>
      </c>
      <c r="BI196" s="71">
        <f>IF(BG196="","",(BH196/AL196))</f>
        <v>-6.3572149344096884E-2</v>
      </c>
      <c r="BJ196" s="123"/>
      <c r="BK196" s="108"/>
      <c r="BL196" s="126"/>
      <c r="BM196" s="108"/>
      <c r="BN196" s="123"/>
      <c r="BO196" s="123"/>
      <c r="BP196" s="123"/>
      <c r="BQ196" s="124"/>
      <c r="BR196" s="124"/>
      <c r="BS196" s="71"/>
      <c r="BT196" s="72"/>
      <c r="BU196" s="78"/>
      <c r="BV196" s="32"/>
      <c r="BW196" s="127"/>
      <c r="BX196" s="78"/>
      <c r="BY196" s="78"/>
      <c r="BZ196" s="127"/>
      <c r="CA196" s="76"/>
    </row>
    <row r="197" spans="1:79" s="22" customFormat="1">
      <c r="A197" s="13" t="s">
        <v>466</v>
      </c>
      <c r="B197" s="387" t="s">
        <v>948</v>
      </c>
      <c r="C197" s="13" t="s">
        <v>573</v>
      </c>
      <c r="D197" s="387" t="s">
        <v>953</v>
      </c>
      <c r="E197" s="13" t="s">
        <v>118</v>
      </c>
      <c r="F197" s="13" t="s">
        <v>167</v>
      </c>
      <c r="G197" s="13" t="s">
        <v>954</v>
      </c>
      <c r="H197" s="13" t="s">
        <v>121</v>
      </c>
      <c r="I197" s="13" t="s">
        <v>147</v>
      </c>
      <c r="J197" s="13" t="s">
        <v>5</v>
      </c>
      <c r="K197" s="13" t="s">
        <v>123</v>
      </c>
      <c r="L197" s="13" t="s">
        <v>955</v>
      </c>
      <c r="M197" s="13" t="s">
        <v>125</v>
      </c>
      <c r="N197" s="13" t="s">
        <v>126</v>
      </c>
      <c r="O197" s="247">
        <v>0.5</v>
      </c>
      <c r="P197" s="438">
        <v>131</v>
      </c>
      <c r="Q197" s="13">
        <v>30</v>
      </c>
      <c r="R197" s="13" t="s">
        <v>127</v>
      </c>
      <c r="S197" s="430" t="str">
        <f t="shared" si="74"/>
        <v>N/A</v>
      </c>
      <c r="T197" s="247">
        <v>0.8</v>
      </c>
      <c r="U197" s="13">
        <v>200</v>
      </c>
      <c r="V197" s="13">
        <v>700</v>
      </c>
      <c r="W197" s="430">
        <f t="shared" si="72"/>
        <v>500</v>
      </c>
      <c r="X197" s="430">
        <f t="shared" si="73"/>
        <v>310</v>
      </c>
      <c r="Y197" s="13">
        <v>200</v>
      </c>
      <c r="Z197" s="13">
        <v>700</v>
      </c>
      <c r="AA197" s="430">
        <f t="shared" si="75"/>
        <v>500</v>
      </c>
      <c r="AB197" s="430">
        <f t="shared" si="76"/>
        <v>310</v>
      </c>
      <c r="AC197" s="430" t="str">
        <f t="shared" si="77"/>
        <v>N/A</v>
      </c>
      <c r="AD197" s="430">
        <f t="shared" si="78"/>
        <v>101</v>
      </c>
      <c r="AE197" s="431">
        <f t="shared" si="79"/>
        <v>1.3050000000000002</v>
      </c>
      <c r="AF197" s="431"/>
      <c r="AG197" s="431">
        <f t="shared" si="80"/>
        <v>1.1103244274809163</v>
      </c>
      <c r="AH197" s="431">
        <f t="shared" si="81"/>
        <v>1.1769438931297713</v>
      </c>
      <c r="AI197" s="432">
        <f t="shared" si="82"/>
        <v>880.5526000000001</v>
      </c>
      <c r="AJ197" s="432">
        <f t="shared" si="83"/>
        <v>128.0963279998912</v>
      </c>
      <c r="AK197" s="432">
        <f t="shared" si="84"/>
        <v>140.06345335692581</v>
      </c>
      <c r="AL197" s="432">
        <f t="shared" si="85"/>
        <v>278.42593440295894</v>
      </c>
      <c r="AM197" s="250">
        <v>140</v>
      </c>
      <c r="AN197" s="432">
        <f t="shared" si="86"/>
        <v>183.4</v>
      </c>
      <c r="AO197" s="432">
        <f t="shared" si="87"/>
        <v>215.85151000000008</v>
      </c>
      <c r="AP197" s="432">
        <f t="shared" si="88"/>
        <v>719.50503333333359</v>
      </c>
      <c r="AQ197" s="255" t="s">
        <v>170</v>
      </c>
      <c r="AR197" s="13" t="s">
        <v>956</v>
      </c>
      <c r="AS197" s="434" t="s">
        <v>957</v>
      </c>
      <c r="AT197" s="429"/>
      <c r="AU197" s="241"/>
      <c r="AV197" s="243"/>
      <c r="AW197" s="72"/>
      <c r="AX197" s="243"/>
      <c r="AY197" s="71">
        <f t="shared" si="92"/>
        <v>0.53435114503816794</v>
      </c>
      <c r="AZ197" s="72"/>
      <c r="BA197" s="72" t="str">
        <f t="shared" si="93"/>
        <v>W22</v>
      </c>
      <c r="BB197" s="72"/>
      <c r="BC197" s="32"/>
      <c r="BD197" s="241"/>
      <c r="BE197" s="241"/>
      <c r="BF197" s="71"/>
      <c r="BG197" s="241"/>
      <c r="BH197" s="241"/>
      <c r="BI197" s="71"/>
      <c r="BJ197" s="123"/>
      <c r="BK197" s="108"/>
      <c r="BL197" s="126"/>
      <c r="BM197" s="108"/>
      <c r="BN197" s="71"/>
      <c r="BO197" s="108"/>
      <c r="BP197" s="108"/>
      <c r="BQ197" s="83"/>
      <c r="BR197" s="71"/>
      <c r="BS197" s="71"/>
      <c r="BT197" s="13">
        <f>P197-V197/10-120/10</f>
        <v>49</v>
      </c>
      <c r="BU197" s="79">
        <f>BT197-Q197</f>
        <v>19</v>
      </c>
      <c r="BV197" s="29">
        <f>T197+(O197/100*(P197-BT197))</f>
        <v>1.21</v>
      </c>
      <c r="BW197" s="86">
        <f>(AE197-BV197)/AE197</f>
        <v>7.2796934865900526E-2</v>
      </c>
      <c r="BX197" s="79">
        <f>(PI()*((51/2)^2-(16.545/2)^2)/(BV197/10))/100</f>
        <v>151.06017076924644</v>
      </c>
      <c r="BY197" s="79">
        <f>BX197-AK197</f>
        <v>10.996717412320635</v>
      </c>
      <c r="BZ197" s="86">
        <f>BY197/AK197</f>
        <v>7.8512396694214975E-2</v>
      </c>
      <c r="CA197" s="76"/>
    </row>
    <row r="198" spans="1:79" s="22" customFormat="1">
      <c r="A198" s="13" t="s">
        <v>466</v>
      </c>
      <c r="B198" s="387" t="s">
        <v>948</v>
      </c>
      <c r="C198" s="13" t="s">
        <v>573</v>
      </c>
      <c r="D198" s="387" t="s">
        <v>958</v>
      </c>
      <c r="E198" s="13" t="s">
        <v>118</v>
      </c>
      <c r="F198" s="13" t="s">
        <v>167</v>
      </c>
      <c r="G198" s="13" t="s">
        <v>959</v>
      </c>
      <c r="H198" s="13" t="s">
        <v>121</v>
      </c>
      <c r="I198" s="13" t="s">
        <v>147</v>
      </c>
      <c r="J198" s="13" t="s">
        <v>5</v>
      </c>
      <c r="K198" s="13" t="s">
        <v>123</v>
      </c>
      <c r="L198" s="13" t="s">
        <v>960</v>
      </c>
      <c r="M198" s="13" t="s">
        <v>125</v>
      </c>
      <c r="N198" s="13" t="s">
        <v>126</v>
      </c>
      <c r="O198" s="247">
        <v>0.49</v>
      </c>
      <c r="P198" s="13">
        <v>116</v>
      </c>
      <c r="Q198" s="13">
        <v>30</v>
      </c>
      <c r="R198" s="13" t="s">
        <v>127</v>
      </c>
      <c r="S198" s="430" t="str">
        <f t="shared" si="74"/>
        <v>N/A</v>
      </c>
      <c r="T198" s="247">
        <v>0.8</v>
      </c>
      <c r="U198" s="13">
        <v>200</v>
      </c>
      <c r="V198" s="13">
        <v>600</v>
      </c>
      <c r="W198" s="430">
        <f t="shared" si="72"/>
        <v>400</v>
      </c>
      <c r="X198" s="430">
        <f t="shared" si="73"/>
        <v>260</v>
      </c>
      <c r="Y198" s="13">
        <v>150</v>
      </c>
      <c r="Z198" s="13">
        <v>600</v>
      </c>
      <c r="AA198" s="430">
        <f t="shared" si="75"/>
        <v>450</v>
      </c>
      <c r="AB198" s="430">
        <f t="shared" si="76"/>
        <v>260</v>
      </c>
      <c r="AC198" s="430" t="str">
        <f t="shared" si="77"/>
        <v>N/A</v>
      </c>
      <c r="AD198" s="430">
        <f t="shared" si="78"/>
        <v>86</v>
      </c>
      <c r="AE198" s="431">
        <f t="shared" si="79"/>
        <v>1.2214</v>
      </c>
      <c r="AF198" s="431"/>
      <c r="AG198" s="431">
        <f t="shared" si="80"/>
        <v>1.0651913793103447</v>
      </c>
      <c r="AH198" s="431">
        <f t="shared" si="81"/>
        <v>1.1291028620689654</v>
      </c>
      <c r="AI198" s="432">
        <f t="shared" si="82"/>
        <v>879.90154800000005</v>
      </c>
      <c r="AJ198" s="432">
        <f t="shared" si="83"/>
        <v>136.86401509731294</v>
      </c>
      <c r="AK198" s="432">
        <f t="shared" si="84"/>
        <v>149.65024286129702</v>
      </c>
      <c r="AL198" s="432">
        <f t="shared" si="85"/>
        <v>297.48308858347917</v>
      </c>
      <c r="AM198" s="250">
        <v>150</v>
      </c>
      <c r="AN198" s="432">
        <f t="shared" si="86"/>
        <v>174</v>
      </c>
      <c r="AO198" s="432">
        <f t="shared" si="87"/>
        <v>196.46389799999997</v>
      </c>
      <c r="AP198" s="432">
        <f t="shared" si="88"/>
        <v>654.87965999999994</v>
      </c>
      <c r="AQ198" s="255">
        <v>45039</v>
      </c>
      <c r="AR198" s="13" t="s">
        <v>850</v>
      </c>
      <c r="AS198" s="434" t="s">
        <v>961</v>
      </c>
      <c r="AT198" s="429" t="s">
        <v>962</v>
      </c>
      <c r="AU198" s="241"/>
      <c r="AV198" s="243"/>
      <c r="AW198" s="72" t="s">
        <v>127</v>
      </c>
      <c r="AX198" s="243"/>
      <c r="AY198" s="71">
        <f t="shared" si="92"/>
        <v>0.51724137931034486</v>
      </c>
      <c r="AZ198" s="72"/>
      <c r="BA198" s="72" t="str">
        <f t="shared" si="93"/>
        <v>W22</v>
      </c>
      <c r="BB198" s="72" t="str">
        <f>IF(R198="n/a","Clear","S/B")</f>
        <v>Clear</v>
      </c>
      <c r="BC198" s="32"/>
      <c r="BD198" s="241"/>
      <c r="BE198" s="241"/>
      <c r="BF198" s="71"/>
      <c r="BG198" s="241"/>
      <c r="BH198" s="241"/>
      <c r="BI198" s="71"/>
      <c r="BJ198" s="123"/>
      <c r="BK198" s="123"/>
      <c r="BL198" s="126"/>
      <c r="BM198" s="123"/>
      <c r="BN198" s="123"/>
      <c r="BO198" s="108"/>
      <c r="BP198" s="108"/>
      <c r="BQ198" s="124"/>
      <c r="BR198" s="124"/>
      <c r="BS198" s="71"/>
      <c r="BT198" s="72"/>
      <c r="BU198" s="78"/>
      <c r="BV198" s="32"/>
      <c r="BW198" s="127"/>
      <c r="BX198" s="78"/>
      <c r="BY198" s="78"/>
      <c r="BZ198" s="127"/>
      <c r="CA198" s="76"/>
    </row>
    <row r="199" spans="1:79" s="72" customFormat="1">
      <c r="A199" s="13" t="s">
        <v>466</v>
      </c>
      <c r="B199" s="387" t="s">
        <v>948</v>
      </c>
      <c r="C199" s="13" t="s">
        <v>573</v>
      </c>
      <c r="D199" s="387" t="s">
        <v>958</v>
      </c>
      <c r="E199" s="13" t="s">
        <v>118</v>
      </c>
      <c r="F199" s="13" t="s">
        <v>167</v>
      </c>
      <c r="G199" s="13" t="s">
        <v>963</v>
      </c>
      <c r="H199" s="13" t="s">
        <v>121</v>
      </c>
      <c r="I199" s="13" t="s">
        <v>147</v>
      </c>
      <c r="J199" s="13" t="s">
        <v>5</v>
      </c>
      <c r="K199" s="13" t="s">
        <v>123</v>
      </c>
      <c r="L199" s="13" t="s">
        <v>964</v>
      </c>
      <c r="M199" s="13" t="s">
        <v>125</v>
      </c>
      <c r="N199" s="13" t="s">
        <v>126</v>
      </c>
      <c r="O199" s="247">
        <v>0.51</v>
      </c>
      <c r="P199" s="13">
        <v>116</v>
      </c>
      <c r="Q199" s="13">
        <v>30</v>
      </c>
      <c r="R199" s="13" t="s">
        <v>127</v>
      </c>
      <c r="S199" s="430" t="str">
        <f t="shared" si="74"/>
        <v>N/A</v>
      </c>
      <c r="T199" s="247">
        <v>0.8</v>
      </c>
      <c r="U199" s="13">
        <v>200</v>
      </c>
      <c r="V199" s="13">
        <v>700</v>
      </c>
      <c r="W199" s="430">
        <f t="shared" ref="W199:W262" si="94">V199-U199</f>
        <v>500</v>
      </c>
      <c r="X199" s="430">
        <f t="shared" ref="X199:X262" si="95">AD199*10-V199</f>
        <v>160</v>
      </c>
      <c r="Y199" s="13">
        <v>200</v>
      </c>
      <c r="Z199" s="13">
        <v>700</v>
      </c>
      <c r="AA199" s="430">
        <f t="shared" si="75"/>
        <v>500</v>
      </c>
      <c r="AB199" s="430">
        <f t="shared" si="76"/>
        <v>160</v>
      </c>
      <c r="AC199" s="430" t="str">
        <f t="shared" si="77"/>
        <v>N/A</v>
      </c>
      <c r="AD199" s="430">
        <f t="shared" si="78"/>
        <v>86</v>
      </c>
      <c r="AE199" s="431">
        <f t="shared" si="79"/>
        <v>1.2386000000000001</v>
      </c>
      <c r="AF199" s="431"/>
      <c r="AG199" s="431">
        <f t="shared" si="80"/>
        <v>1.0760155172413794</v>
      </c>
      <c r="AH199" s="431">
        <f t="shared" si="81"/>
        <v>1.1405764482758622</v>
      </c>
      <c r="AI199" s="432">
        <f t="shared" si="82"/>
        <v>881.20365200000003</v>
      </c>
      <c r="AJ199" s="432">
        <f t="shared" si="83"/>
        <v>134.96343294030197</v>
      </c>
      <c r="AK199" s="432">
        <f t="shared" si="84"/>
        <v>147.57210288292276</v>
      </c>
      <c r="AL199" s="432">
        <f t="shared" si="85"/>
        <v>293.35204617783097</v>
      </c>
      <c r="AM199" s="250">
        <v>148</v>
      </c>
      <c r="AN199" s="432">
        <f t="shared" si="86"/>
        <v>171.68</v>
      </c>
      <c r="AO199" s="432">
        <f t="shared" si="87"/>
        <v>195.81416464000003</v>
      </c>
      <c r="AP199" s="432">
        <f t="shared" si="88"/>
        <v>652.71388213333341</v>
      </c>
      <c r="AQ199" s="255" t="s">
        <v>170</v>
      </c>
      <c r="AR199" s="13" t="s">
        <v>965</v>
      </c>
      <c r="AS199" s="434" t="s">
        <v>966</v>
      </c>
      <c r="AT199" s="429" t="s">
        <v>967</v>
      </c>
      <c r="AU199" s="241"/>
      <c r="AV199" s="243"/>
      <c r="AW199" s="72" t="s">
        <v>127</v>
      </c>
      <c r="AX199" s="243"/>
      <c r="AY199" s="71">
        <f t="shared" si="92"/>
        <v>0.60344827586206895</v>
      </c>
      <c r="BA199" s="72" t="str">
        <f t="shared" si="93"/>
        <v>W22</v>
      </c>
      <c r="BC199" s="32"/>
      <c r="BD199" s="241"/>
      <c r="BE199" s="241"/>
      <c r="BF199" s="71"/>
      <c r="BG199" s="241"/>
      <c r="BH199" s="241"/>
      <c r="BI199" s="71"/>
      <c r="BJ199" s="123"/>
      <c r="BK199" s="108"/>
      <c r="BL199" s="126"/>
      <c r="BM199" s="108"/>
      <c r="BN199" s="71"/>
      <c r="BO199" s="108"/>
      <c r="BP199" s="108"/>
      <c r="BQ199" s="105"/>
      <c r="BR199" s="106"/>
      <c r="BS199" s="106"/>
      <c r="BT199" s="262"/>
      <c r="BU199" s="269"/>
      <c r="BV199" s="263"/>
      <c r="BW199" s="132"/>
      <c r="BX199" s="269"/>
      <c r="BY199" s="269"/>
      <c r="BZ199" s="132"/>
      <c r="CA199" s="271"/>
    </row>
    <row r="200" spans="1:79" s="72" customFormat="1" ht="14.65" customHeight="1">
      <c r="A200" s="13" t="s">
        <v>466</v>
      </c>
      <c r="B200" s="387" t="s">
        <v>948</v>
      </c>
      <c r="C200" s="13" t="s">
        <v>573</v>
      </c>
      <c r="D200" s="387" t="s">
        <v>968</v>
      </c>
      <c r="E200" s="13" t="s">
        <v>118</v>
      </c>
      <c r="F200" s="387" t="s">
        <v>186</v>
      </c>
      <c r="G200" s="13" t="s">
        <v>969</v>
      </c>
      <c r="H200" s="13" t="s">
        <v>121</v>
      </c>
      <c r="I200" s="13" t="s">
        <v>147</v>
      </c>
      <c r="J200" s="13" t="s">
        <v>5</v>
      </c>
      <c r="K200" s="13" t="s">
        <v>123</v>
      </c>
      <c r="L200" s="13" t="s">
        <v>970</v>
      </c>
      <c r="M200" s="13" t="s">
        <v>125</v>
      </c>
      <c r="N200" s="13" t="s">
        <v>126</v>
      </c>
      <c r="O200" s="247">
        <v>0.5</v>
      </c>
      <c r="P200" s="13">
        <v>116</v>
      </c>
      <c r="Q200" s="13">
        <v>30</v>
      </c>
      <c r="R200" s="13" t="s">
        <v>127</v>
      </c>
      <c r="S200" s="430" t="str">
        <f t="shared" si="74"/>
        <v>N/A</v>
      </c>
      <c r="T200" s="247">
        <v>0.8</v>
      </c>
      <c r="U200" s="13">
        <v>150</v>
      </c>
      <c r="V200" s="13">
        <v>650</v>
      </c>
      <c r="W200" s="430">
        <f t="shared" si="94"/>
        <v>500</v>
      </c>
      <c r="X200" s="430">
        <f t="shared" si="95"/>
        <v>210</v>
      </c>
      <c r="Y200" s="13">
        <v>150</v>
      </c>
      <c r="Z200" s="13">
        <v>650</v>
      </c>
      <c r="AA200" s="430">
        <f t="shared" si="75"/>
        <v>500</v>
      </c>
      <c r="AB200" s="430">
        <f t="shared" si="76"/>
        <v>210</v>
      </c>
      <c r="AC200" s="430" t="str">
        <f t="shared" si="77"/>
        <v>N/A</v>
      </c>
      <c r="AD200" s="430">
        <f t="shared" si="78"/>
        <v>86</v>
      </c>
      <c r="AE200" s="431">
        <f t="shared" si="79"/>
        <v>1.23</v>
      </c>
      <c r="AF200" s="431"/>
      <c r="AG200" s="431">
        <f t="shared" si="80"/>
        <v>1.070603448275862</v>
      </c>
      <c r="AH200" s="431">
        <f t="shared" si="81"/>
        <v>1.1348396551724138</v>
      </c>
      <c r="AI200" s="432">
        <f t="shared" si="82"/>
        <v>880.5526000000001</v>
      </c>
      <c r="AJ200" s="432">
        <f t="shared" si="83"/>
        <v>135.90707970720166</v>
      </c>
      <c r="AK200" s="432">
        <f t="shared" si="84"/>
        <v>148.6039078299091</v>
      </c>
      <c r="AL200" s="432">
        <f t="shared" si="85"/>
        <v>295.40312552509062</v>
      </c>
      <c r="AM200" s="250">
        <v>149</v>
      </c>
      <c r="AN200" s="432">
        <f t="shared" si="86"/>
        <v>172.84</v>
      </c>
      <c r="AO200" s="432">
        <f t="shared" si="87"/>
        <v>196.14568600000001</v>
      </c>
      <c r="AP200" s="432">
        <f t="shared" si="88"/>
        <v>653.81895333333341</v>
      </c>
      <c r="AQ200" s="255">
        <v>45222</v>
      </c>
      <c r="AR200" s="13" t="s">
        <v>914</v>
      </c>
      <c r="AS200" s="434" t="s">
        <v>971</v>
      </c>
      <c r="AT200" s="429" t="s">
        <v>972</v>
      </c>
      <c r="AU200" s="250"/>
      <c r="AV200" s="255"/>
      <c r="AW200" s="13" t="s">
        <v>127</v>
      </c>
      <c r="AX200" s="255"/>
      <c r="AY200" s="103">
        <f t="shared" si="92"/>
        <v>0.56034482758620685</v>
      </c>
      <c r="AZ200" s="13"/>
      <c r="BA200" s="13" t="str">
        <f t="shared" si="93"/>
        <v>W22</v>
      </c>
      <c r="BC200" s="32"/>
      <c r="BD200" s="241"/>
      <c r="BE200" s="241"/>
      <c r="BF200" s="71"/>
      <c r="BG200" s="241"/>
      <c r="BH200" s="241"/>
      <c r="BI200" s="71"/>
      <c r="BJ200" s="123"/>
      <c r="BK200" s="108"/>
      <c r="BL200" s="126"/>
      <c r="BM200" s="108"/>
      <c r="BN200" s="71"/>
      <c r="BO200" s="108"/>
      <c r="BP200" s="108"/>
      <c r="BQ200" s="130"/>
      <c r="BR200" s="100"/>
      <c r="BS200" s="100"/>
      <c r="BT200" s="77"/>
      <c r="BU200" s="282"/>
      <c r="BV200" s="264"/>
      <c r="BW200" s="169"/>
      <c r="BX200" s="282"/>
      <c r="BY200" s="282"/>
      <c r="BZ200" s="169"/>
      <c r="CA200" s="271"/>
    </row>
    <row r="201" spans="1:79" s="22" customFormat="1">
      <c r="A201" s="13" t="s">
        <v>466</v>
      </c>
      <c r="B201" s="387" t="s">
        <v>948</v>
      </c>
      <c r="C201" s="13" t="s">
        <v>573</v>
      </c>
      <c r="D201" s="387" t="s">
        <v>968</v>
      </c>
      <c r="E201" s="13" t="s">
        <v>118</v>
      </c>
      <c r="F201" s="13" t="s">
        <v>119</v>
      </c>
      <c r="G201" s="13" t="s">
        <v>973</v>
      </c>
      <c r="H201" s="13" t="s">
        <v>121</v>
      </c>
      <c r="I201" s="13" t="s">
        <v>147</v>
      </c>
      <c r="J201" s="13" t="s">
        <v>5</v>
      </c>
      <c r="K201" s="13" t="s">
        <v>123</v>
      </c>
      <c r="L201" s="13" t="s">
        <v>974</v>
      </c>
      <c r="M201" s="13" t="s">
        <v>125</v>
      </c>
      <c r="N201" s="13" t="s">
        <v>126</v>
      </c>
      <c r="O201" s="247">
        <v>0.5</v>
      </c>
      <c r="P201" s="13">
        <v>114</v>
      </c>
      <c r="Q201" s="13">
        <v>30</v>
      </c>
      <c r="R201" s="13" t="s">
        <v>127</v>
      </c>
      <c r="S201" s="430" t="str">
        <f t="shared" ref="S201:S264" si="96">IF(R201="n/a","N/A",P201-R201)</f>
        <v>N/A</v>
      </c>
      <c r="T201" s="247">
        <v>0.8</v>
      </c>
      <c r="U201" s="13">
        <v>150</v>
      </c>
      <c r="V201" s="13">
        <v>650</v>
      </c>
      <c r="W201" s="430">
        <f t="shared" si="94"/>
        <v>500</v>
      </c>
      <c r="X201" s="430">
        <f t="shared" si="95"/>
        <v>190</v>
      </c>
      <c r="Y201" s="13">
        <v>150</v>
      </c>
      <c r="Z201" s="13">
        <v>650</v>
      </c>
      <c r="AA201" s="430">
        <f t="shared" ref="AA201:AA264" si="97">Z201-Y201</f>
        <v>500</v>
      </c>
      <c r="AB201" s="430">
        <f t="shared" ref="AB201:AB264" si="98">AD201*10-Z201</f>
        <v>190</v>
      </c>
      <c r="AC201" s="430" t="str">
        <f t="shared" ref="AC201:AC264" si="99">IF(J201="clear","N/A",((Q201-R201)*10))</f>
        <v>N/A</v>
      </c>
      <c r="AD201" s="430">
        <f t="shared" ref="AD201:AD264" si="100">P201-Q201</f>
        <v>84</v>
      </c>
      <c r="AE201" s="431">
        <f t="shared" ref="AE201:AE264" si="101">T201+(O201/100*AD201)</f>
        <v>1.22</v>
      </c>
      <c r="AF201" s="431"/>
      <c r="AG201" s="431">
        <f t="shared" ref="AG201:AG264" si="102">(((T201+(0.5*(AE201-T201)))*AD201)+(AE201*Q201))/P201</f>
        <v>1.0652631578947369</v>
      </c>
      <c r="AH201" s="431">
        <f t="shared" ref="AH201:AH264" si="103">IF(MID(G201,2,2)="10",(AG201/1000*$W$2),(IF(MID(G201,2,2)="11",(AG201/1000*$X$2),(IF(MID(G201,2,2)="12",(AG201/1000*$Y$2),(IF(MID(G201,2,2)="13",(AG201/1000*$Z$2),(IF(MID(G201,2,2)="20",(AG201/1000*$AA$2),(IF(MID(G201,2,2)="21",(AG201/1000*$AB$2),(IF(MID(G201,2,2)="22",(AG201/1000*$AC$2),(IF(MID(G201,2,2)="23",(AG201/1000*$AD$2),(IF(MID(G201,2,2)="50",(AG201/1000*$AE$2),(IF(MID(G201,2,2)="51",(AG201/1000*$AG$2),"?")))))))))))))))))))</f>
        <v>1.1291789473684211</v>
      </c>
      <c r="AI201" s="432">
        <f t="shared" ref="AI201:AI264" si="104">IF(MID(G201,2,2)="10",((T201+O201*(6.142)/100)*$W$2),(IF(MID(G201,2,2)="11",((T201+O201*(6.142)/100)*$X$2),(IF(MID(G201,2,2)="12",((T201+O201*(6.142)/100)*$Y$2),(IF(MID(G201,2,2)="13",((T201+O201*(6.142)/100)*$Z$2),(IF(MID(G201,2,2)="20",((T201+O201*(6.142)/100)*$AA$2),(IF(MID(G201,2,2)="21",((T201+O201*(6.142)/100)*$AB$2),(IF(MID(G201,2,2)="22",((T201+O201*(6.142)/100)*$AC$2),(IF(MID(G201,2,2)="23",((T201+O201*(6.142)/100)*$AD$2),(IF(MID(G201,2,2)="50",((T201+O201*(6.142)/100)*$AE$2),(IF(MID(G201,2,2)="51",((T201+O201*(6.142)/100)*$AG$2),"?")))))))))))))))))))</f>
        <v>880.5526000000001</v>
      </c>
      <c r="AJ201" s="432">
        <f t="shared" ref="AJ201:AJ264" si="105">(PI()*((49/2)^2-(16.51/2)^2)/(AE201/10))/100</f>
        <v>137.02107216381808</v>
      </c>
      <c r="AK201" s="432">
        <f t="shared" ref="AK201:AK264" si="106">(PI()*((51/2)^2-(16.545/2)^2)/(AE201/10))/100</f>
        <v>149.82197264818703</v>
      </c>
      <c r="AL201" s="432">
        <f t="shared" ref="AL201:AL264" si="107">(PI()*((70/2)^2-(16.545/2)^2)/(AE201/10))/100</f>
        <v>297.82446261955857</v>
      </c>
      <c r="AM201" s="250">
        <v>150</v>
      </c>
      <c r="AN201" s="432">
        <f t="shared" ref="AN201:AN264" si="108">AM201*P201/100</f>
        <v>171</v>
      </c>
      <c r="AO201" s="432">
        <f t="shared" ref="AO201:AO264" si="109">AN201*AH201</f>
        <v>193.08959999999999</v>
      </c>
      <c r="AP201" s="432">
        <f t="shared" ref="AP201:AP264" si="110">AO201/(Q201/100)</f>
        <v>643.63199999999995</v>
      </c>
      <c r="AQ201" s="255" t="s">
        <v>132</v>
      </c>
      <c r="AR201" s="13" t="s">
        <v>975</v>
      </c>
      <c r="AS201" s="434" t="s">
        <v>976</v>
      </c>
      <c r="AT201" s="429" t="s">
        <v>977</v>
      </c>
      <c r="AU201" s="252"/>
      <c r="AV201" s="260"/>
      <c r="AW201" s="13"/>
      <c r="AX201" s="260"/>
      <c r="AY201" s="103">
        <f t="shared" si="92"/>
        <v>0.57017543859649122</v>
      </c>
      <c r="BA201" s="13" t="str">
        <f t="shared" si="93"/>
        <v>W22</v>
      </c>
      <c r="BB201" s="72"/>
      <c r="BC201" s="32"/>
      <c r="BD201" s="241"/>
      <c r="BE201" s="241"/>
      <c r="BF201" s="71"/>
      <c r="BG201" s="241"/>
      <c r="BH201" s="241"/>
      <c r="BI201" s="71"/>
      <c r="BJ201" s="114"/>
      <c r="BK201" s="88"/>
      <c r="BL201" s="128"/>
      <c r="BM201" s="88"/>
      <c r="BN201" s="80"/>
      <c r="BO201" s="88"/>
      <c r="BP201" s="88"/>
      <c r="BQ201" s="108"/>
      <c r="BR201" s="71"/>
      <c r="BS201" s="71"/>
      <c r="BT201" s="72"/>
      <c r="BU201" s="78"/>
      <c r="BV201" s="32"/>
      <c r="BW201" s="127"/>
      <c r="BX201" s="78"/>
      <c r="BY201" s="78"/>
      <c r="BZ201" s="127"/>
      <c r="CA201" s="76"/>
    </row>
    <row r="202" spans="1:79" s="22" customFormat="1">
      <c r="A202" s="13" t="s">
        <v>466</v>
      </c>
      <c r="B202" s="387" t="s">
        <v>948</v>
      </c>
      <c r="C202" s="13" t="s">
        <v>588</v>
      </c>
      <c r="D202" s="387" t="s">
        <v>978</v>
      </c>
      <c r="E202" s="13" t="s">
        <v>118</v>
      </c>
      <c r="F202" s="13" t="s">
        <v>119</v>
      </c>
      <c r="G202" s="13" t="s">
        <v>979</v>
      </c>
      <c r="H202" s="13" t="s">
        <v>121</v>
      </c>
      <c r="I202" s="13" t="s">
        <v>147</v>
      </c>
      <c r="J202" s="13" t="s">
        <v>5</v>
      </c>
      <c r="K202" s="13" t="s">
        <v>123</v>
      </c>
      <c r="L202" s="13" t="s">
        <v>980</v>
      </c>
      <c r="M202" s="13" t="s">
        <v>125</v>
      </c>
      <c r="N202" s="13" t="s">
        <v>126</v>
      </c>
      <c r="O202" s="247">
        <v>0.25</v>
      </c>
      <c r="P202" s="13">
        <v>106</v>
      </c>
      <c r="Q202" s="13">
        <v>25</v>
      </c>
      <c r="R202" s="13" t="s">
        <v>127</v>
      </c>
      <c r="S202" s="430" t="str">
        <f t="shared" si="96"/>
        <v>N/A</v>
      </c>
      <c r="T202" s="247">
        <v>0.8</v>
      </c>
      <c r="U202" s="13">
        <v>200</v>
      </c>
      <c r="V202" s="13">
        <v>600</v>
      </c>
      <c r="W202" s="430">
        <f t="shared" si="94"/>
        <v>400</v>
      </c>
      <c r="X202" s="430">
        <f t="shared" si="95"/>
        <v>210</v>
      </c>
      <c r="Y202" s="13">
        <v>200</v>
      </c>
      <c r="Z202" s="13">
        <v>600</v>
      </c>
      <c r="AA202" s="430">
        <f t="shared" si="97"/>
        <v>400</v>
      </c>
      <c r="AB202" s="430">
        <f t="shared" si="98"/>
        <v>210</v>
      </c>
      <c r="AC202" s="430" t="str">
        <f t="shared" si="99"/>
        <v>N/A</v>
      </c>
      <c r="AD202" s="430">
        <f t="shared" si="100"/>
        <v>81</v>
      </c>
      <c r="AE202" s="431">
        <f t="shared" si="101"/>
        <v>1.0024999999999999</v>
      </c>
      <c r="AF202" s="431"/>
      <c r="AG202" s="431">
        <f t="shared" si="102"/>
        <v>0.92512971698113211</v>
      </c>
      <c r="AH202" s="431">
        <f t="shared" si="103"/>
        <v>0.98063750000000005</v>
      </c>
      <c r="AI202" s="432">
        <f t="shared" si="104"/>
        <v>864.27630000000011</v>
      </c>
      <c r="AJ202" s="432">
        <f t="shared" si="105"/>
        <v>166.74883594998309</v>
      </c>
      <c r="AK202" s="432">
        <f t="shared" si="106"/>
        <v>182.32698915789345</v>
      </c>
      <c r="AL202" s="432">
        <f t="shared" si="107"/>
        <v>362.43974503327831</v>
      </c>
      <c r="AM202" s="250">
        <v>182</v>
      </c>
      <c r="AN202" s="432">
        <f t="shared" si="108"/>
        <v>192.92</v>
      </c>
      <c r="AO202" s="432">
        <f t="shared" si="109"/>
        <v>189.18458649999999</v>
      </c>
      <c r="AP202" s="432">
        <f t="shared" si="110"/>
        <v>756.73834599999998</v>
      </c>
      <c r="AQ202" s="255">
        <v>45444</v>
      </c>
      <c r="AR202" s="13" t="s">
        <v>975</v>
      </c>
      <c r="AS202" s="434" t="s">
        <v>981</v>
      </c>
      <c r="AT202" s="429"/>
      <c r="AU202" s="252"/>
      <c r="AV202" s="260"/>
      <c r="AW202" s="13"/>
      <c r="AX202" s="260"/>
      <c r="AY202" s="103">
        <f t="shared" si="92"/>
        <v>0.56603773584905659</v>
      </c>
      <c r="BA202" s="13"/>
      <c r="BB202" s="72"/>
      <c r="BC202" s="32"/>
      <c r="BD202" s="241"/>
      <c r="BE202" s="241"/>
      <c r="BF202" s="71"/>
      <c r="BG202" s="241"/>
      <c r="BH202" s="241"/>
      <c r="BI202" s="71"/>
      <c r="BJ202" s="114"/>
      <c r="BK202" s="88"/>
      <c r="BL202" s="128"/>
      <c r="BM202" s="88"/>
      <c r="BN202" s="80"/>
      <c r="BO202" s="88"/>
      <c r="BP202" s="88"/>
      <c r="BQ202" s="71"/>
      <c r="BR202" s="71"/>
      <c r="BS202" s="71"/>
      <c r="BT202" s="72"/>
      <c r="BU202" s="78"/>
      <c r="BV202" s="32"/>
      <c r="BW202" s="127"/>
      <c r="BX202" s="78"/>
      <c r="BY202" s="78"/>
      <c r="BZ202" s="127"/>
      <c r="CA202" s="76"/>
    </row>
    <row r="203" spans="1:79" s="22" customFormat="1">
      <c r="A203" s="13" t="s">
        <v>466</v>
      </c>
      <c r="B203" s="387" t="s">
        <v>948</v>
      </c>
      <c r="C203" s="13" t="s">
        <v>588</v>
      </c>
      <c r="D203" s="387" t="s">
        <v>978</v>
      </c>
      <c r="E203" s="13" t="s">
        <v>118</v>
      </c>
      <c r="F203" s="13" t="s">
        <v>119</v>
      </c>
      <c r="G203" s="13" t="s">
        <v>982</v>
      </c>
      <c r="H203" s="13" t="s">
        <v>121</v>
      </c>
      <c r="I203" s="13" t="s">
        <v>147</v>
      </c>
      <c r="J203" s="13" t="s">
        <v>5</v>
      </c>
      <c r="K203" s="13" t="s">
        <v>123</v>
      </c>
      <c r="L203" s="13" t="s">
        <v>983</v>
      </c>
      <c r="M203" s="13" t="s">
        <v>125</v>
      </c>
      <c r="N203" s="13" t="s">
        <v>126</v>
      </c>
      <c r="O203" s="247">
        <v>0.25</v>
      </c>
      <c r="P203" s="13">
        <v>106</v>
      </c>
      <c r="Q203" s="13">
        <v>20</v>
      </c>
      <c r="R203" s="13" t="s">
        <v>127</v>
      </c>
      <c r="S203" s="430" t="str">
        <f t="shared" si="96"/>
        <v>N/A</v>
      </c>
      <c r="T203" s="247">
        <v>0.8</v>
      </c>
      <c r="U203" s="13">
        <v>250</v>
      </c>
      <c r="V203" s="13">
        <v>700</v>
      </c>
      <c r="W203" s="430">
        <f t="shared" si="94"/>
        <v>450</v>
      </c>
      <c r="X203" s="430">
        <f t="shared" si="95"/>
        <v>160</v>
      </c>
      <c r="Y203" s="13">
        <v>250</v>
      </c>
      <c r="Z203" s="13">
        <v>700</v>
      </c>
      <c r="AA203" s="430">
        <f t="shared" si="97"/>
        <v>450</v>
      </c>
      <c r="AB203" s="430">
        <f t="shared" si="98"/>
        <v>160</v>
      </c>
      <c r="AC203" s="430" t="str">
        <f t="shared" si="99"/>
        <v>N/A</v>
      </c>
      <c r="AD203" s="430">
        <f t="shared" si="100"/>
        <v>86</v>
      </c>
      <c r="AE203" s="431">
        <f t="shared" si="101"/>
        <v>1.0150000000000001</v>
      </c>
      <c r="AF203" s="431"/>
      <c r="AG203" s="431">
        <f t="shared" si="102"/>
        <v>0.92778301886792447</v>
      </c>
      <c r="AH203" s="431">
        <f t="shared" si="103"/>
        <v>0.98344999999999994</v>
      </c>
      <c r="AI203" s="432">
        <f t="shared" si="104"/>
        <v>864.27630000000011</v>
      </c>
      <c r="AJ203" s="432">
        <f t="shared" si="105"/>
        <v>164.69527885700296</v>
      </c>
      <c r="AK203" s="432">
        <f t="shared" si="106"/>
        <v>180.08158288747603</v>
      </c>
      <c r="AL203" s="432">
        <f t="shared" si="107"/>
        <v>357.9762013752329</v>
      </c>
      <c r="AM203" s="250">
        <v>180</v>
      </c>
      <c r="AN203" s="432">
        <f t="shared" si="108"/>
        <v>190.8</v>
      </c>
      <c r="AO203" s="432">
        <f t="shared" si="109"/>
        <v>187.64225999999999</v>
      </c>
      <c r="AP203" s="432">
        <f t="shared" si="110"/>
        <v>938.21129999999994</v>
      </c>
      <c r="AQ203" s="255">
        <v>45566</v>
      </c>
      <c r="AR203" s="13" t="s">
        <v>984</v>
      </c>
      <c r="AS203" s="434" t="s">
        <v>985</v>
      </c>
      <c r="AT203" s="429" t="s">
        <v>986</v>
      </c>
      <c r="AU203" s="252"/>
      <c r="AV203" s="260"/>
      <c r="AW203" s="13"/>
      <c r="AX203" s="260"/>
      <c r="AY203" s="103">
        <f t="shared" si="92"/>
        <v>0.660377358490566</v>
      </c>
      <c r="BA203" s="13"/>
      <c r="BB203" s="72"/>
      <c r="BC203" s="32"/>
      <c r="BD203" s="241"/>
      <c r="BE203" s="241"/>
      <c r="BF203" s="71"/>
      <c r="BG203" s="241"/>
      <c r="BH203" s="241"/>
      <c r="BI203" s="71"/>
      <c r="BJ203" s="114"/>
      <c r="BK203" s="88"/>
      <c r="BL203" s="128"/>
      <c r="BM203" s="88"/>
      <c r="BN203" s="80"/>
      <c r="BO203" s="88"/>
      <c r="BP203" s="88"/>
      <c r="BQ203" s="155"/>
      <c r="BR203" s="159"/>
      <c r="BS203" s="100"/>
      <c r="BT203" s="72"/>
      <c r="BU203" s="78"/>
      <c r="BV203" s="32"/>
      <c r="BW203" s="127"/>
      <c r="BX203" s="78"/>
      <c r="BY203" s="78"/>
      <c r="BZ203" s="127"/>
      <c r="CA203" s="76"/>
    </row>
    <row r="204" spans="1:79" s="22" customFormat="1">
      <c r="A204" s="13" t="s">
        <v>466</v>
      </c>
      <c r="B204" s="387" t="s">
        <v>948</v>
      </c>
      <c r="C204" s="13" t="s">
        <v>588</v>
      </c>
      <c r="D204" s="387" t="s">
        <v>978</v>
      </c>
      <c r="E204" s="13" t="s">
        <v>118</v>
      </c>
      <c r="F204" s="13" t="s">
        <v>119</v>
      </c>
      <c r="G204" s="13" t="s">
        <v>987</v>
      </c>
      <c r="H204" s="13" t="s">
        <v>121</v>
      </c>
      <c r="I204" s="13" t="s">
        <v>147</v>
      </c>
      <c r="J204" s="13" t="s">
        <v>5</v>
      </c>
      <c r="K204" s="13" t="s">
        <v>123</v>
      </c>
      <c r="L204" s="13"/>
      <c r="M204" s="13" t="s">
        <v>125</v>
      </c>
      <c r="N204" s="13" t="s">
        <v>126</v>
      </c>
      <c r="O204" s="247">
        <v>0.25</v>
      </c>
      <c r="P204" s="13">
        <v>106</v>
      </c>
      <c r="Q204" s="13">
        <v>10</v>
      </c>
      <c r="R204" s="13" t="s">
        <v>127</v>
      </c>
      <c r="S204" s="430" t="str">
        <f t="shared" si="96"/>
        <v>N/A</v>
      </c>
      <c r="T204" s="247">
        <v>0.8</v>
      </c>
      <c r="U204" s="13">
        <v>330</v>
      </c>
      <c r="V204" s="13">
        <v>830</v>
      </c>
      <c r="W204" s="430">
        <f t="shared" si="94"/>
        <v>500</v>
      </c>
      <c r="X204" s="430">
        <f t="shared" si="95"/>
        <v>130</v>
      </c>
      <c r="Y204" s="13">
        <v>330</v>
      </c>
      <c r="Z204" s="13">
        <v>830</v>
      </c>
      <c r="AA204" s="430">
        <f t="shared" si="97"/>
        <v>500</v>
      </c>
      <c r="AB204" s="430">
        <f t="shared" si="98"/>
        <v>130</v>
      </c>
      <c r="AC204" s="430" t="str">
        <f t="shared" si="99"/>
        <v>N/A</v>
      </c>
      <c r="AD204" s="430">
        <f t="shared" si="100"/>
        <v>96</v>
      </c>
      <c r="AE204" s="431">
        <f t="shared" si="101"/>
        <v>1.04</v>
      </c>
      <c r="AF204" s="431"/>
      <c r="AG204" s="431">
        <f t="shared" si="102"/>
        <v>0.93132075471698128</v>
      </c>
      <c r="AH204" s="431">
        <f t="shared" si="103"/>
        <v>0.98720000000000019</v>
      </c>
      <c r="AI204" s="432">
        <f t="shared" si="104"/>
        <v>864.27630000000011</v>
      </c>
      <c r="AJ204" s="432">
        <f t="shared" si="105"/>
        <v>160.7362577306327</v>
      </c>
      <c r="AK204" s="432">
        <f t="shared" si="106"/>
        <v>175.75269868345015</v>
      </c>
      <c r="AL204" s="432">
        <f t="shared" si="107"/>
        <v>349.37100422678981</v>
      </c>
      <c r="AM204" s="250">
        <v>120</v>
      </c>
      <c r="AN204" s="432">
        <f t="shared" si="108"/>
        <v>127.2</v>
      </c>
      <c r="AO204" s="432">
        <f t="shared" si="109"/>
        <v>125.57184000000002</v>
      </c>
      <c r="AP204" s="432">
        <f t="shared" si="110"/>
        <v>1255.7184000000002</v>
      </c>
      <c r="AQ204" s="255" t="s">
        <v>132</v>
      </c>
      <c r="AR204" s="13" t="s">
        <v>988</v>
      </c>
      <c r="AS204" s="434"/>
      <c r="AT204" s="429" t="s">
        <v>989</v>
      </c>
      <c r="AU204" s="252"/>
      <c r="AV204" s="260"/>
      <c r="AW204" s="13"/>
      <c r="AX204" s="260"/>
      <c r="AY204" s="103"/>
      <c r="BA204" s="13"/>
      <c r="BB204" s="72"/>
      <c r="BC204" s="32"/>
      <c r="BD204" s="241"/>
      <c r="BE204" s="241"/>
      <c r="BF204" s="71"/>
      <c r="BG204" s="241"/>
      <c r="BH204" s="241"/>
      <c r="BI204" s="71"/>
      <c r="BJ204" s="114"/>
      <c r="BK204" s="88"/>
      <c r="BL204" s="128"/>
      <c r="BM204" s="88"/>
      <c r="BN204" s="80"/>
      <c r="BO204" s="88"/>
      <c r="BP204" s="88"/>
      <c r="BQ204" s="103"/>
      <c r="BR204" s="71"/>
      <c r="BS204" s="71"/>
      <c r="BT204" s="13">
        <f>P204-V204/10-120/10</f>
        <v>11</v>
      </c>
      <c r="BU204" s="79">
        <f>BT204-Q204</f>
        <v>1</v>
      </c>
      <c r="BV204" s="29">
        <f>T204+(O204/100*(P204-BT204))</f>
        <v>1.0375000000000001</v>
      </c>
      <c r="BW204" s="86">
        <f>(AE204-BV204)/AE204</f>
        <v>2.4038461538461024E-3</v>
      </c>
      <c r="BX204" s="79">
        <f>(PI()*((51/2)^2-(16.545/2)^2)/(BV204/10))/100</f>
        <v>176.17619916220545</v>
      </c>
      <c r="BY204" s="79">
        <f>BX204-AK204</f>
        <v>0.42350047875530095</v>
      </c>
      <c r="BZ204" s="86">
        <f>BY204/AK204</f>
        <v>2.4096385542168638E-3</v>
      </c>
      <c r="CA204" s="76"/>
    </row>
    <row r="205" spans="1:79" s="22" customFormat="1">
      <c r="A205" s="13" t="s">
        <v>466</v>
      </c>
      <c r="B205" s="387" t="s">
        <v>948</v>
      </c>
      <c r="C205" s="13" t="s">
        <v>588</v>
      </c>
      <c r="D205" s="387" t="s">
        <v>949</v>
      </c>
      <c r="E205" s="13" t="s">
        <v>118</v>
      </c>
      <c r="F205" s="13" t="s">
        <v>186</v>
      </c>
      <c r="G205" s="13" t="s">
        <v>990</v>
      </c>
      <c r="H205" s="13" t="s">
        <v>121</v>
      </c>
      <c r="I205" s="13" t="s">
        <v>147</v>
      </c>
      <c r="J205" s="13" t="s">
        <v>5</v>
      </c>
      <c r="K205" s="13" t="s">
        <v>140</v>
      </c>
      <c r="L205" s="13" t="s">
        <v>991</v>
      </c>
      <c r="M205" s="13"/>
      <c r="N205" s="13" t="s">
        <v>142</v>
      </c>
      <c r="O205" s="247">
        <v>0.21</v>
      </c>
      <c r="P205" s="13">
        <v>113</v>
      </c>
      <c r="Q205" s="13">
        <v>30</v>
      </c>
      <c r="R205" s="13" t="s">
        <v>127</v>
      </c>
      <c r="S205" s="430" t="str">
        <f t="shared" si="96"/>
        <v>N/A</v>
      </c>
      <c r="T205" s="247">
        <v>0.76</v>
      </c>
      <c r="U205" s="13">
        <v>300</v>
      </c>
      <c r="V205" s="13">
        <v>600</v>
      </c>
      <c r="W205" s="430">
        <f t="shared" si="94"/>
        <v>300</v>
      </c>
      <c r="X205" s="430">
        <f t="shared" si="95"/>
        <v>230</v>
      </c>
      <c r="Y205" s="13">
        <v>200</v>
      </c>
      <c r="Z205" s="13">
        <v>700</v>
      </c>
      <c r="AA205" s="430">
        <f t="shared" si="97"/>
        <v>500</v>
      </c>
      <c r="AB205" s="430">
        <f t="shared" si="98"/>
        <v>130</v>
      </c>
      <c r="AC205" s="430" t="str">
        <f t="shared" si="99"/>
        <v>N/A</v>
      </c>
      <c r="AD205" s="430">
        <f t="shared" si="100"/>
        <v>83</v>
      </c>
      <c r="AE205" s="431">
        <f t="shared" si="101"/>
        <v>0.93430000000000002</v>
      </c>
      <c r="AF205" s="431"/>
      <c r="AG205" s="431">
        <f t="shared" si="102"/>
        <v>0.8702871681415929</v>
      </c>
      <c r="AH205" s="431">
        <f t="shared" si="103"/>
        <v>0.92685583407079641</v>
      </c>
      <c r="AI205" s="432">
        <f t="shared" si="104"/>
        <v>823.13658299999997</v>
      </c>
      <c r="AJ205" s="432">
        <f t="shared" si="105"/>
        <v>178.92080492332016</v>
      </c>
      <c r="AK205" s="432">
        <f t="shared" si="106"/>
        <v>195.63609828833157</v>
      </c>
      <c r="AL205" s="432">
        <f t="shared" si="107"/>
        <v>388.89633350729048</v>
      </c>
      <c r="AM205" s="250">
        <v>196</v>
      </c>
      <c r="AN205" s="432">
        <f t="shared" si="108"/>
        <v>221.48</v>
      </c>
      <c r="AO205" s="432">
        <f t="shared" si="109"/>
        <v>205.28003012999997</v>
      </c>
      <c r="AP205" s="432">
        <f t="shared" si="110"/>
        <v>684.26676709999992</v>
      </c>
      <c r="AQ205" s="255">
        <v>45130</v>
      </c>
      <c r="AR205" s="13" t="s">
        <v>525</v>
      </c>
      <c r="AS205" s="434" t="s">
        <v>992</v>
      </c>
      <c r="AT205" s="429"/>
      <c r="AU205" s="252"/>
      <c r="AV205" s="260"/>
      <c r="AW205" s="13" t="s">
        <v>127</v>
      </c>
      <c r="AX205" s="260"/>
      <c r="AY205" s="103">
        <f t="shared" ref="AY205:AY219" si="111">(V205/10)/P205</f>
        <v>0.53097345132743368</v>
      </c>
      <c r="BA205" s="13" t="str">
        <f t="shared" ref="BA205:BA219" si="112">LEFT(G205,3)</f>
        <v>W50</v>
      </c>
      <c r="BB205" s="72" t="str">
        <f>IF(R205="n/a","Clear","S/B")</f>
        <v>Clear</v>
      </c>
      <c r="BC205" s="32"/>
      <c r="BD205" s="241"/>
      <c r="BE205" s="241"/>
      <c r="BF205" s="71"/>
      <c r="BG205" s="241"/>
      <c r="BH205" s="241"/>
      <c r="BI205" s="71"/>
      <c r="BJ205" s="114"/>
      <c r="BK205" s="88"/>
      <c r="BL205" s="128"/>
      <c r="BM205" s="88"/>
      <c r="BN205" s="80"/>
      <c r="BO205" s="88"/>
      <c r="BP205" s="88"/>
      <c r="BQ205" s="83"/>
      <c r="BR205" s="71"/>
      <c r="BS205" s="71"/>
      <c r="BT205" s="13">
        <f>P205-V205/10-120/10</f>
        <v>41</v>
      </c>
      <c r="BU205" s="79">
        <f>BT205-Q205</f>
        <v>11</v>
      </c>
      <c r="BV205" s="29">
        <f>T205+(O205/100*(P205-BT205))</f>
        <v>0.91120000000000001</v>
      </c>
      <c r="BW205" s="86">
        <f>(AE205-BV205)/AE205</f>
        <v>2.4724392593385432E-2</v>
      </c>
      <c r="BX205" s="79">
        <f>(PI()*((51/2)^2-(16.545/2)^2)/(BV205/10))/100</f>
        <v>200.59570525766918</v>
      </c>
      <c r="BY205" s="79">
        <f>BX205-AK205</f>
        <v>4.9596069693376137</v>
      </c>
      <c r="BZ205" s="86">
        <f>BY205/AK205</f>
        <v>2.5351185250219347E-2</v>
      </c>
      <c r="CA205" s="76"/>
    </row>
    <row r="206" spans="1:79" s="22" customFormat="1">
      <c r="A206" s="13" t="s">
        <v>466</v>
      </c>
      <c r="B206" s="387" t="s">
        <v>948</v>
      </c>
      <c r="C206" s="13" t="s">
        <v>993</v>
      </c>
      <c r="D206" s="387" t="s">
        <v>994</v>
      </c>
      <c r="E206" s="13" t="s">
        <v>118</v>
      </c>
      <c r="F206" s="13" t="s">
        <v>119</v>
      </c>
      <c r="G206" s="13" t="s">
        <v>995</v>
      </c>
      <c r="H206" s="13" t="s">
        <v>121</v>
      </c>
      <c r="I206" s="13" t="s">
        <v>147</v>
      </c>
      <c r="J206" s="13" t="s">
        <v>5</v>
      </c>
      <c r="K206" s="13" t="s">
        <v>123</v>
      </c>
      <c r="L206" s="13" t="s">
        <v>996</v>
      </c>
      <c r="M206" s="13" t="s">
        <v>125</v>
      </c>
      <c r="N206" s="13" t="s">
        <v>126</v>
      </c>
      <c r="O206" s="247">
        <v>0.56000000000000005</v>
      </c>
      <c r="P206" s="13">
        <v>101</v>
      </c>
      <c r="Q206" s="13">
        <v>30</v>
      </c>
      <c r="R206" s="13" t="s">
        <v>127</v>
      </c>
      <c r="S206" s="430" t="str">
        <f t="shared" si="96"/>
        <v>N/A</v>
      </c>
      <c r="T206" s="247">
        <v>0.8</v>
      </c>
      <c r="U206" s="13">
        <v>180</v>
      </c>
      <c r="V206" s="13">
        <v>580</v>
      </c>
      <c r="W206" s="430">
        <f t="shared" si="94"/>
        <v>400</v>
      </c>
      <c r="X206" s="430">
        <f t="shared" si="95"/>
        <v>130</v>
      </c>
      <c r="Y206" s="13">
        <v>150</v>
      </c>
      <c r="Z206" s="13">
        <v>600</v>
      </c>
      <c r="AA206" s="430">
        <f t="shared" si="97"/>
        <v>450</v>
      </c>
      <c r="AB206" s="430">
        <f t="shared" si="98"/>
        <v>110</v>
      </c>
      <c r="AC206" s="430" t="str">
        <f t="shared" si="99"/>
        <v>N/A</v>
      </c>
      <c r="AD206" s="430">
        <f t="shared" si="100"/>
        <v>71</v>
      </c>
      <c r="AE206" s="431">
        <f t="shared" si="101"/>
        <v>1.1976</v>
      </c>
      <c r="AF206" s="431"/>
      <c r="AG206" s="431">
        <f t="shared" si="102"/>
        <v>1.057849504950495</v>
      </c>
      <c r="AH206" s="431">
        <f t="shared" si="103"/>
        <v>1.1213204752475248</v>
      </c>
      <c r="AI206" s="432">
        <f t="shared" si="104"/>
        <v>884.45891200000005</v>
      </c>
      <c r="AJ206" s="432">
        <f t="shared" si="105"/>
        <v>139.58392454897964</v>
      </c>
      <c r="AK206" s="432">
        <f t="shared" si="106"/>
        <v>152.62425403372424</v>
      </c>
      <c r="AL206" s="432">
        <f t="shared" si="107"/>
        <v>303.39499365051893</v>
      </c>
      <c r="AM206" s="250">
        <v>153</v>
      </c>
      <c r="AN206" s="432">
        <f t="shared" si="108"/>
        <v>154.53</v>
      </c>
      <c r="AO206" s="432">
        <f t="shared" si="109"/>
        <v>173.27765303999999</v>
      </c>
      <c r="AP206" s="432">
        <f t="shared" si="110"/>
        <v>577.59217679999995</v>
      </c>
      <c r="AQ206" s="255">
        <v>45039</v>
      </c>
      <c r="AR206" s="13" t="s">
        <v>850</v>
      </c>
      <c r="AS206" s="434" t="s">
        <v>997</v>
      </c>
      <c r="AT206" s="429"/>
      <c r="AU206" s="252"/>
      <c r="AV206" s="260"/>
      <c r="AW206" s="13" t="s">
        <v>127</v>
      </c>
      <c r="AX206" s="260"/>
      <c r="AY206" s="103">
        <f t="shared" si="111"/>
        <v>0.57425742574257421</v>
      </c>
      <c r="BA206" s="13" t="str">
        <f t="shared" si="112"/>
        <v>W22</v>
      </c>
      <c r="BB206" s="72" t="str">
        <f>IF(R206="n/a","Clear","S/B")</f>
        <v>Clear</v>
      </c>
      <c r="BC206" s="32"/>
      <c r="BD206" s="241"/>
      <c r="BE206" s="241"/>
      <c r="BF206" s="71"/>
      <c r="BG206" s="241"/>
      <c r="BH206" s="241"/>
      <c r="BI206" s="71"/>
      <c r="BJ206" s="114"/>
      <c r="BK206" s="111"/>
      <c r="BL206" s="112"/>
      <c r="BM206" s="111"/>
      <c r="BN206" s="123"/>
      <c r="BO206" s="83"/>
      <c r="BP206" s="88"/>
      <c r="BQ206" s="115"/>
      <c r="BR206" s="113"/>
      <c r="BS206" s="80"/>
      <c r="BU206" s="87"/>
      <c r="BV206" s="73"/>
      <c r="BW206" s="109"/>
      <c r="BX206" s="87"/>
      <c r="BY206" s="87"/>
      <c r="BZ206" s="109"/>
      <c r="CA206" s="284"/>
    </row>
    <row r="207" spans="1:79" s="77" customFormat="1">
      <c r="A207" s="13" t="s">
        <v>466</v>
      </c>
      <c r="B207" s="387" t="s">
        <v>948</v>
      </c>
      <c r="C207" s="13" t="s">
        <v>993</v>
      </c>
      <c r="D207" s="387" t="s">
        <v>994</v>
      </c>
      <c r="E207" s="13" t="s">
        <v>118</v>
      </c>
      <c r="F207" s="13" t="s">
        <v>167</v>
      </c>
      <c r="G207" s="13" t="s">
        <v>998</v>
      </c>
      <c r="H207" s="13" t="s">
        <v>121</v>
      </c>
      <c r="I207" s="13" t="s">
        <v>147</v>
      </c>
      <c r="J207" s="13" t="s">
        <v>5</v>
      </c>
      <c r="K207" s="13" t="s">
        <v>123</v>
      </c>
      <c r="L207" s="13" t="s">
        <v>999</v>
      </c>
      <c r="M207" s="13" t="s">
        <v>125</v>
      </c>
      <c r="N207" s="13" t="s">
        <v>126</v>
      </c>
      <c r="O207" s="247">
        <v>0.56000000000000005</v>
      </c>
      <c r="P207" s="13">
        <v>100</v>
      </c>
      <c r="Q207" s="13">
        <v>30</v>
      </c>
      <c r="R207" s="13" t="s">
        <v>127</v>
      </c>
      <c r="S207" s="430" t="str">
        <f t="shared" si="96"/>
        <v>N/A</v>
      </c>
      <c r="T207" s="247">
        <v>0.8</v>
      </c>
      <c r="U207" s="13">
        <v>180</v>
      </c>
      <c r="V207" s="13">
        <v>580</v>
      </c>
      <c r="W207" s="430">
        <f t="shared" si="94"/>
        <v>400</v>
      </c>
      <c r="X207" s="430">
        <f t="shared" si="95"/>
        <v>120</v>
      </c>
      <c r="Y207" s="13">
        <v>150</v>
      </c>
      <c r="Z207" s="13">
        <v>600</v>
      </c>
      <c r="AA207" s="430">
        <f t="shared" si="97"/>
        <v>450</v>
      </c>
      <c r="AB207" s="430">
        <f t="shared" si="98"/>
        <v>100</v>
      </c>
      <c r="AC207" s="430" t="str">
        <f t="shared" si="99"/>
        <v>N/A</v>
      </c>
      <c r="AD207" s="430">
        <f t="shared" si="100"/>
        <v>70</v>
      </c>
      <c r="AE207" s="431">
        <f t="shared" si="101"/>
        <v>1.1920000000000002</v>
      </c>
      <c r="AF207" s="431"/>
      <c r="AG207" s="431">
        <f t="shared" si="102"/>
        <v>1.0548000000000002</v>
      </c>
      <c r="AH207" s="431">
        <f t="shared" si="103"/>
        <v>1.1180880000000002</v>
      </c>
      <c r="AI207" s="432">
        <f t="shared" si="104"/>
        <v>884.45891200000005</v>
      </c>
      <c r="AJ207" s="432">
        <f t="shared" si="105"/>
        <v>140.23968795290102</v>
      </c>
      <c r="AK207" s="432">
        <f t="shared" si="106"/>
        <v>153.34128073052699</v>
      </c>
      <c r="AL207" s="432">
        <f t="shared" si="107"/>
        <v>304.82033925827301</v>
      </c>
      <c r="AM207" s="250">
        <v>120</v>
      </c>
      <c r="AN207" s="432">
        <f t="shared" si="108"/>
        <v>120</v>
      </c>
      <c r="AO207" s="432">
        <f t="shared" si="109"/>
        <v>134.17056000000002</v>
      </c>
      <c r="AP207" s="432">
        <f t="shared" si="110"/>
        <v>447.23520000000008</v>
      </c>
      <c r="AQ207" s="255">
        <v>44980</v>
      </c>
      <c r="AR207" s="13" t="s">
        <v>567</v>
      </c>
      <c r="AS207" s="429" t="s">
        <v>1000</v>
      </c>
      <c r="AT207" s="429"/>
      <c r="AU207" s="241"/>
      <c r="AV207" s="243"/>
      <c r="AW207" s="13" t="s">
        <v>127</v>
      </c>
      <c r="AX207" s="243"/>
      <c r="AY207" s="103">
        <f t="shared" si="111"/>
        <v>0.57999999999999996</v>
      </c>
      <c r="AZ207" s="72"/>
      <c r="BA207" s="13" t="str">
        <f t="shared" si="112"/>
        <v>W22</v>
      </c>
      <c r="BB207" s="72" t="str">
        <f>IF(R207="n/a","Clear","S/B")</f>
        <v>Clear</v>
      </c>
      <c r="BC207" s="32"/>
      <c r="BD207" s="241"/>
      <c r="BE207" s="241"/>
      <c r="BF207" s="71"/>
      <c r="BG207" s="241"/>
      <c r="BH207" s="241"/>
      <c r="BI207" s="71"/>
      <c r="BJ207" s="123"/>
      <c r="BK207" s="123"/>
      <c r="BL207" s="126"/>
      <c r="BM207" s="123"/>
      <c r="BN207" s="123"/>
      <c r="BO207" s="123"/>
      <c r="BP207" s="108"/>
      <c r="BQ207" s="124"/>
      <c r="BR207" s="124"/>
      <c r="BS207" s="71"/>
      <c r="BT207" s="72"/>
      <c r="BU207" s="78"/>
      <c r="BV207" s="32"/>
      <c r="BW207" s="127"/>
      <c r="BX207" s="78"/>
      <c r="BY207" s="78"/>
      <c r="BZ207" s="127"/>
      <c r="CA207" s="76"/>
    </row>
    <row r="208" spans="1:79" s="72" customFormat="1" ht="15.75" customHeight="1">
      <c r="A208" s="13" t="s">
        <v>466</v>
      </c>
      <c r="B208" s="387" t="s">
        <v>948</v>
      </c>
      <c r="C208" s="13" t="s">
        <v>993</v>
      </c>
      <c r="D208" s="387" t="s">
        <v>994</v>
      </c>
      <c r="E208" s="13" t="s">
        <v>118</v>
      </c>
      <c r="F208" s="13" t="s">
        <v>119</v>
      </c>
      <c r="G208" s="13" t="s">
        <v>1001</v>
      </c>
      <c r="H208" s="13" t="s">
        <v>121</v>
      </c>
      <c r="I208" s="13" t="s">
        <v>147</v>
      </c>
      <c r="J208" s="13" t="s">
        <v>5</v>
      </c>
      <c r="K208" s="13" t="s">
        <v>123</v>
      </c>
      <c r="L208" s="13" t="s">
        <v>1002</v>
      </c>
      <c r="M208" s="13" t="s">
        <v>125</v>
      </c>
      <c r="N208" s="13" t="s">
        <v>126</v>
      </c>
      <c r="O208" s="247">
        <v>0.56999999999999995</v>
      </c>
      <c r="P208" s="13">
        <v>102</v>
      </c>
      <c r="Q208" s="13">
        <v>30</v>
      </c>
      <c r="R208" s="13" t="s">
        <v>127</v>
      </c>
      <c r="S208" s="430" t="str">
        <f t="shared" si="96"/>
        <v>N/A</v>
      </c>
      <c r="T208" s="247">
        <v>0.8</v>
      </c>
      <c r="U208" s="13">
        <v>200</v>
      </c>
      <c r="V208" s="13">
        <v>600</v>
      </c>
      <c r="W208" s="430">
        <f t="shared" si="94"/>
        <v>400</v>
      </c>
      <c r="X208" s="430">
        <f t="shared" si="95"/>
        <v>120</v>
      </c>
      <c r="Y208" s="13">
        <v>150</v>
      </c>
      <c r="Z208" s="13">
        <v>600</v>
      </c>
      <c r="AA208" s="430">
        <f t="shared" si="97"/>
        <v>450</v>
      </c>
      <c r="AB208" s="430">
        <f t="shared" si="98"/>
        <v>120</v>
      </c>
      <c r="AC208" s="430" t="str">
        <f t="shared" si="99"/>
        <v>N/A</v>
      </c>
      <c r="AD208" s="430">
        <f t="shared" si="100"/>
        <v>72</v>
      </c>
      <c r="AE208" s="431">
        <f t="shared" si="101"/>
        <v>1.2103999999999999</v>
      </c>
      <c r="AF208" s="431"/>
      <c r="AG208" s="431">
        <f t="shared" si="102"/>
        <v>1.0655529411764706</v>
      </c>
      <c r="AH208" s="431">
        <f t="shared" si="103"/>
        <v>1.1294861176470588</v>
      </c>
      <c r="AI208" s="432">
        <f t="shared" si="104"/>
        <v>885.10996399999999</v>
      </c>
      <c r="AJ208" s="432">
        <f t="shared" si="105"/>
        <v>138.10782224046434</v>
      </c>
      <c r="AK208" s="432">
        <f t="shared" si="106"/>
        <v>151.01025002543636</v>
      </c>
      <c r="AL208" s="432">
        <f t="shared" si="107"/>
        <v>300.18658657952869</v>
      </c>
      <c r="AM208" s="250">
        <v>151</v>
      </c>
      <c r="AN208" s="432">
        <f t="shared" si="108"/>
        <v>154.02000000000001</v>
      </c>
      <c r="AO208" s="432">
        <f t="shared" si="109"/>
        <v>173.96345184</v>
      </c>
      <c r="AP208" s="432">
        <f t="shared" si="110"/>
        <v>579.87817280000002</v>
      </c>
      <c r="AQ208" s="255">
        <v>45039</v>
      </c>
      <c r="AR208" s="13" t="s">
        <v>850</v>
      </c>
      <c r="AS208" s="434" t="s">
        <v>1003</v>
      </c>
      <c r="AT208" s="429"/>
      <c r="AU208" s="252"/>
      <c r="AV208" s="260"/>
      <c r="AW208" s="13" t="s">
        <v>127</v>
      </c>
      <c r="AX208" s="260"/>
      <c r="AY208" s="103">
        <f t="shared" si="111"/>
        <v>0.58823529411764708</v>
      </c>
      <c r="AZ208" s="22"/>
      <c r="BA208" s="13" t="str">
        <f t="shared" si="112"/>
        <v>W22</v>
      </c>
      <c r="BB208" s="72" t="str">
        <f>IF(R208="n/a","Clear","S/B")</f>
        <v>Clear</v>
      </c>
      <c r="BC208" s="32"/>
      <c r="BD208" s="241"/>
      <c r="BE208" s="241"/>
      <c r="BF208" s="71"/>
      <c r="BG208" s="241"/>
      <c r="BH208" s="241"/>
      <c r="BI208" s="71"/>
      <c r="BJ208" s="114"/>
      <c r="BK208" s="111"/>
      <c r="BL208" s="112"/>
      <c r="BM208" s="111"/>
      <c r="BN208" s="123"/>
      <c r="BO208" s="111"/>
      <c r="BP208" s="83"/>
      <c r="BQ208" s="71"/>
      <c r="BR208" s="71"/>
      <c r="BS208" s="71"/>
    </row>
    <row r="209" spans="1:79" s="72" customFormat="1">
      <c r="A209" s="13" t="s">
        <v>466</v>
      </c>
      <c r="B209" s="387" t="s">
        <v>948</v>
      </c>
      <c r="C209" s="13" t="s">
        <v>1004</v>
      </c>
      <c r="D209" s="387" t="s">
        <v>1005</v>
      </c>
      <c r="E209" s="13" t="s">
        <v>118</v>
      </c>
      <c r="F209" s="13" t="s">
        <v>167</v>
      </c>
      <c r="G209" s="13" t="s">
        <v>1006</v>
      </c>
      <c r="H209" s="13" t="s">
        <v>121</v>
      </c>
      <c r="I209" s="13" t="s">
        <v>147</v>
      </c>
      <c r="J209" s="13" t="s">
        <v>5</v>
      </c>
      <c r="K209" s="13" t="s">
        <v>123</v>
      </c>
      <c r="L209" s="13" t="s">
        <v>1007</v>
      </c>
      <c r="M209" s="13" t="s">
        <v>125</v>
      </c>
      <c r="N209" s="13" t="s">
        <v>126</v>
      </c>
      <c r="O209" s="247">
        <v>0.57999999999999996</v>
      </c>
      <c r="P209" s="13">
        <v>100</v>
      </c>
      <c r="Q209" s="13">
        <v>30</v>
      </c>
      <c r="R209" s="13" t="s">
        <v>127</v>
      </c>
      <c r="S209" s="430" t="str">
        <f t="shared" si="96"/>
        <v>N/A</v>
      </c>
      <c r="T209" s="247">
        <v>0.8</v>
      </c>
      <c r="U209" s="13">
        <v>150</v>
      </c>
      <c r="V209" s="13">
        <v>550</v>
      </c>
      <c r="W209" s="430">
        <f t="shared" si="94"/>
        <v>400</v>
      </c>
      <c r="X209" s="430">
        <f t="shared" si="95"/>
        <v>150</v>
      </c>
      <c r="Y209" s="13">
        <v>150</v>
      </c>
      <c r="Z209" s="13">
        <v>600</v>
      </c>
      <c r="AA209" s="430">
        <f t="shared" si="97"/>
        <v>450</v>
      </c>
      <c r="AB209" s="430">
        <f t="shared" si="98"/>
        <v>100</v>
      </c>
      <c r="AC209" s="430" t="str">
        <f t="shared" si="99"/>
        <v>N/A</v>
      </c>
      <c r="AD209" s="430">
        <f t="shared" si="100"/>
        <v>70</v>
      </c>
      <c r="AE209" s="431">
        <f t="shared" si="101"/>
        <v>1.206</v>
      </c>
      <c r="AF209" s="431"/>
      <c r="AG209" s="431">
        <f t="shared" si="102"/>
        <v>1.0639000000000001</v>
      </c>
      <c r="AH209" s="431">
        <f t="shared" si="103"/>
        <v>1.127734</v>
      </c>
      <c r="AI209" s="432">
        <f t="shared" si="104"/>
        <v>885.76101600000004</v>
      </c>
      <c r="AJ209" s="432">
        <f t="shared" si="105"/>
        <v>138.61169820883751</v>
      </c>
      <c r="AK209" s="432">
        <f t="shared" si="106"/>
        <v>151.56119952801674</v>
      </c>
      <c r="AL209" s="432">
        <f t="shared" si="107"/>
        <v>301.28179468976907</v>
      </c>
      <c r="AM209" s="250">
        <v>152</v>
      </c>
      <c r="AN209" s="432">
        <f t="shared" si="108"/>
        <v>152</v>
      </c>
      <c r="AO209" s="432">
        <f t="shared" si="109"/>
        <v>171.41556800000001</v>
      </c>
      <c r="AP209" s="432">
        <f t="shared" si="110"/>
        <v>571.38522666666677</v>
      </c>
      <c r="AQ209" s="255">
        <v>45047</v>
      </c>
      <c r="AR209" s="13" t="s">
        <v>753</v>
      </c>
      <c r="AS209" s="434" t="s">
        <v>1008</v>
      </c>
      <c r="AT209" s="429"/>
      <c r="AU209" s="241"/>
      <c r="AV209" s="243"/>
      <c r="AX209" s="243"/>
      <c r="AY209" s="71">
        <f t="shared" si="111"/>
        <v>0.55000000000000004</v>
      </c>
      <c r="BA209" s="72" t="str">
        <f t="shared" si="112"/>
        <v>W22</v>
      </c>
      <c r="BC209" s="32"/>
      <c r="BD209" s="241"/>
      <c r="BE209" s="241"/>
      <c r="BF209" s="71"/>
      <c r="BG209" s="241"/>
      <c r="BH209" s="241"/>
      <c r="BI209" s="71"/>
      <c r="BJ209" s="123"/>
      <c r="BK209" s="123"/>
      <c r="BL209" s="126"/>
      <c r="BM209" s="123"/>
      <c r="BN209" s="123"/>
      <c r="BO209" s="123"/>
      <c r="BP209" s="108"/>
      <c r="BQ209" s="67"/>
      <c r="BR209" s="67"/>
      <c r="BS209" s="67"/>
      <c r="BT209" s="30"/>
      <c r="BU209" s="30"/>
      <c r="BV209" s="30"/>
      <c r="BW209" s="30"/>
      <c r="BX209" s="30"/>
      <c r="BY209" s="30"/>
      <c r="BZ209" s="30"/>
      <c r="CA209" s="30"/>
    </row>
    <row r="210" spans="1:79" s="72" customFormat="1">
      <c r="A210" s="13" t="s">
        <v>466</v>
      </c>
      <c r="B210" s="13" t="s">
        <v>948</v>
      </c>
      <c r="C210" s="13" t="s">
        <v>1004</v>
      </c>
      <c r="D210" s="387" t="s">
        <v>1009</v>
      </c>
      <c r="E210" s="13"/>
      <c r="F210" s="13" t="s">
        <v>119</v>
      </c>
      <c r="G210" s="13" t="s">
        <v>1010</v>
      </c>
      <c r="H210" s="13" t="s">
        <v>389</v>
      </c>
      <c r="I210" s="13" t="s">
        <v>139</v>
      </c>
      <c r="J210" s="13" t="s">
        <v>5</v>
      </c>
      <c r="K210" s="13" t="s">
        <v>140</v>
      </c>
      <c r="L210" s="13" t="s">
        <v>1011</v>
      </c>
      <c r="M210" s="13"/>
      <c r="N210" s="13" t="s">
        <v>142</v>
      </c>
      <c r="O210" s="247">
        <v>0.23</v>
      </c>
      <c r="P210" s="438">
        <v>112</v>
      </c>
      <c r="Q210" s="13">
        <v>30</v>
      </c>
      <c r="R210" s="13" t="s">
        <v>127</v>
      </c>
      <c r="S210" s="430" t="str">
        <f t="shared" si="96"/>
        <v>N/A</v>
      </c>
      <c r="T210" s="247">
        <v>0.76</v>
      </c>
      <c r="U210" s="13">
        <v>200</v>
      </c>
      <c r="V210" s="13">
        <v>600</v>
      </c>
      <c r="W210" s="430">
        <f t="shared" si="94"/>
        <v>400</v>
      </c>
      <c r="X210" s="430">
        <f t="shared" si="95"/>
        <v>220</v>
      </c>
      <c r="Y210" s="13">
        <v>200</v>
      </c>
      <c r="Z210" s="13">
        <v>600</v>
      </c>
      <c r="AA210" s="430">
        <f t="shared" si="97"/>
        <v>400</v>
      </c>
      <c r="AB210" s="430">
        <f t="shared" si="98"/>
        <v>220</v>
      </c>
      <c r="AC210" s="430" t="str">
        <f t="shared" si="99"/>
        <v>N/A</v>
      </c>
      <c r="AD210" s="430">
        <f t="shared" si="100"/>
        <v>82</v>
      </c>
      <c r="AE210" s="431">
        <f t="shared" si="101"/>
        <v>0.9486</v>
      </c>
      <c r="AF210" s="431"/>
      <c r="AG210" s="431">
        <f t="shared" si="102"/>
        <v>0.87955892857142859</v>
      </c>
      <c r="AH210" s="431">
        <f t="shared" si="103"/>
        <v>0.93673025892857154</v>
      </c>
      <c r="AI210" s="432">
        <f t="shared" si="104"/>
        <v>824.44482900000003</v>
      </c>
      <c r="AJ210" s="432">
        <f t="shared" si="105"/>
        <v>176.22360113837024</v>
      </c>
      <c r="AK210" s="432">
        <f t="shared" si="106"/>
        <v>192.68691401095103</v>
      </c>
      <c r="AL210" s="432">
        <f t="shared" si="107"/>
        <v>383.03378072513334</v>
      </c>
      <c r="AM210" s="250">
        <v>193</v>
      </c>
      <c r="AN210" s="432">
        <f t="shared" si="108"/>
        <v>216.16</v>
      </c>
      <c r="AO210" s="432">
        <f t="shared" si="109"/>
        <v>202.48361277000001</v>
      </c>
      <c r="AP210" s="432">
        <f t="shared" si="110"/>
        <v>674.94537590000004</v>
      </c>
      <c r="AQ210" s="255" t="s">
        <v>132</v>
      </c>
      <c r="AR210" s="13" t="s">
        <v>1012</v>
      </c>
      <c r="AS210" s="434" t="s">
        <v>1013</v>
      </c>
      <c r="AT210" s="429"/>
      <c r="AU210" s="241"/>
      <c r="AV210" s="243"/>
      <c r="AX210" s="243"/>
      <c r="AY210" s="103">
        <f t="shared" si="111"/>
        <v>0.5357142857142857</v>
      </c>
      <c r="BA210" s="13" t="str">
        <f t="shared" si="112"/>
        <v>W50</v>
      </c>
      <c r="BC210" s="32"/>
      <c r="BD210" s="241"/>
      <c r="BE210" s="241"/>
      <c r="BF210" s="71"/>
      <c r="BG210" s="241"/>
      <c r="BH210" s="241"/>
      <c r="BI210" s="71"/>
      <c r="BJ210" s="123"/>
      <c r="BK210" s="123"/>
      <c r="BL210" s="126"/>
      <c r="BM210" s="123"/>
      <c r="BN210" s="123"/>
      <c r="BO210" s="108"/>
      <c r="BP210" s="108"/>
      <c r="BQ210" s="124"/>
      <c r="BR210" s="124"/>
      <c r="BS210" s="71"/>
      <c r="BU210" s="78"/>
      <c r="BV210" s="32"/>
      <c r="BW210" s="127"/>
      <c r="BX210" s="78"/>
      <c r="BY210" s="78"/>
      <c r="BZ210" s="127"/>
      <c r="CA210" s="76"/>
    </row>
    <row r="211" spans="1:79" s="72" customFormat="1">
      <c r="A211" s="13" t="s">
        <v>466</v>
      </c>
      <c r="B211" s="387" t="s">
        <v>948</v>
      </c>
      <c r="C211" s="13" t="s">
        <v>1004</v>
      </c>
      <c r="D211" s="387" t="s">
        <v>1009</v>
      </c>
      <c r="E211" s="13"/>
      <c r="F211" s="13" t="s">
        <v>167</v>
      </c>
      <c r="G211" s="13" t="s">
        <v>1014</v>
      </c>
      <c r="H211" s="13" t="s">
        <v>389</v>
      </c>
      <c r="I211" s="13" t="s">
        <v>139</v>
      </c>
      <c r="J211" s="13" t="s">
        <v>5</v>
      </c>
      <c r="K211" s="13" t="s">
        <v>140</v>
      </c>
      <c r="L211" s="13" t="s">
        <v>1015</v>
      </c>
      <c r="M211" s="13"/>
      <c r="N211" s="13" t="s">
        <v>142</v>
      </c>
      <c r="O211" s="247">
        <v>0.23</v>
      </c>
      <c r="P211" s="13">
        <v>113</v>
      </c>
      <c r="Q211" s="13">
        <v>30</v>
      </c>
      <c r="R211" s="13" t="s">
        <v>127</v>
      </c>
      <c r="S211" s="430" t="str">
        <f t="shared" si="96"/>
        <v>N/A</v>
      </c>
      <c r="T211" s="247">
        <v>0.76</v>
      </c>
      <c r="U211" s="13">
        <v>200</v>
      </c>
      <c r="V211" s="13">
        <v>600</v>
      </c>
      <c r="W211" s="430">
        <f t="shared" si="94"/>
        <v>400</v>
      </c>
      <c r="X211" s="430">
        <f t="shared" si="95"/>
        <v>230</v>
      </c>
      <c r="Y211" s="13">
        <v>200</v>
      </c>
      <c r="Z211" s="13">
        <v>600</v>
      </c>
      <c r="AA211" s="430">
        <f t="shared" si="97"/>
        <v>400</v>
      </c>
      <c r="AB211" s="430">
        <f t="shared" si="98"/>
        <v>230</v>
      </c>
      <c r="AC211" s="430" t="str">
        <f t="shared" si="99"/>
        <v>N/A</v>
      </c>
      <c r="AD211" s="430">
        <f t="shared" si="100"/>
        <v>83</v>
      </c>
      <c r="AE211" s="431">
        <f t="shared" si="101"/>
        <v>0.95089999999999997</v>
      </c>
      <c r="AF211" s="431"/>
      <c r="AG211" s="431">
        <f t="shared" si="102"/>
        <v>0.88079070796460179</v>
      </c>
      <c r="AH211" s="431">
        <f t="shared" si="103"/>
        <v>0.93804210398230092</v>
      </c>
      <c r="AI211" s="432">
        <f t="shared" si="104"/>
        <v>824.44482900000003</v>
      </c>
      <c r="AJ211" s="432">
        <f t="shared" si="105"/>
        <v>175.79735833406042</v>
      </c>
      <c r="AK211" s="432">
        <f t="shared" si="106"/>
        <v>192.22085038467577</v>
      </c>
      <c r="AL211" s="432">
        <f t="shared" si="107"/>
        <v>382.10731348812863</v>
      </c>
      <c r="AM211" s="250">
        <v>120</v>
      </c>
      <c r="AN211" s="432">
        <f t="shared" si="108"/>
        <v>135.6</v>
      </c>
      <c r="AO211" s="432">
        <f t="shared" si="109"/>
        <v>127.1985093</v>
      </c>
      <c r="AP211" s="432">
        <f t="shared" si="110"/>
        <v>423.99503099999998</v>
      </c>
      <c r="AQ211" s="255" t="s">
        <v>132</v>
      </c>
      <c r="AR211" s="13" t="s">
        <v>1016</v>
      </c>
      <c r="AS211" s="434" t="s">
        <v>1017</v>
      </c>
      <c r="AT211" s="429"/>
      <c r="AU211" s="241"/>
      <c r="AV211" s="243"/>
      <c r="AX211" s="243"/>
      <c r="AY211" s="103">
        <f t="shared" si="111"/>
        <v>0.53097345132743368</v>
      </c>
      <c r="BA211" s="13" t="str">
        <f t="shared" si="112"/>
        <v>W50</v>
      </c>
      <c r="BC211" s="32"/>
      <c r="BD211" s="241"/>
      <c r="BE211" s="241"/>
      <c r="BF211" s="71"/>
      <c r="BG211" s="241"/>
      <c r="BH211" s="241"/>
      <c r="BI211" s="71"/>
      <c r="BJ211" s="123"/>
      <c r="BK211" s="108"/>
      <c r="BL211" s="126"/>
      <c r="BM211" s="108"/>
      <c r="BN211" s="71"/>
      <c r="BO211" s="108"/>
      <c r="BP211" s="108"/>
      <c r="BQ211" s="141"/>
      <c r="BR211" s="71"/>
      <c r="BS211" s="71"/>
      <c r="BT211" s="13">
        <f>P211-V211/10-120/10</f>
        <v>41</v>
      </c>
      <c r="BU211" s="79">
        <f>BT211-Q211</f>
        <v>11</v>
      </c>
      <c r="BV211" s="29">
        <f>T211+(O211/100*(P211-BT211))</f>
        <v>0.92559999999999998</v>
      </c>
      <c r="BW211" s="86">
        <f>(AE211-BV211)/AE211</f>
        <v>2.6606372909874845E-2</v>
      </c>
      <c r="BX211" s="79">
        <f>(PI()*((51/2)^2-(16.545/2)^2)/(BV211/10))/100</f>
        <v>197.47494234095524</v>
      </c>
      <c r="BY211" s="79">
        <f>BX211-AK211</f>
        <v>5.254091956279467</v>
      </c>
      <c r="BZ211" s="86">
        <f>BY211/AK211</f>
        <v>2.7333621434744906E-2</v>
      </c>
      <c r="CA211" s="76"/>
    </row>
    <row r="212" spans="1:79" s="72" customFormat="1">
      <c r="A212" s="13" t="s">
        <v>466</v>
      </c>
      <c r="B212" s="387" t="s">
        <v>948</v>
      </c>
      <c r="C212" s="13" t="s">
        <v>357</v>
      </c>
      <c r="D212" s="13" t="s">
        <v>1018</v>
      </c>
      <c r="E212" s="13" t="s">
        <v>118</v>
      </c>
      <c r="F212" s="13" t="s">
        <v>167</v>
      </c>
      <c r="G212" s="13" t="s">
        <v>1019</v>
      </c>
      <c r="H212" s="13" t="s">
        <v>121</v>
      </c>
      <c r="I212" s="13" t="s">
        <v>147</v>
      </c>
      <c r="J212" s="13" t="s">
        <v>5</v>
      </c>
      <c r="K212" s="13" t="s">
        <v>123</v>
      </c>
      <c r="L212" s="13" t="s">
        <v>1020</v>
      </c>
      <c r="M212" s="13" t="s">
        <v>125</v>
      </c>
      <c r="N212" s="13" t="s">
        <v>126</v>
      </c>
      <c r="O212" s="247">
        <v>0.55000000000000004</v>
      </c>
      <c r="P212" s="13">
        <v>105</v>
      </c>
      <c r="Q212" s="13">
        <v>30</v>
      </c>
      <c r="R212" s="13" t="s">
        <v>127</v>
      </c>
      <c r="S212" s="430" t="str">
        <f t="shared" si="96"/>
        <v>N/A</v>
      </c>
      <c r="T212" s="247">
        <v>0.8</v>
      </c>
      <c r="U212" s="13">
        <v>200</v>
      </c>
      <c r="V212" s="13">
        <v>600</v>
      </c>
      <c r="W212" s="430">
        <f t="shared" si="94"/>
        <v>400</v>
      </c>
      <c r="X212" s="430">
        <f t="shared" si="95"/>
        <v>150</v>
      </c>
      <c r="Y212" s="13">
        <v>150</v>
      </c>
      <c r="Z212" s="13">
        <v>600</v>
      </c>
      <c r="AA212" s="430">
        <f t="shared" si="97"/>
        <v>450</v>
      </c>
      <c r="AB212" s="430">
        <f t="shared" si="98"/>
        <v>150</v>
      </c>
      <c r="AC212" s="430" t="str">
        <f t="shared" si="99"/>
        <v>N/A</v>
      </c>
      <c r="AD212" s="430">
        <f t="shared" si="100"/>
        <v>75</v>
      </c>
      <c r="AE212" s="431">
        <f t="shared" si="101"/>
        <v>1.2125000000000001</v>
      </c>
      <c r="AF212" s="431"/>
      <c r="AG212" s="431">
        <f t="shared" si="102"/>
        <v>1.0651785714285715</v>
      </c>
      <c r="AH212" s="431">
        <f t="shared" si="103"/>
        <v>1.1290892857142858</v>
      </c>
      <c r="AI212" s="432">
        <f t="shared" si="104"/>
        <v>883.80786000000012</v>
      </c>
      <c r="AJ212" s="432">
        <f t="shared" si="105"/>
        <v>137.86862518751178</v>
      </c>
      <c r="AK212" s="432">
        <f t="shared" si="106"/>
        <v>150.74870649961909</v>
      </c>
      <c r="AL212" s="432">
        <f t="shared" si="107"/>
        <v>299.66667579040114</v>
      </c>
      <c r="AM212" s="250">
        <v>151</v>
      </c>
      <c r="AN212" s="432">
        <f t="shared" si="108"/>
        <v>158.55000000000001</v>
      </c>
      <c r="AO212" s="432">
        <f t="shared" si="109"/>
        <v>179.01710625000001</v>
      </c>
      <c r="AP212" s="432">
        <f t="shared" si="110"/>
        <v>596.7236875000001</v>
      </c>
      <c r="AQ212" s="255">
        <v>45100</v>
      </c>
      <c r="AR212" s="13" t="s">
        <v>1021</v>
      </c>
      <c r="AS212" s="434" t="s">
        <v>1022</v>
      </c>
      <c r="AT212" s="429"/>
      <c r="AU212" s="241"/>
      <c r="AV212" s="243"/>
      <c r="AW212" s="72" t="s">
        <v>127</v>
      </c>
      <c r="AX212" s="243"/>
      <c r="AY212" s="71">
        <f t="shared" si="111"/>
        <v>0.5714285714285714</v>
      </c>
      <c r="BA212" s="72" t="str">
        <f t="shared" si="112"/>
        <v>W22</v>
      </c>
      <c r="BC212" s="32"/>
      <c r="BD212" s="241"/>
      <c r="BE212" s="241"/>
      <c r="BF212" s="71"/>
      <c r="BG212" s="241"/>
      <c r="BH212" s="241"/>
      <c r="BI212" s="71"/>
      <c r="BJ212" s="123"/>
      <c r="BK212" s="123"/>
      <c r="BL212" s="126"/>
      <c r="BM212" s="123"/>
      <c r="BN212" s="123"/>
      <c r="BO212" s="123"/>
      <c r="BP212" s="108"/>
      <c r="BQ212" s="124"/>
      <c r="BR212" s="124"/>
      <c r="BS212" s="71"/>
      <c r="BU212" s="78"/>
      <c r="BV212" s="32"/>
      <c r="BW212" s="127"/>
      <c r="BX212" s="78"/>
      <c r="BY212" s="78"/>
      <c r="BZ212" s="127"/>
      <c r="CA212" s="76"/>
    </row>
    <row r="213" spans="1:79" s="72" customFormat="1">
      <c r="A213" s="13" t="s">
        <v>466</v>
      </c>
      <c r="B213" s="387" t="s">
        <v>948</v>
      </c>
      <c r="C213" s="13" t="s">
        <v>357</v>
      </c>
      <c r="D213" s="387" t="s">
        <v>1018</v>
      </c>
      <c r="E213" s="13" t="s">
        <v>118</v>
      </c>
      <c r="F213" s="13" t="s">
        <v>167</v>
      </c>
      <c r="G213" s="13" t="s">
        <v>1023</v>
      </c>
      <c r="H213" s="13" t="s">
        <v>121</v>
      </c>
      <c r="I213" s="13" t="s">
        <v>147</v>
      </c>
      <c r="J213" s="13" t="s">
        <v>5</v>
      </c>
      <c r="K213" s="13" t="s">
        <v>123</v>
      </c>
      <c r="L213" s="13" t="s">
        <v>1024</v>
      </c>
      <c r="M213" s="13" t="s">
        <v>125</v>
      </c>
      <c r="N213" s="13" t="s">
        <v>126</v>
      </c>
      <c r="O213" s="247">
        <v>0.6</v>
      </c>
      <c r="P213" s="13">
        <v>101</v>
      </c>
      <c r="Q213" s="13">
        <v>30</v>
      </c>
      <c r="R213" s="13" t="s">
        <v>127</v>
      </c>
      <c r="S213" s="430" t="str">
        <f t="shared" si="96"/>
        <v>N/A</v>
      </c>
      <c r="T213" s="247">
        <v>0.8</v>
      </c>
      <c r="U213" s="13">
        <v>150</v>
      </c>
      <c r="V213" s="13">
        <v>550</v>
      </c>
      <c r="W213" s="430">
        <f t="shared" si="94"/>
        <v>400</v>
      </c>
      <c r="X213" s="430">
        <f t="shared" si="95"/>
        <v>160</v>
      </c>
      <c r="Y213" s="13">
        <v>150</v>
      </c>
      <c r="Z213" s="13">
        <v>600</v>
      </c>
      <c r="AA213" s="430">
        <f t="shared" si="97"/>
        <v>450</v>
      </c>
      <c r="AB213" s="430">
        <f t="shared" si="98"/>
        <v>110</v>
      </c>
      <c r="AC213" s="430" t="str">
        <f t="shared" si="99"/>
        <v>N/A</v>
      </c>
      <c r="AD213" s="430">
        <f t="shared" si="100"/>
        <v>71</v>
      </c>
      <c r="AE213" s="431">
        <f t="shared" si="101"/>
        <v>1.226</v>
      </c>
      <c r="AF213" s="431"/>
      <c r="AG213" s="431">
        <f t="shared" si="102"/>
        <v>1.0762673267326732</v>
      </c>
      <c r="AH213" s="431">
        <f t="shared" si="103"/>
        <v>1.1408433663366335</v>
      </c>
      <c r="AI213" s="432">
        <f t="shared" si="104"/>
        <v>887.06312000000003</v>
      </c>
      <c r="AJ213" s="432">
        <f t="shared" si="105"/>
        <v>136.35049595420719</v>
      </c>
      <c r="AK213" s="432">
        <f t="shared" si="106"/>
        <v>149.08874929101808</v>
      </c>
      <c r="AL213" s="432">
        <f t="shared" si="107"/>
        <v>296.36692038814147</v>
      </c>
      <c r="AM213" s="250">
        <v>149</v>
      </c>
      <c r="AN213" s="432">
        <f t="shared" si="108"/>
        <v>150.49</v>
      </c>
      <c r="AO213" s="432">
        <f t="shared" si="109"/>
        <v>171.68551819999999</v>
      </c>
      <c r="AP213" s="432">
        <f t="shared" si="110"/>
        <v>572.28506066666671</v>
      </c>
      <c r="AQ213" s="255">
        <v>45139</v>
      </c>
      <c r="AR213" s="13" t="s">
        <v>930</v>
      </c>
      <c r="AS213" s="434" t="s">
        <v>1025</v>
      </c>
      <c r="AT213" s="429" t="s">
        <v>1026</v>
      </c>
      <c r="AU213" s="241"/>
      <c r="AV213" s="243"/>
      <c r="AW213" s="72" t="s">
        <v>127</v>
      </c>
      <c r="AX213" s="243"/>
      <c r="AY213" s="71">
        <f t="shared" si="111"/>
        <v>0.54455445544554459</v>
      </c>
      <c r="BA213" s="72" t="str">
        <f t="shared" si="112"/>
        <v>W22</v>
      </c>
      <c r="BC213" s="32"/>
      <c r="BD213" s="241"/>
      <c r="BE213" s="241"/>
      <c r="BF213" s="71"/>
      <c r="BG213" s="241"/>
      <c r="BH213" s="241"/>
      <c r="BI213" s="71"/>
      <c r="BJ213" s="123"/>
      <c r="BK213" s="108"/>
      <c r="BL213" s="126"/>
      <c r="BM213" s="108"/>
      <c r="BN213" s="71"/>
      <c r="BO213" s="108"/>
      <c r="BP213" s="108"/>
      <c r="BQ213" s="124"/>
      <c r="BR213" s="124"/>
      <c r="BS213" s="71"/>
      <c r="BU213" s="78"/>
      <c r="BV213" s="32"/>
      <c r="BW213" s="127"/>
      <c r="BX213" s="78"/>
      <c r="BY213" s="78"/>
      <c r="BZ213" s="127"/>
      <c r="CA213" s="76"/>
    </row>
    <row r="214" spans="1:79" s="38" customFormat="1">
      <c r="A214" s="13" t="s">
        <v>466</v>
      </c>
      <c r="B214" s="13" t="s">
        <v>948</v>
      </c>
      <c r="C214" s="13" t="s">
        <v>357</v>
      </c>
      <c r="D214" s="387" t="s">
        <v>1018</v>
      </c>
      <c r="E214" s="13" t="s">
        <v>118</v>
      </c>
      <c r="F214" s="13" t="s">
        <v>167</v>
      </c>
      <c r="G214" s="13" t="s">
        <v>1027</v>
      </c>
      <c r="H214" s="13" t="s">
        <v>121</v>
      </c>
      <c r="I214" s="13" t="s">
        <v>147</v>
      </c>
      <c r="J214" s="13" t="s">
        <v>5</v>
      </c>
      <c r="K214" s="13" t="s">
        <v>123</v>
      </c>
      <c r="L214" s="13" t="s">
        <v>1028</v>
      </c>
      <c r="M214" s="13" t="s">
        <v>125</v>
      </c>
      <c r="N214" s="13" t="s">
        <v>126</v>
      </c>
      <c r="O214" s="247">
        <v>0.6</v>
      </c>
      <c r="P214" s="13">
        <v>103</v>
      </c>
      <c r="Q214" s="13">
        <v>30</v>
      </c>
      <c r="R214" s="13" t="s">
        <v>127</v>
      </c>
      <c r="S214" s="430" t="str">
        <f t="shared" si="96"/>
        <v>N/A</v>
      </c>
      <c r="T214" s="247">
        <v>0.8</v>
      </c>
      <c r="U214" s="13">
        <v>210</v>
      </c>
      <c r="V214" s="13">
        <v>430</v>
      </c>
      <c r="W214" s="430">
        <f t="shared" si="94"/>
        <v>220</v>
      </c>
      <c r="X214" s="430">
        <f t="shared" si="95"/>
        <v>300</v>
      </c>
      <c r="Y214" s="13">
        <v>210</v>
      </c>
      <c r="Z214" s="13">
        <v>610</v>
      </c>
      <c r="AA214" s="430">
        <f t="shared" si="97"/>
        <v>400</v>
      </c>
      <c r="AB214" s="430">
        <f t="shared" si="98"/>
        <v>120</v>
      </c>
      <c r="AC214" s="430" t="str">
        <f t="shared" si="99"/>
        <v>N/A</v>
      </c>
      <c r="AD214" s="430">
        <f t="shared" si="100"/>
        <v>73</v>
      </c>
      <c r="AE214" s="431">
        <f t="shared" si="101"/>
        <v>1.238</v>
      </c>
      <c r="AF214" s="431"/>
      <c r="AG214" s="431">
        <f t="shared" si="102"/>
        <v>1.0827864077669904</v>
      </c>
      <c r="AH214" s="431">
        <f t="shared" si="103"/>
        <v>1.1477535922330098</v>
      </c>
      <c r="AI214" s="432">
        <f t="shared" si="104"/>
        <v>887.06312000000003</v>
      </c>
      <c r="AJ214" s="432">
        <f t="shared" si="105"/>
        <v>135.02884332783364</v>
      </c>
      <c r="AK214" s="432">
        <f t="shared" si="106"/>
        <v>147.64362409595168</v>
      </c>
      <c r="AL214" s="432">
        <f t="shared" si="107"/>
        <v>293.49422002896728</v>
      </c>
      <c r="AM214" s="250">
        <v>148</v>
      </c>
      <c r="AN214" s="432">
        <f t="shared" si="108"/>
        <v>152.44</v>
      </c>
      <c r="AO214" s="432">
        <f t="shared" si="109"/>
        <v>174.9635576</v>
      </c>
      <c r="AP214" s="432">
        <f t="shared" si="110"/>
        <v>583.21185866666667</v>
      </c>
      <c r="AQ214" s="255">
        <v>44896</v>
      </c>
      <c r="AR214" s="13" t="s">
        <v>1029</v>
      </c>
      <c r="AS214" s="434" t="s">
        <v>1030</v>
      </c>
      <c r="AT214" s="429" t="s">
        <v>1031</v>
      </c>
      <c r="AU214" s="241"/>
      <c r="AV214" s="243"/>
      <c r="AW214" s="72" t="s">
        <v>127</v>
      </c>
      <c r="AX214" s="243"/>
      <c r="AY214" s="71">
        <f t="shared" si="111"/>
        <v>0.41747572815533979</v>
      </c>
      <c r="AZ214" s="72"/>
      <c r="BA214" s="72" t="str">
        <f t="shared" si="112"/>
        <v>W22</v>
      </c>
      <c r="BB214" s="72" t="str">
        <f>IF(R214="n/a","Clear","S/B")</f>
        <v>Clear</v>
      </c>
      <c r="BC214" s="32">
        <f>IF(Q214="","",((P214/100*O214)+T214))</f>
        <v>1.4180000000000001</v>
      </c>
      <c r="BD214" s="241">
        <f>IF(BC214="","",((PI()*((51/2)^2-(16.545/2)^2)/(BC214/10))/100))</f>
        <v>128.90183824456145</v>
      </c>
      <c r="BE214" s="241">
        <f>IF(BC214="","",(BD214-AK214))</f>
        <v>-18.741785851390233</v>
      </c>
      <c r="BF214" s="71">
        <f>IF(BC214="","",(BE214/AK214))</f>
        <v>-0.12693935119887187</v>
      </c>
      <c r="BG214" s="241">
        <f>IF(BF214="","",((PI()*((70/2)^2-(16.545/2)^2)/(BC214/10))/100))</f>
        <v>256.23825415787127</v>
      </c>
      <c r="BH214" s="241">
        <f>IF(BF214="","",(BG214-AL214))</f>
        <v>-37.255965871096009</v>
      </c>
      <c r="BI214" s="71">
        <f>IF(BG214="","",(BH214/AL214))</f>
        <v>-0.12693935119887173</v>
      </c>
      <c r="BJ214" s="123"/>
      <c r="BK214" s="123">
        <v>20</v>
      </c>
      <c r="BL214" s="126">
        <f>AH214</f>
        <v>1.1477535922330098</v>
      </c>
      <c r="BM214" s="123">
        <f>BK214/AH214</f>
        <v>17.425342978965581</v>
      </c>
      <c r="BN214" s="123">
        <f>BK214-BM214</f>
        <v>2.5746570210344188</v>
      </c>
      <c r="BO214" s="108">
        <v>17.690000000000001</v>
      </c>
      <c r="BP214" s="161">
        <f>BO214-BM214</f>
        <v>0.26465702103442013</v>
      </c>
      <c r="BQ214" s="83"/>
      <c r="BR214" s="71"/>
      <c r="BS214" s="71"/>
      <c r="BT214" s="13">
        <f>P214-V214/10-120/10</f>
        <v>48</v>
      </c>
      <c r="BU214" s="79">
        <f>BT214-Q214</f>
        <v>18</v>
      </c>
      <c r="BV214" s="29">
        <f>T214+(O214/100*(P214-BT214))</f>
        <v>1.1300000000000001</v>
      </c>
      <c r="BW214" s="86">
        <f>(AE214-BV214)/AE214</f>
        <v>8.7237479806138829E-2</v>
      </c>
      <c r="BX214" s="79">
        <f>(PI()*((51/2)^2-(16.545/2)^2)/(BV214/10))/100</f>
        <v>161.75469613344083</v>
      </c>
      <c r="BY214" s="79">
        <f>BX214-AK214</f>
        <v>14.111072037489151</v>
      </c>
      <c r="BZ214" s="86">
        <f>BY214/AK214</f>
        <v>9.5575221238937816E-2</v>
      </c>
      <c r="CA214" s="76"/>
    </row>
    <row r="215" spans="1:79" s="72" customFormat="1">
      <c r="A215" s="13" t="s">
        <v>466</v>
      </c>
      <c r="B215" s="387" t="s">
        <v>948</v>
      </c>
      <c r="C215" s="13" t="s">
        <v>1032</v>
      </c>
      <c r="D215" s="387" t="s">
        <v>1018</v>
      </c>
      <c r="E215" s="13" t="s">
        <v>118</v>
      </c>
      <c r="F215" s="13" t="s">
        <v>167</v>
      </c>
      <c r="G215" s="13" t="s">
        <v>1033</v>
      </c>
      <c r="H215" s="13" t="s">
        <v>121</v>
      </c>
      <c r="I215" s="13" t="s">
        <v>147</v>
      </c>
      <c r="J215" s="13" t="s">
        <v>5</v>
      </c>
      <c r="K215" s="13" t="s">
        <v>123</v>
      </c>
      <c r="L215" s="13" t="s">
        <v>1034</v>
      </c>
      <c r="M215" s="13" t="s">
        <v>125</v>
      </c>
      <c r="N215" s="13" t="s">
        <v>126</v>
      </c>
      <c r="O215" s="247">
        <v>0.6</v>
      </c>
      <c r="P215" s="13">
        <v>100</v>
      </c>
      <c r="Q215" s="13">
        <v>30</v>
      </c>
      <c r="R215" s="13" t="s">
        <v>127</v>
      </c>
      <c r="S215" s="430" t="str">
        <f t="shared" si="96"/>
        <v>N/A</v>
      </c>
      <c r="T215" s="247">
        <v>0.8</v>
      </c>
      <c r="U215" s="13">
        <v>150</v>
      </c>
      <c r="V215" s="13">
        <v>550</v>
      </c>
      <c r="W215" s="430">
        <f t="shared" si="94"/>
        <v>400</v>
      </c>
      <c r="X215" s="430">
        <f t="shared" si="95"/>
        <v>150</v>
      </c>
      <c r="Y215" s="13">
        <v>150</v>
      </c>
      <c r="Z215" s="13">
        <v>600</v>
      </c>
      <c r="AA215" s="430">
        <f t="shared" si="97"/>
        <v>450</v>
      </c>
      <c r="AB215" s="430">
        <f t="shared" si="98"/>
        <v>100</v>
      </c>
      <c r="AC215" s="430" t="str">
        <f t="shared" si="99"/>
        <v>N/A</v>
      </c>
      <c r="AD215" s="430">
        <f t="shared" si="100"/>
        <v>70</v>
      </c>
      <c r="AE215" s="431">
        <f t="shared" si="101"/>
        <v>1.22</v>
      </c>
      <c r="AF215" s="431"/>
      <c r="AG215" s="431">
        <f t="shared" si="102"/>
        <v>1.0730000000000002</v>
      </c>
      <c r="AH215" s="431">
        <f t="shared" si="103"/>
        <v>1.1373800000000003</v>
      </c>
      <c r="AI215" s="432">
        <f t="shared" si="104"/>
        <v>887.06312000000003</v>
      </c>
      <c r="AJ215" s="432">
        <f t="shared" si="105"/>
        <v>137.02107216381808</v>
      </c>
      <c r="AK215" s="432">
        <f t="shared" si="106"/>
        <v>149.82197264818703</v>
      </c>
      <c r="AL215" s="432">
        <f t="shared" si="107"/>
        <v>297.82446261955857</v>
      </c>
      <c r="AM215" s="250">
        <v>150</v>
      </c>
      <c r="AN215" s="432">
        <f t="shared" si="108"/>
        <v>150</v>
      </c>
      <c r="AO215" s="432">
        <f t="shared" si="109"/>
        <v>170.60700000000003</v>
      </c>
      <c r="AP215" s="432">
        <f t="shared" si="110"/>
        <v>568.69000000000017</v>
      </c>
      <c r="AQ215" s="255" t="s">
        <v>170</v>
      </c>
      <c r="AR215" s="13" t="s">
        <v>1035</v>
      </c>
      <c r="AS215" s="434" t="s">
        <v>1036</v>
      </c>
      <c r="AT215" s="429" t="s">
        <v>1037</v>
      </c>
      <c r="AU215" s="241"/>
      <c r="AV215" s="243"/>
      <c r="AW215" s="13" t="s">
        <v>127</v>
      </c>
      <c r="AX215" s="243"/>
      <c r="AY215" s="103">
        <f t="shared" si="111"/>
        <v>0.55000000000000004</v>
      </c>
      <c r="BA215" s="13" t="str">
        <f t="shared" si="112"/>
        <v>W22</v>
      </c>
      <c r="BC215" s="32"/>
      <c r="BD215" s="241"/>
      <c r="BE215" s="241"/>
      <c r="BF215" s="71"/>
      <c r="BG215" s="241"/>
      <c r="BH215" s="241"/>
      <c r="BI215" s="71"/>
      <c r="BJ215" s="123"/>
      <c r="BK215" s="123"/>
      <c r="BL215" s="126"/>
      <c r="BM215" s="123"/>
      <c r="BN215" s="123"/>
      <c r="BO215" s="123"/>
      <c r="BP215" s="108"/>
      <c r="BQ215" s="71"/>
      <c r="BR215" s="71"/>
      <c r="BS215" s="71"/>
    </row>
    <row r="216" spans="1:79" s="72" customFormat="1">
      <c r="A216" s="13" t="s">
        <v>466</v>
      </c>
      <c r="B216" s="387" t="s">
        <v>948</v>
      </c>
      <c r="C216" s="13" t="s">
        <v>1032</v>
      </c>
      <c r="D216" s="387" t="s">
        <v>1018</v>
      </c>
      <c r="E216" s="13" t="s">
        <v>118</v>
      </c>
      <c r="F216" s="13" t="s">
        <v>167</v>
      </c>
      <c r="G216" s="13" t="s">
        <v>1038</v>
      </c>
      <c r="H216" s="13" t="s">
        <v>121</v>
      </c>
      <c r="I216" s="13" t="s">
        <v>147</v>
      </c>
      <c r="J216" s="13" t="s">
        <v>5</v>
      </c>
      <c r="K216" s="13" t="s">
        <v>123</v>
      </c>
      <c r="L216" s="13" t="s">
        <v>1039</v>
      </c>
      <c r="M216" s="13" t="s">
        <v>125</v>
      </c>
      <c r="N216" s="13" t="s">
        <v>126</v>
      </c>
      <c r="O216" s="247">
        <v>0.6</v>
      </c>
      <c r="P216" s="13">
        <v>97</v>
      </c>
      <c r="Q216" s="13">
        <v>30</v>
      </c>
      <c r="R216" s="13" t="s">
        <v>127</v>
      </c>
      <c r="S216" s="430" t="str">
        <f t="shared" si="96"/>
        <v>N/A</v>
      </c>
      <c r="T216" s="247">
        <v>0.8</v>
      </c>
      <c r="U216" s="13">
        <v>150</v>
      </c>
      <c r="V216" s="13">
        <v>550</v>
      </c>
      <c r="W216" s="430">
        <f t="shared" si="94"/>
        <v>400</v>
      </c>
      <c r="X216" s="430">
        <f t="shared" si="95"/>
        <v>120</v>
      </c>
      <c r="Y216" s="13">
        <v>100</v>
      </c>
      <c r="Z216" s="13">
        <v>550</v>
      </c>
      <c r="AA216" s="430">
        <f t="shared" si="97"/>
        <v>450</v>
      </c>
      <c r="AB216" s="430">
        <f t="shared" si="98"/>
        <v>120</v>
      </c>
      <c r="AC216" s="430" t="str">
        <f t="shared" si="99"/>
        <v>N/A</v>
      </c>
      <c r="AD216" s="430">
        <f t="shared" si="100"/>
        <v>67</v>
      </c>
      <c r="AE216" s="431">
        <f t="shared" si="101"/>
        <v>1.202</v>
      </c>
      <c r="AF216" s="431"/>
      <c r="AG216" s="431">
        <f t="shared" si="102"/>
        <v>1.0631649484536081</v>
      </c>
      <c r="AH216" s="431">
        <f t="shared" si="103"/>
        <v>1.1269548453608247</v>
      </c>
      <c r="AI216" s="432">
        <f t="shared" si="104"/>
        <v>887.06312000000003</v>
      </c>
      <c r="AJ216" s="432">
        <f t="shared" si="105"/>
        <v>139.07296841918304</v>
      </c>
      <c r="AK216" s="432">
        <f t="shared" si="106"/>
        <v>152.06556292078884</v>
      </c>
      <c r="AL216" s="432">
        <f t="shared" si="107"/>
        <v>302.28439633599123</v>
      </c>
      <c r="AM216" s="250">
        <v>120</v>
      </c>
      <c r="AN216" s="432">
        <f t="shared" si="108"/>
        <v>116.4</v>
      </c>
      <c r="AO216" s="432">
        <f t="shared" si="109"/>
        <v>131.17754400000001</v>
      </c>
      <c r="AP216" s="432">
        <f t="shared" si="110"/>
        <v>437.25848000000008</v>
      </c>
      <c r="AQ216" s="255">
        <v>44927</v>
      </c>
      <c r="AR216" s="13" t="s">
        <v>545</v>
      </c>
      <c r="AS216" s="434" t="s">
        <v>1040</v>
      </c>
      <c r="AT216" s="429"/>
      <c r="AU216" s="241"/>
      <c r="AV216" s="243"/>
      <c r="AW216" s="13" t="s">
        <v>127</v>
      </c>
      <c r="AX216" s="243"/>
      <c r="AY216" s="103">
        <f t="shared" si="111"/>
        <v>0.5670103092783505</v>
      </c>
      <c r="BA216" s="13" t="str">
        <f t="shared" si="112"/>
        <v>W22</v>
      </c>
      <c r="BB216" s="72" t="str">
        <f>IF(R216="n/a","Clear","S/B")</f>
        <v>Clear</v>
      </c>
      <c r="BC216" s="32">
        <f>IF(Q216="","",((P216/100*O216)+T216))</f>
        <v>1.3820000000000001</v>
      </c>
      <c r="BD216" s="241">
        <f>IF(BC216="","",((PI()*((51/2)^2-(16.545/2)^2)/(BC216/10))/100))</f>
        <v>132.25962853168463</v>
      </c>
      <c r="BE216" s="241">
        <f>IF(BC216="","",(BD216-AK216))</f>
        <v>-19.805934389104209</v>
      </c>
      <c r="BF216" s="71">
        <f>IF(BC216="","",(BE216/AK216))</f>
        <v>-0.13024602026049217</v>
      </c>
      <c r="BG216" s="241">
        <f>IF(BF216="","",((PI()*((70/2)^2-(16.545/2)^2)/(BC216/10))/100))</f>
        <v>262.91305672638305</v>
      </c>
      <c r="BH216" s="241">
        <f>IF(BF216="","",(BG216-AL216))</f>
        <v>-39.371339609608185</v>
      </c>
      <c r="BI216" s="71">
        <f>IF(BG216="","",(BH216/AL216))</f>
        <v>-0.13024602026049226</v>
      </c>
      <c r="BJ216" s="123"/>
      <c r="BK216" s="123"/>
      <c r="BL216" s="126"/>
      <c r="BM216" s="123"/>
      <c r="BN216" s="123"/>
      <c r="BO216" s="123"/>
      <c r="BP216" s="123"/>
      <c r="BQ216" s="144"/>
      <c r="BR216" s="140"/>
      <c r="BS216" s="106"/>
      <c r="BT216" s="13">
        <f>P216-V216/10-120/10</f>
        <v>30</v>
      </c>
      <c r="BU216" s="79">
        <f>BT216-Q216</f>
        <v>0</v>
      </c>
      <c r="BV216" s="29">
        <f>T216+(O216/100*(P216-BT216))</f>
        <v>1.202</v>
      </c>
      <c r="BW216" s="86">
        <f>(AE216-BV216)/AE216</f>
        <v>0</v>
      </c>
      <c r="BX216" s="79">
        <f>(PI()*((51/2)^2-(16.545/2)^2)/(BV216/10))/100</f>
        <v>152.06556292078884</v>
      </c>
      <c r="BY216" s="79">
        <f>BX216-AK216</f>
        <v>0</v>
      </c>
      <c r="BZ216" s="86">
        <f>BY216/AK216</f>
        <v>0</v>
      </c>
      <c r="CA216" s="76"/>
    </row>
    <row r="217" spans="1:79" s="72" customFormat="1">
      <c r="A217" s="13" t="s">
        <v>466</v>
      </c>
      <c r="B217" s="387" t="s">
        <v>948</v>
      </c>
      <c r="C217" s="13" t="s">
        <v>357</v>
      </c>
      <c r="D217" s="387" t="s">
        <v>1041</v>
      </c>
      <c r="E217" s="13" t="s">
        <v>118</v>
      </c>
      <c r="F217" s="13" t="s">
        <v>167</v>
      </c>
      <c r="G217" s="13" t="s">
        <v>1042</v>
      </c>
      <c r="H217" s="13" t="s">
        <v>121</v>
      </c>
      <c r="I217" s="13" t="s">
        <v>147</v>
      </c>
      <c r="J217" s="13" t="s">
        <v>5</v>
      </c>
      <c r="K217" s="13" t="s">
        <v>123</v>
      </c>
      <c r="L217" s="13" t="s">
        <v>1043</v>
      </c>
      <c r="M217" s="13" t="s">
        <v>125</v>
      </c>
      <c r="N217" s="13" t="s">
        <v>251</v>
      </c>
      <c r="O217" s="247">
        <v>0.41</v>
      </c>
      <c r="P217" s="13">
        <v>88</v>
      </c>
      <c r="Q217" s="13">
        <v>20</v>
      </c>
      <c r="R217" s="13" t="s">
        <v>127</v>
      </c>
      <c r="S217" s="430" t="str">
        <f t="shared" si="96"/>
        <v>N/A</v>
      </c>
      <c r="T217" s="247">
        <v>0.8</v>
      </c>
      <c r="U217" s="13">
        <v>130</v>
      </c>
      <c r="V217" s="13">
        <v>530</v>
      </c>
      <c r="W217" s="430">
        <f t="shared" si="94"/>
        <v>400</v>
      </c>
      <c r="X217" s="430">
        <f t="shared" si="95"/>
        <v>150</v>
      </c>
      <c r="Y217" s="13">
        <v>100</v>
      </c>
      <c r="Z217" s="13">
        <v>600</v>
      </c>
      <c r="AA217" s="430">
        <f t="shared" si="97"/>
        <v>500</v>
      </c>
      <c r="AB217" s="430">
        <f t="shared" si="98"/>
        <v>80</v>
      </c>
      <c r="AC217" s="430" t="str">
        <f t="shared" si="99"/>
        <v>N/A</v>
      </c>
      <c r="AD217" s="430">
        <f t="shared" si="100"/>
        <v>68</v>
      </c>
      <c r="AE217" s="431">
        <f t="shared" si="101"/>
        <v>1.0788</v>
      </c>
      <c r="AF217" s="431"/>
      <c r="AG217" s="431">
        <f t="shared" si="102"/>
        <v>0.97108181818181805</v>
      </c>
      <c r="AH217" s="431">
        <f t="shared" si="103"/>
        <v>1.029346727272727</v>
      </c>
      <c r="AI217" s="432">
        <f t="shared" si="104"/>
        <v>874.69313200000011</v>
      </c>
      <c r="AJ217" s="432">
        <f t="shared" si="105"/>
        <v>154.95523548373936</v>
      </c>
      <c r="AK217" s="432">
        <f t="shared" si="106"/>
        <v>169.43159680273283</v>
      </c>
      <c r="AL217" s="432">
        <f t="shared" si="107"/>
        <v>336.80556581003106</v>
      </c>
      <c r="AM217" s="250">
        <v>50</v>
      </c>
      <c r="AN217" s="432">
        <f t="shared" si="108"/>
        <v>44</v>
      </c>
      <c r="AO217" s="432">
        <f t="shared" si="109"/>
        <v>45.29125599999999</v>
      </c>
      <c r="AP217" s="432">
        <f t="shared" si="110"/>
        <v>226.45627999999994</v>
      </c>
      <c r="AQ217" s="255">
        <v>44593</v>
      </c>
      <c r="AR217" s="13" t="s">
        <v>1044</v>
      </c>
      <c r="AS217" s="434" t="s">
        <v>1045</v>
      </c>
      <c r="AT217" s="429" t="s">
        <v>1046</v>
      </c>
      <c r="AU217" s="241"/>
      <c r="AV217" s="243"/>
      <c r="AW217" s="72" t="s">
        <v>127</v>
      </c>
      <c r="AX217" s="243"/>
      <c r="AY217" s="71">
        <f t="shared" si="111"/>
        <v>0.60227272727272729</v>
      </c>
      <c r="BA217" s="72" t="str">
        <f t="shared" si="112"/>
        <v>W22</v>
      </c>
      <c r="BB217" s="72" t="str">
        <f>IF(R217="n/a","Clear","S/B")</f>
        <v>Clear</v>
      </c>
      <c r="BC217" s="32">
        <f>IF(Q217="","",((P217/100*O217)+T217))</f>
        <v>1.1608000000000001</v>
      </c>
      <c r="BD217" s="241">
        <f>IF(BC217="","",((PI()*((51/2)^2-(16.545/2)^2)/(BC217/10))/100))</f>
        <v>157.46278999895603</v>
      </c>
      <c r="BE217" s="241">
        <f>IF(BC217="","",(BD217-AK217))</f>
        <v>-11.968806803776801</v>
      </c>
      <c r="BF217" s="71">
        <f>IF(BC217="","",(BE217/AK217))</f>
        <v>-7.0640937284631375E-2</v>
      </c>
      <c r="BG217" s="241">
        <f>IF(BF217="","",((PI()*((70/2)^2-(16.545/2)^2)/(BC217/10))/100))</f>
        <v>313.01330495852983</v>
      </c>
      <c r="BH217" s="241">
        <f>IF(BF217="","",(BG217-AL217))</f>
        <v>-23.792260851501226</v>
      </c>
      <c r="BI217" s="71">
        <f>IF(BG217="","",(BH217/AL217))</f>
        <v>-7.0640937284631486E-2</v>
      </c>
      <c r="BJ217" s="123">
        <v>20</v>
      </c>
      <c r="BK217" s="123"/>
      <c r="BL217" s="126"/>
      <c r="BM217" s="123"/>
      <c r="BN217" s="123"/>
      <c r="BO217" s="123"/>
      <c r="BP217" s="108"/>
      <c r="BQ217" s="166"/>
      <c r="BR217" s="140"/>
      <c r="BS217" s="106"/>
      <c r="BT217" s="22"/>
      <c r="BU217" s="87"/>
      <c r="BV217" s="73"/>
      <c r="BW217" s="109"/>
      <c r="BX217" s="87"/>
      <c r="BY217" s="87"/>
      <c r="BZ217" s="109"/>
      <c r="CA217" s="76"/>
    </row>
    <row r="218" spans="1:79" s="77" customFormat="1">
      <c r="A218" s="13" t="s">
        <v>466</v>
      </c>
      <c r="B218" s="387" t="s">
        <v>948</v>
      </c>
      <c r="C218" s="13" t="s">
        <v>357</v>
      </c>
      <c r="D218" s="429" t="s">
        <v>1047</v>
      </c>
      <c r="E218" s="13" t="s">
        <v>118</v>
      </c>
      <c r="F218" s="387" t="s">
        <v>186</v>
      </c>
      <c r="G218" s="13" t="s">
        <v>1048</v>
      </c>
      <c r="H218" s="13" t="s">
        <v>121</v>
      </c>
      <c r="I218" s="13" t="s">
        <v>147</v>
      </c>
      <c r="J218" s="13" t="s">
        <v>5</v>
      </c>
      <c r="K218" s="13" t="s">
        <v>123</v>
      </c>
      <c r="L218" s="13" t="s">
        <v>1049</v>
      </c>
      <c r="M218" s="13" t="s">
        <v>125</v>
      </c>
      <c r="N218" s="13" t="s">
        <v>126</v>
      </c>
      <c r="O218" s="247">
        <v>0.36</v>
      </c>
      <c r="P218" s="13">
        <v>95</v>
      </c>
      <c r="Q218" s="13">
        <v>25</v>
      </c>
      <c r="R218" s="13" t="s">
        <v>127</v>
      </c>
      <c r="S218" s="430" t="str">
        <f t="shared" si="96"/>
        <v>N/A</v>
      </c>
      <c r="T218" s="247">
        <v>0.8</v>
      </c>
      <c r="U218" s="13">
        <v>150</v>
      </c>
      <c r="V218" s="13">
        <v>550</v>
      </c>
      <c r="W218" s="430">
        <f t="shared" si="94"/>
        <v>400</v>
      </c>
      <c r="X218" s="430">
        <f t="shared" si="95"/>
        <v>150</v>
      </c>
      <c r="Y218" s="13">
        <v>150</v>
      </c>
      <c r="Z218" s="13">
        <v>600</v>
      </c>
      <c r="AA218" s="430">
        <f t="shared" si="97"/>
        <v>450</v>
      </c>
      <c r="AB218" s="430">
        <f t="shared" si="98"/>
        <v>100</v>
      </c>
      <c r="AC218" s="430" t="str">
        <f t="shared" si="99"/>
        <v>N/A</v>
      </c>
      <c r="AD218" s="430">
        <f t="shared" si="100"/>
        <v>70</v>
      </c>
      <c r="AE218" s="431">
        <f t="shared" si="101"/>
        <v>1.052</v>
      </c>
      <c r="AF218" s="431"/>
      <c r="AG218" s="431">
        <f t="shared" si="102"/>
        <v>0.9591578947368421</v>
      </c>
      <c r="AH218" s="431">
        <f t="shared" si="103"/>
        <v>1.0167073684210526</v>
      </c>
      <c r="AI218" s="432">
        <f t="shared" si="104"/>
        <v>871.43787200000008</v>
      </c>
      <c r="AJ218" s="432">
        <f t="shared" si="105"/>
        <v>158.902764296443</v>
      </c>
      <c r="AK218" s="432">
        <f t="shared" si="106"/>
        <v>173.74791504827772</v>
      </c>
      <c r="AL218" s="432">
        <f t="shared" si="107"/>
        <v>345.38578364625619</v>
      </c>
      <c r="AM218" s="250">
        <v>174</v>
      </c>
      <c r="AN218" s="432">
        <f t="shared" si="108"/>
        <v>165.3</v>
      </c>
      <c r="AO218" s="432">
        <f t="shared" si="109"/>
        <v>168.06172800000002</v>
      </c>
      <c r="AP218" s="432">
        <f t="shared" si="110"/>
        <v>672.24691200000007</v>
      </c>
      <c r="AQ218" s="255">
        <v>45100</v>
      </c>
      <c r="AR218" s="13" t="s">
        <v>1035</v>
      </c>
      <c r="AS218" s="434" t="s">
        <v>1050</v>
      </c>
      <c r="AT218" s="429"/>
      <c r="AU218" s="249"/>
      <c r="AV218" s="268"/>
      <c r="AW218" s="38" t="s">
        <v>127</v>
      </c>
      <c r="AX218" s="268"/>
      <c r="AY218" s="103">
        <f t="shared" si="111"/>
        <v>0.57894736842105265</v>
      </c>
      <c r="BA218" s="38" t="str">
        <f t="shared" si="112"/>
        <v>W22</v>
      </c>
      <c r="BC218" s="264"/>
      <c r="BD218" s="253"/>
      <c r="BE218" s="253"/>
      <c r="BF218" s="100"/>
      <c r="BG218" s="253"/>
      <c r="BH218" s="253"/>
      <c r="BI218" s="100"/>
      <c r="BJ218" s="162"/>
      <c r="BK218" s="162"/>
      <c r="BL218" s="168"/>
      <c r="BM218" s="162"/>
      <c r="BN218" s="162"/>
      <c r="BO218" s="162"/>
      <c r="BP218" s="130"/>
      <c r="BQ218" s="124"/>
      <c r="BR218" s="124"/>
      <c r="BS218" s="71"/>
      <c r="BT218" s="72"/>
      <c r="BU218" s="78"/>
      <c r="BV218" s="32"/>
      <c r="BW218" s="127"/>
      <c r="BX218" s="78"/>
      <c r="BY218" s="78"/>
      <c r="BZ218" s="127"/>
      <c r="CA218" s="76"/>
    </row>
    <row r="219" spans="1:79" s="72" customFormat="1">
      <c r="A219" s="13" t="s">
        <v>466</v>
      </c>
      <c r="B219" s="387" t="s">
        <v>948</v>
      </c>
      <c r="C219" s="13" t="s">
        <v>130</v>
      </c>
      <c r="D219" s="387" t="s">
        <v>1051</v>
      </c>
      <c r="E219" s="13" t="s">
        <v>118</v>
      </c>
      <c r="F219" s="13" t="s">
        <v>167</v>
      </c>
      <c r="G219" s="13" t="s">
        <v>1052</v>
      </c>
      <c r="H219" s="13" t="s">
        <v>121</v>
      </c>
      <c r="I219" s="13" t="s">
        <v>147</v>
      </c>
      <c r="J219" s="13" t="s">
        <v>5</v>
      </c>
      <c r="K219" s="13" t="s">
        <v>123</v>
      </c>
      <c r="L219" s="13" t="s">
        <v>1053</v>
      </c>
      <c r="M219" s="13" t="s">
        <v>125</v>
      </c>
      <c r="N219" s="13" t="s">
        <v>126</v>
      </c>
      <c r="O219" s="247">
        <v>0.57999999999999996</v>
      </c>
      <c r="P219" s="13">
        <v>106</v>
      </c>
      <c r="Q219" s="13">
        <v>30</v>
      </c>
      <c r="R219" s="13" t="s">
        <v>127</v>
      </c>
      <c r="S219" s="430" t="str">
        <f t="shared" si="96"/>
        <v>N/A</v>
      </c>
      <c r="T219" s="247">
        <v>0.8</v>
      </c>
      <c r="U219" s="13">
        <v>200</v>
      </c>
      <c r="V219" s="13">
        <v>600</v>
      </c>
      <c r="W219" s="430">
        <f t="shared" si="94"/>
        <v>400</v>
      </c>
      <c r="X219" s="430">
        <f t="shared" si="95"/>
        <v>160</v>
      </c>
      <c r="Y219" s="13">
        <v>150</v>
      </c>
      <c r="Z219" s="13">
        <v>600</v>
      </c>
      <c r="AA219" s="430">
        <f t="shared" si="97"/>
        <v>450</v>
      </c>
      <c r="AB219" s="430">
        <f t="shared" si="98"/>
        <v>160</v>
      </c>
      <c r="AC219" s="430" t="str">
        <f t="shared" si="99"/>
        <v>N/A</v>
      </c>
      <c r="AD219" s="430">
        <f t="shared" si="100"/>
        <v>76</v>
      </c>
      <c r="AE219" s="431">
        <f t="shared" si="101"/>
        <v>1.2408000000000001</v>
      </c>
      <c r="AF219" s="431"/>
      <c r="AG219" s="431">
        <f t="shared" si="102"/>
        <v>1.082777358490566</v>
      </c>
      <c r="AH219" s="431">
        <f t="shared" si="103"/>
        <v>1.1477440000000001</v>
      </c>
      <c r="AI219" s="432">
        <f t="shared" si="104"/>
        <v>885.76101600000004</v>
      </c>
      <c r="AJ219" s="432">
        <f t="shared" si="105"/>
        <v>134.72413607338655</v>
      </c>
      <c r="AK219" s="432">
        <f t="shared" si="106"/>
        <v>147.31045021823675</v>
      </c>
      <c r="AL219" s="432">
        <f t="shared" si="107"/>
        <v>292.83191843638093</v>
      </c>
      <c r="AM219" s="250">
        <v>120</v>
      </c>
      <c r="AN219" s="432">
        <f t="shared" si="108"/>
        <v>127.2</v>
      </c>
      <c r="AO219" s="432">
        <f t="shared" si="109"/>
        <v>145.99303680000003</v>
      </c>
      <c r="AP219" s="432">
        <f t="shared" si="110"/>
        <v>486.64345600000013</v>
      </c>
      <c r="AQ219" s="255">
        <v>44927</v>
      </c>
      <c r="AR219" s="13" t="s">
        <v>545</v>
      </c>
      <c r="AS219" s="429" t="s">
        <v>1054</v>
      </c>
      <c r="AT219" s="429" t="s">
        <v>1055</v>
      </c>
      <c r="AU219" s="241"/>
      <c r="AV219" s="243"/>
      <c r="AW219" s="72" t="s">
        <v>127</v>
      </c>
      <c r="AX219" s="243"/>
      <c r="AY219" s="103">
        <f t="shared" si="111"/>
        <v>0.56603773584905659</v>
      </c>
      <c r="BA219" s="13" t="str">
        <f t="shared" si="112"/>
        <v>W22</v>
      </c>
      <c r="BB219" s="72" t="str">
        <f>IF(R219="n/a","Clear","S/B")</f>
        <v>Clear</v>
      </c>
      <c r="BC219" s="32">
        <f>IF(Q219="","",((P219/100*O219)+T219))</f>
        <v>1.4148000000000001</v>
      </c>
      <c r="BD219" s="241">
        <f>IF(BC219="","",((PI()*((51/2)^2-(16.545/2)^2)/(BC219/10))/100))</f>
        <v>129.19338891065038</v>
      </c>
      <c r="BE219" s="241">
        <f>IF(BC219="","",(BD219-AK219))</f>
        <v>-18.117061307586368</v>
      </c>
      <c r="BF219" s="71">
        <f>IF(BC219="","",(BE219/AK219))</f>
        <v>-0.12298558100084818</v>
      </c>
      <c r="BG219" s="241">
        <f>IF(BF219="","",((PI()*((70/2)^2-(16.545/2)^2)/(BC219/10))/100))</f>
        <v>256.81781481188966</v>
      </c>
      <c r="BH219" s="241">
        <f>IF(BF219="","",(BG219-AL219))</f>
        <v>-36.01410362449127</v>
      </c>
      <c r="BI219" s="71">
        <f>IF(BG219="","",(BH219/AL219))</f>
        <v>-0.1229855810008481</v>
      </c>
      <c r="BJ219" s="123"/>
      <c r="BK219" s="123"/>
      <c r="BL219" s="126"/>
      <c r="BM219" s="123"/>
      <c r="BN219" s="123"/>
      <c r="BO219" s="123"/>
      <c r="BP219" s="123"/>
      <c r="BQ219" s="103"/>
      <c r="BR219" s="71"/>
      <c r="BS219" s="71"/>
      <c r="BT219" s="72">
        <f>P219-V219/10-120/10</f>
        <v>34</v>
      </c>
      <c r="BU219" s="78">
        <f>BT219-Q219</f>
        <v>4</v>
      </c>
      <c r="BV219" s="32">
        <f>T219+(O219/100*(P219-BT219))</f>
        <v>1.2176</v>
      </c>
      <c r="BW219" s="127">
        <f>(AE219-BV219)/AE219</f>
        <v>1.8697614442295379E-2</v>
      </c>
      <c r="BX219" s="78">
        <f>(PI()*((51/2)^2-(16.545/2)^2)/(BV219/10))/100</f>
        <v>150.11728534066046</v>
      </c>
      <c r="BY219" s="78">
        <f>BX219-AK219</f>
        <v>2.8068351224237063</v>
      </c>
      <c r="BZ219" s="127">
        <f>BY219/AK219</f>
        <v>1.905387647831807E-2</v>
      </c>
      <c r="CA219" s="76"/>
    </row>
    <row r="220" spans="1:79" s="72" customFormat="1">
      <c r="A220" s="13" t="s">
        <v>466</v>
      </c>
      <c r="B220" s="387" t="s">
        <v>948</v>
      </c>
      <c r="C220" s="13" t="s">
        <v>1056</v>
      </c>
      <c r="D220" s="387" t="s">
        <v>1057</v>
      </c>
      <c r="E220" s="13" t="s">
        <v>118</v>
      </c>
      <c r="F220" s="13" t="s">
        <v>119</v>
      </c>
      <c r="G220" s="13" t="s">
        <v>1058</v>
      </c>
      <c r="H220" s="13" t="s">
        <v>121</v>
      </c>
      <c r="I220" s="13" t="s">
        <v>147</v>
      </c>
      <c r="J220" s="13" t="s">
        <v>5</v>
      </c>
      <c r="K220" s="13" t="s">
        <v>123</v>
      </c>
      <c r="L220" s="13" t="s">
        <v>1059</v>
      </c>
      <c r="M220" s="13" t="s">
        <v>125</v>
      </c>
      <c r="N220" s="13" t="s">
        <v>126</v>
      </c>
      <c r="O220" s="247">
        <v>0.32</v>
      </c>
      <c r="P220" s="13">
        <v>113</v>
      </c>
      <c r="Q220" s="13">
        <v>25</v>
      </c>
      <c r="R220" s="13" t="s">
        <v>127</v>
      </c>
      <c r="S220" s="430" t="str">
        <f t="shared" si="96"/>
        <v>N/A</v>
      </c>
      <c r="T220" s="247">
        <v>0.8</v>
      </c>
      <c r="U220" s="13">
        <v>250</v>
      </c>
      <c r="V220" s="13">
        <v>750</v>
      </c>
      <c r="W220" s="430">
        <f t="shared" si="94"/>
        <v>500</v>
      </c>
      <c r="X220" s="430">
        <f t="shared" si="95"/>
        <v>130</v>
      </c>
      <c r="Y220" s="13">
        <v>250</v>
      </c>
      <c r="Z220" s="13">
        <v>750</v>
      </c>
      <c r="AA220" s="430">
        <f t="shared" si="97"/>
        <v>500</v>
      </c>
      <c r="AB220" s="430">
        <f t="shared" si="98"/>
        <v>130</v>
      </c>
      <c r="AC220" s="430" t="str">
        <f t="shared" si="99"/>
        <v>N/A</v>
      </c>
      <c r="AD220" s="430">
        <f t="shared" si="100"/>
        <v>88</v>
      </c>
      <c r="AE220" s="431">
        <f t="shared" si="101"/>
        <v>1.0816000000000001</v>
      </c>
      <c r="AF220" s="431"/>
      <c r="AG220" s="431">
        <f t="shared" si="102"/>
        <v>0.97195044247787621</v>
      </c>
      <c r="AH220" s="431">
        <f t="shared" si="103"/>
        <v>1.0302674690265488</v>
      </c>
      <c r="AI220" s="432">
        <f t="shared" si="104"/>
        <v>868.833664</v>
      </c>
      <c r="AJ220" s="432">
        <f t="shared" si="105"/>
        <v>154.55409397176223</v>
      </c>
      <c r="AK220" s="432">
        <f t="shared" si="106"/>
        <v>168.99297950331749</v>
      </c>
      <c r="AL220" s="432">
        <f t="shared" si="107"/>
        <v>335.93365791037485</v>
      </c>
      <c r="AM220" s="250">
        <v>169</v>
      </c>
      <c r="AN220" s="432">
        <f t="shared" si="108"/>
        <v>190.97</v>
      </c>
      <c r="AO220" s="432">
        <f t="shared" si="109"/>
        <v>196.75017856000002</v>
      </c>
      <c r="AP220" s="432">
        <f t="shared" si="110"/>
        <v>787.00071424000009</v>
      </c>
      <c r="AQ220" s="255">
        <v>45717</v>
      </c>
      <c r="AR220" s="13" t="s">
        <v>1060</v>
      </c>
      <c r="AS220" s="434"/>
      <c r="AT220" s="429"/>
      <c r="AU220" s="241"/>
      <c r="AV220" s="243"/>
      <c r="AW220" s="13"/>
      <c r="AX220" s="260"/>
      <c r="AY220" s="103"/>
      <c r="AZ220" s="22"/>
      <c r="BA220" s="13"/>
      <c r="BC220" s="32"/>
      <c r="BD220" s="241"/>
      <c r="BE220" s="241"/>
      <c r="BF220" s="71"/>
      <c r="BG220" s="241"/>
      <c r="BH220" s="241"/>
      <c r="BI220" s="71"/>
      <c r="BJ220" s="123"/>
      <c r="BK220" s="108"/>
      <c r="BL220" s="126"/>
      <c r="BM220" s="108"/>
      <c r="BN220" s="71"/>
      <c r="BO220" s="108"/>
      <c r="BP220" s="108"/>
      <c r="BQ220" s="142"/>
      <c r="BR220" s="71"/>
      <c r="BS220" s="71"/>
      <c r="BT220" s="72">
        <f>P220-V220/10-120/10</f>
        <v>26</v>
      </c>
      <c r="BU220" s="78">
        <f>BT220-Q220</f>
        <v>1</v>
      </c>
      <c r="BV220" s="32">
        <f>T220+(O220/100*(P220-BT220))</f>
        <v>1.0784</v>
      </c>
      <c r="BW220" s="127">
        <f>(AE220-BV220)/AE220</f>
        <v>2.9585798816568892E-3</v>
      </c>
      <c r="BX220" s="78">
        <f>(PI()*((51/2)^2-(16.545/2)^2)/(BV220/10))/100</f>
        <v>169.49444235050834</v>
      </c>
      <c r="BY220" s="78">
        <f>BX220-AK220</f>
        <v>0.50146284719085088</v>
      </c>
      <c r="BZ220" s="127">
        <f>BY220/AK220</f>
        <v>2.967359050445091E-3</v>
      </c>
      <c r="CA220" s="76"/>
    </row>
    <row r="221" spans="1:79" s="77" customFormat="1">
      <c r="A221" s="13" t="s">
        <v>466</v>
      </c>
      <c r="B221" s="387" t="s">
        <v>948</v>
      </c>
      <c r="C221" s="13"/>
      <c r="D221" s="387"/>
      <c r="E221" s="13"/>
      <c r="F221" s="13" t="s">
        <v>167</v>
      </c>
      <c r="G221" s="13" t="s">
        <v>1061</v>
      </c>
      <c r="H221" s="13" t="s">
        <v>121</v>
      </c>
      <c r="I221" s="13" t="s">
        <v>147</v>
      </c>
      <c r="J221" s="13" t="s">
        <v>5</v>
      </c>
      <c r="K221" s="13" t="s">
        <v>123</v>
      </c>
      <c r="L221" s="13" t="s">
        <v>1062</v>
      </c>
      <c r="M221" s="13" t="s">
        <v>125</v>
      </c>
      <c r="N221" s="13" t="s">
        <v>126</v>
      </c>
      <c r="O221" s="247">
        <v>0.52</v>
      </c>
      <c r="P221" s="13">
        <v>115</v>
      </c>
      <c r="Q221" s="13">
        <v>30</v>
      </c>
      <c r="R221" s="13" t="s">
        <v>127</v>
      </c>
      <c r="S221" s="430" t="str">
        <f t="shared" si="96"/>
        <v>N/A</v>
      </c>
      <c r="T221" s="247">
        <v>0.8</v>
      </c>
      <c r="U221" s="13">
        <v>200</v>
      </c>
      <c r="V221" s="13">
        <v>600</v>
      </c>
      <c r="W221" s="430">
        <f t="shared" si="94"/>
        <v>400</v>
      </c>
      <c r="X221" s="430">
        <f t="shared" si="95"/>
        <v>250</v>
      </c>
      <c r="Y221" s="13">
        <v>200</v>
      </c>
      <c r="Z221" s="13">
        <v>600</v>
      </c>
      <c r="AA221" s="430">
        <f t="shared" si="97"/>
        <v>400</v>
      </c>
      <c r="AB221" s="430">
        <f t="shared" si="98"/>
        <v>250</v>
      </c>
      <c r="AC221" s="430" t="str">
        <f t="shared" si="99"/>
        <v>N/A</v>
      </c>
      <c r="AD221" s="430">
        <f t="shared" si="100"/>
        <v>85</v>
      </c>
      <c r="AE221" s="431">
        <f t="shared" si="101"/>
        <v>1.242</v>
      </c>
      <c r="AF221" s="431"/>
      <c r="AG221" s="431">
        <f t="shared" si="102"/>
        <v>1.0786521739130435</v>
      </c>
      <c r="AH221" s="431">
        <f t="shared" si="103"/>
        <v>1.1433713043478262</v>
      </c>
      <c r="AI221" s="432">
        <f t="shared" si="104"/>
        <v>881.85470400000008</v>
      </c>
      <c r="AJ221" s="432">
        <f t="shared" si="105"/>
        <v>134.59396782597264</v>
      </c>
      <c r="AK221" s="432">
        <f t="shared" si="106"/>
        <v>147.16812128082785</v>
      </c>
      <c r="AL221" s="432">
        <f t="shared" si="107"/>
        <v>292.54898904658734</v>
      </c>
      <c r="AM221" s="250">
        <v>147</v>
      </c>
      <c r="AN221" s="432">
        <f t="shared" si="108"/>
        <v>169.05</v>
      </c>
      <c r="AO221" s="432">
        <f t="shared" si="109"/>
        <v>193.28691900000004</v>
      </c>
      <c r="AP221" s="432">
        <f t="shared" si="110"/>
        <v>644.28973000000019</v>
      </c>
      <c r="AQ221" s="255" t="s">
        <v>170</v>
      </c>
      <c r="AR221" s="13" t="s">
        <v>930</v>
      </c>
      <c r="AS221" s="434" t="s">
        <v>1063</v>
      </c>
      <c r="AT221" s="429"/>
      <c r="AU221" s="241"/>
      <c r="AV221" s="243"/>
      <c r="AW221" s="72"/>
      <c r="AX221" s="243"/>
      <c r="AY221" s="71">
        <f t="shared" ref="AY221:AY238" si="113">(V221/10)/P221</f>
        <v>0.52173913043478259</v>
      </c>
      <c r="AZ221" s="72"/>
      <c r="BA221" s="72" t="str">
        <f t="shared" ref="BA221:BA226" si="114">LEFT(G221,3)</f>
        <v>W22</v>
      </c>
      <c r="BB221" s="72"/>
      <c r="BC221" s="32"/>
      <c r="BD221" s="241"/>
      <c r="BE221" s="241"/>
      <c r="BF221" s="71"/>
      <c r="BG221" s="241"/>
      <c r="BH221" s="241"/>
      <c r="BI221" s="71"/>
      <c r="BJ221" s="123"/>
      <c r="BK221" s="108"/>
      <c r="BL221" s="126"/>
      <c r="BM221" s="108"/>
      <c r="BN221" s="71"/>
      <c r="BO221" s="108"/>
      <c r="BP221" s="108"/>
      <c r="BQ221" s="151"/>
      <c r="BR221" s="115"/>
      <c r="BS221" s="80"/>
      <c r="BT221" s="22"/>
      <c r="BU221" s="87"/>
      <c r="BV221" s="73"/>
      <c r="BW221" s="109"/>
      <c r="BX221" s="87"/>
      <c r="BY221" s="87"/>
      <c r="BZ221" s="109"/>
      <c r="CA221" s="284"/>
    </row>
    <row r="222" spans="1:79" s="262" customFormat="1">
      <c r="A222" s="13" t="s">
        <v>466</v>
      </c>
      <c r="B222" s="387" t="s">
        <v>1064</v>
      </c>
      <c r="C222" s="13" t="s">
        <v>650</v>
      </c>
      <c r="D222" s="387" t="s">
        <v>651</v>
      </c>
      <c r="E222" s="13" t="s">
        <v>118</v>
      </c>
      <c r="F222" s="13" t="s">
        <v>167</v>
      </c>
      <c r="G222" s="13" t="s">
        <v>1065</v>
      </c>
      <c r="H222" s="13" t="s">
        <v>121</v>
      </c>
      <c r="I222" s="13" t="s">
        <v>147</v>
      </c>
      <c r="J222" s="13" t="s">
        <v>5</v>
      </c>
      <c r="K222" s="13" t="s">
        <v>123</v>
      </c>
      <c r="L222" s="13" t="s">
        <v>1066</v>
      </c>
      <c r="M222" s="13" t="s">
        <v>125</v>
      </c>
      <c r="N222" s="13" t="s">
        <v>12</v>
      </c>
      <c r="O222" s="247">
        <v>0.44</v>
      </c>
      <c r="P222" s="13">
        <v>110</v>
      </c>
      <c r="Q222" s="13">
        <v>30</v>
      </c>
      <c r="R222" s="13" t="s">
        <v>127</v>
      </c>
      <c r="S222" s="430" t="str">
        <f t="shared" si="96"/>
        <v>N/A</v>
      </c>
      <c r="T222" s="247">
        <v>0.8</v>
      </c>
      <c r="U222" s="13">
        <v>200</v>
      </c>
      <c r="V222" s="13">
        <v>600</v>
      </c>
      <c r="W222" s="430">
        <f t="shared" si="94"/>
        <v>400</v>
      </c>
      <c r="X222" s="430">
        <f t="shared" si="95"/>
        <v>200</v>
      </c>
      <c r="Y222" s="13"/>
      <c r="Z222" s="13"/>
      <c r="AA222" s="430">
        <f t="shared" si="97"/>
        <v>0</v>
      </c>
      <c r="AB222" s="430">
        <f t="shared" si="98"/>
        <v>800</v>
      </c>
      <c r="AC222" s="430" t="str">
        <f t="shared" si="99"/>
        <v>N/A</v>
      </c>
      <c r="AD222" s="430">
        <f t="shared" si="100"/>
        <v>80</v>
      </c>
      <c r="AE222" s="431">
        <f t="shared" si="101"/>
        <v>1.1520000000000001</v>
      </c>
      <c r="AF222" s="431"/>
      <c r="AG222" s="431">
        <f t="shared" si="102"/>
        <v>1.0240000000000002</v>
      </c>
      <c r="AH222" s="431">
        <f t="shared" si="103"/>
        <v>1.0854400000000002</v>
      </c>
      <c r="AI222" s="432">
        <f t="shared" si="104"/>
        <v>876.64628800000003</v>
      </c>
      <c r="AJ222" s="432">
        <f t="shared" si="105"/>
        <v>145.10912156237674</v>
      </c>
      <c r="AK222" s="432">
        <f t="shared" si="106"/>
        <v>158.66563075589249</v>
      </c>
      <c r="AL222" s="432">
        <f t="shared" si="107"/>
        <v>315.40437881585194</v>
      </c>
      <c r="AM222" s="250">
        <v>50</v>
      </c>
      <c r="AN222" s="432">
        <f t="shared" si="108"/>
        <v>55</v>
      </c>
      <c r="AO222" s="432">
        <f t="shared" si="109"/>
        <v>59.699200000000012</v>
      </c>
      <c r="AP222" s="432">
        <f t="shared" si="110"/>
        <v>198.99733333333339</v>
      </c>
      <c r="AQ222" s="255">
        <v>43831</v>
      </c>
      <c r="AR222" s="13" t="s">
        <v>1067</v>
      </c>
      <c r="AS222" s="434" t="s">
        <v>1068</v>
      </c>
      <c r="AT222" s="429" t="s">
        <v>1069</v>
      </c>
      <c r="AU222" s="241">
        <v>2</v>
      </c>
      <c r="AV222" s="243" t="s">
        <v>1070</v>
      </c>
      <c r="AW222" s="72" t="s">
        <v>127</v>
      </c>
      <c r="AX222" s="243"/>
      <c r="AY222" s="103">
        <f t="shared" si="113"/>
        <v>0.54545454545454541</v>
      </c>
      <c r="AZ222" s="72"/>
      <c r="BA222" s="13" t="str">
        <f t="shared" si="114"/>
        <v>W22</v>
      </c>
      <c r="BB222" s="72" t="str">
        <f>IF(R222="n/a","Clear","S/B")</f>
        <v>Clear</v>
      </c>
      <c r="BC222" s="32">
        <f>IF(Q222="","",((P222/100*O222)+T222))</f>
        <v>1.284</v>
      </c>
      <c r="BD222" s="241">
        <f>IF(BC222="","",((PI()*((51/2)^2-(16.545/2)^2)/(BC222/10))/100))</f>
        <v>142.35421077164187</v>
      </c>
      <c r="BE222" s="241">
        <f>IF(BC222="","",(BD222-AK222))</f>
        <v>-16.31141998425062</v>
      </c>
      <c r="BF222" s="71">
        <f>IF(BC222="","",(BE222/AK222))</f>
        <v>-0.10280373831775694</v>
      </c>
      <c r="BG222" s="241">
        <f>IF(BF222="","",((PI()*((70/2)^2-(16.545/2)^2)/(BC222/10))/100))</f>
        <v>282.97962959179239</v>
      </c>
      <c r="BH222" s="241">
        <f>IF(BF222="","",(BG222-AL222))</f>
        <v>-32.424749224059553</v>
      </c>
      <c r="BI222" s="71">
        <f>IF(BG222="","",(BH222/AL222))</f>
        <v>-0.10280373831775703</v>
      </c>
      <c r="BJ222" s="111"/>
      <c r="BK222" s="111"/>
      <c r="BL222" s="83"/>
      <c r="BM222" s="83"/>
      <c r="BN222" s="71"/>
      <c r="BO222" s="83"/>
      <c r="BP222" s="83"/>
      <c r="BQ222" s="141"/>
      <c r="BR222" s="71"/>
      <c r="BS222" s="71"/>
      <c r="BT222" s="13">
        <f>P222-V222/10-120/10</f>
        <v>38</v>
      </c>
      <c r="BU222" s="79">
        <f>BT222-Q222</f>
        <v>8</v>
      </c>
      <c r="BV222" s="29">
        <f>T222+(O222/100*(P222-BT222))</f>
        <v>1.1168</v>
      </c>
      <c r="BW222" s="86">
        <f>(AE222-BV222)/AE222</f>
        <v>3.0555555555555655E-2</v>
      </c>
      <c r="BX222" s="79">
        <f>(PI()*((51/2)^2-(16.545/2)^2)/(BV222/10))/100</f>
        <v>163.66655321524729</v>
      </c>
      <c r="BY222" s="79">
        <f>BX222-AK222</f>
        <v>5.000922459354797</v>
      </c>
      <c r="BZ222" s="86">
        <f>BY222/AK222</f>
        <v>3.1518624641833935E-2</v>
      </c>
      <c r="CA222" s="76"/>
    </row>
    <row r="223" spans="1:79" s="262" customFormat="1">
      <c r="A223" s="13" t="s">
        <v>466</v>
      </c>
      <c r="B223" s="387" t="s">
        <v>1071</v>
      </c>
      <c r="C223" s="13" t="s">
        <v>269</v>
      </c>
      <c r="D223" s="387" t="s">
        <v>1072</v>
      </c>
      <c r="E223" s="13" t="s">
        <v>118</v>
      </c>
      <c r="F223" s="13" t="s">
        <v>167</v>
      </c>
      <c r="G223" s="13" t="s">
        <v>1073</v>
      </c>
      <c r="H223" s="13" t="s">
        <v>121</v>
      </c>
      <c r="I223" s="13" t="s">
        <v>147</v>
      </c>
      <c r="J223" s="13" t="s">
        <v>5</v>
      </c>
      <c r="K223" s="13" t="s">
        <v>123</v>
      </c>
      <c r="L223" s="13" t="s">
        <v>1074</v>
      </c>
      <c r="M223" s="13" t="s">
        <v>125</v>
      </c>
      <c r="N223" s="13" t="s">
        <v>251</v>
      </c>
      <c r="O223" s="247">
        <v>0.56000000000000005</v>
      </c>
      <c r="P223" s="13">
        <v>105</v>
      </c>
      <c r="Q223" s="13">
        <v>30</v>
      </c>
      <c r="R223" s="13" t="s">
        <v>127</v>
      </c>
      <c r="S223" s="430" t="str">
        <f t="shared" si="96"/>
        <v>N/A</v>
      </c>
      <c r="T223" s="247">
        <v>0.8</v>
      </c>
      <c r="U223" s="13">
        <v>278</v>
      </c>
      <c r="V223" s="13">
        <v>424</v>
      </c>
      <c r="W223" s="430">
        <f t="shared" si="94"/>
        <v>146</v>
      </c>
      <c r="X223" s="430">
        <f t="shared" si="95"/>
        <v>326</v>
      </c>
      <c r="Y223" s="13">
        <v>160</v>
      </c>
      <c r="Z223" s="13">
        <v>560</v>
      </c>
      <c r="AA223" s="430">
        <f t="shared" si="97"/>
        <v>400</v>
      </c>
      <c r="AB223" s="430">
        <f t="shared" si="98"/>
        <v>190</v>
      </c>
      <c r="AC223" s="430" t="str">
        <f t="shared" si="99"/>
        <v>N/A</v>
      </c>
      <c r="AD223" s="430">
        <f t="shared" si="100"/>
        <v>75</v>
      </c>
      <c r="AE223" s="431">
        <f t="shared" si="101"/>
        <v>1.2200000000000002</v>
      </c>
      <c r="AF223" s="431"/>
      <c r="AG223" s="431">
        <f t="shared" si="102"/>
        <v>1.0700000000000003</v>
      </c>
      <c r="AH223" s="431">
        <f t="shared" si="103"/>
        <v>1.1342000000000003</v>
      </c>
      <c r="AI223" s="432">
        <f t="shared" si="104"/>
        <v>884.45891200000005</v>
      </c>
      <c r="AJ223" s="432">
        <f t="shared" si="105"/>
        <v>137.02107216381802</v>
      </c>
      <c r="AK223" s="432">
        <f t="shared" si="106"/>
        <v>149.821972648187</v>
      </c>
      <c r="AL223" s="432">
        <f t="shared" si="107"/>
        <v>297.82446261955852</v>
      </c>
      <c r="AM223" s="250">
        <v>50</v>
      </c>
      <c r="AN223" s="432">
        <f t="shared" si="108"/>
        <v>52.5</v>
      </c>
      <c r="AO223" s="432">
        <f t="shared" si="109"/>
        <v>59.545500000000018</v>
      </c>
      <c r="AP223" s="432">
        <f t="shared" si="110"/>
        <v>198.48500000000007</v>
      </c>
      <c r="AQ223" s="255" t="s">
        <v>1075</v>
      </c>
      <c r="AR223" s="13" t="s">
        <v>1076</v>
      </c>
      <c r="AS223" s="434" t="s">
        <v>1077</v>
      </c>
      <c r="AT223" s="429"/>
      <c r="AU223" s="241"/>
      <c r="AV223" s="243"/>
      <c r="AW223" s="72" t="s">
        <v>127</v>
      </c>
      <c r="AX223" s="243"/>
      <c r="AY223" s="103">
        <f t="shared" si="113"/>
        <v>0.40380952380952378</v>
      </c>
      <c r="AZ223" s="72"/>
      <c r="BA223" s="13" t="str">
        <f t="shared" si="114"/>
        <v>W22</v>
      </c>
      <c r="BB223" s="72" t="str">
        <f>IF(R223="n/a","Clear","S/B")</f>
        <v>Clear</v>
      </c>
      <c r="BC223" s="32">
        <f>IF(Q223="","",((P223/100*O223)+T223))</f>
        <v>1.3880000000000001</v>
      </c>
      <c r="BD223" s="241">
        <f>IF(BC223="","",((PI()*((51/2)^2-(16.545/2)^2)/(BC223/10))/100))</f>
        <v>131.68790103082722</v>
      </c>
      <c r="BE223" s="241">
        <f>IF(BC223="","",(BD223-AK223))</f>
        <v>-18.13407161735978</v>
      </c>
      <c r="BF223" s="71">
        <f>IF(BC223="","",(BE223/AK223))</f>
        <v>-0.12103746397694505</v>
      </c>
      <c r="BG223" s="241">
        <f>IF(BF223="","",((PI()*((70/2)^2-(16.545/2)^2)/(BC223/10))/100))</f>
        <v>261.77654495379068</v>
      </c>
      <c r="BH223" s="241">
        <f>IF(BF223="","",(BG223-AL223))</f>
        <v>-36.047917665767841</v>
      </c>
      <c r="BI223" s="71">
        <f>IF(BG223="","",(BH223/AL223))</f>
        <v>-0.12103746397694508</v>
      </c>
      <c r="BJ223" s="123">
        <v>20</v>
      </c>
      <c r="BK223" s="123"/>
      <c r="BL223" s="126"/>
      <c r="BM223" s="123"/>
      <c r="BN223" s="123"/>
      <c r="BO223" s="123"/>
      <c r="BP223" s="108"/>
      <c r="BQ223" s="115"/>
      <c r="BR223" s="140"/>
      <c r="BS223" s="80"/>
      <c r="BT223" s="22"/>
      <c r="BU223" s="87"/>
      <c r="BV223" s="73"/>
      <c r="BW223" s="109"/>
      <c r="BX223" s="87"/>
      <c r="BY223" s="87"/>
      <c r="BZ223" s="109"/>
      <c r="CA223" s="76"/>
    </row>
    <row r="224" spans="1:79" s="262" customFormat="1">
      <c r="A224" s="13" t="s">
        <v>466</v>
      </c>
      <c r="B224" s="13" t="s">
        <v>1071</v>
      </c>
      <c r="C224" s="13" t="s">
        <v>1004</v>
      </c>
      <c r="D224" s="387" t="s">
        <v>1078</v>
      </c>
      <c r="E224" s="13" t="s">
        <v>118</v>
      </c>
      <c r="F224" s="13" t="s">
        <v>119</v>
      </c>
      <c r="G224" s="13" t="s">
        <v>1079</v>
      </c>
      <c r="H224" s="13" t="s">
        <v>121</v>
      </c>
      <c r="I224" s="13" t="s">
        <v>147</v>
      </c>
      <c r="J224" s="13" t="s">
        <v>5</v>
      </c>
      <c r="K224" s="13" t="s">
        <v>123</v>
      </c>
      <c r="L224" s="18" t="s">
        <v>1080</v>
      </c>
      <c r="M224" s="13" t="s">
        <v>125</v>
      </c>
      <c r="N224" s="13" t="s">
        <v>126</v>
      </c>
      <c r="O224" s="247">
        <v>0.56000000000000005</v>
      </c>
      <c r="P224" s="13">
        <v>105</v>
      </c>
      <c r="Q224" s="13">
        <v>30</v>
      </c>
      <c r="R224" s="13" t="s">
        <v>127</v>
      </c>
      <c r="S224" s="430" t="str">
        <f t="shared" si="96"/>
        <v>N/A</v>
      </c>
      <c r="T224" s="247">
        <v>0.8</v>
      </c>
      <c r="U224" s="13">
        <v>200</v>
      </c>
      <c r="V224" s="13">
        <v>600</v>
      </c>
      <c r="W224" s="430">
        <f t="shared" si="94"/>
        <v>400</v>
      </c>
      <c r="X224" s="430">
        <f t="shared" si="95"/>
        <v>150</v>
      </c>
      <c r="Y224" s="13">
        <v>200</v>
      </c>
      <c r="Z224" s="13">
        <v>600</v>
      </c>
      <c r="AA224" s="430">
        <f t="shared" si="97"/>
        <v>400</v>
      </c>
      <c r="AB224" s="430">
        <f t="shared" si="98"/>
        <v>150</v>
      </c>
      <c r="AC224" s="430" t="str">
        <f t="shared" si="99"/>
        <v>N/A</v>
      </c>
      <c r="AD224" s="430">
        <f t="shared" si="100"/>
        <v>75</v>
      </c>
      <c r="AE224" s="431">
        <f t="shared" si="101"/>
        <v>1.2200000000000002</v>
      </c>
      <c r="AF224" s="431"/>
      <c r="AG224" s="431">
        <f t="shared" si="102"/>
        <v>1.0700000000000003</v>
      </c>
      <c r="AH224" s="431">
        <f t="shared" si="103"/>
        <v>1.1342000000000003</v>
      </c>
      <c r="AI224" s="432">
        <f t="shared" si="104"/>
        <v>884.45891200000005</v>
      </c>
      <c r="AJ224" s="432">
        <f t="shared" si="105"/>
        <v>137.02107216381802</v>
      </c>
      <c r="AK224" s="432">
        <f t="shared" si="106"/>
        <v>149.821972648187</v>
      </c>
      <c r="AL224" s="432">
        <f t="shared" si="107"/>
        <v>297.82446261955852</v>
      </c>
      <c r="AM224" s="250">
        <v>150</v>
      </c>
      <c r="AN224" s="432">
        <f t="shared" si="108"/>
        <v>157.5</v>
      </c>
      <c r="AO224" s="432">
        <f t="shared" si="109"/>
        <v>178.63650000000004</v>
      </c>
      <c r="AP224" s="432">
        <f t="shared" si="110"/>
        <v>595.45500000000015</v>
      </c>
      <c r="AQ224" s="255">
        <v>45108</v>
      </c>
      <c r="AR224" s="13" t="s">
        <v>1081</v>
      </c>
      <c r="AS224" s="433" t="s">
        <v>1082</v>
      </c>
      <c r="AT224" s="434" t="s">
        <v>1083</v>
      </c>
      <c r="AU224" s="252"/>
      <c r="AV224" s="260"/>
      <c r="AW224" s="72" t="s">
        <v>127</v>
      </c>
      <c r="AX224" s="243"/>
      <c r="AY224" s="103">
        <f t="shared" si="113"/>
        <v>0.5714285714285714</v>
      </c>
      <c r="AZ224" s="72"/>
      <c r="BA224" s="13" t="str">
        <f t="shared" si="114"/>
        <v>W22</v>
      </c>
      <c r="BB224" s="72" t="str">
        <f>IF(R224="n/a","Clear","S/B")</f>
        <v>Clear</v>
      </c>
      <c r="BC224" s="32"/>
      <c r="BD224" s="241"/>
      <c r="BE224" s="241"/>
      <c r="BF224" s="71"/>
      <c r="BG224" s="241"/>
      <c r="BH224" s="241"/>
      <c r="BI224" s="71"/>
      <c r="BJ224" s="114"/>
      <c r="BK224" s="111"/>
      <c r="BL224" s="112"/>
      <c r="BM224" s="111"/>
      <c r="BN224" s="123"/>
      <c r="BO224" s="83"/>
      <c r="BP224" s="88"/>
      <c r="BQ224" s="124"/>
      <c r="BR224" s="124"/>
      <c r="BS224" s="71"/>
      <c r="BT224" s="72"/>
      <c r="BU224" s="78"/>
      <c r="BV224" s="32"/>
      <c r="BW224" s="127"/>
      <c r="BX224" s="78"/>
      <c r="BY224" s="78"/>
      <c r="BZ224" s="127"/>
      <c r="CA224" s="76"/>
    </row>
    <row r="225" spans="1:79" s="72" customFormat="1">
      <c r="A225" s="13" t="s">
        <v>466</v>
      </c>
      <c r="B225" s="387" t="s">
        <v>1071</v>
      </c>
      <c r="C225" s="13" t="s">
        <v>1084</v>
      </c>
      <c r="D225" s="387" t="s">
        <v>1085</v>
      </c>
      <c r="E225" s="13" t="s">
        <v>118</v>
      </c>
      <c r="F225" s="13" t="s">
        <v>119</v>
      </c>
      <c r="G225" s="13" t="s">
        <v>1086</v>
      </c>
      <c r="H225" s="13" t="s">
        <v>121</v>
      </c>
      <c r="I225" s="13" t="s">
        <v>147</v>
      </c>
      <c r="J225" s="13" t="s">
        <v>5</v>
      </c>
      <c r="K225" s="13" t="s">
        <v>123</v>
      </c>
      <c r="L225" s="13" t="s">
        <v>1087</v>
      </c>
      <c r="M225" s="13" t="s">
        <v>125</v>
      </c>
      <c r="N225" s="13" t="s">
        <v>126</v>
      </c>
      <c r="O225" s="247">
        <v>0.4</v>
      </c>
      <c r="P225" s="13">
        <v>105</v>
      </c>
      <c r="Q225" s="13">
        <v>30</v>
      </c>
      <c r="R225" s="13" t="s">
        <v>127</v>
      </c>
      <c r="S225" s="430" t="str">
        <f t="shared" si="96"/>
        <v>N/A</v>
      </c>
      <c r="T225" s="247">
        <v>0.8</v>
      </c>
      <c r="U225" s="13">
        <v>200</v>
      </c>
      <c r="V225" s="13">
        <v>600</v>
      </c>
      <c r="W225" s="430">
        <f t="shared" si="94"/>
        <v>400</v>
      </c>
      <c r="X225" s="430">
        <f t="shared" si="95"/>
        <v>150</v>
      </c>
      <c r="Y225" s="13">
        <v>200</v>
      </c>
      <c r="Z225" s="13">
        <v>600</v>
      </c>
      <c r="AA225" s="430">
        <f t="shared" si="97"/>
        <v>400</v>
      </c>
      <c r="AB225" s="430">
        <f t="shared" si="98"/>
        <v>150</v>
      </c>
      <c r="AC225" s="430" t="str">
        <f t="shared" si="99"/>
        <v>N/A</v>
      </c>
      <c r="AD225" s="430">
        <f t="shared" si="100"/>
        <v>75</v>
      </c>
      <c r="AE225" s="431">
        <f t="shared" si="101"/>
        <v>1.1000000000000001</v>
      </c>
      <c r="AF225" s="431"/>
      <c r="AG225" s="431">
        <f t="shared" si="102"/>
        <v>0.99285714285714288</v>
      </c>
      <c r="AH225" s="431">
        <f t="shared" si="103"/>
        <v>1.0524285714285715</v>
      </c>
      <c r="AI225" s="432">
        <f t="shared" si="104"/>
        <v>874.04208000000006</v>
      </c>
      <c r="AJ225" s="432">
        <f t="shared" si="105"/>
        <v>151.96882549078001</v>
      </c>
      <c r="AK225" s="432">
        <f t="shared" si="106"/>
        <v>166.16618784617106</v>
      </c>
      <c r="AL225" s="432">
        <f t="shared" si="107"/>
        <v>330.31440399623767</v>
      </c>
      <c r="AM225" s="250">
        <v>166</v>
      </c>
      <c r="AN225" s="432">
        <f t="shared" si="108"/>
        <v>174.3</v>
      </c>
      <c r="AO225" s="432">
        <f t="shared" si="109"/>
        <v>183.43830000000003</v>
      </c>
      <c r="AP225" s="432">
        <f t="shared" si="110"/>
        <v>611.46100000000013</v>
      </c>
      <c r="AQ225" s="255">
        <v>45100</v>
      </c>
      <c r="AR225" s="13" t="s">
        <v>1088</v>
      </c>
      <c r="AS225" s="436" t="s">
        <v>1089</v>
      </c>
      <c r="AT225" s="429"/>
      <c r="AU225" s="250"/>
      <c r="AV225" s="255"/>
      <c r="AW225" s="13"/>
      <c r="AX225" s="260"/>
      <c r="AY225" s="103">
        <f t="shared" si="113"/>
        <v>0.5714285714285714</v>
      </c>
      <c r="AZ225" s="22"/>
      <c r="BA225" s="13" t="str">
        <f t="shared" si="114"/>
        <v>W22</v>
      </c>
      <c r="BC225" s="73"/>
      <c r="BD225" s="252"/>
      <c r="BE225" s="252"/>
      <c r="BF225" s="80"/>
      <c r="BG225" s="252"/>
      <c r="BH225" s="252"/>
      <c r="BI225" s="80"/>
      <c r="BJ225" s="143"/>
      <c r="BK225" s="111"/>
      <c r="BL225" s="112"/>
      <c r="BM225" s="111"/>
      <c r="BN225" s="123"/>
      <c r="BO225" s="101"/>
      <c r="BP225" s="105"/>
      <c r="BQ225" s="88"/>
      <c r="BR225" s="80"/>
      <c r="BS225" s="80"/>
      <c r="BT225" s="22"/>
      <c r="BU225" s="87"/>
      <c r="BV225" s="73"/>
      <c r="BW225" s="109"/>
      <c r="BX225" s="87"/>
      <c r="BY225" s="87"/>
      <c r="BZ225" s="109"/>
      <c r="CA225" s="76"/>
    </row>
    <row r="226" spans="1:79" s="72" customFormat="1">
      <c r="A226" s="13" t="s">
        <v>466</v>
      </c>
      <c r="B226" s="387" t="s">
        <v>1071</v>
      </c>
      <c r="C226" s="13" t="s">
        <v>357</v>
      </c>
      <c r="D226" s="387" t="s">
        <v>1090</v>
      </c>
      <c r="E226" s="13" t="s">
        <v>118</v>
      </c>
      <c r="F226" s="13" t="s">
        <v>167</v>
      </c>
      <c r="G226" s="13" t="s">
        <v>1091</v>
      </c>
      <c r="H226" s="13" t="s">
        <v>121</v>
      </c>
      <c r="I226" s="13" t="s">
        <v>147</v>
      </c>
      <c r="J226" s="13" t="s">
        <v>5</v>
      </c>
      <c r="K226" s="13" t="s">
        <v>123</v>
      </c>
      <c r="L226" s="13" t="s">
        <v>1092</v>
      </c>
      <c r="M226" s="13" t="s">
        <v>125</v>
      </c>
      <c r="N226" s="13" t="s">
        <v>126</v>
      </c>
      <c r="O226" s="247">
        <v>0.64</v>
      </c>
      <c r="P226" s="13">
        <v>98</v>
      </c>
      <c r="Q226" s="13">
        <v>30</v>
      </c>
      <c r="R226" s="13" t="s">
        <v>127</v>
      </c>
      <c r="S226" s="430" t="str">
        <f t="shared" si="96"/>
        <v>N/A</v>
      </c>
      <c r="T226" s="247">
        <v>0.8</v>
      </c>
      <c r="U226" s="13">
        <v>160</v>
      </c>
      <c r="V226" s="13">
        <v>560</v>
      </c>
      <c r="W226" s="430">
        <f t="shared" si="94"/>
        <v>400</v>
      </c>
      <c r="X226" s="430">
        <f t="shared" si="95"/>
        <v>120</v>
      </c>
      <c r="Y226" s="13">
        <v>150</v>
      </c>
      <c r="Z226" s="13">
        <v>600</v>
      </c>
      <c r="AA226" s="430">
        <f t="shared" si="97"/>
        <v>450</v>
      </c>
      <c r="AB226" s="430">
        <f t="shared" si="98"/>
        <v>80</v>
      </c>
      <c r="AC226" s="430" t="str">
        <f t="shared" si="99"/>
        <v>N/A</v>
      </c>
      <c r="AD226" s="430">
        <f t="shared" si="100"/>
        <v>68</v>
      </c>
      <c r="AE226" s="431">
        <f t="shared" si="101"/>
        <v>1.2352000000000001</v>
      </c>
      <c r="AF226" s="431"/>
      <c r="AG226" s="431">
        <f t="shared" si="102"/>
        <v>1.0842122448979592</v>
      </c>
      <c r="AH226" s="431">
        <f t="shared" si="103"/>
        <v>1.1492649795918366</v>
      </c>
      <c r="AI226" s="432">
        <f t="shared" si="104"/>
        <v>889.66732800000011</v>
      </c>
      <c r="AJ226" s="432">
        <f t="shared" si="105"/>
        <v>135.33493202708712</v>
      </c>
      <c r="AK226" s="432">
        <f t="shared" si="106"/>
        <v>147.97830847699819</v>
      </c>
      <c r="AL226" s="432">
        <f t="shared" si="107"/>
        <v>294.15952428421429</v>
      </c>
      <c r="AM226" s="250">
        <v>120</v>
      </c>
      <c r="AN226" s="432">
        <f t="shared" si="108"/>
        <v>117.6</v>
      </c>
      <c r="AO226" s="432">
        <f t="shared" si="109"/>
        <v>135.15356159999999</v>
      </c>
      <c r="AP226" s="432">
        <f t="shared" si="110"/>
        <v>450.51187199999998</v>
      </c>
      <c r="AQ226" s="255" t="s">
        <v>170</v>
      </c>
      <c r="AR226" s="13" t="s">
        <v>506</v>
      </c>
      <c r="AS226" s="434" t="s">
        <v>1093</v>
      </c>
      <c r="AT226" s="429"/>
      <c r="AU226" s="241"/>
      <c r="AV226" s="243"/>
      <c r="AW226" s="72" t="s">
        <v>127</v>
      </c>
      <c r="AX226" s="243"/>
      <c r="AY226" s="103">
        <f t="shared" si="113"/>
        <v>0.5714285714285714</v>
      </c>
      <c r="BA226" s="13" t="str">
        <f t="shared" si="114"/>
        <v>W22</v>
      </c>
      <c r="BB226" s="72" t="str">
        <f>IF(R226="n/a","Clear","S/B")</f>
        <v>Clear</v>
      </c>
      <c r="BC226" s="32">
        <f>IF(Q226="","",((P226/100*O226)+T226))</f>
        <v>1.4272</v>
      </c>
      <c r="BD226" s="241">
        <f>IF(BC226="","",((PI()*((51/2)^2-(16.545/2)^2)/(BC226/10))/100))</f>
        <v>128.07091271776076</v>
      </c>
      <c r="BE226" s="241"/>
      <c r="BF226" s="71"/>
      <c r="BG226" s="241"/>
      <c r="BH226" s="241"/>
      <c r="BI226" s="71"/>
      <c r="BJ226" s="123"/>
      <c r="BK226" s="123"/>
      <c r="BL226" s="126"/>
      <c r="BM226" s="123"/>
      <c r="BN226" s="123"/>
      <c r="BO226" s="130"/>
      <c r="BP226" s="130"/>
      <c r="BQ226" s="103"/>
      <c r="BR226" s="103"/>
      <c r="BS226" s="103"/>
      <c r="BT226" s="13"/>
      <c r="BU226" s="79"/>
      <c r="BV226" s="29"/>
      <c r="BW226" s="86"/>
      <c r="BX226" s="79"/>
      <c r="BY226" s="79"/>
      <c r="BZ226" s="86"/>
      <c r="CA226" s="247"/>
    </row>
    <row r="227" spans="1:79" s="72" customFormat="1">
      <c r="A227" s="13" t="s">
        <v>466</v>
      </c>
      <c r="B227" s="13" t="s">
        <v>1071</v>
      </c>
      <c r="C227" s="13" t="s">
        <v>357</v>
      </c>
      <c r="D227" s="387" t="s">
        <v>1094</v>
      </c>
      <c r="E227" s="13" t="s">
        <v>118</v>
      </c>
      <c r="F227" s="13" t="s">
        <v>119</v>
      </c>
      <c r="G227" s="13" t="s">
        <v>1095</v>
      </c>
      <c r="H227" s="13" t="s">
        <v>121</v>
      </c>
      <c r="I227" s="13" t="s">
        <v>147</v>
      </c>
      <c r="J227" s="13" t="s">
        <v>5</v>
      </c>
      <c r="K227" s="13" t="s">
        <v>123</v>
      </c>
      <c r="L227" s="436" t="s">
        <v>1096</v>
      </c>
      <c r="M227" s="13" t="s">
        <v>125</v>
      </c>
      <c r="N227" s="13" t="s">
        <v>126</v>
      </c>
      <c r="O227" s="247">
        <v>0.35</v>
      </c>
      <c r="P227" s="13">
        <v>130</v>
      </c>
      <c r="Q227" s="13">
        <v>30</v>
      </c>
      <c r="R227" s="13" t="s">
        <v>127</v>
      </c>
      <c r="S227" s="430" t="str">
        <f t="shared" si="96"/>
        <v>N/A</v>
      </c>
      <c r="T227" s="247">
        <v>0.8</v>
      </c>
      <c r="U227" s="13">
        <v>250</v>
      </c>
      <c r="V227" s="13">
        <v>650</v>
      </c>
      <c r="W227" s="430">
        <f t="shared" si="94"/>
        <v>400</v>
      </c>
      <c r="X227" s="430">
        <f t="shared" si="95"/>
        <v>350</v>
      </c>
      <c r="Y227" s="13">
        <v>250</v>
      </c>
      <c r="Z227" s="13">
        <v>650</v>
      </c>
      <c r="AA227" s="430">
        <f t="shared" si="97"/>
        <v>400</v>
      </c>
      <c r="AB227" s="430">
        <f t="shared" si="98"/>
        <v>350</v>
      </c>
      <c r="AC227" s="430" t="str">
        <f t="shared" si="99"/>
        <v>N/A</v>
      </c>
      <c r="AD227" s="430">
        <f t="shared" si="100"/>
        <v>100</v>
      </c>
      <c r="AE227" s="431">
        <f t="shared" si="101"/>
        <v>1.1499999999999999</v>
      </c>
      <c r="AF227" s="431"/>
      <c r="AG227" s="431">
        <f t="shared" si="102"/>
        <v>1.0153846153846153</v>
      </c>
      <c r="AH227" s="431">
        <f t="shared" si="103"/>
        <v>1.0763076923076922</v>
      </c>
      <c r="AI227" s="432">
        <f t="shared" si="104"/>
        <v>870.78682000000003</v>
      </c>
      <c r="AJ227" s="432">
        <f t="shared" si="105"/>
        <v>145.36148525205047</v>
      </c>
      <c r="AK227" s="432">
        <f t="shared" si="106"/>
        <v>158.94157098329407</v>
      </c>
      <c r="AL227" s="432">
        <f t="shared" si="107"/>
        <v>315.95290817031434</v>
      </c>
      <c r="AM227" s="250">
        <v>159</v>
      </c>
      <c r="AN227" s="432">
        <f t="shared" si="108"/>
        <v>206.7</v>
      </c>
      <c r="AO227" s="432">
        <f t="shared" si="109"/>
        <v>222.47279999999995</v>
      </c>
      <c r="AP227" s="432">
        <f t="shared" si="110"/>
        <v>741.57599999999991</v>
      </c>
      <c r="AQ227" s="255" t="s">
        <v>132</v>
      </c>
      <c r="AR227" s="13" t="s">
        <v>1097</v>
      </c>
      <c r="AS227" s="434" t="s">
        <v>1098</v>
      </c>
      <c r="AT227" s="429"/>
      <c r="AU227" s="252"/>
      <c r="AV227" s="260"/>
      <c r="AW227" s="13"/>
      <c r="AX227" s="260"/>
      <c r="AY227" s="103">
        <f t="shared" si="113"/>
        <v>0.5</v>
      </c>
      <c r="AZ227" s="22"/>
      <c r="BA227" s="13"/>
      <c r="BC227" s="32"/>
      <c r="BD227" s="241"/>
      <c r="BE227" s="241"/>
      <c r="BF227" s="71"/>
      <c r="BG227" s="241"/>
      <c r="BH227" s="241"/>
      <c r="BI227" s="71"/>
      <c r="BJ227" s="114"/>
      <c r="BK227" s="111"/>
      <c r="BL227" s="112"/>
      <c r="BM227" s="111"/>
      <c r="BN227" s="123"/>
      <c r="BO227" s="111"/>
      <c r="BP227" s="83"/>
      <c r="BQ227" s="83"/>
      <c r="BR227" s="71"/>
      <c r="BS227" s="71"/>
      <c r="BT227" s="13">
        <f>P227-V227/10-120/10</f>
        <v>53</v>
      </c>
      <c r="BU227" s="79">
        <f>BT227-Q227</f>
        <v>23</v>
      </c>
      <c r="BV227" s="29">
        <f>T227+(O227/100*(P227-BT227))</f>
        <v>1.0695000000000001</v>
      </c>
      <c r="BW227" s="86">
        <f>(AE227-BV227)/AE227</f>
        <v>6.9999999999999826E-2</v>
      </c>
      <c r="BX227" s="79">
        <f>(PI()*((51/2)^2-(16.545/2)^2)/(BV227/10))/100</f>
        <v>170.90491503580003</v>
      </c>
      <c r="BY227" s="79">
        <f>BX227-AK227</f>
        <v>11.96334405250596</v>
      </c>
      <c r="BZ227" s="86">
        <f>BY227/AK227</f>
        <v>7.5268817204300786E-2</v>
      </c>
      <c r="CA227" s="76"/>
    </row>
    <row r="228" spans="1:79" s="72" customFormat="1">
      <c r="A228" s="13" t="s">
        <v>466</v>
      </c>
      <c r="B228" s="387" t="s">
        <v>1071</v>
      </c>
      <c r="C228" s="13" t="s">
        <v>357</v>
      </c>
      <c r="D228" s="387" t="s">
        <v>1099</v>
      </c>
      <c r="E228" s="13" t="s">
        <v>118</v>
      </c>
      <c r="F228" s="13" t="s">
        <v>119</v>
      </c>
      <c r="G228" s="13" t="s">
        <v>1100</v>
      </c>
      <c r="H228" s="13" t="s">
        <v>121</v>
      </c>
      <c r="I228" s="13" t="s">
        <v>147</v>
      </c>
      <c r="J228" s="13" t="s">
        <v>5</v>
      </c>
      <c r="K228" s="13" t="s">
        <v>123</v>
      </c>
      <c r="L228" s="13" t="s">
        <v>1101</v>
      </c>
      <c r="M228" s="13" t="s">
        <v>125</v>
      </c>
      <c r="N228" s="13" t="s">
        <v>126</v>
      </c>
      <c r="O228" s="247">
        <v>0.33</v>
      </c>
      <c r="P228" s="13">
        <v>103</v>
      </c>
      <c r="Q228" s="13">
        <v>30</v>
      </c>
      <c r="R228" s="13" t="s">
        <v>127</v>
      </c>
      <c r="S228" s="430" t="str">
        <f t="shared" si="96"/>
        <v>N/A</v>
      </c>
      <c r="T228" s="247">
        <v>0.8</v>
      </c>
      <c r="U228" s="13">
        <v>200</v>
      </c>
      <c r="V228" s="13">
        <v>600</v>
      </c>
      <c r="W228" s="430">
        <f t="shared" si="94"/>
        <v>400</v>
      </c>
      <c r="X228" s="430">
        <f t="shared" si="95"/>
        <v>130</v>
      </c>
      <c r="Y228" s="13">
        <v>200</v>
      </c>
      <c r="Z228" s="13">
        <v>600</v>
      </c>
      <c r="AA228" s="430">
        <f t="shared" si="97"/>
        <v>400</v>
      </c>
      <c r="AB228" s="430">
        <f t="shared" si="98"/>
        <v>130</v>
      </c>
      <c r="AC228" s="430" t="str">
        <f t="shared" si="99"/>
        <v>N/A</v>
      </c>
      <c r="AD228" s="430">
        <f t="shared" si="100"/>
        <v>73</v>
      </c>
      <c r="AE228" s="431">
        <f t="shared" si="101"/>
        <v>1.0409000000000002</v>
      </c>
      <c r="AF228" s="431"/>
      <c r="AG228" s="431">
        <f t="shared" si="102"/>
        <v>0.95553252427184476</v>
      </c>
      <c r="AH228" s="431">
        <f t="shared" si="103"/>
        <v>1.0128644757281553</v>
      </c>
      <c r="AI228" s="432">
        <f t="shared" si="104"/>
        <v>869.48471600000005</v>
      </c>
      <c r="AJ228" s="432">
        <f t="shared" si="105"/>
        <v>160.59727931584015</v>
      </c>
      <c r="AK228" s="432">
        <f t="shared" si="106"/>
        <v>175.60073650762624</v>
      </c>
      <c r="AL228" s="432">
        <f t="shared" si="107"/>
        <v>349.06892534908388</v>
      </c>
      <c r="AM228" s="250">
        <v>176</v>
      </c>
      <c r="AN228" s="432">
        <f t="shared" si="108"/>
        <v>181.28</v>
      </c>
      <c r="AO228" s="432">
        <f t="shared" si="109"/>
        <v>183.61207216</v>
      </c>
      <c r="AP228" s="432">
        <f t="shared" si="110"/>
        <v>612.0402405333333</v>
      </c>
      <c r="AQ228" s="255">
        <v>45100</v>
      </c>
      <c r="AR228" s="13" t="s">
        <v>1088</v>
      </c>
      <c r="AS228" s="436" t="s">
        <v>1102</v>
      </c>
      <c r="AT228" s="429" t="s">
        <v>1103</v>
      </c>
      <c r="AU228" s="250"/>
      <c r="AV228" s="255"/>
      <c r="AW228" s="13"/>
      <c r="AX228" s="260"/>
      <c r="AY228" s="103">
        <f t="shared" si="113"/>
        <v>0.58252427184466016</v>
      </c>
      <c r="AZ228" s="22"/>
      <c r="BA228" s="13" t="str">
        <f t="shared" ref="BA228:BA234" si="115">LEFT(G228,3)</f>
        <v>W22</v>
      </c>
      <c r="BC228" s="73"/>
      <c r="BD228" s="252"/>
      <c r="BE228" s="252"/>
      <c r="BF228" s="80"/>
      <c r="BG228" s="252"/>
      <c r="BH228" s="252"/>
      <c r="BI228" s="80"/>
      <c r="BJ228" s="143"/>
      <c r="BK228" s="111"/>
      <c r="BL228" s="112"/>
      <c r="BM228" s="111"/>
      <c r="BN228" s="123"/>
      <c r="BO228" s="101"/>
      <c r="BP228" s="105"/>
      <c r="BQ228" s="124"/>
      <c r="BR228" s="124"/>
      <c r="BS228" s="71"/>
      <c r="BU228" s="78"/>
      <c r="BV228" s="32"/>
      <c r="BW228" s="127"/>
      <c r="BX228" s="78"/>
      <c r="BY228" s="78"/>
      <c r="BZ228" s="127"/>
      <c r="CA228" s="76"/>
    </row>
    <row r="229" spans="1:79" s="22" customFormat="1">
      <c r="A229" s="13" t="s">
        <v>466</v>
      </c>
      <c r="B229" s="387" t="s">
        <v>1071</v>
      </c>
      <c r="C229" s="13" t="s">
        <v>357</v>
      </c>
      <c r="D229" s="387" t="s">
        <v>1099</v>
      </c>
      <c r="E229" s="13" t="s">
        <v>118</v>
      </c>
      <c r="F229" s="13" t="s">
        <v>119</v>
      </c>
      <c r="G229" s="13" t="s">
        <v>1104</v>
      </c>
      <c r="H229" s="13" t="s">
        <v>389</v>
      </c>
      <c r="I229" s="13" t="s">
        <v>139</v>
      </c>
      <c r="J229" s="13" t="s">
        <v>5</v>
      </c>
      <c r="K229" s="13" t="s">
        <v>140</v>
      </c>
      <c r="L229" s="13" t="s">
        <v>1105</v>
      </c>
      <c r="M229" s="13"/>
      <c r="N229" s="13" t="s">
        <v>142</v>
      </c>
      <c r="O229" s="247">
        <v>0.56000000000000005</v>
      </c>
      <c r="P229" s="13">
        <v>93</v>
      </c>
      <c r="Q229" s="13">
        <v>30</v>
      </c>
      <c r="R229" s="13" t="s">
        <v>127</v>
      </c>
      <c r="S229" s="430" t="str">
        <f t="shared" si="96"/>
        <v>N/A</v>
      </c>
      <c r="T229" s="247">
        <v>0.76</v>
      </c>
      <c r="U229" s="13">
        <v>110</v>
      </c>
      <c r="V229" s="13">
        <v>510</v>
      </c>
      <c r="W229" s="430">
        <f t="shared" si="94"/>
        <v>400</v>
      </c>
      <c r="X229" s="430">
        <f t="shared" si="95"/>
        <v>120</v>
      </c>
      <c r="Y229" s="13">
        <v>100</v>
      </c>
      <c r="Z229" s="13">
        <v>550</v>
      </c>
      <c r="AA229" s="430">
        <f t="shared" si="97"/>
        <v>450</v>
      </c>
      <c r="AB229" s="430">
        <f t="shared" si="98"/>
        <v>80</v>
      </c>
      <c r="AC229" s="430" t="str">
        <f t="shared" si="99"/>
        <v>N/A</v>
      </c>
      <c r="AD229" s="430">
        <f t="shared" si="100"/>
        <v>63</v>
      </c>
      <c r="AE229" s="431">
        <f t="shared" si="101"/>
        <v>1.1128</v>
      </c>
      <c r="AF229" s="431"/>
      <c r="AG229" s="431">
        <f t="shared" si="102"/>
        <v>0.99330322580645158</v>
      </c>
      <c r="AH229" s="431">
        <f t="shared" si="103"/>
        <v>1.0578679354838709</v>
      </c>
      <c r="AI229" s="432">
        <f t="shared" si="104"/>
        <v>846.030888</v>
      </c>
      <c r="AJ229" s="432">
        <f t="shared" si="105"/>
        <v>150.22080161741377</v>
      </c>
      <c r="AK229" s="432">
        <f t="shared" si="106"/>
        <v>164.2548585826637</v>
      </c>
      <c r="AL229" s="432">
        <f t="shared" si="107"/>
        <v>326.51495722129891</v>
      </c>
      <c r="AM229" s="250">
        <v>120</v>
      </c>
      <c r="AN229" s="432">
        <f t="shared" si="108"/>
        <v>111.6</v>
      </c>
      <c r="AO229" s="432">
        <f t="shared" si="109"/>
        <v>118.05806159999999</v>
      </c>
      <c r="AP229" s="432">
        <f t="shared" si="110"/>
        <v>393.52687199999997</v>
      </c>
      <c r="AQ229" s="255" t="s">
        <v>132</v>
      </c>
      <c r="AR229" s="13" t="s">
        <v>506</v>
      </c>
      <c r="AS229" s="434" t="s">
        <v>1106</v>
      </c>
      <c r="AT229" s="429" t="s">
        <v>1107</v>
      </c>
      <c r="AU229" s="241"/>
      <c r="AV229" s="243"/>
      <c r="AW229" s="13" t="s">
        <v>127</v>
      </c>
      <c r="AX229" s="260"/>
      <c r="AY229" s="103">
        <f t="shared" si="113"/>
        <v>0.54838709677419351</v>
      </c>
      <c r="BA229" s="13" t="str">
        <f t="shared" si="115"/>
        <v>W50</v>
      </c>
      <c r="BB229" s="72" t="str">
        <f>IF(R229="n/a","Clear","S/B")</f>
        <v>Clear</v>
      </c>
      <c r="BC229" s="32">
        <f>IF(Q229="","",((P229/100*O229)+T229))</f>
        <v>1.2808000000000002</v>
      </c>
      <c r="BD229" s="241">
        <f>IF(BC229="","",((PI()*((51/2)^2-(16.545/2)^2)/(BC229/10))/100))</f>
        <v>142.70987400904758</v>
      </c>
      <c r="BE229" s="241"/>
      <c r="BF229" s="71"/>
      <c r="BG229" s="241"/>
      <c r="BH229" s="241"/>
      <c r="BI229" s="71"/>
      <c r="BJ229" s="123"/>
      <c r="BK229" s="108"/>
      <c r="BL229" s="126"/>
      <c r="BM229" s="108"/>
      <c r="BN229" s="100"/>
      <c r="BO229" s="130"/>
      <c r="BP229" s="130"/>
      <c r="BQ229" s="115"/>
      <c r="BR229" s="113"/>
      <c r="BS229" s="80"/>
      <c r="BU229" s="87"/>
      <c r="BV229" s="73"/>
      <c r="BW229" s="109"/>
      <c r="BX229" s="87"/>
      <c r="BY229" s="87"/>
      <c r="BZ229" s="109"/>
      <c r="CA229" s="76"/>
    </row>
    <row r="230" spans="1:79" s="22" customFormat="1">
      <c r="A230" s="13" t="s">
        <v>466</v>
      </c>
      <c r="B230" s="387" t="s">
        <v>1071</v>
      </c>
      <c r="C230" s="13" t="s">
        <v>357</v>
      </c>
      <c r="D230" s="387" t="s">
        <v>1108</v>
      </c>
      <c r="E230" s="13" t="s">
        <v>118</v>
      </c>
      <c r="F230" s="13" t="s">
        <v>119</v>
      </c>
      <c r="G230" s="13" t="s">
        <v>1109</v>
      </c>
      <c r="H230" s="13" t="s">
        <v>121</v>
      </c>
      <c r="I230" s="13" t="s">
        <v>147</v>
      </c>
      <c r="J230" s="13" t="s">
        <v>5</v>
      </c>
      <c r="K230" s="13" t="s">
        <v>123</v>
      </c>
      <c r="L230" s="13" t="s">
        <v>1110</v>
      </c>
      <c r="M230" s="13" t="s">
        <v>125</v>
      </c>
      <c r="N230" s="13" t="s">
        <v>126</v>
      </c>
      <c r="O230" s="247">
        <v>0.56000000000000005</v>
      </c>
      <c r="P230" s="13">
        <v>96</v>
      </c>
      <c r="Q230" s="13">
        <v>30</v>
      </c>
      <c r="R230" s="13" t="s">
        <v>127</v>
      </c>
      <c r="S230" s="430" t="str">
        <f t="shared" si="96"/>
        <v>N/A</v>
      </c>
      <c r="T230" s="247">
        <v>0.8</v>
      </c>
      <c r="U230" s="13">
        <v>150</v>
      </c>
      <c r="V230" s="13">
        <v>540</v>
      </c>
      <c r="W230" s="430">
        <f t="shared" si="94"/>
        <v>390</v>
      </c>
      <c r="X230" s="430">
        <f t="shared" si="95"/>
        <v>120</v>
      </c>
      <c r="Y230" s="13">
        <v>150</v>
      </c>
      <c r="Z230" s="13">
        <v>550</v>
      </c>
      <c r="AA230" s="430">
        <f t="shared" si="97"/>
        <v>400</v>
      </c>
      <c r="AB230" s="430">
        <f t="shared" si="98"/>
        <v>110</v>
      </c>
      <c r="AC230" s="430" t="str">
        <f t="shared" si="99"/>
        <v>N/A</v>
      </c>
      <c r="AD230" s="430">
        <f t="shared" si="100"/>
        <v>66</v>
      </c>
      <c r="AE230" s="431">
        <f t="shared" si="101"/>
        <v>1.1696</v>
      </c>
      <c r="AF230" s="431"/>
      <c r="AG230" s="431">
        <f t="shared" si="102"/>
        <v>1.0425500000000001</v>
      </c>
      <c r="AH230" s="431">
        <f t="shared" si="103"/>
        <v>1.1051030000000002</v>
      </c>
      <c r="AI230" s="432">
        <f t="shared" si="104"/>
        <v>884.45891200000005</v>
      </c>
      <c r="AJ230" s="432">
        <f t="shared" si="105"/>
        <v>142.92553696978285</v>
      </c>
      <c r="AK230" s="432">
        <f t="shared" si="106"/>
        <v>156.27804944492834</v>
      </c>
      <c r="AL230" s="432">
        <f t="shared" si="107"/>
        <v>310.65821169276802</v>
      </c>
      <c r="AM230" s="250">
        <v>156</v>
      </c>
      <c r="AN230" s="432">
        <f t="shared" si="108"/>
        <v>149.76</v>
      </c>
      <c r="AO230" s="432">
        <f t="shared" si="109"/>
        <v>165.50022528000002</v>
      </c>
      <c r="AP230" s="432">
        <f t="shared" si="110"/>
        <v>551.66741760000014</v>
      </c>
      <c r="AQ230" s="255">
        <v>45039</v>
      </c>
      <c r="AR230" s="13" t="s">
        <v>1111</v>
      </c>
      <c r="AS230" s="436" t="s">
        <v>1112</v>
      </c>
      <c r="AT230" s="429"/>
      <c r="AU230" s="250"/>
      <c r="AV230" s="255"/>
      <c r="AW230" s="13" t="s">
        <v>127</v>
      </c>
      <c r="AX230" s="260"/>
      <c r="AY230" s="103">
        <f t="shared" si="113"/>
        <v>0.5625</v>
      </c>
      <c r="BA230" s="13" t="str">
        <f t="shared" si="115"/>
        <v>W22</v>
      </c>
      <c r="BB230" s="72" t="str">
        <f>IF(R230="n/a","Clear","S/B")</f>
        <v>Clear</v>
      </c>
      <c r="BC230" s="73"/>
      <c r="BD230" s="252"/>
      <c r="BE230" s="252"/>
      <c r="BF230" s="80"/>
      <c r="BG230" s="252"/>
      <c r="BH230" s="252"/>
      <c r="BI230" s="80"/>
      <c r="BJ230" s="143"/>
      <c r="BK230" s="111"/>
      <c r="BL230" s="112"/>
      <c r="BM230" s="111"/>
      <c r="BN230" s="123"/>
      <c r="BO230" s="101"/>
      <c r="BP230" s="105"/>
      <c r="BQ230" s="144"/>
      <c r="BR230" s="140"/>
      <c r="BS230" s="106"/>
      <c r="BT230" s="262"/>
      <c r="BU230" s="269"/>
      <c r="BV230" s="263"/>
      <c r="BW230" s="132"/>
      <c r="BX230" s="269"/>
      <c r="BY230" s="269"/>
      <c r="BZ230" s="132"/>
      <c r="CA230" s="295"/>
    </row>
    <row r="231" spans="1:79" s="262" customFormat="1">
      <c r="A231" s="13" t="s">
        <v>466</v>
      </c>
      <c r="B231" s="387" t="s">
        <v>1071</v>
      </c>
      <c r="C231" s="13" t="s">
        <v>650</v>
      </c>
      <c r="D231" s="387" t="s">
        <v>1113</v>
      </c>
      <c r="E231" s="13" t="s">
        <v>118</v>
      </c>
      <c r="F231" s="13" t="s">
        <v>167</v>
      </c>
      <c r="G231" s="13" t="s">
        <v>1114</v>
      </c>
      <c r="H231" s="13" t="s">
        <v>121</v>
      </c>
      <c r="I231" s="13" t="s">
        <v>147</v>
      </c>
      <c r="J231" s="13" t="s">
        <v>5</v>
      </c>
      <c r="K231" s="13" t="s">
        <v>123</v>
      </c>
      <c r="L231" s="13" t="s">
        <v>1115</v>
      </c>
      <c r="M231" s="13" t="s">
        <v>125</v>
      </c>
      <c r="N231" s="13" t="s">
        <v>126</v>
      </c>
      <c r="O231" s="247">
        <v>0.47</v>
      </c>
      <c r="P231" s="13">
        <v>105</v>
      </c>
      <c r="Q231" s="13">
        <v>30</v>
      </c>
      <c r="R231" s="13" t="s">
        <v>127</v>
      </c>
      <c r="S231" s="430" t="str">
        <f t="shared" si="96"/>
        <v>N/A</v>
      </c>
      <c r="T231" s="247">
        <v>0.8</v>
      </c>
      <c r="U231" s="13">
        <v>200</v>
      </c>
      <c r="V231" s="13">
        <v>600</v>
      </c>
      <c r="W231" s="430">
        <f t="shared" si="94"/>
        <v>400</v>
      </c>
      <c r="X231" s="430">
        <f t="shared" si="95"/>
        <v>150</v>
      </c>
      <c r="Y231" s="13">
        <v>200</v>
      </c>
      <c r="Z231" s="13">
        <v>600</v>
      </c>
      <c r="AA231" s="430">
        <f t="shared" si="97"/>
        <v>400</v>
      </c>
      <c r="AB231" s="430">
        <f t="shared" si="98"/>
        <v>150</v>
      </c>
      <c r="AC231" s="430" t="str">
        <f t="shared" si="99"/>
        <v>N/A</v>
      </c>
      <c r="AD231" s="430">
        <f t="shared" si="100"/>
        <v>75</v>
      </c>
      <c r="AE231" s="431">
        <f t="shared" si="101"/>
        <v>1.1524999999999999</v>
      </c>
      <c r="AF231" s="431"/>
      <c r="AG231" s="431">
        <f t="shared" si="102"/>
        <v>1.0266071428571428</v>
      </c>
      <c r="AH231" s="431">
        <f t="shared" si="103"/>
        <v>1.0882035714285714</v>
      </c>
      <c r="AI231" s="432">
        <f t="shared" si="104"/>
        <v>878.59944400000006</v>
      </c>
      <c r="AJ231" s="432">
        <f t="shared" si="105"/>
        <v>145.04616749662304</v>
      </c>
      <c r="AK231" s="432">
        <f t="shared" si="106"/>
        <v>158.59679534124788</v>
      </c>
      <c r="AL231" s="432">
        <f t="shared" si="107"/>
        <v>315.26754394434835</v>
      </c>
      <c r="AM231" s="250">
        <v>159</v>
      </c>
      <c r="AN231" s="432">
        <f t="shared" si="108"/>
        <v>166.95</v>
      </c>
      <c r="AO231" s="432">
        <f t="shared" si="109"/>
        <v>181.67558624999998</v>
      </c>
      <c r="AP231" s="432">
        <f t="shared" si="110"/>
        <v>605.58528749999994</v>
      </c>
      <c r="AQ231" s="255" t="s">
        <v>170</v>
      </c>
      <c r="AR231" s="13" t="s">
        <v>1088</v>
      </c>
      <c r="AS231" s="436" t="s">
        <v>1116</v>
      </c>
      <c r="AT231" s="429"/>
      <c r="AU231" s="241"/>
      <c r="AV231" s="243"/>
      <c r="AW231" s="72"/>
      <c r="AX231" s="243"/>
      <c r="AY231" s="71">
        <f t="shared" si="113"/>
        <v>0.5714285714285714</v>
      </c>
      <c r="AZ231" s="72"/>
      <c r="BA231" s="72" t="str">
        <f t="shared" si="115"/>
        <v>W22</v>
      </c>
      <c r="BB231" s="72"/>
      <c r="BC231" s="32"/>
      <c r="BD231" s="241"/>
      <c r="BE231" s="241"/>
      <c r="BF231" s="71"/>
      <c r="BG231" s="241"/>
      <c r="BH231" s="241"/>
      <c r="BI231" s="71"/>
      <c r="BJ231" s="162"/>
      <c r="BK231" s="123"/>
      <c r="BL231" s="126"/>
      <c r="BM231" s="123"/>
      <c r="BN231" s="123"/>
      <c r="BO231" s="130"/>
      <c r="BP231" s="130"/>
      <c r="BQ231" s="115"/>
      <c r="BR231" s="140"/>
      <c r="BS231" s="80"/>
      <c r="BT231" s="22"/>
      <c r="BU231" s="87"/>
      <c r="BV231" s="73"/>
      <c r="BW231" s="109"/>
      <c r="BX231" s="87"/>
      <c r="BY231" s="87"/>
      <c r="BZ231" s="109"/>
      <c r="CA231" s="76"/>
    </row>
    <row r="232" spans="1:79" s="72" customFormat="1">
      <c r="A232" s="13" t="s">
        <v>466</v>
      </c>
      <c r="B232" s="13" t="s">
        <v>1071</v>
      </c>
      <c r="C232" s="13" t="s">
        <v>135</v>
      </c>
      <c r="D232" s="387" t="s">
        <v>1117</v>
      </c>
      <c r="E232" s="13" t="s">
        <v>118</v>
      </c>
      <c r="F232" s="13" t="s">
        <v>119</v>
      </c>
      <c r="G232" s="13" t="s">
        <v>1118</v>
      </c>
      <c r="H232" s="13" t="s">
        <v>121</v>
      </c>
      <c r="I232" s="13" t="s">
        <v>147</v>
      </c>
      <c r="J232" s="13" t="s">
        <v>5</v>
      </c>
      <c r="K232" s="13" t="s">
        <v>123</v>
      </c>
      <c r="L232" s="13" t="s">
        <v>1119</v>
      </c>
      <c r="M232" s="13" t="s">
        <v>125</v>
      </c>
      <c r="N232" s="13" t="s">
        <v>126</v>
      </c>
      <c r="O232" s="247">
        <v>0.56000000000000005</v>
      </c>
      <c r="P232" s="438">
        <v>98</v>
      </c>
      <c r="Q232" s="13">
        <v>30</v>
      </c>
      <c r="R232" s="13" t="s">
        <v>127</v>
      </c>
      <c r="S232" s="430" t="str">
        <f t="shared" si="96"/>
        <v>N/A</v>
      </c>
      <c r="T232" s="247">
        <v>0.8</v>
      </c>
      <c r="U232" s="13">
        <v>150</v>
      </c>
      <c r="V232" s="13">
        <v>550</v>
      </c>
      <c r="W232" s="430">
        <f t="shared" si="94"/>
        <v>400</v>
      </c>
      <c r="X232" s="430">
        <f t="shared" si="95"/>
        <v>130</v>
      </c>
      <c r="Y232" s="13">
        <v>150</v>
      </c>
      <c r="Z232" s="13">
        <v>550</v>
      </c>
      <c r="AA232" s="430">
        <f t="shared" si="97"/>
        <v>400</v>
      </c>
      <c r="AB232" s="430">
        <f t="shared" si="98"/>
        <v>130</v>
      </c>
      <c r="AC232" s="430" t="str">
        <f t="shared" si="99"/>
        <v>N/A</v>
      </c>
      <c r="AD232" s="430">
        <f t="shared" si="100"/>
        <v>68</v>
      </c>
      <c r="AE232" s="431">
        <f t="shared" si="101"/>
        <v>1.1808000000000001</v>
      </c>
      <c r="AF232" s="431"/>
      <c r="AG232" s="431">
        <f t="shared" si="102"/>
        <v>1.0486857142857142</v>
      </c>
      <c r="AH232" s="431">
        <f t="shared" si="103"/>
        <v>1.1116068571428572</v>
      </c>
      <c r="AI232" s="432">
        <f t="shared" si="104"/>
        <v>884.45891200000005</v>
      </c>
      <c r="AJ232" s="432">
        <f t="shared" si="105"/>
        <v>141.56987469500172</v>
      </c>
      <c r="AK232" s="432">
        <f t="shared" si="106"/>
        <v>154.79573732282196</v>
      </c>
      <c r="AL232" s="432">
        <f t="shared" si="107"/>
        <v>307.71158908863606</v>
      </c>
      <c r="AM232" s="250">
        <v>120</v>
      </c>
      <c r="AN232" s="432">
        <f t="shared" si="108"/>
        <v>117.6</v>
      </c>
      <c r="AO232" s="432">
        <f t="shared" si="109"/>
        <v>130.7249664</v>
      </c>
      <c r="AP232" s="432">
        <f t="shared" si="110"/>
        <v>435.749888</v>
      </c>
      <c r="AQ232" s="255">
        <v>44980</v>
      </c>
      <c r="AR232" s="13" t="s">
        <v>545</v>
      </c>
      <c r="AS232" s="434" t="s">
        <v>1120</v>
      </c>
      <c r="AT232" s="429" t="s">
        <v>1121</v>
      </c>
      <c r="AU232" s="252"/>
      <c r="AV232" s="260"/>
      <c r="AW232" s="13" t="s">
        <v>127</v>
      </c>
      <c r="AX232" s="260"/>
      <c r="AY232" s="103">
        <f t="shared" si="113"/>
        <v>0.56122448979591832</v>
      </c>
      <c r="AZ232" s="22"/>
      <c r="BA232" s="13" t="str">
        <f t="shared" si="115"/>
        <v>W22</v>
      </c>
      <c r="BB232" s="72" t="str">
        <f>IF(R232="n/a","Clear","S/B")</f>
        <v>Clear</v>
      </c>
      <c r="BC232" s="32">
        <f>IF(Q232="","",((P232/100*O232)+T232))</f>
        <v>1.3488000000000002</v>
      </c>
      <c r="BD232" s="241">
        <f>IF(BC232="","",((PI()*((51/2)^2-(16.545/2)^2)/(BC232/10))/100))</f>
        <v>135.5151294712249</v>
      </c>
      <c r="BE232" s="241">
        <f>IF(BC232="","",(BD232-AK232))</f>
        <v>-19.280607851597068</v>
      </c>
      <c r="BF232" s="71">
        <f>IF(BC232="","",(BE232/AK232))</f>
        <v>-0.12455516014234892</v>
      </c>
      <c r="BG232" s="241">
        <f>IF(BF232="","",((PI()*((70/2)^2-(16.545/2)^2)/(BC232/10))/100))</f>
        <v>269.3845228320443</v>
      </c>
      <c r="BH232" s="241">
        <f>IF(BF232="","",(BG232-AL232))</f>
        <v>-38.327066256591763</v>
      </c>
      <c r="BI232" s="71">
        <f>IF(BG232="","",(BH232/AL232))</f>
        <v>-0.12455516014234902</v>
      </c>
      <c r="BJ232" s="114"/>
      <c r="BK232" s="111"/>
      <c r="BL232" s="112"/>
      <c r="BM232" s="111"/>
      <c r="BN232" s="123"/>
      <c r="BO232" s="111"/>
      <c r="BP232" s="83"/>
      <c r="BQ232" s="115"/>
      <c r="BR232" s="113"/>
      <c r="BS232" s="71"/>
      <c r="BT232" s="13">
        <f>P232-V232/10-120/10</f>
        <v>31</v>
      </c>
      <c r="BU232" s="79">
        <f>BT232-Q232</f>
        <v>1</v>
      </c>
      <c r="BV232" s="29">
        <f>T232+(O232/100*(P232-BT232))</f>
        <v>1.1752</v>
      </c>
      <c r="BW232" s="86">
        <f>(AE232-BV232)/AE232</f>
        <v>4.7425474254742962E-3</v>
      </c>
      <c r="BX232" s="79">
        <f>(PI()*((51/2)^2-(16.545/2)^2)/(BV232/10))/100</f>
        <v>155.53336166677005</v>
      </c>
      <c r="BY232" s="79">
        <f>BX232-AK232</f>
        <v>0.73762434394808452</v>
      </c>
      <c r="BZ232" s="86">
        <f>BY232/AK232</f>
        <v>4.765146358066635E-3</v>
      </c>
      <c r="CA232" s="76"/>
    </row>
    <row r="233" spans="1:79" s="262" customFormat="1">
      <c r="A233" s="13" t="s">
        <v>466</v>
      </c>
      <c r="B233" s="387" t="s">
        <v>1071</v>
      </c>
      <c r="C233" s="13" t="s">
        <v>1122</v>
      </c>
      <c r="D233" s="387" t="s">
        <v>1123</v>
      </c>
      <c r="E233" s="13" t="s">
        <v>118</v>
      </c>
      <c r="F233" s="13" t="s">
        <v>167</v>
      </c>
      <c r="G233" s="13" t="s">
        <v>1124</v>
      </c>
      <c r="H233" s="13" t="s">
        <v>121</v>
      </c>
      <c r="I233" s="13" t="s">
        <v>147</v>
      </c>
      <c r="J233" s="13" t="s">
        <v>5</v>
      </c>
      <c r="K233" s="13" t="s">
        <v>123</v>
      </c>
      <c r="L233" s="13" t="s">
        <v>1125</v>
      </c>
      <c r="M233" s="13" t="s">
        <v>125</v>
      </c>
      <c r="N233" s="13" t="s">
        <v>126</v>
      </c>
      <c r="O233" s="247">
        <v>0.57999999999999996</v>
      </c>
      <c r="P233" s="13">
        <v>105</v>
      </c>
      <c r="Q233" s="13">
        <v>30</v>
      </c>
      <c r="R233" s="13" t="s">
        <v>127</v>
      </c>
      <c r="S233" s="430" t="str">
        <f t="shared" si="96"/>
        <v>N/A</v>
      </c>
      <c r="T233" s="247">
        <v>0.8</v>
      </c>
      <c r="U233" s="13">
        <v>200</v>
      </c>
      <c r="V233" s="13">
        <v>600</v>
      </c>
      <c r="W233" s="430">
        <f t="shared" si="94"/>
        <v>400</v>
      </c>
      <c r="X233" s="430">
        <f t="shared" si="95"/>
        <v>150</v>
      </c>
      <c r="Y233" s="13">
        <v>150</v>
      </c>
      <c r="Z233" s="13">
        <v>600</v>
      </c>
      <c r="AA233" s="430">
        <f t="shared" si="97"/>
        <v>450</v>
      </c>
      <c r="AB233" s="430">
        <f t="shared" si="98"/>
        <v>150</v>
      </c>
      <c r="AC233" s="430" t="str">
        <f t="shared" si="99"/>
        <v>N/A</v>
      </c>
      <c r="AD233" s="430">
        <f t="shared" si="100"/>
        <v>75</v>
      </c>
      <c r="AE233" s="431">
        <f t="shared" si="101"/>
        <v>1.2349999999999999</v>
      </c>
      <c r="AF233" s="431"/>
      <c r="AG233" s="431">
        <f t="shared" si="102"/>
        <v>1.0796428571428571</v>
      </c>
      <c r="AH233" s="431">
        <f t="shared" si="103"/>
        <v>1.1444214285714285</v>
      </c>
      <c r="AI233" s="432">
        <f t="shared" si="104"/>
        <v>885.76101600000004</v>
      </c>
      <c r="AJ233" s="432">
        <f t="shared" si="105"/>
        <v>135.35684861526968</v>
      </c>
      <c r="AK233" s="432">
        <f t="shared" si="106"/>
        <v>148.00227257553701</v>
      </c>
      <c r="AL233" s="432">
        <f t="shared" si="107"/>
        <v>294.20716145413888</v>
      </c>
      <c r="AM233" s="250">
        <v>148</v>
      </c>
      <c r="AN233" s="432">
        <f t="shared" si="108"/>
        <v>155.4</v>
      </c>
      <c r="AO233" s="432">
        <f t="shared" si="109"/>
        <v>177.84308999999999</v>
      </c>
      <c r="AP233" s="432">
        <f t="shared" si="110"/>
        <v>592.81029999999998</v>
      </c>
      <c r="AQ233" s="255">
        <v>45039</v>
      </c>
      <c r="AR233" s="13" t="s">
        <v>1126</v>
      </c>
      <c r="AS233" s="436" t="s">
        <v>1127</v>
      </c>
      <c r="AT233" s="429" t="s">
        <v>1128</v>
      </c>
      <c r="AU233" s="241"/>
      <c r="AV233" s="243"/>
      <c r="AW233" s="72" t="s">
        <v>127</v>
      </c>
      <c r="AX233" s="243"/>
      <c r="AY233" s="103">
        <f t="shared" si="113"/>
        <v>0.5714285714285714</v>
      </c>
      <c r="AZ233" s="72"/>
      <c r="BA233" s="13" t="str">
        <f t="shared" si="115"/>
        <v>W22</v>
      </c>
      <c r="BB233" s="72" t="str">
        <f>IF(R233="n/a","Clear","S/B")</f>
        <v>Clear</v>
      </c>
      <c r="BC233" s="32"/>
      <c r="BD233" s="241"/>
      <c r="BE233" s="241"/>
      <c r="BF233" s="71"/>
      <c r="BG233" s="241"/>
      <c r="BH233" s="241"/>
      <c r="BI233" s="71"/>
      <c r="BJ233" s="123"/>
      <c r="BK233" s="123"/>
      <c r="BL233" s="126"/>
      <c r="BM233" s="123"/>
      <c r="BN233" s="123"/>
      <c r="BO233" s="108"/>
      <c r="BP233" s="108"/>
      <c r="BQ233" s="115"/>
      <c r="BR233" s="113"/>
      <c r="BS233" s="80"/>
      <c r="BT233" s="22"/>
      <c r="BU233" s="87"/>
      <c r="BV233" s="73"/>
      <c r="BW233" s="109"/>
      <c r="BX233" s="87"/>
      <c r="BY233" s="87"/>
      <c r="BZ233" s="109"/>
      <c r="CA233" s="76"/>
    </row>
    <row r="234" spans="1:79" s="72" customFormat="1">
      <c r="A234" s="13" t="s">
        <v>466</v>
      </c>
      <c r="B234" s="387" t="s">
        <v>1071</v>
      </c>
      <c r="C234" s="13" t="s">
        <v>1122</v>
      </c>
      <c r="D234" s="387" t="s">
        <v>1123</v>
      </c>
      <c r="E234" s="13" t="s">
        <v>118</v>
      </c>
      <c r="F234" s="13" t="s">
        <v>167</v>
      </c>
      <c r="G234" s="13" t="s">
        <v>1129</v>
      </c>
      <c r="H234" s="13" t="s">
        <v>121</v>
      </c>
      <c r="I234" s="13" t="s">
        <v>147</v>
      </c>
      <c r="J234" s="13" t="s">
        <v>5</v>
      </c>
      <c r="K234" s="13" t="s">
        <v>123</v>
      </c>
      <c r="L234" s="13" t="s">
        <v>1130</v>
      </c>
      <c r="M234" s="13" t="s">
        <v>125</v>
      </c>
      <c r="N234" s="13" t="s">
        <v>126</v>
      </c>
      <c r="O234" s="247">
        <v>0.57999999999999996</v>
      </c>
      <c r="P234" s="13">
        <v>107</v>
      </c>
      <c r="Q234" s="13">
        <v>30</v>
      </c>
      <c r="R234" s="13" t="s">
        <v>127</v>
      </c>
      <c r="S234" s="430" t="str">
        <f t="shared" si="96"/>
        <v>N/A</v>
      </c>
      <c r="T234" s="247">
        <v>0.8</v>
      </c>
      <c r="U234" s="13">
        <v>200</v>
      </c>
      <c r="V234" s="13">
        <v>600</v>
      </c>
      <c r="W234" s="430">
        <f t="shared" si="94"/>
        <v>400</v>
      </c>
      <c r="X234" s="430">
        <f t="shared" si="95"/>
        <v>170</v>
      </c>
      <c r="Y234" s="13">
        <v>150</v>
      </c>
      <c r="Z234" s="13">
        <v>600</v>
      </c>
      <c r="AA234" s="430">
        <f t="shared" si="97"/>
        <v>450</v>
      </c>
      <c r="AB234" s="430">
        <f t="shared" si="98"/>
        <v>170</v>
      </c>
      <c r="AC234" s="430" t="str">
        <f t="shared" si="99"/>
        <v>N/A</v>
      </c>
      <c r="AD234" s="430">
        <f t="shared" si="100"/>
        <v>77</v>
      </c>
      <c r="AE234" s="431">
        <f t="shared" si="101"/>
        <v>1.2465999999999999</v>
      </c>
      <c r="AF234" s="431"/>
      <c r="AG234" s="431">
        <f t="shared" si="102"/>
        <v>1.0859074766355139</v>
      </c>
      <c r="AH234" s="431">
        <f t="shared" si="103"/>
        <v>1.1510619252336447</v>
      </c>
      <c r="AI234" s="432">
        <f t="shared" si="104"/>
        <v>885.76101600000004</v>
      </c>
      <c r="AJ234" s="432">
        <f t="shared" si="105"/>
        <v>134.09731111812775</v>
      </c>
      <c r="AK234" s="432">
        <f t="shared" si="106"/>
        <v>146.62506548274362</v>
      </c>
      <c r="AL234" s="432">
        <f t="shared" si="107"/>
        <v>291.46947248183983</v>
      </c>
      <c r="AM234" s="250">
        <v>120</v>
      </c>
      <c r="AN234" s="432">
        <f t="shared" si="108"/>
        <v>128.4</v>
      </c>
      <c r="AO234" s="432">
        <f t="shared" si="109"/>
        <v>147.79635119999998</v>
      </c>
      <c r="AP234" s="432">
        <f t="shared" si="110"/>
        <v>492.65450399999992</v>
      </c>
      <c r="AQ234" s="255">
        <v>44986</v>
      </c>
      <c r="AR234" s="13" t="s">
        <v>506</v>
      </c>
      <c r="AS234" s="434" t="s">
        <v>1131</v>
      </c>
      <c r="AT234" s="429" t="s">
        <v>1132</v>
      </c>
      <c r="AU234" s="241"/>
      <c r="AV234" s="243"/>
      <c r="AW234" s="72" t="s">
        <v>127</v>
      </c>
      <c r="AX234" s="243"/>
      <c r="AY234" s="103">
        <f t="shared" si="113"/>
        <v>0.56074766355140182</v>
      </c>
      <c r="BA234" s="13" t="str">
        <f t="shared" si="115"/>
        <v>W22</v>
      </c>
      <c r="BB234" s="72" t="str">
        <f>IF(R234="n/a","Clear","S/B")</f>
        <v>Clear</v>
      </c>
      <c r="BC234" s="32">
        <f>IF(Q234="","",((P234/100*O234)+T234))</f>
        <v>1.4206000000000001</v>
      </c>
      <c r="BD234" s="241">
        <f>IF(BC234="","",((PI()*((51/2)^2-(16.545/2)^2)/(BC234/10))/100))</f>
        <v>128.66592047781793</v>
      </c>
      <c r="BE234" s="241"/>
      <c r="BF234" s="71"/>
      <c r="BG234" s="241"/>
      <c r="BH234" s="241"/>
      <c r="BI234" s="71"/>
      <c r="BJ234" s="123"/>
      <c r="BK234" s="123"/>
      <c r="BL234" s="126"/>
      <c r="BM234" s="123"/>
      <c r="BN234" s="123"/>
      <c r="BO234" s="130"/>
      <c r="BP234" s="130"/>
      <c r="BQ234" s="124"/>
      <c r="BR234" s="124"/>
      <c r="BS234" s="71"/>
      <c r="BU234" s="78"/>
      <c r="BV234" s="32"/>
      <c r="BW234" s="127"/>
      <c r="BX234" s="78"/>
      <c r="BY234" s="78"/>
      <c r="BZ234" s="127"/>
      <c r="CA234" s="76"/>
    </row>
    <row r="235" spans="1:79" s="72" customFormat="1">
      <c r="A235" s="13" t="s">
        <v>466</v>
      </c>
      <c r="B235" s="13" t="s">
        <v>1071</v>
      </c>
      <c r="C235" s="13" t="s">
        <v>1122</v>
      </c>
      <c r="D235" s="387" t="s">
        <v>1123</v>
      </c>
      <c r="E235" s="13" t="s">
        <v>118</v>
      </c>
      <c r="F235" s="13" t="s">
        <v>119</v>
      </c>
      <c r="G235" s="13" t="s">
        <v>1133</v>
      </c>
      <c r="H235" s="13" t="s">
        <v>121</v>
      </c>
      <c r="I235" s="13" t="s">
        <v>147</v>
      </c>
      <c r="J235" s="13" t="s">
        <v>5</v>
      </c>
      <c r="K235" s="13" t="s">
        <v>123</v>
      </c>
      <c r="L235" s="13"/>
      <c r="M235" s="13" t="s">
        <v>125</v>
      </c>
      <c r="N235" s="13" t="s">
        <v>126</v>
      </c>
      <c r="O235" s="247">
        <v>0.6</v>
      </c>
      <c r="P235" s="438">
        <v>110</v>
      </c>
      <c r="Q235" s="13">
        <v>27</v>
      </c>
      <c r="R235" s="13" t="s">
        <v>127</v>
      </c>
      <c r="S235" s="430" t="str">
        <f t="shared" si="96"/>
        <v>N/A</v>
      </c>
      <c r="T235" s="247">
        <v>0.8</v>
      </c>
      <c r="U235" s="13">
        <v>150</v>
      </c>
      <c r="V235" s="13">
        <v>700</v>
      </c>
      <c r="W235" s="430">
        <f t="shared" si="94"/>
        <v>550</v>
      </c>
      <c r="X235" s="430">
        <f t="shared" si="95"/>
        <v>130</v>
      </c>
      <c r="Y235" s="13">
        <v>150</v>
      </c>
      <c r="Z235" s="13">
        <v>700</v>
      </c>
      <c r="AA235" s="430">
        <f t="shared" si="97"/>
        <v>550</v>
      </c>
      <c r="AB235" s="430">
        <f t="shared" si="98"/>
        <v>130</v>
      </c>
      <c r="AC235" s="430" t="str">
        <f t="shared" si="99"/>
        <v>N/A</v>
      </c>
      <c r="AD235" s="430">
        <f t="shared" si="100"/>
        <v>83</v>
      </c>
      <c r="AE235" s="431">
        <f t="shared" si="101"/>
        <v>1.298</v>
      </c>
      <c r="AF235" s="431"/>
      <c r="AG235" s="431">
        <f t="shared" si="102"/>
        <v>1.1101181818181818</v>
      </c>
      <c r="AH235" s="431">
        <f t="shared" si="103"/>
        <v>1.1767252727272728</v>
      </c>
      <c r="AI235" s="432">
        <f t="shared" si="104"/>
        <v>887.06312000000003</v>
      </c>
      <c r="AJ235" s="432">
        <f t="shared" si="105"/>
        <v>128.78714024642375</v>
      </c>
      <c r="AK235" s="432">
        <f t="shared" si="106"/>
        <v>140.81880325946702</v>
      </c>
      <c r="AL235" s="432">
        <f t="shared" si="107"/>
        <v>279.92746101376076</v>
      </c>
      <c r="AM235" s="250">
        <v>141</v>
      </c>
      <c r="AN235" s="432">
        <f t="shared" si="108"/>
        <v>155.1</v>
      </c>
      <c r="AO235" s="432">
        <f t="shared" si="109"/>
        <v>182.5100898</v>
      </c>
      <c r="AP235" s="432">
        <f t="shared" si="110"/>
        <v>675.96329555555553</v>
      </c>
      <c r="AQ235" s="255">
        <v>45627</v>
      </c>
      <c r="AR235" s="13" t="s">
        <v>1134</v>
      </c>
      <c r="AS235" s="434"/>
      <c r="AT235" s="429"/>
      <c r="AU235" s="252"/>
      <c r="AV235" s="260"/>
      <c r="AW235" s="13"/>
      <c r="AX235" s="260"/>
      <c r="AY235" s="103">
        <f t="shared" si="113"/>
        <v>0.63636363636363635</v>
      </c>
      <c r="AZ235" s="22"/>
      <c r="BA235" s="13"/>
      <c r="BC235" s="32"/>
      <c r="BD235" s="241"/>
      <c r="BE235" s="241"/>
      <c r="BF235" s="71"/>
      <c r="BG235" s="241"/>
      <c r="BH235" s="241"/>
      <c r="BI235" s="71"/>
      <c r="BJ235" s="114"/>
      <c r="BK235" s="111"/>
      <c r="BL235" s="112"/>
      <c r="BM235" s="111"/>
      <c r="BN235" s="123"/>
      <c r="BO235" s="111"/>
      <c r="BP235" s="83"/>
      <c r="BQ235" s="115">
        <v>728</v>
      </c>
      <c r="BR235" s="113"/>
      <c r="BS235" s="71"/>
      <c r="BT235" s="13">
        <f>P235-V235/10-120/10</f>
        <v>28</v>
      </c>
      <c r="BU235" s="79">
        <f>BT235-Q235</f>
        <v>1</v>
      </c>
      <c r="BV235" s="29">
        <f>T235+(O235/100*(P235-BT235))</f>
        <v>1.292</v>
      </c>
      <c r="BW235" s="86">
        <f>(AE235-BV235)/AE235</f>
        <v>4.6224961479198806E-3</v>
      </c>
      <c r="BX235" s="79">
        <f>(PI()*((51/2)^2-(16.545/2)^2)/(BV235/10))/100</f>
        <v>141.47276055014564</v>
      </c>
      <c r="BY235" s="79">
        <f>BX235-AK235</f>
        <v>0.65395729067861907</v>
      </c>
      <c r="BZ235" s="86">
        <f>BY235/AK235</f>
        <v>4.6439628482970695E-3</v>
      </c>
      <c r="CA235" s="76"/>
    </row>
    <row r="236" spans="1:79" s="72" customFormat="1">
      <c r="A236" s="13" t="s">
        <v>466</v>
      </c>
      <c r="B236" s="387" t="s">
        <v>1071</v>
      </c>
      <c r="C236" s="13" t="s">
        <v>1122</v>
      </c>
      <c r="D236" s="387" t="s">
        <v>1123</v>
      </c>
      <c r="E236" s="13" t="s">
        <v>118</v>
      </c>
      <c r="F236" s="13" t="s">
        <v>167</v>
      </c>
      <c r="G236" s="13" t="s">
        <v>1135</v>
      </c>
      <c r="H236" s="13" t="s">
        <v>121</v>
      </c>
      <c r="I236" s="13" t="s">
        <v>147</v>
      </c>
      <c r="J236" s="13" t="s">
        <v>5</v>
      </c>
      <c r="K236" s="13" t="s">
        <v>123</v>
      </c>
      <c r="L236" s="13" t="s">
        <v>1136</v>
      </c>
      <c r="M236" s="13" t="s">
        <v>125</v>
      </c>
      <c r="N236" s="13" t="s">
        <v>126</v>
      </c>
      <c r="O236" s="247">
        <v>0.66</v>
      </c>
      <c r="P236" s="13">
        <v>99</v>
      </c>
      <c r="Q236" s="13">
        <v>30</v>
      </c>
      <c r="R236" s="13" t="s">
        <v>127</v>
      </c>
      <c r="S236" s="430" t="str">
        <f t="shared" si="96"/>
        <v>N/A</v>
      </c>
      <c r="T236" s="247">
        <v>0.8</v>
      </c>
      <c r="U236" s="13">
        <v>150</v>
      </c>
      <c r="V236" s="13">
        <v>550</v>
      </c>
      <c r="W236" s="430">
        <f t="shared" si="94"/>
        <v>400</v>
      </c>
      <c r="X236" s="430">
        <f t="shared" si="95"/>
        <v>140</v>
      </c>
      <c r="Y236" s="13">
        <v>150</v>
      </c>
      <c r="Z236" s="13">
        <v>600</v>
      </c>
      <c r="AA236" s="430">
        <f t="shared" si="97"/>
        <v>450</v>
      </c>
      <c r="AB236" s="430">
        <f t="shared" si="98"/>
        <v>90</v>
      </c>
      <c r="AC236" s="430" t="str">
        <f t="shared" si="99"/>
        <v>N/A</v>
      </c>
      <c r="AD236" s="430">
        <f t="shared" si="100"/>
        <v>69</v>
      </c>
      <c r="AE236" s="431">
        <f t="shared" si="101"/>
        <v>1.2554000000000001</v>
      </c>
      <c r="AF236" s="431"/>
      <c r="AG236" s="431">
        <f t="shared" si="102"/>
        <v>1.0966999999999998</v>
      </c>
      <c r="AH236" s="431">
        <f t="shared" si="103"/>
        <v>1.1625019999999997</v>
      </c>
      <c r="AI236" s="432">
        <f t="shared" si="104"/>
        <v>890.9694320000001</v>
      </c>
      <c r="AJ236" s="432">
        <f t="shared" si="105"/>
        <v>133.15732678019597</v>
      </c>
      <c r="AK236" s="432">
        <f t="shared" si="106"/>
        <v>145.5972651193151</v>
      </c>
      <c r="AL236" s="432">
        <f t="shared" si="107"/>
        <v>289.42635366883974</v>
      </c>
      <c r="AM236" s="250">
        <v>146</v>
      </c>
      <c r="AN236" s="432">
        <f t="shared" si="108"/>
        <v>144.54</v>
      </c>
      <c r="AO236" s="432">
        <f t="shared" si="109"/>
        <v>168.02803907999996</v>
      </c>
      <c r="AP236" s="432">
        <f t="shared" si="110"/>
        <v>560.09346359999984</v>
      </c>
      <c r="AQ236" s="255">
        <v>45039</v>
      </c>
      <c r="AR236" s="13" t="s">
        <v>879</v>
      </c>
      <c r="AS236" s="436" t="s">
        <v>1137</v>
      </c>
      <c r="AT236" s="429" t="s">
        <v>831</v>
      </c>
      <c r="AU236" s="241"/>
      <c r="AV236" s="243"/>
      <c r="AW236" s="72" t="s">
        <v>127</v>
      </c>
      <c r="AX236" s="243"/>
      <c r="AY236" s="103">
        <f t="shared" si="113"/>
        <v>0.55555555555555558</v>
      </c>
      <c r="BA236" s="13" t="str">
        <f>LEFT(G236,3)</f>
        <v>W22</v>
      </c>
      <c r="BB236" s="72" t="str">
        <f>IF(R236="n/a","Clear","S/B")</f>
        <v>Clear</v>
      </c>
      <c r="BC236" s="32">
        <f>IF(Q236="","",((P236/100*O236)+T236))</f>
        <v>1.4534</v>
      </c>
      <c r="BD236" s="241">
        <f>IF(BC236="","",((PI()*((51/2)^2-(16.545/2)^2)/(BC236/10))/100))</f>
        <v>125.76221730479439</v>
      </c>
      <c r="BE236" s="241"/>
      <c r="BF236" s="71"/>
      <c r="BG236" s="241"/>
      <c r="BH236" s="241"/>
      <c r="BI236" s="71"/>
      <c r="BJ236" s="123"/>
      <c r="BK236" s="123"/>
      <c r="BL236" s="126"/>
      <c r="BM236" s="123"/>
      <c r="BN236" s="123"/>
      <c r="BO236" s="123"/>
      <c r="BP236" s="108"/>
      <c r="BQ236" s="155">
        <v>20992</v>
      </c>
      <c r="BR236" s="124">
        <v>3936</v>
      </c>
      <c r="BS236" s="71" t="e">
        <f>(BO236-BM236)/BM236</f>
        <v>#DIV/0!</v>
      </c>
      <c r="BT236" s="72">
        <f>P236-V236/10-120/10</f>
        <v>32</v>
      </c>
      <c r="BU236" s="78">
        <f>BT236-Q236</f>
        <v>2</v>
      </c>
      <c r="BV236" s="32">
        <f>T236+(O236/100*(P236-BT236))</f>
        <v>1.2422</v>
      </c>
      <c r="BW236" s="127">
        <f>(AE236-BV236)/AE236</f>
        <v>1.0514577027242393E-2</v>
      </c>
      <c r="BX236" s="78">
        <f>(PI()*((51/2)^2-(16.545/2)^2)/(BV236/10))/100</f>
        <v>147.14442652615375</v>
      </c>
      <c r="BY236" s="78">
        <f>BX236-AK236</f>
        <v>1.5471614068386543</v>
      </c>
      <c r="BZ236" s="127">
        <f>BY236/AK236</f>
        <v>1.062630816293682E-2</v>
      </c>
      <c r="CA236" s="76"/>
    </row>
    <row r="237" spans="1:79" s="72" customFormat="1">
      <c r="A237" s="13" t="s">
        <v>466</v>
      </c>
      <c r="B237" s="13" t="s">
        <v>1071</v>
      </c>
      <c r="C237" s="13"/>
      <c r="D237" s="13" t="s">
        <v>1138</v>
      </c>
      <c r="E237" s="13" t="s">
        <v>118</v>
      </c>
      <c r="F237" s="13" t="s">
        <v>119</v>
      </c>
      <c r="G237" s="13" t="s">
        <v>1139</v>
      </c>
      <c r="H237" s="13" t="s">
        <v>121</v>
      </c>
      <c r="I237" s="13" t="s">
        <v>147</v>
      </c>
      <c r="J237" s="13" t="s">
        <v>5</v>
      </c>
      <c r="K237" s="13" t="s">
        <v>123</v>
      </c>
      <c r="L237" s="13" t="s">
        <v>1140</v>
      </c>
      <c r="M237" s="13" t="s">
        <v>125</v>
      </c>
      <c r="N237" s="13" t="s">
        <v>126</v>
      </c>
      <c r="O237" s="247">
        <v>0.23</v>
      </c>
      <c r="P237" s="13">
        <v>121</v>
      </c>
      <c r="Q237" s="13">
        <v>30</v>
      </c>
      <c r="R237" s="13" t="s">
        <v>127</v>
      </c>
      <c r="S237" s="430" t="str">
        <f t="shared" si="96"/>
        <v>N/A</v>
      </c>
      <c r="T237" s="247">
        <v>0.8</v>
      </c>
      <c r="U237" s="13">
        <v>200</v>
      </c>
      <c r="V237" s="13">
        <v>650</v>
      </c>
      <c r="W237" s="430">
        <f t="shared" si="94"/>
        <v>450</v>
      </c>
      <c r="X237" s="430">
        <f t="shared" si="95"/>
        <v>260</v>
      </c>
      <c r="Y237" s="13">
        <v>200</v>
      </c>
      <c r="Z237" s="13">
        <v>650</v>
      </c>
      <c r="AA237" s="430">
        <f t="shared" si="97"/>
        <v>450</v>
      </c>
      <c r="AB237" s="430">
        <f t="shared" si="98"/>
        <v>260</v>
      </c>
      <c r="AC237" s="430" t="str">
        <f t="shared" si="99"/>
        <v>N/A</v>
      </c>
      <c r="AD237" s="430">
        <f t="shared" si="100"/>
        <v>91</v>
      </c>
      <c r="AE237" s="431">
        <f t="shared" si="101"/>
        <v>1.0093000000000001</v>
      </c>
      <c r="AF237" s="431"/>
      <c r="AG237" s="431">
        <f t="shared" si="102"/>
        <v>0.93059628099173575</v>
      </c>
      <c r="AH237" s="431">
        <f t="shared" si="103"/>
        <v>0.98643205785123989</v>
      </c>
      <c r="AI237" s="432">
        <f t="shared" si="104"/>
        <v>862.97419600000001</v>
      </c>
      <c r="AJ237" s="432">
        <f t="shared" si="105"/>
        <v>165.62539189523235</v>
      </c>
      <c r="AK237" s="432">
        <f t="shared" si="106"/>
        <v>181.09858974614897</v>
      </c>
      <c r="AL237" s="432">
        <f t="shared" si="107"/>
        <v>359.99786425825965</v>
      </c>
      <c r="AM237" s="250">
        <v>181</v>
      </c>
      <c r="AN237" s="432">
        <f t="shared" si="108"/>
        <v>219.01</v>
      </c>
      <c r="AO237" s="432">
        <f t="shared" si="109"/>
        <v>216.03848499000003</v>
      </c>
      <c r="AP237" s="432">
        <f t="shared" si="110"/>
        <v>720.12828330000013</v>
      </c>
      <c r="AQ237" s="255">
        <v>45839</v>
      </c>
      <c r="AR237" s="13" t="s">
        <v>1141</v>
      </c>
      <c r="AS237" s="434"/>
      <c r="AT237" s="429"/>
      <c r="AU237" s="252"/>
      <c r="AV237" s="260"/>
      <c r="AW237" s="13"/>
      <c r="AX237" s="260"/>
      <c r="AY237" s="103"/>
      <c r="AZ237" s="22"/>
      <c r="BA237" s="13"/>
      <c r="BC237" s="32"/>
      <c r="BD237" s="241"/>
      <c r="BE237" s="241"/>
      <c r="BF237" s="71"/>
      <c r="BG237" s="241"/>
      <c r="BH237" s="241"/>
      <c r="BI237" s="71"/>
      <c r="BJ237" s="114"/>
      <c r="BK237" s="111"/>
      <c r="BL237" s="112"/>
      <c r="BM237" s="111"/>
      <c r="BN237" s="123"/>
      <c r="BO237" s="111"/>
      <c r="BP237" s="83"/>
      <c r="BQ237" s="151"/>
      <c r="BR237" s="140"/>
      <c r="BS237" s="103"/>
      <c r="BT237" s="13"/>
      <c r="BU237" s="79"/>
      <c r="BV237" s="29"/>
      <c r="BW237" s="86"/>
      <c r="BX237" s="79"/>
      <c r="BY237" s="79"/>
      <c r="BZ237" s="86"/>
      <c r="CA237" s="76"/>
    </row>
    <row r="238" spans="1:79" s="72" customFormat="1">
      <c r="A238" s="13" t="s">
        <v>466</v>
      </c>
      <c r="B238" s="13" t="s">
        <v>1071</v>
      </c>
      <c r="C238" s="13" t="s">
        <v>1122</v>
      </c>
      <c r="D238" s="13" t="s">
        <v>1142</v>
      </c>
      <c r="E238" s="13" t="s">
        <v>118</v>
      </c>
      <c r="F238" s="13" t="s">
        <v>119</v>
      </c>
      <c r="G238" s="13" t="s">
        <v>1143</v>
      </c>
      <c r="H238" s="13" t="s">
        <v>121</v>
      </c>
      <c r="I238" s="13" t="s">
        <v>147</v>
      </c>
      <c r="J238" s="13" t="s">
        <v>5</v>
      </c>
      <c r="K238" s="13" t="s">
        <v>123</v>
      </c>
      <c r="L238" s="13"/>
      <c r="M238" s="13" t="s">
        <v>125</v>
      </c>
      <c r="N238" s="13" t="s">
        <v>126</v>
      </c>
      <c r="O238" s="247">
        <v>0.57999999999999996</v>
      </c>
      <c r="P238" s="438">
        <v>107</v>
      </c>
      <c r="Q238" s="13">
        <v>24</v>
      </c>
      <c r="R238" s="13" t="s">
        <v>127</v>
      </c>
      <c r="S238" s="430" t="str">
        <f t="shared" si="96"/>
        <v>N/A</v>
      </c>
      <c r="T238" s="247">
        <v>0.8</v>
      </c>
      <c r="U238" s="13">
        <v>150</v>
      </c>
      <c r="V238" s="13">
        <v>700</v>
      </c>
      <c r="W238" s="430">
        <f t="shared" si="94"/>
        <v>550</v>
      </c>
      <c r="X238" s="430">
        <f t="shared" si="95"/>
        <v>130</v>
      </c>
      <c r="Y238" s="13">
        <v>150</v>
      </c>
      <c r="Z238" s="13">
        <v>700</v>
      </c>
      <c r="AA238" s="430">
        <f t="shared" si="97"/>
        <v>550</v>
      </c>
      <c r="AB238" s="430">
        <f t="shared" si="98"/>
        <v>130</v>
      </c>
      <c r="AC238" s="430" t="str">
        <f t="shared" si="99"/>
        <v>N/A</v>
      </c>
      <c r="AD238" s="430">
        <f t="shared" si="100"/>
        <v>83</v>
      </c>
      <c r="AE238" s="431">
        <f t="shared" si="101"/>
        <v>1.2814000000000001</v>
      </c>
      <c r="AF238" s="431"/>
      <c r="AG238" s="431">
        <f t="shared" si="102"/>
        <v>1.0946887850467293</v>
      </c>
      <c r="AH238" s="431">
        <f t="shared" si="103"/>
        <v>1.1603701121495331</v>
      </c>
      <c r="AI238" s="432">
        <f t="shared" si="104"/>
        <v>885.76101600000004</v>
      </c>
      <c r="AJ238" s="432">
        <f t="shared" si="105"/>
        <v>130.45552367711724</v>
      </c>
      <c r="AK238" s="432">
        <f t="shared" si="106"/>
        <v>142.6430518423507</v>
      </c>
      <c r="AL238" s="432">
        <f t="shared" si="107"/>
        <v>283.5538039611842</v>
      </c>
      <c r="AM238" s="250">
        <v>143</v>
      </c>
      <c r="AN238" s="432">
        <f t="shared" si="108"/>
        <v>153.01</v>
      </c>
      <c r="AO238" s="432">
        <f t="shared" si="109"/>
        <v>177.54823086000005</v>
      </c>
      <c r="AP238" s="432">
        <f t="shared" si="110"/>
        <v>739.78429525000024</v>
      </c>
      <c r="AQ238" s="255">
        <v>45627</v>
      </c>
      <c r="AR238" s="13" t="s">
        <v>1134</v>
      </c>
      <c r="AS238" s="434"/>
      <c r="AT238" s="429"/>
      <c r="AU238" s="252"/>
      <c r="AV238" s="260"/>
      <c r="AW238" s="13"/>
      <c r="AX238" s="260"/>
      <c r="AY238" s="103">
        <f t="shared" si="113"/>
        <v>0.65420560747663548</v>
      </c>
      <c r="AZ238" s="22"/>
      <c r="BA238" s="13"/>
      <c r="BC238" s="32"/>
      <c r="BD238" s="241"/>
      <c r="BE238" s="241"/>
      <c r="BF238" s="71"/>
      <c r="BG238" s="241"/>
      <c r="BH238" s="241"/>
      <c r="BI238" s="71"/>
      <c r="BJ238" s="114"/>
      <c r="BK238" s="111"/>
      <c r="BL238" s="112"/>
      <c r="BM238" s="111"/>
      <c r="BN238" s="123"/>
      <c r="BO238" s="111"/>
      <c r="BP238" s="83"/>
      <c r="BQ238" s="151">
        <v>25260</v>
      </c>
      <c r="BR238" s="140">
        <v>2736</v>
      </c>
      <c r="BS238" s="103" t="e">
        <f>(BO238-BM238)/BM238</f>
        <v>#DIV/0!</v>
      </c>
      <c r="BT238" s="13">
        <f>P238-V238/10-120/10</f>
        <v>25</v>
      </c>
      <c r="BU238" s="79">
        <f>BT238-Q238</f>
        <v>1</v>
      </c>
      <c r="BV238" s="29">
        <f>T238+(O238/100*(P238-BT238))</f>
        <v>1.2756000000000001</v>
      </c>
      <c r="BW238" s="86">
        <f>(AE238-BV238)/AE238</f>
        <v>4.5262993600749387E-3</v>
      </c>
      <c r="BX238" s="79">
        <f>(PI()*((51/2)^2-(16.545/2)^2)/(BV238/10))/100</f>
        <v>143.29163266759812</v>
      </c>
      <c r="BY238" s="79">
        <f>BX238-AK238</f>
        <v>0.64858082524742144</v>
      </c>
      <c r="BZ238" s="86">
        <f>BY238/AK238</f>
        <v>4.5468798996549367E-3</v>
      </c>
      <c r="CA238" s="76"/>
    </row>
    <row r="239" spans="1:79" s="72" customFormat="1">
      <c r="A239" s="13" t="s">
        <v>466</v>
      </c>
      <c r="B239" s="13" t="s">
        <v>1071</v>
      </c>
      <c r="C239" s="13" t="s">
        <v>1122</v>
      </c>
      <c r="D239" s="13" t="s">
        <v>1142</v>
      </c>
      <c r="E239" s="13" t="s">
        <v>118</v>
      </c>
      <c r="F239" s="13" t="s">
        <v>119</v>
      </c>
      <c r="G239" s="13" t="s">
        <v>1144</v>
      </c>
      <c r="H239" s="13" t="s">
        <v>121</v>
      </c>
      <c r="I239" s="13" t="s">
        <v>147</v>
      </c>
      <c r="J239" s="13" t="s">
        <v>5</v>
      </c>
      <c r="K239" s="13" t="s">
        <v>123</v>
      </c>
      <c r="L239" s="13" t="s">
        <v>1145</v>
      </c>
      <c r="M239" s="13" t="s">
        <v>125</v>
      </c>
      <c r="N239" s="13" t="s">
        <v>126</v>
      </c>
      <c r="O239" s="247">
        <v>0.56000000000000005</v>
      </c>
      <c r="P239" s="438">
        <v>107</v>
      </c>
      <c r="Q239" s="13">
        <v>24</v>
      </c>
      <c r="R239" s="13" t="s">
        <v>127</v>
      </c>
      <c r="S239" s="430" t="str">
        <f t="shared" si="96"/>
        <v>N/A</v>
      </c>
      <c r="T239" s="247">
        <v>0.8</v>
      </c>
      <c r="U239" s="13">
        <v>150</v>
      </c>
      <c r="V239" s="13">
        <v>700</v>
      </c>
      <c r="W239" s="430">
        <f t="shared" si="94"/>
        <v>550</v>
      </c>
      <c r="X239" s="430">
        <f t="shared" si="95"/>
        <v>130</v>
      </c>
      <c r="Y239" s="13">
        <v>150</v>
      </c>
      <c r="Z239" s="13">
        <v>700</v>
      </c>
      <c r="AA239" s="430">
        <f t="shared" si="97"/>
        <v>550</v>
      </c>
      <c r="AB239" s="430">
        <f t="shared" si="98"/>
        <v>130</v>
      </c>
      <c r="AC239" s="430" t="str">
        <f t="shared" si="99"/>
        <v>N/A</v>
      </c>
      <c r="AD239" s="430">
        <f t="shared" si="100"/>
        <v>83</v>
      </c>
      <c r="AE239" s="431">
        <f t="shared" si="101"/>
        <v>1.2648000000000001</v>
      </c>
      <c r="AF239" s="431"/>
      <c r="AG239" s="431">
        <f t="shared" si="102"/>
        <v>1.0845271028037382</v>
      </c>
      <c r="AH239" s="431">
        <f t="shared" si="103"/>
        <v>1.1495987289719625</v>
      </c>
      <c r="AI239" s="432">
        <f t="shared" si="104"/>
        <v>884.45891200000005</v>
      </c>
      <c r="AJ239" s="432">
        <f t="shared" si="105"/>
        <v>132.16770085377769</v>
      </c>
      <c r="AK239" s="432">
        <f t="shared" si="106"/>
        <v>144.51518550821328</v>
      </c>
      <c r="AL239" s="432">
        <f t="shared" si="107"/>
        <v>287.27533554384996</v>
      </c>
      <c r="AM239" s="250">
        <v>145</v>
      </c>
      <c r="AN239" s="432">
        <f t="shared" si="108"/>
        <v>155.15</v>
      </c>
      <c r="AO239" s="432">
        <f t="shared" si="109"/>
        <v>178.36024279999998</v>
      </c>
      <c r="AP239" s="432">
        <f t="shared" si="110"/>
        <v>743.16767833333324</v>
      </c>
      <c r="AQ239" s="255" t="s">
        <v>132</v>
      </c>
      <c r="AR239" s="13" t="s">
        <v>1146</v>
      </c>
      <c r="AS239" s="434"/>
      <c r="AT239" s="429"/>
      <c r="AU239" s="252"/>
      <c r="AV239" s="260"/>
      <c r="AW239" s="13"/>
      <c r="AX239" s="260"/>
      <c r="AY239" s="103"/>
      <c r="AZ239" s="22"/>
      <c r="BA239" s="13"/>
      <c r="BC239" s="32"/>
      <c r="BD239" s="241"/>
      <c r="BE239" s="241"/>
      <c r="BF239" s="71"/>
      <c r="BG239" s="241"/>
      <c r="BH239" s="241"/>
      <c r="BI239" s="71"/>
      <c r="BJ239" s="114"/>
      <c r="BK239" s="111"/>
      <c r="BL239" s="112"/>
      <c r="BM239" s="111"/>
      <c r="BN239" s="123"/>
      <c r="BO239" s="111"/>
      <c r="BP239" s="83"/>
      <c r="BQ239" s="151"/>
      <c r="BR239" s="140"/>
      <c r="BS239" s="103"/>
      <c r="BT239" s="13"/>
      <c r="BU239" s="79"/>
      <c r="BV239" s="29"/>
      <c r="BW239" s="86"/>
      <c r="BX239" s="79"/>
      <c r="BY239" s="79"/>
      <c r="BZ239" s="86"/>
      <c r="CA239" s="76"/>
    </row>
    <row r="240" spans="1:79" s="72" customFormat="1">
      <c r="A240" s="13" t="s">
        <v>466</v>
      </c>
      <c r="B240" s="13" t="s">
        <v>1071</v>
      </c>
      <c r="C240" s="13" t="s">
        <v>1147</v>
      </c>
      <c r="D240" s="387" t="s">
        <v>1148</v>
      </c>
      <c r="E240" s="13" t="s">
        <v>118</v>
      </c>
      <c r="F240" s="13" t="s">
        <v>119</v>
      </c>
      <c r="G240" s="13" t="s">
        <v>1149</v>
      </c>
      <c r="H240" s="13" t="s">
        <v>121</v>
      </c>
      <c r="I240" s="13" t="s">
        <v>147</v>
      </c>
      <c r="J240" s="13" t="s">
        <v>5</v>
      </c>
      <c r="K240" s="13" t="s">
        <v>123</v>
      </c>
      <c r="L240" s="13"/>
      <c r="M240" s="13" t="s">
        <v>125</v>
      </c>
      <c r="N240" s="13" t="s">
        <v>126</v>
      </c>
      <c r="O240" s="247">
        <v>0.3</v>
      </c>
      <c r="P240" s="438">
        <v>108</v>
      </c>
      <c r="Q240" s="13">
        <v>25</v>
      </c>
      <c r="R240" s="13" t="s">
        <v>127</v>
      </c>
      <c r="S240" s="430" t="str">
        <f t="shared" si="96"/>
        <v>N/A</v>
      </c>
      <c r="T240" s="247">
        <v>0.8</v>
      </c>
      <c r="U240" s="13">
        <v>200</v>
      </c>
      <c r="V240" s="13">
        <v>700</v>
      </c>
      <c r="W240" s="430">
        <f t="shared" si="94"/>
        <v>500</v>
      </c>
      <c r="X240" s="430">
        <f t="shared" si="95"/>
        <v>130</v>
      </c>
      <c r="Y240" s="13">
        <v>200</v>
      </c>
      <c r="Z240" s="13">
        <v>700</v>
      </c>
      <c r="AA240" s="430">
        <f t="shared" si="97"/>
        <v>500</v>
      </c>
      <c r="AB240" s="430">
        <f t="shared" si="98"/>
        <v>130</v>
      </c>
      <c r="AC240" s="430" t="str">
        <f t="shared" si="99"/>
        <v>N/A</v>
      </c>
      <c r="AD240" s="430">
        <f t="shared" si="100"/>
        <v>83</v>
      </c>
      <c r="AE240" s="431">
        <f t="shared" si="101"/>
        <v>1.0489999999999999</v>
      </c>
      <c r="AF240" s="431"/>
      <c r="AG240" s="431">
        <f t="shared" si="102"/>
        <v>0.95331944444444427</v>
      </c>
      <c r="AH240" s="431">
        <f t="shared" si="103"/>
        <v>1.0105186111111109</v>
      </c>
      <c r="AI240" s="432">
        <f t="shared" si="104"/>
        <v>867.53156000000013</v>
      </c>
      <c r="AJ240" s="432">
        <f t="shared" si="105"/>
        <v>159.35720499509824</v>
      </c>
      <c r="AK240" s="432">
        <f t="shared" si="106"/>
        <v>174.24481089684289</v>
      </c>
      <c r="AL240" s="432">
        <f t="shared" si="107"/>
        <v>346.37354089214637</v>
      </c>
      <c r="AM240" s="250">
        <v>174</v>
      </c>
      <c r="AN240" s="432">
        <f t="shared" si="108"/>
        <v>187.92</v>
      </c>
      <c r="AO240" s="432">
        <f t="shared" si="109"/>
        <v>189.89665739999995</v>
      </c>
      <c r="AP240" s="432">
        <f t="shared" si="110"/>
        <v>759.58662959999981</v>
      </c>
      <c r="AQ240" s="255" t="s">
        <v>132</v>
      </c>
      <c r="AR240" s="13" t="s">
        <v>487</v>
      </c>
      <c r="AS240" s="436"/>
      <c r="AT240" s="429"/>
      <c r="AU240" s="252"/>
      <c r="AV240" s="260"/>
      <c r="AW240" s="13"/>
      <c r="AX240" s="260"/>
      <c r="AY240" s="103"/>
      <c r="AZ240" s="22"/>
      <c r="BA240" s="13"/>
      <c r="BC240" s="32"/>
      <c r="BD240" s="241"/>
      <c r="BE240" s="241"/>
      <c r="BF240" s="71"/>
      <c r="BG240" s="241"/>
      <c r="BH240" s="241"/>
      <c r="BI240" s="71"/>
      <c r="BJ240" s="114"/>
      <c r="BK240" s="111"/>
      <c r="BL240" s="112"/>
      <c r="BM240" s="111"/>
      <c r="BN240" s="123"/>
      <c r="BO240" s="111"/>
      <c r="BP240" s="83"/>
      <c r="BQ240" s="124"/>
      <c r="BR240" s="124"/>
      <c r="BS240" s="71"/>
      <c r="BU240" s="78"/>
      <c r="BV240" s="32"/>
      <c r="BW240" s="127"/>
      <c r="BX240" s="78"/>
      <c r="BY240" s="78"/>
      <c r="BZ240" s="127"/>
      <c r="CA240" s="76"/>
    </row>
    <row r="241" spans="1:79" s="72" customFormat="1">
      <c r="A241" s="13" t="s">
        <v>466</v>
      </c>
      <c r="B241" s="13" t="s">
        <v>1071</v>
      </c>
      <c r="C241" s="13" t="s">
        <v>1150</v>
      </c>
      <c r="D241" s="13" t="s">
        <v>1151</v>
      </c>
      <c r="E241" s="13" t="s">
        <v>118</v>
      </c>
      <c r="F241" s="13" t="s">
        <v>119</v>
      </c>
      <c r="G241" s="13" t="s">
        <v>1152</v>
      </c>
      <c r="H241" s="13" t="s">
        <v>121</v>
      </c>
      <c r="I241" s="13" t="s">
        <v>147</v>
      </c>
      <c r="J241" s="13" t="s">
        <v>5</v>
      </c>
      <c r="K241" s="13" t="s">
        <v>123</v>
      </c>
      <c r="L241" s="13" t="s">
        <v>228</v>
      </c>
      <c r="M241" s="13" t="s">
        <v>125</v>
      </c>
      <c r="N241" s="13" t="s">
        <v>126</v>
      </c>
      <c r="O241" s="247">
        <v>0.32</v>
      </c>
      <c r="P241" s="13">
        <v>123</v>
      </c>
      <c r="Q241" s="13">
        <v>10</v>
      </c>
      <c r="R241" s="13" t="s">
        <v>127</v>
      </c>
      <c r="S241" s="430" t="str">
        <f t="shared" si="96"/>
        <v>N/A</v>
      </c>
      <c r="T241" s="247">
        <v>0.8</v>
      </c>
      <c r="U241" s="13">
        <v>300</v>
      </c>
      <c r="V241" s="13">
        <v>800</v>
      </c>
      <c r="W241" s="430">
        <f t="shared" si="94"/>
        <v>500</v>
      </c>
      <c r="X241" s="430">
        <f t="shared" si="95"/>
        <v>330</v>
      </c>
      <c r="Y241" s="13">
        <v>300</v>
      </c>
      <c r="Z241" s="13">
        <v>800</v>
      </c>
      <c r="AA241" s="430">
        <f t="shared" si="97"/>
        <v>500</v>
      </c>
      <c r="AB241" s="430">
        <f t="shared" si="98"/>
        <v>330</v>
      </c>
      <c r="AC241" s="430" t="str">
        <f t="shared" si="99"/>
        <v>N/A</v>
      </c>
      <c r="AD241" s="430">
        <f t="shared" si="100"/>
        <v>113</v>
      </c>
      <c r="AE241" s="431">
        <f t="shared" si="101"/>
        <v>1.1616</v>
      </c>
      <c r="AF241" s="431"/>
      <c r="AG241" s="431">
        <f t="shared" si="102"/>
        <v>0.9954991869918699</v>
      </c>
      <c r="AH241" s="431">
        <f t="shared" si="103"/>
        <v>1.0552291382113821</v>
      </c>
      <c r="AI241" s="432">
        <f t="shared" si="104"/>
        <v>868.833664</v>
      </c>
      <c r="AJ241" s="432">
        <f t="shared" si="105"/>
        <v>143.90987262384473</v>
      </c>
      <c r="AK241" s="432">
        <f t="shared" si="106"/>
        <v>157.35434455129837</v>
      </c>
      <c r="AL241" s="432">
        <f t="shared" si="107"/>
        <v>312.79773105704328</v>
      </c>
      <c r="AM241" s="250">
        <v>157</v>
      </c>
      <c r="AN241" s="432">
        <f t="shared" si="108"/>
        <v>193.11</v>
      </c>
      <c r="AO241" s="432">
        <f t="shared" si="109"/>
        <v>203.77529888000001</v>
      </c>
      <c r="AP241" s="432">
        <f t="shared" si="110"/>
        <v>2037.7529887999999</v>
      </c>
      <c r="AQ241" s="255">
        <v>45870</v>
      </c>
      <c r="AR241" s="13" t="s">
        <v>483</v>
      </c>
      <c r="AS241" s="434" t="s">
        <v>1153</v>
      </c>
      <c r="AT241" s="429"/>
      <c r="AU241" s="252"/>
      <c r="AV241" s="260"/>
      <c r="AW241" s="13"/>
      <c r="AX241" s="260"/>
      <c r="AY241" s="103"/>
      <c r="AZ241" s="22"/>
      <c r="BA241" s="13"/>
      <c r="BC241" s="32"/>
      <c r="BD241" s="241"/>
      <c r="BE241" s="241"/>
      <c r="BF241" s="71"/>
      <c r="BG241" s="241"/>
      <c r="BH241" s="241"/>
      <c r="BI241" s="71"/>
      <c r="BJ241" s="114"/>
      <c r="BK241" s="111"/>
      <c r="BL241" s="112"/>
      <c r="BM241" s="111"/>
      <c r="BN241" s="123"/>
      <c r="BO241" s="111"/>
      <c r="BP241" s="83"/>
      <c r="BQ241" s="151"/>
      <c r="BR241" s="140"/>
      <c r="BS241" s="103"/>
      <c r="BT241" s="13"/>
      <c r="BU241" s="79"/>
      <c r="BV241" s="29"/>
      <c r="BW241" s="86"/>
      <c r="BX241" s="79"/>
      <c r="BY241" s="79"/>
      <c r="BZ241" s="86"/>
      <c r="CA241" s="76"/>
    </row>
    <row r="242" spans="1:79" s="72" customFormat="1">
      <c r="A242" s="13" t="s">
        <v>466</v>
      </c>
      <c r="B242" s="13" t="s">
        <v>1071</v>
      </c>
      <c r="C242" s="13" t="s">
        <v>1150</v>
      </c>
      <c r="D242" s="387" t="s">
        <v>1151</v>
      </c>
      <c r="E242" s="13" t="s">
        <v>118</v>
      </c>
      <c r="F242" s="13" t="s">
        <v>119</v>
      </c>
      <c r="G242" s="13" t="s">
        <v>1154</v>
      </c>
      <c r="H242" s="13" t="s">
        <v>121</v>
      </c>
      <c r="I242" s="13" t="s">
        <v>147</v>
      </c>
      <c r="J242" s="13" t="s">
        <v>5</v>
      </c>
      <c r="K242" s="13" t="s">
        <v>123</v>
      </c>
      <c r="L242" s="13" t="s">
        <v>1155</v>
      </c>
      <c r="M242" s="13" t="s">
        <v>125</v>
      </c>
      <c r="N242" s="13" t="s">
        <v>126</v>
      </c>
      <c r="O242" s="247">
        <v>0.35</v>
      </c>
      <c r="P242" s="13">
        <v>123</v>
      </c>
      <c r="Q242" s="13">
        <v>30</v>
      </c>
      <c r="R242" s="13" t="s">
        <v>127</v>
      </c>
      <c r="S242" s="430" t="str">
        <f t="shared" si="96"/>
        <v>N/A</v>
      </c>
      <c r="T242" s="247">
        <v>0.8</v>
      </c>
      <c r="U242" s="13">
        <v>300</v>
      </c>
      <c r="V242" s="13">
        <v>750</v>
      </c>
      <c r="W242" s="430">
        <f t="shared" si="94"/>
        <v>450</v>
      </c>
      <c r="X242" s="430">
        <f t="shared" si="95"/>
        <v>180</v>
      </c>
      <c r="Y242" s="13">
        <v>300</v>
      </c>
      <c r="Z242" s="13">
        <v>750</v>
      </c>
      <c r="AA242" s="430">
        <f t="shared" si="97"/>
        <v>450</v>
      </c>
      <c r="AB242" s="430">
        <f t="shared" si="98"/>
        <v>180</v>
      </c>
      <c r="AC242" s="430" t="str">
        <f t="shared" si="99"/>
        <v>N/A</v>
      </c>
      <c r="AD242" s="430">
        <f t="shared" si="100"/>
        <v>93</v>
      </c>
      <c r="AE242" s="431">
        <f t="shared" si="101"/>
        <v>1.1254999999999999</v>
      </c>
      <c r="AF242" s="431"/>
      <c r="AG242" s="431">
        <f t="shared" si="102"/>
        <v>1.0024451219512194</v>
      </c>
      <c r="AH242" s="431">
        <f t="shared" si="103"/>
        <v>1.0625918292682925</v>
      </c>
      <c r="AI242" s="432">
        <f t="shared" si="104"/>
        <v>870.78682000000003</v>
      </c>
      <c r="AJ242" s="432">
        <f t="shared" si="105"/>
        <v>148.52572904474283</v>
      </c>
      <c r="AK242" s="432">
        <f t="shared" si="106"/>
        <v>162.40142748181978</v>
      </c>
      <c r="AL242" s="432">
        <f t="shared" si="107"/>
        <v>322.83060363914836</v>
      </c>
      <c r="AM242" s="250">
        <v>162</v>
      </c>
      <c r="AN242" s="432">
        <f t="shared" si="108"/>
        <v>199.26</v>
      </c>
      <c r="AO242" s="432">
        <f t="shared" si="109"/>
        <v>211.73204789999997</v>
      </c>
      <c r="AP242" s="432">
        <f t="shared" si="110"/>
        <v>705.77349299999992</v>
      </c>
      <c r="AQ242" s="255">
        <v>45717</v>
      </c>
      <c r="AR242" s="13" t="s">
        <v>1156</v>
      </c>
      <c r="AS242" s="434" t="s">
        <v>1157</v>
      </c>
      <c r="AT242" s="429"/>
      <c r="AU242" s="252"/>
      <c r="AV242" s="260"/>
      <c r="AW242" s="13"/>
      <c r="AX242" s="260"/>
      <c r="AY242" s="103">
        <f t="shared" ref="AY242:AY250" si="116">(V242/10)/P242</f>
        <v>0.6097560975609756</v>
      </c>
      <c r="AZ242" s="22"/>
      <c r="BA242" s="13" t="str">
        <f t="shared" ref="BA242:BA248" si="117">LEFT(G242,3)</f>
        <v>W22</v>
      </c>
      <c r="BC242" s="32"/>
      <c r="BD242" s="241"/>
      <c r="BE242" s="241"/>
      <c r="BF242" s="71"/>
      <c r="BG242" s="241"/>
      <c r="BH242" s="241"/>
      <c r="BI242" s="71"/>
      <c r="BJ242" s="114"/>
      <c r="BK242" s="111"/>
      <c r="BL242" s="112"/>
      <c r="BM242" s="111"/>
      <c r="BN242" s="123"/>
      <c r="BO242" s="111"/>
      <c r="BP242" s="83"/>
      <c r="BQ242" s="159"/>
      <c r="BR242" s="159"/>
      <c r="BS242" s="100"/>
      <c r="BT242" s="77"/>
      <c r="BU242" s="282"/>
      <c r="BV242" s="264"/>
      <c r="BW242" s="169"/>
      <c r="BX242" s="282"/>
      <c r="BY242" s="282"/>
      <c r="BZ242" s="169"/>
      <c r="CA242" s="271"/>
    </row>
    <row r="243" spans="1:79" s="72" customFormat="1">
      <c r="A243" s="13" t="s">
        <v>466</v>
      </c>
      <c r="B243" s="13" t="s">
        <v>1071</v>
      </c>
      <c r="C243" s="13" t="s">
        <v>1150</v>
      </c>
      <c r="D243" s="387" t="s">
        <v>1151</v>
      </c>
      <c r="E243" s="13" t="s">
        <v>118</v>
      </c>
      <c r="F243" s="13" t="s">
        <v>119</v>
      </c>
      <c r="G243" s="13" t="s">
        <v>1158</v>
      </c>
      <c r="H243" s="13" t="s">
        <v>121</v>
      </c>
      <c r="I243" s="13" t="s">
        <v>147</v>
      </c>
      <c r="J243" s="13" t="s">
        <v>5</v>
      </c>
      <c r="K243" s="13" t="s">
        <v>123</v>
      </c>
      <c r="L243" s="13" t="s">
        <v>1159</v>
      </c>
      <c r="M243" s="13" t="s">
        <v>125</v>
      </c>
      <c r="N243" s="13" t="s">
        <v>126</v>
      </c>
      <c r="O243" s="247">
        <v>0.35</v>
      </c>
      <c r="P243" s="13">
        <v>123</v>
      </c>
      <c r="Q243" s="13">
        <v>10</v>
      </c>
      <c r="R243" s="13" t="s">
        <v>127</v>
      </c>
      <c r="S243" s="430" t="str">
        <f t="shared" si="96"/>
        <v>N/A</v>
      </c>
      <c r="T243" s="247">
        <v>0.8</v>
      </c>
      <c r="U243" s="13">
        <v>300</v>
      </c>
      <c r="V243" s="13">
        <v>800</v>
      </c>
      <c r="W243" s="430">
        <f t="shared" si="94"/>
        <v>500</v>
      </c>
      <c r="X243" s="430">
        <f t="shared" si="95"/>
        <v>330</v>
      </c>
      <c r="Y243" s="13">
        <v>300</v>
      </c>
      <c r="Z243" s="13">
        <v>800</v>
      </c>
      <c r="AA243" s="430">
        <f t="shared" si="97"/>
        <v>500</v>
      </c>
      <c r="AB243" s="430">
        <f t="shared" si="98"/>
        <v>330</v>
      </c>
      <c r="AC243" s="430" t="str">
        <f t="shared" si="99"/>
        <v>N/A</v>
      </c>
      <c r="AD243" s="430">
        <f t="shared" si="100"/>
        <v>113</v>
      </c>
      <c r="AE243" s="431">
        <f t="shared" si="101"/>
        <v>1.1955</v>
      </c>
      <c r="AF243" s="431"/>
      <c r="AG243" s="431">
        <f t="shared" si="102"/>
        <v>1.0138272357723577</v>
      </c>
      <c r="AH243" s="431">
        <f t="shared" si="103"/>
        <v>1.0746568699186991</v>
      </c>
      <c r="AI243" s="432">
        <f t="shared" si="104"/>
        <v>870.78682000000003</v>
      </c>
      <c r="AJ243" s="432">
        <f t="shared" si="105"/>
        <v>139.82911588444836</v>
      </c>
      <c r="AK243" s="432">
        <f t="shared" si="106"/>
        <v>152.89235184507584</v>
      </c>
      <c r="AL243" s="432">
        <f t="shared" si="107"/>
        <v>303.92793341351859</v>
      </c>
      <c r="AM243" s="250">
        <v>120</v>
      </c>
      <c r="AN243" s="432">
        <f t="shared" si="108"/>
        <v>147.6</v>
      </c>
      <c r="AO243" s="432">
        <f t="shared" si="109"/>
        <v>158.61935399999999</v>
      </c>
      <c r="AP243" s="432">
        <f t="shared" si="110"/>
        <v>1586.1935399999998</v>
      </c>
      <c r="AQ243" s="255" t="s">
        <v>132</v>
      </c>
      <c r="AR243" s="13" t="s">
        <v>1160</v>
      </c>
      <c r="AS243" s="436" t="s">
        <v>1161</v>
      </c>
      <c r="AT243" s="429"/>
      <c r="AU243" s="252"/>
      <c r="AV243" s="260"/>
      <c r="AW243" s="13"/>
      <c r="AX243" s="260"/>
      <c r="AY243" s="103">
        <f t="shared" si="116"/>
        <v>0.65040650406504064</v>
      </c>
      <c r="AZ243" s="22"/>
      <c r="BA243" s="13" t="str">
        <f t="shared" si="117"/>
        <v>W22</v>
      </c>
      <c r="BC243" s="32"/>
      <c r="BD243" s="241"/>
      <c r="BE243" s="241"/>
      <c r="BF243" s="71"/>
      <c r="BG243" s="241"/>
      <c r="BH243" s="241"/>
      <c r="BI243" s="71"/>
      <c r="BJ243" s="114"/>
      <c r="BK243" s="111"/>
      <c r="BL243" s="112"/>
      <c r="BM243" s="111"/>
      <c r="BN243" s="123"/>
      <c r="BO243" s="111"/>
      <c r="BP243" s="83"/>
      <c r="BQ243" s="124"/>
      <c r="BR243" s="124"/>
      <c r="BS243" s="71"/>
      <c r="BU243" s="78"/>
      <c r="BV243" s="32"/>
      <c r="BW243" s="127"/>
      <c r="BX243" s="78"/>
      <c r="BY243" s="78"/>
      <c r="BZ243" s="127"/>
      <c r="CA243" s="76"/>
    </row>
    <row r="244" spans="1:79" s="72" customFormat="1">
      <c r="A244" s="13" t="s">
        <v>466</v>
      </c>
      <c r="B244" s="13" t="s">
        <v>1071</v>
      </c>
      <c r="C244" s="13" t="s">
        <v>1150</v>
      </c>
      <c r="D244" s="387" t="s">
        <v>1162</v>
      </c>
      <c r="E244" s="13" t="s">
        <v>118</v>
      </c>
      <c r="F244" s="13" t="s">
        <v>119</v>
      </c>
      <c r="G244" s="13" t="s">
        <v>1163</v>
      </c>
      <c r="H244" s="13" t="s">
        <v>121</v>
      </c>
      <c r="I244" s="13" t="s">
        <v>147</v>
      </c>
      <c r="J244" s="13" t="s">
        <v>5</v>
      </c>
      <c r="K244" s="13" t="s">
        <v>123</v>
      </c>
      <c r="L244" s="13" t="s">
        <v>1164</v>
      </c>
      <c r="M244" s="13" t="s">
        <v>125</v>
      </c>
      <c r="N244" s="13" t="s">
        <v>126</v>
      </c>
      <c r="O244" s="247">
        <v>0.46</v>
      </c>
      <c r="P244" s="438">
        <v>108</v>
      </c>
      <c r="Q244" s="13">
        <v>30</v>
      </c>
      <c r="R244" s="13" t="s">
        <v>127</v>
      </c>
      <c r="S244" s="430" t="str">
        <f t="shared" si="96"/>
        <v>N/A</v>
      </c>
      <c r="T244" s="247">
        <v>0.8</v>
      </c>
      <c r="U244" s="13">
        <v>200</v>
      </c>
      <c r="V244" s="13">
        <v>600</v>
      </c>
      <c r="W244" s="430">
        <f t="shared" si="94"/>
        <v>400</v>
      </c>
      <c r="X244" s="430">
        <f t="shared" si="95"/>
        <v>180</v>
      </c>
      <c r="Y244" s="13">
        <v>200</v>
      </c>
      <c r="Z244" s="13">
        <v>600</v>
      </c>
      <c r="AA244" s="430">
        <f t="shared" si="97"/>
        <v>400</v>
      </c>
      <c r="AB244" s="430">
        <f t="shared" si="98"/>
        <v>180</v>
      </c>
      <c r="AC244" s="430" t="str">
        <f t="shared" si="99"/>
        <v>N/A</v>
      </c>
      <c r="AD244" s="430">
        <f t="shared" si="100"/>
        <v>78</v>
      </c>
      <c r="AE244" s="431">
        <f t="shared" si="101"/>
        <v>1.1588000000000001</v>
      </c>
      <c r="AF244" s="431"/>
      <c r="AG244" s="431">
        <f t="shared" si="102"/>
        <v>1.0292333333333334</v>
      </c>
      <c r="AH244" s="431">
        <f t="shared" si="103"/>
        <v>1.0909873333333335</v>
      </c>
      <c r="AI244" s="432">
        <f t="shared" si="104"/>
        <v>877.94839200000001</v>
      </c>
      <c r="AJ244" s="432">
        <f t="shared" si="105"/>
        <v>144.25760100091301</v>
      </c>
      <c r="AK244" s="432">
        <f t="shared" si="106"/>
        <v>157.73455870796354</v>
      </c>
      <c r="AL244" s="432">
        <f t="shared" si="107"/>
        <v>313.55354193636646</v>
      </c>
      <c r="AM244" s="250">
        <v>158</v>
      </c>
      <c r="AN244" s="432">
        <f t="shared" si="108"/>
        <v>170.64</v>
      </c>
      <c r="AO244" s="432">
        <f t="shared" si="109"/>
        <v>186.16607856000002</v>
      </c>
      <c r="AP244" s="432">
        <f t="shared" si="110"/>
        <v>620.55359520000013</v>
      </c>
      <c r="AQ244" s="255">
        <v>45740</v>
      </c>
      <c r="AR244" s="13" t="s">
        <v>1165</v>
      </c>
      <c r="AS244" s="434" t="s">
        <v>1166</v>
      </c>
      <c r="AT244" s="429"/>
      <c r="AU244" s="252"/>
      <c r="AV244" s="260"/>
      <c r="AW244" s="13"/>
      <c r="AX244" s="260"/>
      <c r="AY244" s="103">
        <f t="shared" si="116"/>
        <v>0.55555555555555558</v>
      </c>
      <c r="AZ244" s="22"/>
      <c r="BA244" s="13" t="str">
        <f t="shared" si="117"/>
        <v>W22</v>
      </c>
      <c r="BC244" s="32"/>
      <c r="BD244" s="241"/>
      <c r="BE244" s="241"/>
      <c r="BF244" s="71"/>
      <c r="BG244" s="241"/>
      <c r="BH244" s="241"/>
      <c r="BI244" s="71"/>
      <c r="BJ244" s="114"/>
      <c r="BK244" s="111"/>
      <c r="BL244" s="112"/>
      <c r="BM244" s="111"/>
      <c r="BN244" s="123"/>
      <c r="BO244" s="111"/>
      <c r="BP244" s="83"/>
      <c r="BQ244" s="124"/>
      <c r="BR244" s="124"/>
      <c r="BS244" s="71"/>
      <c r="BU244" s="78"/>
      <c r="BV244" s="32"/>
      <c r="BW244" s="127"/>
      <c r="BX244" s="78"/>
      <c r="BY244" s="78"/>
      <c r="BZ244" s="127"/>
      <c r="CA244" s="76"/>
    </row>
    <row r="245" spans="1:79" s="72" customFormat="1" ht="15.75" customHeight="1">
      <c r="A245" s="13" t="s">
        <v>466</v>
      </c>
      <c r="B245" s="387" t="s">
        <v>1167</v>
      </c>
      <c r="C245" s="13" t="s">
        <v>151</v>
      </c>
      <c r="D245" s="387" t="s">
        <v>1168</v>
      </c>
      <c r="E245" s="13" t="s">
        <v>118</v>
      </c>
      <c r="F245" s="13" t="s">
        <v>167</v>
      </c>
      <c r="G245" s="13" t="s">
        <v>1169</v>
      </c>
      <c r="H245" s="13" t="s">
        <v>121</v>
      </c>
      <c r="I245" s="13" t="s">
        <v>147</v>
      </c>
      <c r="J245" s="13" t="s">
        <v>5</v>
      </c>
      <c r="K245" s="13" t="s">
        <v>123</v>
      </c>
      <c r="L245" s="13" t="s">
        <v>1170</v>
      </c>
      <c r="M245" s="13" t="s">
        <v>125</v>
      </c>
      <c r="N245" s="13" t="s">
        <v>126</v>
      </c>
      <c r="O245" s="247">
        <v>0.46</v>
      </c>
      <c r="P245" s="13">
        <v>100</v>
      </c>
      <c r="Q245" s="13">
        <v>30</v>
      </c>
      <c r="R245" s="13" t="s">
        <v>127</v>
      </c>
      <c r="S245" s="430" t="str">
        <f t="shared" si="96"/>
        <v>N/A</v>
      </c>
      <c r="T245" s="247">
        <v>0.8</v>
      </c>
      <c r="U245" s="13">
        <v>180</v>
      </c>
      <c r="V245" s="13">
        <v>580</v>
      </c>
      <c r="W245" s="430">
        <f t="shared" si="94"/>
        <v>400</v>
      </c>
      <c r="X245" s="430">
        <f t="shared" si="95"/>
        <v>120</v>
      </c>
      <c r="Y245" s="13">
        <v>150</v>
      </c>
      <c r="Z245" s="13">
        <v>600</v>
      </c>
      <c r="AA245" s="430">
        <f t="shared" si="97"/>
        <v>450</v>
      </c>
      <c r="AB245" s="430">
        <f t="shared" si="98"/>
        <v>100</v>
      </c>
      <c r="AC245" s="430" t="str">
        <f t="shared" si="99"/>
        <v>N/A</v>
      </c>
      <c r="AD245" s="430">
        <f t="shared" si="100"/>
        <v>70</v>
      </c>
      <c r="AE245" s="431">
        <f t="shared" si="101"/>
        <v>1.1220000000000001</v>
      </c>
      <c r="AF245" s="431"/>
      <c r="AG245" s="431">
        <f t="shared" si="102"/>
        <v>1.0093000000000001</v>
      </c>
      <c r="AH245" s="431">
        <f t="shared" si="103"/>
        <v>1.0698580000000002</v>
      </c>
      <c r="AI245" s="432">
        <f t="shared" si="104"/>
        <v>877.94839200000001</v>
      </c>
      <c r="AJ245" s="432">
        <f t="shared" si="105"/>
        <v>148.98904459880393</v>
      </c>
      <c r="AK245" s="432">
        <f t="shared" si="106"/>
        <v>162.9080273001677</v>
      </c>
      <c r="AL245" s="432">
        <f t="shared" si="107"/>
        <v>323.83765097670357</v>
      </c>
      <c r="AM245" s="250">
        <v>120</v>
      </c>
      <c r="AN245" s="432">
        <f t="shared" si="108"/>
        <v>120</v>
      </c>
      <c r="AO245" s="432">
        <f t="shared" si="109"/>
        <v>128.38296000000003</v>
      </c>
      <c r="AP245" s="432">
        <f t="shared" si="110"/>
        <v>427.9432000000001</v>
      </c>
      <c r="AQ245" s="255">
        <v>44927</v>
      </c>
      <c r="AR245" s="13" t="s">
        <v>545</v>
      </c>
      <c r="AS245" s="436" t="s">
        <v>1171</v>
      </c>
      <c r="AT245" s="429"/>
      <c r="AU245" s="241"/>
      <c r="AV245" s="243"/>
      <c r="AW245" s="72" t="s">
        <v>127</v>
      </c>
      <c r="AX245" s="243"/>
      <c r="AY245" s="103">
        <f t="shared" si="116"/>
        <v>0.57999999999999996</v>
      </c>
      <c r="BA245" s="13" t="str">
        <f t="shared" si="117"/>
        <v>W22</v>
      </c>
      <c r="BB245" s="72" t="str">
        <f>IF(R245="n/a","Clear","S/B")</f>
        <v>Clear</v>
      </c>
      <c r="BC245" s="32"/>
      <c r="BD245" s="241"/>
      <c r="BE245" s="241"/>
      <c r="BF245" s="71"/>
      <c r="BG245" s="241"/>
      <c r="BH245" s="241"/>
      <c r="BI245" s="71"/>
      <c r="BJ245" s="162"/>
      <c r="BK245" s="123"/>
      <c r="BL245" s="126"/>
      <c r="BM245" s="123"/>
      <c r="BN245" s="123"/>
      <c r="BO245" s="130"/>
      <c r="BP245" s="130"/>
      <c r="BQ245" s="124"/>
      <c r="BR245" s="124"/>
      <c r="BS245" s="71"/>
      <c r="BU245" s="78"/>
      <c r="BV245" s="32"/>
      <c r="BW245" s="127"/>
      <c r="BX245" s="78"/>
      <c r="BY245" s="78"/>
      <c r="BZ245" s="127"/>
      <c r="CA245" s="76"/>
    </row>
    <row r="246" spans="1:79" s="72" customFormat="1">
      <c r="A246" s="13" t="s">
        <v>466</v>
      </c>
      <c r="B246" s="13" t="s">
        <v>1167</v>
      </c>
      <c r="C246" s="13" t="s">
        <v>1004</v>
      </c>
      <c r="D246" s="387" t="s">
        <v>1172</v>
      </c>
      <c r="E246" s="13" t="s">
        <v>118</v>
      </c>
      <c r="F246" s="13" t="s">
        <v>119</v>
      </c>
      <c r="G246" s="13" t="s">
        <v>1173</v>
      </c>
      <c r="H246" s="13" t="s">
        <v>121</v>
      </c>
      <c r="I246" s="13" t="s">
        <v>147</v>
      </c>
      <c r="J246" s="13" t="s">
        <v>5</v>
      </c>
      <c r="K246" s="13" t="s">
        <v>123</v>
      </c>
      <c r="L246" s="13" t="s">
        <v>1174</v>
      </c>
      <c r="M246" s="13" t="s">
        <v>125</v>
      </c>
      <c r="N246" s="13" t="s">
        <v>126</v>
      </c>
      <c r="O246" s="247">
        <v>0.62</v>
      </c>
      <c r="P246" s="13">
        <v>96</v>
      </c>
      <c r="Q246" s="13">
        <v>25</v>
      </c>
      <c r="R246" s="13" t="s">
        <v>127</v>
      </c>
      <c r="S246" s="430" t="str">
        <f t="shared" si="96"/>
        <v>N/A</v>
      </c>
      <c r="T246" s="247">
        <v>0.8</v>
      </c>
      <c r="U246" s="13">
        <v>150</v>
      </c>
      <c r="V246" s="13">
        <v>550</v>
      </c>
      <c r="W246" s="430">
        <f t="shared" si="94"/>
        <v>400</v>
      </c>
      <c r="X246" s="430">
        <f t="shared" si="95"/>
        <v>160</v>
      </c>
      <c r="Y246" s="13">
        <v>150</v>
      </c>
      <c r="Z246" s="13">
        <v>550</v>
      </c>
      <c r="AA246" s="430">
        <f t="shared" si="97"/>
        <v>400</v>
      </c>
      <c r="AB246" s="430">
        <f t="shared" si="98"/>
        <v>160</v>
      </c>
      <c r="AC246" s="430" t="str">
        <f t="shared" si="99"/>
        <v>N/A</v>
      </c>
      <c r="AD246" s="430">
        <f t="shared" si="100"/>
        <v>71</v>
      </c>
      <c r="AE246" s="431">
        <f t="shared" si="101"/>
        <v>1.2402</v>
      </c>
      <c r="AF246" s="431"/>
      <c r="AG246" s="431">
        <f t="shared" si="102"/>
        <v>1.0774177083333332</v>
      </c>
      <c r="AH246" s="431">
        <f t="shared" si="103"/>
        <v>1.1420627708333331</v>
      </c>
      <c r="AI246" s="432">
        <f t="shared" si="104"/>
        <v>888.36522400000001</v>
      </c>
      <c r="AJ246" s="432">
        <f t="shared" si="105"/>
        <v>134.78931465881152</v>
      </c>
      <c r="AK246" s="432">
        <f t="shared" si="106"/>
        <v>147.38171797354312</v>
      </c>
      <c r="AL246" s="432">
        <f t="shared" si="107"/>
        <v>292.97358845013827</v>
      </c>
      <c r="AM246" s="250">
        <v>147</v>
      </c>
      <c r="AN246" s="432">
        <f t="shared" si="108"/>
        <v>141.12</v>
      </c>
      <c r="AO246" s="432">
        <f t="shared" si="109"/>
        <v>161.16789821999996</v>
      </c>
      <c r="AP246" s="432">
        <f t="shared" si="110"/>
        <v>644.67159287999982</v>
      </c>
      <c r="AQ246" s="255">
        <v>45108</v>
      </c>
      <c r="AR246" s="13" t="s">
        <v>1175</v>
      </c>
      <c r="AS246" s="429" t="s">
        <v>1176</v>
      </c>
      <c r="AT246" s="13"/>
      <c r="AU246" s="241"/>
      <c r="AV246" s="243"/>
      <c r="AW246" s="13"/>
      <c r="AX246" s="255"/>
      <c r="AY246" s="103">
        <f t="shared" si="116"/>
        <v>0.57291666666666663</v>
      </c>
      <c r="AZ246" s="13"/>
      <c r="BA246" s="13" t="str">
        <f t="shared" si="117"/>
        <v>W22</v>
      </c>
      <c r="BC246" s="32"/>
      <c r="BD246" s="241"/>
      <c r="BE246" s="241"/>
      <c r="BF246" s="71"/>
      <c r="BG246" s="241"/>
      <c r="BH246" s="241"/>
      <c r="BI246" s="71"/>
      <c r="BJ246" s="114"/>
      <c r="BK246" s="111"/>
      <c r="BL246" s="112"/>
      <c r="BM246" s="111"/>
      <c r="BN246" s="123"/>
      <c r="BO246" s="83"/>
      <c r="BP246" s="108"/>
      <c r="BQ246" s="115"/>
      <c r="BR246" s="113"/>
      <c r="BS246" s="80"/>
      <c r="BT246" s="22"/>
      <c r="BU246" s="87"/>
      <c r="BV246" s="73"/>
      <c r="BW246" s="109"/>
      <c r="BX246" s="87"/>
      <c r="BY246" s="87"/>
      <c r="BZ246" s="109"/>
      <c r="CA246" s="76"/>
    </row>
    <row r="247" spans="1:79" s="77" customFormat="1" ht="29.1">
      <c r="A247" s="13" t="s">
        <v>466</v>
      </c>
      <c r="B247" s="13" t="s">
        <v>1167</v>
      </c>
      <c r="C247" s="13" t="s">
        <v>1004</v>
      </c>
      <c r="D247" s="387" t="s">
        <v>1177</v>
      </c>
      <c r="E247" s="13" t="s">
        <v>118</v>
      </c>
      <c r="F247" s="13" t="s">
        <v>186</v>
      </c>
      <c r="G247" s="13" t="s">
        <v>1178</v>
      </c>
      <c r="H247" s="13" t="s">
        <v>389</v>
      </c>
      <c r="I247" s="13" t="s">
        <v>139</v>
      </c>
      <c r="J247" s="13" t="s">
        <v>5</v>
      </c>
      <c r="K247" s="13" t="s">
        <v>140</v>
      </c>
      <c r="L247" s="13" t="s">
        <v>1179</v>
      </c>
      <c r="M247" s="13"/>
      <c r="N247" s="13" t="s">
        <v>142</v>
      </c>
      <c r="O247" s="247">
        <v>0.62</v>
      </c>
      <c r="P247" s="13">
        <v>96</v>
      </c>
      <c r="Q247" s="13">
        <v>25</v>
      </c>
      <c r="R247" s="13" t="s">
        <v>127</v>
      </c>
      <c r="S247" s="430" t="str">
        <f t="shared" si="96"/>
        <v>N/A</v>
      </c>
      <c r="T247" s="247">
        <v>0.76</v>
      </c>
      <c r="U247" s="13">
        <v>150</v>
      </c>
      <c r="V247" s="13">
        <v>550</v>
      </c>
      <c r="W247" s="430">
        <f t="shared" si="94"/>
        <v>400</v>
      </c>
      <c r="X247" s="430">
        <f t="shared" si="95"/>
        <v>160</v>
      </c>
      <c r="Y247" s="13">
        <v>150</v>
      </c>
      <c r="Z247" s="13">
        <v>550</v>
      </c>
      <c r="AA247" s="430">
        <f t="shared" si="97"/>
        <v>400</v>
      </c>
      <c r="AB247" s="430">
        <f t="shared" si="98"/>
        <v>160</v>
      </c>
      <c r="AC247" s="430" t="str">
        <f t="shared" si="99"/>
        <v>N/A</v>
      </c>
      <c r="AD247" s="430">
        <f t="shared" si="100"/>
        <v>71</v>
      </c>
      <c r="AE247" s="431">
        <f t="shared" si="101"/>
        <v>1.2001999999999999</v>
      </c>
      <c r="AF247" s="431"/>
      <c r="AG247" s="431">
        <f t="shared" si="102"/>
        <v>1.0374177083333331</v>
      </c>
      <c r="AH247" s="431">
        <f t="shared" si="103"/>
        <v>1.1048498593749998</v>
      </c>
      <c r="AI247" s="432">
        <f t="shared" si="104"/>
        <v>849.95562600000005</v>
      </c>
      <c r="AJ247" s="432">
        <f t="shared" si="105"/>
        <v>139.2815431093635</v>
      </c>
      <c r="AK247" s="432">
        <f t="shared" si="106"/>
        <v>152.29362325511431</v>
      </c>
      <c r="AL247" s="432">
        <f t="shared" si="107"/>
        <v>302.73774737198926</v>
      </c>
      <c r="AM247" s="250">
        <v>152</v>
      </c>
      <c r="AN247" s="432">
        <f t="shared" si="108"/>
        <v>145.91999999999999</v>
      </c>
      <c r="AO247" s="432">
        <f t="shared" si="109"/>
        <v>161.21969147999997</v>
      </c>
      <c r="AP247" s="432">
        <f t="shared" si="110"/>
        <v>644.87876591999986</v>
      </c>
      <c r="AQ247" s="255" t="s">
        <v>132</v>
      </c>
      <c r="AR247" s="13" t="s">
        <v>1016</v>
      </c>
      <c r="AS247" s="434" t="s">
        <v>1180</v>
      </c>
      <c r="AT247" s="429" t="s">
        <v>1181</v>
      </c>
      <c r="AU247" s="257"/>
      <c r="AV247" s="259"/>
      <c r="AW247" s="38"/>
      <c r="AX247" s="259"/>
      <c r="AY247" s="102">
        <f t="shared" si="116"/>
        <v>0.57291666666666663</v>
      </c>
      <c r="AZ247" s="262"/>
      <c r="BA247" s="38" t="str">
        <f t="shared" si="117"/>
        <v>W50</v>
      </c>
      <c r="BC247" s="264"/>
      <c r="BD247" s="253"/>
      <c r="BE247" s="253"/>
      <c r="BF247" s="100"/>
      <c r="BG247" s="253"/>
      <c r="BH247" s="253"/>
      <c r="BI247" s="100"/>
      <c r="BJ247" s="143"/>
      <c r="BK247" s="105"/>
      <c r="BL247" s="170"/>
      <c r="BM247" s="105"/>
      <c r="BN247" s="106"/>
      <c r="BO247" s="105"/>
      <c r="BP247" s="105"/>
      <c r="BQ247" s="141"/>
      <c r="BR247" s="71"/>
      <c r="BS247" s="71"/>
      <c r="BT247" s="13">
        <f>P247-V247/10-120/10</f>
        <v>29</v>
      </c>
      <c r="BU247" s="79">
        <f>BT247-Q247</f>
        <v>4</v>
      </c>
      <c r="BV247" s="29">
        <f>T247+(O247/100*(P247-BT247))</f>
        <v>1.1754</v>
      </c>
      <c r="BW247" s="86">
        <f>(AE247-BV247)/AE247</f>
        <v>2.066322279620058E-2</v>
      </c>
      <c r="BX247" s="79">
        <f>(PI()*((51/2)^2-(16.545/2)^2)/(BV247/10))/100</f>
        <v>155.50689691236019</v>
      </c>
      <c r="BY247" s="79">
        <f>BX247-AK247</f>
        <v>3.2132736572458782</v>
      </c>
      <c r="BZ247" s="86">
        <f>BY247/AK247</f>
        <v>2.1099200272247581E-2</v>
      </c>
      <c r="CA247" s="76"/>
    </row>
    <row r="248" spans="1:79" s="77" customFormat="1">
      <c r="A248" s="13" t="s">
        <v>466</v>
      </c>
      <c r="B248" s="13" t="s">
        <v>1167</v>
      </c>
      <c r="C248" s="13" t="s">
        <v>1004</v>
      </c>
      <c r="D248" s="387" t="s">
        <v>1182</v>
      </c>
      <c r="E248" s="13" t="s">
        <v>118</v>
      </c>
      <c r="F248" s="13" t="s">
        <v>186</v>
      </c>
      <c r="G248" s="13" t="s">
        <v>1183</v>
      </c>
      <c r="H248" s="13" t="s">
        <v>121</v>
      </c>
      <c r="I248" s="13" t="s">
        <v>147</v>
      </c>
      <c r="J248" s="13" t="s">
        <v>5</v>
      </c>
      <c r="K248" s="13" t="s">
        <v>123</v>
      </c>
      <c r="L248" s="13" t="s">
        <v>1184</v>
      </c>
      <c r="M248" s="13" t="s">
        <v>125</v>
      </c>
      <c r="N248" s="13" t="s">
        <v>126</v>
      </c>
      <c r="O248" s="247">
        <v>0.62</v>
      </c>
      <c r="P248" s="13">
        <v>101</v>
      </c>
      <c r="Q248" s="13">
        <v>25</v>
      </c>
      <c r="R248" s="13" t="s">
        <v>127</v>
      </c>
      <c r="S248" s="430" t="str">
        <f t="shared" si="96"/>
        <v>N/A</v>
      </c>
      <c r="T248" s="247">
        <v>0.8</v>
      </c>
      <c r="U248" s="13">
        <v>200</v>
      </c>
      <c r="V248" s="13">
        <v>600</v>
      </c>
      <c r="W248" s="430">
        <f t="shared" si="94"/>
        <v>400</v>
      </c>
      <c r="X248" s="430">
        <f t="shared" si="95"/>
        <v>160</v>
      </c>
      <c r="Y248" s="13">
        <v>200</v>
      </c>
      <c r="Z248" s="13">
        <v>600</v>
      </c>
      <c r="AA248" s="430">
        <f t="shared" si="97"/>
        <v>400</v>
      </c>
      <c r="AB248" s="430">
        <f t="shared" si="98"/>
        <v>160</v>
      </c>
      <c r="AC248" s="430" t="str">
        <f t="shared" si="99"/>
        <v>N/A</v>
      </c>
      <c r="AD248" s="430">
        <f t="shared" si="100"/>
        <v>76</v>
      </c>
      <c r="AE248" s="431">
        <f t="shared" si="101"/>
        <v>1.2712000000000001</v>
      </c>
      <c r="AF248" s="431"/>
      <c r="AG248" s="431">
        <f t="shared" si="102"/>
        <v>1.0939168316831684</v>
      </c>
      <c r="AH248" s="431">
        <f t="shared" si="103"/>
        <v>1.1595518415841586</v>
      </c>
      <c r="AI248" s="432">
        <f t="shared" si="104"/>
        <v>888.36522400000001</v>
      </c>
      <c r="AJ248" s="432">
        <f t="shared" si="105"/>
        <v>131.50228763362023</v>
      </c>
      <c r="AK248" s="432">
        <f t="shared" si="106"/>
        <v>143.78760748174022</v>
      </c>
      <c r="AL248" s="432">
        <f t="shared" si="107"/>
        <v>285.8290154152466</v>
      </c>
      <c r="AM248" s="250">
        <v>144</v>
      </c>
      <c r="AN248" s="432">
        <f t="shared" si="108"/>
        <v>145.44</v>
      </c>
      <c r="AO248" s="432">
        <f t="shared" si="109"/>
        <v>168.64521984000001</v>
      </c>
      <c r="AP248" s="432">
        <f t="shared" si="110"/>
        <v>674.58087936000004</v>
      </c>
      <c r="AQ248" s="255">
        <v>45170</v>
      </c>
      <c r="AR248" s="13" t="s">
        <v>965</v>
      </c>
      <c r="AS248" s="434" t="s">
        <v>1185</v>
      </c>
      <c r="AT248" s="429"/>
      <c r="AU248" s="257"/>
      <c r="AV248" s="259"/>
      <c r="AW248" s="38"/>
      <c r="AX248" s="259"/>
      <c r="AY248" s="102">
        <f t="shared" si="116"/>
        <v>0.59405940594059403</v>
      </c>
      <c r="AZ248" s="262"/>
      <c r="BA248" s="38" t="str">
        <f t="shared" si="117"/>
        <v>W22</v>
      </c>
      <c r="BC248" s="264"/>
      <c r="BD248" s="253"/>
      <c r="BE248" s="253"/>
      <c r="BF248" s="100"/>
      <c r="BG248" s="253"/>
      <c r="BH248" s="253"/>
      <c r="BI248" s="100"/>
      <c r="BJ248" s="143"/>
      <c r="BK248" s="105"/>
      <c r="BL248" s="170"/>
      <c r="BM248" s="105"/>
      <c r="BN248" s="106"/>
      <c r="BO248" s="105"/>
      <c r="BP248" s="105"/>
      <c r="BQ248" s="301"/>
      <c r="BR248" s="100"/>
      <c r="BS248" s="100"/>
      <c r="BT248" s="38">
        <f>P248-V248/10-120/10</f>
        <v>29</v>
      </c>
      <c r="BU248" s="288">
        <f>BT248-Q248</f>
        <v>4</v>
      </c>
      <c r="BV248" s="248">
        <f>T248+(O248/100*(P248-BT248))</f>
        <v>1.2464</v>
      </c>
      <c r="BW248" s="173">
        <f>(AE248-BV248)/AE248</f>
        <v>1.9509125235997602E-2</v>
      </c>
      <c r="BX248" s="288">
        <f>(PI()*((51/2)^2-(16.545/2)^2)/(BV248/10))/100</f>
        <v>146.64859325319975</v>
      </c>
      <c r="BY248" s="288">
        <f>BX248-AK248</f>
        <v>2.860985771459525</v>
      </c>
      <c r="BZ248" s="173">
        <f>BY248/AK248</f>
        <v>1.9897304236200227E-2</v>
      </c>
      <c r="CA248" s="271"/>
    </row>
    <row r="249" spans="1:79" s="72" customFormat="1" ht="14.65" customHeight="1">
      <c r="A249" s="13" t="s">
        <v>466</v>
      </c>
      <c r="B249" s="13" t="s">
        <v>1186</v>
      </c>
      <c r="C249" s="13" t="s">
        <v>573</v>
      </c>
      <c r="D249" s="387" t="s">
        <v>1187</v>
      </c>
      <c r="E249" s="13" t="s">
        <v>118</v>
      </c>
      <c r="F249" s="387" t="s">
        <v>119</v>
      </c>
      <c r="G249" s="13" t="s">
        <v>1188</v>
      </c>
      <c r="H249" s="13" t="s">
        <v>121</v>
      </c>
      <c r="I249" s="13" t="s">
        <v>147</v>
      </c>
      <c r="J249" s="13" t="s">
        <v>5</v>
      </c>
      <c r="K249" s="13" t="s">
        <v>123</v>
      </c>
      <c r="L249" s="13" t="s">
        <v>1189</v>
      </c>
      <c r="M249" s="13" t="s">
        <v>125</v>
      </c>
      <c r="N249" s="13" t="s">
        <v>126</v>
      </c>
      <c r="O249" s="247">
        <v>0.4</v>
      </c>
      <c r="P249" s="438">
        <v>122</v>
      </c>
      <c r="Q249" s="13">
        <v>30</v>
      </c>
      <c r="R249" s="13" t="s">
        <v>127</v>
      </c>
      <c r="S249" s="430" t="str">
        <f t="shared" si="96"/>
        <v>N/A</v>
      </c>
      <c r="T249" s="247">
        <v>0.8</v>
      </c>
      <c r="U249" s="13">
        <v>200</v>
      </c>
      <c r="V249" s="13">
        <v>700</v>
      </c>
      <c r="W249" s="430">
        <f t="shared" si="94"/>
        <v>500</v>
      </c>
      <c r="X249" s="430">
        <f t="shared" si="95"/>
        <v>220</v>
      </c>
      <c r="Y249" s="13">
        <v>200</v>
      </c>
      <c r="Z249" s="13">
        <v>700</v>
      </c>
      <c r="AA249" s="430">
        <f t="shared" si="97"/>
        <v>500</v>
      </c>
      <c r="AB249" s="430">
        <f t="shared" si="98"/>
        <v>220</v>
      </c>
      <c r="AC249" s="430" t="str">
        <f t="shared" si="99"/>
        <v>N/A</v>
      </c>
      <c r="AD249" s="430">
        <f t="shared" si="100"/>
        <v>92</v>
      </c>
      <c r="AE249" s="431">
        <f t="shared" si="101"/>
        <v>1.1680000000000001</v>
      </c>
      <c r="AF249" s="431"/>
      <c r="AG249" s="431">
        <f t="shared" si="102"/>
        <v>1.0292459016393443</v>
      </c>
      <c r="AH249" s="431">
        <f t="shared" si="103"/>
        <v>1.0910006557377048</v>
      </c>
      <c r="AI249" s="432">
        <f t="shared" si="104"/>
        <v>874.04208000000006</v>
      </c>
      <c r="AJ249" s="432">
        <f t="shared" si="105"/>
        <v>143.12132537659076</v>
      </c>
      <c r="AK249" s="432">
        <f t="shared" si="106"/>
        <v>156.49212896471587</v>
      </c>
      <c r="AL249" s="432">
        <f t="shared" si="107"/>
        <v>311.08377088686763</v>
      </c>
      <c r="AM249" s="250">
        <v>156</v>
      </c>
      <c r="AN249" s="432">
        <f t="shared" si="108"/>
        <v>190.32</v>
      </c>
      <c r="AO249" s="432">
        <f t="shared" si="109"/>
        <v>207.63924479999997</v>
      </c>
      <c r="AP249" s="432">
        <f t="shared" si="110"/>
        <v>692.13081599999998</v>
      </c>
      <c r="AQ249" s="255">
        <v>45444</v>
      </c>
      <c r="AR249" s="13" t="s">
        <v>616</v>
      </c>
      <c r="AS249" s="429" t="s">
        <v>1190</v>
      </c>
      <c r="AT249" s="429" t="s">
        <v>1191</v>
      </c>
      <c r="AU249" s="241"/>
      <c r="AV249" s="243"/>
      <c r="AX249" s="243"/>
      <c r="AY249" s="103">
        <f t="shared" si="116"/>
        <v>0.57377049180327866</v>
      </c>
      <c r="BA249" s="13"/>
      <c r="BC249" s="32"/>
      <c r="BD249" s="241"/>
      <c r="BE249" s="241"/>
      <c r="BF249" s="71"/>
      <c r="BG249" s="241"/>
      <c r="BH249" s="241"/>
      <c r="BI249" s="71"/>
      <c r="BJ249" s="123"/>
      <c r="BK249" s="108"/>
      <c r="BL249" s="126"/>
      <c r="BM249" s="108"/>
      <c r="BN249" s="71"/>
      <c r="BO249" s="108"/>
      <c r="BP249" s="108"/>
      <c r="BQ249" s="83"/>
      <c r="BR249" s="71"/>
      <c r="BS249" s="71"/>
      <c r="BT249" s="72">
        <f>P249-V249/10-120/10</f>
        <v>40</v>
      </c>
      <c r="BU249" s="78">
        <f>BT249-Q249</f>
        <v>10</v>
      </c>
      <c r="BV249" s="32">
        <f>T249+(O249/100*(P249-BT249))</f>
        <v>1.1280000000000001</v>
      </c>
      <c r="BW249" s="127">
        <f>(AE249-BV249)/AE249</f>
        <v>3.4246575342465779E-2</v>
      </c>
      <c r="BX249" s="78">
        <f>(PI()*((51/2)^2-(16.545/2)^2)/(BV249/10))/100</f>
        <v>162.04149524006041</v>
      </c>
      <c r="BY249" s="78">
        <f>BX249-AK249</f>
        <v>5.5493662753445392</v>
      </c>
      <c r="BZ249" s="127">
        <f>BY249/AK249</f>
        <v>3.5460992907801449E-2</v>
      </c>
      <c r="CA249" s="76"/>
    </row>
    <row r="250" spans="1:79" s="72" customFormat="1">
      <c r="A250" s="13" t="s">
        <v>466</v>
      </c>
      <c r="B250" s="387" t="s">
        <v>1186</v>
      </c>
      <c r="C250" s="13" t="s">
        <v>573</v>
      </c>
      <c r="D250" s="387" t="s">
        <v>1187</v>
      </c>
      <c r="E250" s="13" t="s">
        <v>118</v>
      </c>
      <c r="F250" s="13" t="s">
        <v>167</v>
      </c>
      <c r="G250" s="13" t="s">
        <v>1192</v>
      </c>
      <c r="H250" s="13" t="s">
        <v>121</v>
      </c>
      <c r="I250" s="13" t="s">
        <v>147</v>
      </c>
      <c r="J250" s="13" t="s">
        <v>5</v>
      </c>
      <c r="K250" s="13" t="s">
        <v>123</v>
      </c>
      <c r="L250" s="13" t="s">
        <v>1193</v>
      </c>
      <c r="M250" s="13" t="s">
        <v>125</v>
      </c>
      <c r="N250" s="13" t="s">
        <v>126</v>
      </c>
      <c r="O250" s="247">
        <v>0.4</v>
      </c>
      <c r="P250" s="438">
        <v>123</v>
      </c>
      <c r="Q250" s="13">
        <v>30</v>
      </c>
      <c r="R250" s="13" t="s">
        <v>127</v>
      </c>
      <c r="S250" s="430" t="str">
        <f t="shared" si="96"/>
        <v>N/A</v>
      </c>
      <c r="T250" s="247">
        <v>0.8</v>
      </c>
      <c r="U250" s="13">
        <v>200</v>
      </c>
      <c r="V250" s="13">
        <v>600</v>
      </c>
      <c r="W250" s="430">
        <f t="shared" si="94"/>
        <v>400</v>
      </c>
      <c r="X250" s="430">
        <f t="shared" si="95"/>
        <v>330</v>
      </c>
      <c r="Y250" s="13">
        <v>150</v>
      </c>
      <c r="Z250" s="13">
        <v>650</v>
      </c>
      <c r="AA250" s="430">
        <f t="shared" si="97"/>
        <v>500</v>
      </c>
      <c r="AB250" s="430">
        <f t="shared" si="98"/>
        <v>280</v>
      </c>
      <c r="AC250" s="430" t="str">
        <f t="shared" si="99"/>
        <v>N/A</v>
      </c>
      <c r="AD250" s="430">
        <f t="shared" si="100"/>
        <v>93</v>
      </c>
      <c r="AE250" s="431">
        <f t="shared" si="101"/>
        <v>1.1720000000000002</v>
      </c>
      <c r="AF250" s="431"/>
      <c r="AG250" s="431">
        <f t="shared" si="102"/>
        <v>1.0313658536585366</v>
      </c>
      <c r="AH250" s="431">
        <f t="shared" si="103"/>
        <v>1.093247804878049</v>
      </c>
      <c r="AI250" s="432">
        <f t="shared" si="104"/>
        <v>874.04208000000006</v>
      </c>
      <c r="AJ250" s="432">
        <f t="shared" si="105"/>
        <v>142.63285668929865</v>
      </c>
      <c r="AK250" s="432">
        <f t="shared" si="106"/>
        <v>155.95802613548477</v>
      </c>
      <c r="AL250" s="432">
        <f t="shared" si="107"/>
        <v>310.022051532305</v>
      </c>
      <c r="AM250" s="250">
        <v>120</v>
      </c>
      <c r="AN250" s="432">
        <f t="shared" si="108"/>
        <v>147.6</v>
      </c>
      <c r="AO250" s="432">
        <f t="shared" si="109"/>
        <v>161.36337600000002</v>
      </c>
      <c r="AP250" s="432">
        <f t="shared" si="110"/>
        <v>537.87792000000013</v>
      </c>
      <c r="AQ250" s="255">
        <v>44986</v>
      </c>
      <c r="AR250" s="13" t="s">
        <v>506</v>
      </c>
      <c r="AS250" s="434" t="s">
        <v>1194</v>
      </c>
      <c r="AT250" s="429" t="s">
        <v>1195</v>
      </c>
      <c r="AU250" s="241"/>
      <c r="AV250" s="243"/>
      <c r="AW250" s="72" t="s">
        <v>127</v>
      </c>
      <c r="AX250" s="243"/>
      <c r="AY250" s="103">
        <f t="shared" si="116"/>
        <v>0.48780487804878048</v>
      </c>
      <c r="BA250" s="13" t="str">
        <f>LEFT(G250,3)</f>
        <v>W22</v>
      </c>
      <c r="BB250" s="72" t="str">
        <f>IF(R250="n/a","Clear","S/B")</f>
        <v>Clear</v>
      </c>
      <c r="BC250" s="32"/>
      <c r="BD250" s="241"/>
      <c r="BE250" s="241"/>
      <c r="BF250" s="71"/>
      <c r="BG250" s="241"/>
      <c r="BH250" s="241"/>
      <c r="BI250" s="71"/>
      <c r="BJ250" s="123"/>
      <c r="BK250" s="123"/>
      <c r="BL250" s="126"/>
      <c r="BM250" s="123"/>
      <c r="BN250" s="123"/>
      <c r="BO250" s="108"/>
      <c r="BP250" s="108"/>
      <c r="BQ250" s="124"/>
      <c r="BR250" s="124"/>
      <c r="BS250" s="71"/>
      <c r="BU250" s="78"/>
      <c r="BV250" s="32"/>
      <c r="BW250" s="127"/>
      <c r="BX250" s="78"/>
      <c r="BY250" s="78"/>
      <c r="BZ250" s="127"/>
      <c r="CA250" s="76"/>
    </row>
    <row r="251" spans="1:79" s="72" customFormat="1" ht="14.65" customHeight="1">
      <c r="A251" s="13" t="s">
        <v>466</v>
      </c>
      <c r="B251" s="387" t="s">
        <v>1186</v>
      </c>
      <c r="C251" s="13" t="s">
        <v>573</v>
      </c>
      <c r="D251" s="13" t="s">
        <v>1187</v>
      </c>
      <c r="E251" s="13" t="s">
        <v>118</v>
      </c>
      <c r="F251" s="13" t="s">
        <v>119</v>
      </c>
      <c r="G251" s="13" t="s">
        <v>1196</v>
      </c>
      <c r="H251" s="13" t="s">
        <v>121</v>
      </c>
      <c r="I251" s="13" t="s">
        <v>147</v>
      </c>
      <c r="J251" s="13" t="s">
        <v>5</v>
      </c>
      <c r="K251" s="13" t="s">
        <v>123</v>
      </c>
      <c r="L251" s="13" t="s">
        <v>1197</v>
      </c>
      <c r="M251" s="13" t="s">
        <v>125</v>
      </c>
      <c r="N251" s="13" t="s">
        <v>126</v>
      </c>
      <c r="O251" s="247">
        <v>0.49</v>
      </c>
      <c r="P251" s="13">
        <v>110</v>
      </c>
      <c r="Q251" s="13">
        <v>27</v>
      </c>
      <c r="R251" s="13" t="s">
        <v>127</v>
      </c>
      <c r="S251" s="430" t="str">
        <f t="shared" si="96"/>
        <v>N/A</v>
      </c>
      <c r="T251" s="247">
        <v>0.8</v>
      </c>
      <c r="U251" s="13">
        <v>200</v>
      </c>
      <c r="V251" s="13">
        <v>700</v>
      </c>
      <c r="W251" s="430">
        <f t="shared" si="94"/>
        <v>500</v>
      </c>
      <c r="X251" s="430">
        <f t="shared" si="95"/>
        <v>130</v>
      </c>
      <c r="Y251" s="13">
        <v>200</v>
      </c>
      <c r="Z251" s="13">
        <v>700</v>
      </c>
      <c r="AA251" s="430">
        <f t="shared" si="97"/>
        <v>500</v>
      </c>
      <c r="AB251" s="430">
        <f t="shared" si="98"/>
        <v>130</v>
      </c>
      <c r="AC251" s="430" t="str">
        <f t="shared" si="99"/>
        <v>N/A</v>
      </c>
      <c r="AD251" s="430">
        <f t="shared" si="100"/>
        <v>83</v>
      </c>
      <c r="AE251" s="431">
        <f t="shared" si="101"/>
        <v>1.2067000000000001</v>
      </c>
      <c r="AF251" s="431"/>
      <c r="AG251" s="431">
        <f t="shared" si="102"/>
        <v>1.0532631818181819</v>
      </c>
      <c r="AH251" s="431">
        <f t="shared" si="103"/>
        <v>1.1164589727272727</v>
      </c>
      <c r="AI251" s="432">
        <f t="shared" si="104"/>
        <v>879.90154800000005</v>
      </c>
      <c r="AJ251" s="432">
        <f t="shared" si="105"/>
        <v>138.53129032887875</v>
      </c>
      <c r="AK251" s="432">
        <f t="shared" si="106"/>
        <v>151.47327971392073</v>
      </c>
      <c r="AL251" s="432">
        <f t="shared" si="107"/>
        <v>301.10702278599604</v>
      </c>
      <c r="AM251" s="250">
        <v>151</v>
      </c>
      <c r="AN251" s="432">
        <f t="shared" si="108"/>
        <v>166.1</v>
      </c>
      <c r="AO251" s="432">
        <f t="shared" si="109"/>
        <v>185.44383536999999</v>
      </c>
      <c r="AP251" s="432">
        <f t="shared" si="110"/>
        <v>686.82901988888875</v>
      </c>
      <c r="AQ251" s="255">
        <v>45741</v>
      </c>
      <c r="AR251" s="13" t="s">
        <v>988</v>
      </c>
      <c r="AS251" s="434"/>
      <c r="AT251" s="429"/>
      <c r="AU251" s="250"/>
      <c r="AV251" s="243"/>
      <c r="AW251" s="13"/>
      <c r="AX251" s="243"/>
      <c r="AY251" s="103"/>
      <c r="BA251" s="13"/>
      <c r="BC251" s="32"/>
      <c r="BD251" s="241"/>
      <c r="BE251" s="241"/>
      <c r="BF251" s="71"/>
      <c r="BG251" s="241"/>
      <c r="BH251" s="241"/>
      <c r="BI251" s="71"/>
      <c r="BJ251" s="123"/>
      <c r="BK251" s="123"/>
      <c r="BL251" s="126"/>
      <c r="BM251" s="123"/>
      <c r="BN251" s="123"/>
      <c r="BO251" s="123"/>
      <c r="BP251" s="108"/>
      <c r="BQ251" s="88"/>
      <c r="BR251" s="80"/>
      <c r="BS251" s="80"/>
      <c r="BT251" s="22"/>
      <c r="BU251" s="87"/>
      <c r="BV251" s="73"/>
      <c r="BW251" s="109"/>
      <c r="BX251" s="87"/>
      <c r="BY251" s="87"/>
      <c r="BZ251" s="109"/>
      <c r="CA251" s="76"/>
    </row>
    <row r="252" spans="1:79" s="72" customFormat="1" ht="14.65" customHeight="1">
      <c r="A252" s="13" t="s">
        <v>466</v>
      </c>
      <c r="B252" s="387" t="s">
        <v>1186</v>
      </c>
      <c r="C252" s="13" t="s">
        <v>573</v>
      </c>
      <c r="D252" s="387" t="s">
        <v>1187</v>
      </c>
      <c r="E252" s="13" t="s">
        <v>118</v>
      </c>
      <c r="F252" s="13" t="s">
        <v>167</v>
      </c>
      <c r="G252" s="13" t="s">
        <v>1198</v>
      </c>
      <c r="H252" s="13" t="s">
        <v>121</v>
      </c>
      <c r="I252" s="13" t="s">
        <v>147</v>
      </c>
      <c r="J252" s="13" t="s">
        <v>5</v>
      </c>
      <c r="K252" s="13" t="s">
        <v>123</v>
      </c>
      <c r="L252" s="13" t="s">
        <v>1199</v>
      </c>
      <c r="M252" s="13" t="s">
        <v>125</v>
      </c>
      <c r="N252" s="13" t="s">
        <v>126</v>
      </c>
      <c r="O252" s="247">
        <v>0.49</v>
      </c>
      <c r="P252" s="13">
        <v>115</v>
      </c>
      <c r="Q252" s="13">
        <v>30</v>
      </c>
      <c r="R252" s="13" t="s">
        <v>127</v>
      </c>
      <c r="S252" s="430" t="str">
        <f t="shared" si="96"/>
        <v>N/A</v>
      </c>
      <c r="T252" s="247">
        <v>0.8</v>
      </c>
      <c r="U252" s="13">
        <v>200</v>
      </c>
      <c r="V252" s="13">
        <v>600</v>
      </c>
      <c r="W252" s="430">
        <f t="shared" si="94"/>
        <v>400</v>
      </c>
      <c r="X252" s="430">
        <f t="shared" si="95"/>
        <v>250</v>
      </c>
      <c r="Y252" s="13">
        <v>150</v>
      </c>
      <c r="Z252" s="13">
        <v>600</v>
      </c>
      <c r="AA252" s="430">
        <f t="shared" si="97"/>
        <v>450</v>
      </c>
      <c r="AB252" s="430">
        <f t="shared" si="98"/>
        <v>250</v>
      </c>
      <c r="AC252" s="430" t="str">
        <f t="shared" si="99"/>
        <v>N/A</v>
      </c>
      <c r="AD252" s="430">
        <f t="shared" si="100"/>
        <v>85</v>
      </c>
      <c r="AE252" s="431">
        <f t="shared" si="101"/>
        <v>1.2164999999999999</v>
      </c>
      <c r="AF252" s="431"/>
      <c r="AG252" s="431">
        <f t="shared" si="102"/>
        <v>1.0625760869565217</v>
      </c>
      <c r="AH252" s="431">
        <f t="shared" si="103"/>
        <v>1.1263306521739131</v>
      </c>
      <c r="AI252" s="432">
        <f t="shared" si="104"/>
        <v>879.90154800000005</v>
      </c>
      <c r="AJ252" s="432">
        <f t="shared" si="105"/>
        <v>137.41529637472917</v>
      </c>
      <c r="AK252" s="432">
        <f t="shared" si="106"/>
        <v>150.25302641248516</v>
      </c>
      <c r="AL252" s="432">
        <f t="shared" si="107"/>
        <v>298.68133530280431</v>
      </c>
      <c r="AM252" s="250">
        <v>120</v>
      </c>
      <c r="AN252" s="432">
        <f t="shared" si="108"/>
        <v>138</v>
      </c>
      <c r="AO252" s="432">
        <f t="shared" si="109"/>
        <v>155.43363000000002</v>
      </c>
      <c r="AP252" s="432">
        <f t="shared" si="110"/>
        <v>518.11210000000005</v>
      </c>
      <c r="AQ252" s="255">
        <v>44980</v>
      </c>
      <c r="AR252" s="13" t="s">
        <v>545</v>
      </c>
      <c r="AS252" s="434" t="s">
        <v>1200</v>
      </c>
      <c r="AT252" s="429" t="s">
        <v>1201</v>
      </c>
      <c r="AU252" s="241"/>
      <c r="AV252" s="243"/>
      <c r="AW252" s="72" t="s">
        <v>127</v>
      </c>
      <c r="AX252" s="243"/>
      <c r="AY252" s="71">
        <f>(V252/10)/P252</f>
        <v>0.52173913043478259</v>
      </c>
      <c r="BA252" s="72" t="str">
        <f>LEFT(G252,3)</f>
        <v>W22</v>
      </c>
      <c r="BB252" s="72" t="str">
        <f>IF(R252="n/a","Clear","S/B")</f>
        <v>Clear</v>
      </c>
      <c r="BC252" s="32">
        <f>IF(Q252="","",((P252/100*O252)+T252))</f>
        <v>1.3635000000000002</v>
      </c>
      <c r="BD252" s="241">
        <f>IF(BC252="","",((PI()*((51/2)^2-(16.545/2)^2)/(BC252/10))/100))</f>
        <v>134.05413027560553</v>
      </c>
      <c r="BE252" s="241">
        <f>IF(BC252="","",(BD252-AK252))</f>
        <v>-16.198896136879625</v>
      </c>
      <c r="BF252" s="71">
        <f>IF(BC252="","",(BE252/AK252))</f>
        <v>-0.10781078107810806</v>
      </c>
      <c r="BG252" s="241">
        <f>IF(BF252="","",((PI()*((70/2)^2-(16.545/2)^2)/(BC252/10))/100))</f>
        <v>266.48026725035675</v>
      </c>
      <c r="BH252" s="241">
        <f>IF(BF252="","",(BG252-AL252))</f>
        <v>-32.201068052447567</v>
      </c>
      <c r="BI252" s="71">
        <f>IF(BG252="","",(BH252/AL252))</f>
        <v>-0.10781078107810788</v>
      </c>
      <c r="BJ252" s="123"/>
      <c r="BK252" s="123"/>
      <c r="BL252" s="126"/>
      <c r="BM252" s="123"/>
      <c r="BN252" s="123"/>
      <c r="BO252" s="123"/>
      <c r="BP252" s="108"/>
      <c r="BQ252" s="88"/>
      <c r="BR252" s="80"/>
      <c r="BS252" s="80"/>
      <c r="BT252" s="22"/>
      <c r="BU252" s="87"/>
      <c r="BV252" s="73"/>
      <c r="BW252" s="109"/>
      <c r="BX252" s="87"/>
      <c r="BY252" s="87"/>
      <c r="BZ252" s="109"/>
      <c r="CA252" s="76"/>
    </row>
    <row r="253" spans="1:79" s="72" customFormat="1">
      <c r="A253" s="13" t="s">
        <v>466</v>
      </c>
      <c r="B253" s="387" t="s">
        <v>1186</v>
      </c>
      <c r="C253" s="13" t="s">
        <v>573</v>
      </c>
      <c r="D253" s="13" t="s">
        <v>1202</v>
      </c>
      <c r="E253" s="13" t="s">
        <v>118</v>
      </c>
      <c r="F253" s="13" t="s">
        <v>119</v>
      </c>
      <c r="G253" s="13" t="s">
        <v>1203</v>
      </c>
      <c r="H253" s="13" t="s">
        <v>389</v>
      </c>
      <c r="I253" s="13" t="s">
        <v>139</v>
      </c>
      <c r="J253" s="13" t="s">
        <v>5</v>
      </c>
      <c r="K253" s="13" t="s">
        <v>140</v>
      </c>
      <c r="L253" s="13"/>
      <c r="M253" s="13" t="s">
        <v>125</v>
      </c>
      <c r="N253" s="13" t="s">
        <v>142</v>
      </c>
      <c r="O253" s="247">
        <v>0.75</v>
      </c>
      <c r="P253" s="13">
        <v>102</v>
      </c>
      <c r="Q253" s="13">
        <v>19</v>
      </c>
      <c r="R253" s="13" t="s">
        <v>127</v>
      </c>
      <c r="S253" s="430" t="str">
        <f t="shared" si="96"/>
        <v>N/A</v>
      </c>
      <c r="T253" s="247">
        <v>0.76</v>
      </c>
      <c r="U253" s="13">
        <v>200</v>
      </c>
      <c r="V253" s="13">
        <v>700</v>
      </c>
      <c r="W253" s="430">
        <f t="shared" si="94"/>
        <v>500</v>
      </c>
      <c r="X253" s="430">
        <f t="shared" si="95"/>
        <v>130</v>
      </c>
      <c r="Y253" s="13">
        <v>200</v>
      </c>
      <c r="Z253" s="13">
        <v>700</v>
      </c>
      <c r="AA253" s="430">
        <f t="shared" si="97"/>
        <v>500</v>
      </c>
      <c r="AB253" s="430">
        <f t="shared" si="98"/>
        <v>130</v>
      </c>
      <c r="AC253" s="430" t="str">
        <f t="shared" si="99"/>
        <v>N/A</v>
      </c>
      <c r="AD253" s="430">
        <f t="shared" si="100"/>
        <v>83</v>
      </c>
      <c r="AE253" s="431">
        <f t="shared" si="101"/>
        <v>1.3824999999999998</v>
      </c>
      <c r="AF253" s="431"/>
      <c r="AG253" s="431">
        <f t="shared" si="102"/>
        <v>1.1292279411764707</v>
      </c>
      <c r="AH253" s="431">
        <f t="shared" si="103"/>
        <v>1.2026277573529414</v>
      </c>
      <c r="AI253" s="432">
        <f t="shared" si="104"/>
        <v>858.45922500000006</v>
      </c>
      <c r="AJ253" s="432">
        <f t="shared" si="105"/>
        <v>120.91552118615411</v>
      </c>
      <c r="AK253" s="432">
        <f t="shared" si="106"/>
        <v>132.21179503131154</v>
      </c>
      <c r="AL253" s="432">
        <f t="shared" si="107"/>
        <v>262.81797062991791</v>
      </c>
      <c r="AM253" s="250">
        <v>132</v>
      </c>
      <c r="AN253" s="432">
        <f t="shared" si="108"/>
        <v>134.63999999999999</v>
      </c>
      <c r="AO253" s="432">
        <f t="shared" si="109"/>
        <v>161.92180125000002</v>
      </c>
      <c r="AP253" s="432">
        <f t="shared" si="110"/>
        <v>852.22000657894739</v>
      </c>
      <c r="AQ253" s="255" t="s">
        <v>132</v>
      </c>
      <c r="AR253" s="13" t="s">
        <v>988</v>
      </c>
      <c r="AS253" s="434"/>
      <c r="AT253" s="429"/>
      <c r="AU253" s="250"/>
      <c r="AV253" s="243"/>
      <c r="AW253" s="13"/>
      <c r="AX253" s="243"/>
      <c r="AY253" s="103"/>
      <c r="BA253" s="13"/>
      <c r="BC253" s="32"/>
      <c r="BD253" s="241"/>
      <c r="BE253" s="241"/>
      <c r="BF253" s="71"/>
      <c r="BG253" s="241"/>
      <c r="BH253" s="241"/>
      <c r="BI253" s="71"/>
      <c r="BJ253" s="123"/>
      <c r="BK253" s="123"/>
      <c r="BL253" s="126"/>
      <c r="BM253" s="123"/>
      <c r="BN253" s="123"/>
      <c r="BO253" s="123"/>
      <c r="BP253" s="108"/>
      <c r="BQ253" s="71"/>
      <c r="BR253" s="71"/>
      <c r="BS253" s="71"/>
    </row>
    <row r="254" spans="1:79" s="72" customFormat="1" ht="14.65" customHeight="1">
      <c r="A254" s="13" t="s">
        <v>466</v>
      </c>
      <c r="B254" s="387" t="s">
        <v>1186</v>
      </c>
      <c r="C254" s="13" t="s">
        <v>588</v>
      </c>
      <c r="D254" s="387" t="s">
        <v>1204</v>
      </c>
      <c r="E254" s="13" t="s">
        <v>118</v>
      </c>
      <c r="F254" s="13" t="s">
        <v>167</v>
      </c>
      <c r="G254" s="13" t="s">
        <v>1205</v>
      </c>
      <c r="H254" s="13" t="s">
        <v>389</v>
      </c>
      <c r="I254" s="13" t="s">
        <v>139</v>
      </c>
      <c r="J254" s="13" t="s">
        <v>5</v>
      </c>
      <c r="K254" s="13" t="s">
        <v>140</v>
      </c>
      <c r="L254" s="13" t="s">
        <v>1206</v>
      </c>
      <c r="M254" s="13"/>
      <c r="N254" s="13" t="s">
        <v>142</v>
      </c>
      <c r="O254" s="247">
        <v>0.17</v>
      </c>
      <c r="P254" s="438">
        <v>121</v>
      </c>
      <c r="Q254" s="13">
        <v>30</v>
      </c>
      <c r="R254" s="13" t="s">
        <v>127</v>
      </c>
      <c r="S254" s="430" t="str">
        <f t="shared" si="96"/>
        <v>N/A</v>
      </c>
      <c r="T254" s="247">
        <v>0.76</v>
      </c>
      <c r="U254" s="13">
        <v>200</v>
      </c>
      <c r="V254" s="13">
        <v>600</v>
      </c>
      <c r="W254" s="430">
        <f t="shared" si="94"/>
        <v>400</v>
      </c>
      <c r="X254" s="430">
        <f t="shared" si="95"/>
        <v>310</v>
      </c>
      <c r="Y254" s="13">
        <v>150</v>
      </c>
      <c r="Z254" s="13">
        <v>650</v>
      </c>
      <c r="AA254" s="430">
        <f t="shared" si="97"/>
        <v>500</v>
      </c>
      <c r="AB254" s="430">
        <f t="shared" si="98"/>
        <v>260</v>
      </c>
      <c r="AC254" s="430" t="str">
        <f t="shared" si="99"/>
        <v>N/A</v>
      </c>
      <c r="AD254" s="430">
        <f t="shared" si="100"/>
        <v>91</v>
      </c>
      <c r="AE254" s="431">
        <f t="shared" si="101"/>
        <v>0.91470000000000007</v>
      </c>
      <c r="AF254" s="431"/>
      <c r="AG254" s="431">
        <f t="shared" si="102"/>
        <v>0.85652768595041329</v>
      </c>
      <c r="AH254" s="431">
        <f t="shared" si="103"/>
        <v>0.91220198553719012</v>
      </c>
      <c r="AI254" s="432">
        <f t="shared" si="104"/>
        <v>820.52009100000009</v>
      </c>
      <c r="AJ254" s="432">
        <f t="shared" si="105"/>
        <v>182.75468245310813</v>
      </c>
      <c r="AK254" s="432">
        <f t="shared" si="106"/>
        <v>199.82814762303286</v>
      </c>
      <c r="AL254" s="432">
        <f t="shared" si="107"/>
        <v>397.22952268050881</v>
      </c>
      <c r="AM254" s="250">
        <v>120</v>
      </c>
      <c r="AN254" s="432">
        <f t="shared" si="108"/>
        <v>145.19999999999999</v>
      </c>
      <c r="AO254" s="432">
        <f t="shared" si="109"/>
        <v>132.45172829999998</v>
      </c>
      <c r="AP254" s="432">
        <f t="shared" si="110"/>
        <v>441.50576099999995</v>
      </c>
      <c r="AQ254" s="255">
        <v>45130</v>
      </c>
      <c r="AR254" s="13" t="s">
        <v>506</v>
      </c>
      <c r="AS254" s="434" t="s">
        <v>1207</v>
      </c>
      <c r="AT254" s="429"/>
      <c r="AU254" s="241"/>
      <c r="AV254" s="243"/>
      <c r="AW254" s="72" t="s">
        <v>127</v>
      </c>
      <c r="AX254" s="243"/>
      <c r="AY254" s="71">
        <f>(V254/10)/P254</f>
        <v>0.49586776859504134</v>
      </c>
      <c r="BA254" s="72" t="str">
        <f>LEFT(G254,3)</f>
        <v>W50</v>
      </c>
      <c r="BB254" s="72" t="str">
        <f>IF(R254="n/a","Clear","S/B")</f>
        <v>Clear</v>
      </c>
      <c r="BC254" s="32"/>
      <c r="BD254" s="241"/>
      <c r="BE254" s="241"/>
      <c r="BF254" s="71"/>
      <c r="BG254" s="241"/>
      <c r="BH254" s="241"/>
      <c r="BI254" s="71"/>
      <c r="BJ254" s="123"/>
      <c r="BK254" s="108"/>
      <c r="BL254" s="126"/>
      <c r="BM254" s="108"/>
      <c r="BN254" s="71"/>
      <c r="BO254" s="108"/>
      <c r="BP254" s="108"/>
      <c r="BQ254" s="115"/>
      <c r="BR254" s="113"/>
      <c r="BS254" s="80"/>
      <c r="BT254" s="22"/>
      <c r="BU254" s="87"/>
      <c r="BV254" s="73"/>
      <c r="BW254" s="109"/>
      <c r="BX254" s="87"/>
      <c r="BY254" s="87"/>
      <c r="BZ254" s="109"/>
      <c r="CA254" s="76"/>
    </row>
    <row r="255" spans="1:79" s="72" customFormat="1" ht="14.65" customHeight="1">
      <c r="A255" s="13" t="s">
        <v>466</v>
      </c>
      <c r="B255" s="387" t="s">
        <v>1186</v>
      </c>
      <c r="C255" s="13" t="s">
        <v>588</v>
      </c>
      <c r="D255" s="13" t="s">
        <v>1204</v>
      </c>
      <c r="E255" s="13" t="s">
        <v>118</v>
      </c>
      <c r="F255" s="13" t="s">
        <v>119</v>
      </c>
      <c r="G255" s="13" t="s">
        <v>1208</v>
      </c>
      <c r="H255" s="13" t="s">
        <v>121</v>
      </c>
      <c r="I255" s="13" t="s">
        <v>147</v>
      </c>
      <c r="J255" s="13" t="s">
        <v>5</v>
      </c>
      <c r="K255" s="13" t="s">
        <v>123</v>
      </c>
      <c r="L255" s="13" t="s">
        <v>1209</v>
      </c>
      <c r="M255" s="13" t="s">
        <v>125</v>
      </c>
      <c r="N255" s="13" t="s">
        <v>126</v>
      </c>
      <c r="O255" s="247">
        <v>0.28999999999999998</v>
      </c>
      <c r="P255" s="13">
        <v>109</v>
      </c>
      <c r="Q255" s="13">
        <v>26</v>
      </c>
      <c r="R255" s="13" t="s">
        <v>127</v>
      </c>
      <c r="S255" s="430" t="str">
        <f t="shared" si="96"/>
        <v>N/A</v>
      </c>
      <c r="T255" s="247">
        <v>0.8</v>
      </c>
      <c r="U255" s="13">
        <v>200</v>
      </c>
      <c r="V255" s="13">
        <v>700</v>
      </c>
      <c r="W255" s="430">
        <f t="shared" si="94"/>
        <v>500</v>
      </c>
      <c r="X255" s="430">
        <f t="shared" si="95"/>
        <v>130</v>
      </c>
      <c r="Y255" s="13">
        <v>200</v>
      </c>
      <c r="Z255" s="13">
        <v>700</v>
      </c>
      <c r="AA255" s="430">
        <f t="shared" si="97"/>
        <v>500</v>
      </c>
      <c r="AB255" s="430">
        <f t="shared" si="98"/>
        <v>130</v>
      </c>
      <c r="AC255" s="430" t="str">
        <f t="shared" si="99"/>
        <v>N/A</v>
      </c>
      <c r="AD255" s="430">
        <f t="shared" si="100"/>
        <v>83</v>
      </c>
      <c r="AE255" s="431">
        <f t="shared" si="101"/>
        <v>1.0407</v>
      </c>
      <c r="AF255" s="431"/>
      <c r="AG255" s="431">
        <f t="shared" si="102"/>
        <v>0.94905733944954129</v>
      </c>
      <c r="AH255" s="431">
        <f t="shared" si="103"/>
        <v>1.0060007798165138</v>
      </c>
      <c r="AI255" s="432">
        <f t="shared" si="104"/>
        <v>866.88050800000008</v>
      </c>
      <c r="AJ255" s="432">
        <f t="shared" si="105"/>
        <v>160.62814263462866</v>
      </c>
      <c r="AK255" s="432">
        <f t="shared" si="106"/>
        <v>175.63448316593465</v>
      </c>
      <c r="AL255" s="432">
        <f t="shared" si="107"/>
        <v>349.13600883622706</v>
      </c>
      <c r="AM255" s="250">
        <v>176</v>
      </c>
      <c r="AN255" s="432">
        <f t="shared" si="108"/>
        <v>191.84</v>
      </c>
      <c r="AO255" s="432">
        <f t="shared" si="109"/>
        <v>192.99118960000001</v>
      </c>
      <c r="AP255" s="432">
        <f t="shared" si="110"/>
        <v>742.27380615384618</v>
      </c>
      <c r="AQ255" s="255">
        <v>45689</v>
      </c>
      <c r="AR255" s="13" t="s">
        <v>1060</v>
      </c>
      <c r="AS255" s="434" t="s">
        <v>1210</v>
      </c>
      <c r="AT255" s="429"/>
      <c r="AU255" s="250"/>
      <c r="AV255" s="243"/>
      <c r="AW255" s="13"/>
      <c r="AX255" s="243"/>
      <c r="AY255" s="103"/>
      <c r="BA255" s="13"/>
      <c r="BC255" s="32"/>
      <c r="BD255" s="241"/>
      <c r="BE255" s="241"/>
      <c r="BF255" s="71"/>
      <c r="BG255" s="241"/>
      <c r="BH255" s="241"/>
      <c r="BI255" s="71"/>
      <c r="BJ255" s="123"/>
      <c r="BK255" s="123"/>
      <c r="BL255" s="126"/>
      <c r="BM255" s="123"/>
      <c r="BN255" s="123"/>
      <c r="BO255" s="123"/>
      <c r="BP255" s="108"/>
      <c r="BQ255" s="155"/>
      <c r="BR255" s="124"/>
      <c r="BS255" s="71"/>
      <c r="BU255" s="78"/>
      <c r="BV255" s="32"/>
      <c r="BW255" s="127"/>
      <c r="BX255" s="78"/>
      <c r="BY255" s="78"/>
      <c r="BZ255" s="127"/>
      <c r="CA255" s="76"/>
    </row>
    <row r="256" spans="1:79" s="72" customFormat="1">
      <c r="A256" s="13" t="s">
        <v>466</v>
      </c>
      <c r="B256" s="13" t="s">
        <v>1186</v>
      </c>
      <c r="C256" s="13" t="s">
        <v>357</v>
      </c>
      <c r="D256" s="387" t="s">
        <v>1211</v>
      </c>
      <c r="E256" s="13" t="s">
        <v>118</v>
      </c>
      <c r="F256" s="387" t="s">
        <v>119</v>
      </c>
      <c r="G256" s="13" t="s">
        <v>1212</v>
      </c>
      <c r="H256" s="13" t="s">
        <v>121</v>
      </c>
      <c r="I256" s="13" t="s">
        <v>147</v>
      </c>
      <c r="J256" s="13" t="s">
        <v>5</v>
      </c>
      <c r="K256" s="13" t="s">
        <v>123</v>
      </c>
      <c r="L256" s="13" t="s">
        <v>1213</v>
      </c>
      <c r="M256" s="13" t="s">
        <v>125</v>
      </c>
      <c r="N256" s="13" t="s">
        <v>126</v>
      </c>
      <c r="O256" s="247">
        <v>0.21</v>
      </c>
      <c r="P256" s="13">
        <v>113</v>
      </c>
      <c r="Q256" s="13">
        <v>30</v>
      </c>
      <c r="R256" s="13" t="s">
        <v>127</v>
      </c>
      <c r="S256" s="430" t="str">
        <f t="shared" si="96"/>
        <v>N/A</v>
      </c>
      <c r="T256" s="247">
        <v>0.8</v>
      </c>
      <c r="U256" s="13">
        <v>200</v>
      </c>
      <c r="V256" s="13">
        <v>600</v>
      </c>
      <c r="W256" s="430">
        <f t="shared" si="94"/>
        <v>400</v>
      </c>
      <c r="X256" s="430">
        <f t="shared" si="95"/>
        <v>230</v>
      </c>
      <c r="Y256" s="13">
        <v>150</v>
      </c>
      <c r="Z256" s="13">
        <v>600</v>
      </c>
      <c r="AA256" s="430">
        <f t="shared" si="97"/>
        <v>450</v>
      </c>
      <c r="AB256" s="430">
        <f t="shared" si="98"/>
        <v>230</v>
      </c>
      <c r="AC256" s="430" t="str">
        <f t="shared" si="99"/>
        <v>N/A</v>
      </c>
      <c r="AD256" s="430">
        <f t="shared" si="100"/>
        <v>83</v>
      </c>
      <c r="AE256" s="431">
        <f t="shared" si="101"/>
        <v>0.97430000000000005</v>
      </c>
      <c r="AF256" s="431"/>
      <c r="AG256" s="431">
        <f t="shared" si="102"/>
        <v>0.91028716814159305</v>
      </c>
      <c r="AH256" s="431">
        <f t="shared" si="103"/>
        <v>0.96490439823008867</v>
      </c>
      <c r="AI256" s="432">
        <f t="shared" si="104"/>
        <v>861.67209200000002</v>
      </c>
      <c r="AJ256" s="432">
        <f t="shared" si="105"/>
        <v>171.57519043401214</v>
      </c>
      <c r="AK256" s="432">
        <f t="shared" si="106"/>
        <v>187.60423548269341</v>
      </c>
      <c r="AL256" s="432">
        <f t="shared" si="107"/>
        <v>372.93014923110076</v>
      </c>
      <c r="AM256" s="250">
        <v>188</v>
      </c>
      <c r="AN256" s="432">
        <f t="shared" si="108"/>
        <v>212.44</v>
      </c>
      <c r="AO256" s="432">
        <f t="shared" si="109"/>
        <v>204.98429036000005</v>
      </c>
      <c r="AP256" s="432">
        <f t="shared" si="110"/>
        <v>683.28096786666686</v>
      </c>
      <c r="AQ256" s="255">
        <v>45130</v>
      </c>
      <c r="AR256" s="13" t="s">
        <v>571</v>
      </c>
      <c r="AS256" s="429" t="s">
        <v>1214</v>
      </c>
      <c r="AT256" s="429"/>
      <c r="AU256" s="241"/>
      <c r="AV256" s="243"/>
      <c r="AW256" s="72" t="s">
        <v>127</v>
      </c>
      <c r="AX256" s="243"/>
      <c r="AY256" s="103">
        <f>(V256/10)/P256</f>
        <v>0.53097345132743368</v>
      </c>
      <c r="BA256" s="13" t="str">
        <f>LEFT(G256,3)</f>
        <v>W22</v>
      </c>
      <c r="BC256" s="32"/>
      <c r="BD256" s="241"/>
      <c r="BE256" s="241"/>
      <c r="BF256" s="71"/>
      <c r="BG256" s="241"/>
      <c r="BH256" s="241"/>
      <c r="BI256" s="71"/>
      <c r="BJ256" s="123"/>
      <c r="BK256" s="108"/>
      <c r="BL256" s="126"/>
      <c r="BM256" s="108"/>
      <c r="BN256" s="71"/>
      <c r="BO256" s="108"/>
      <c r="BP256" s="108"/>
      <c r="BQ256" s="100"/>
      <c r="BR256" s="100"/>
      <c r="BS256" s="100"/>
      <c r="BT256" s="77"/>
      <c r="BU256" s="77"/>
      <c r="BV256" s="77"/>
      <c r="BW256" s="77"/>
      <c r="BX256" s="77"/>
      <c r="BY256" s="77"/>
      <c r="BZ256" s="77"/>
      <c r="CA256" s="77"/>
    </row>
    <row r="257" spans="1:79" s="72" customFormat="1">
      <c r="A257" s="13" t="s">
        <v>466</v>
      </c>
      <c r="B257" s="387" t="s">
        <v>1186</v>
      </c>
      <c r="C257" s="13" t="s">
        <v>357</v>
      </c>
      <c r="D257" s="13" t="s">
        <v>1211</v>
      </c>
      <c r="E257" s="13" t="s">
        <v>118</v>
      </c>
      <c r="F257" s="13" t="s">
        <v>119</v>
      </c>
      <c r="G257" s="13" t="s">
        <v>1215</v>
      </c>
      <c r="H257" s="13" t="s">
        <v>121</v>
      </c>
      <c r="I257" s="13" t="s">
        <v>147</v>
      </c>
      <c r="J257" s="13" t="s">
        <v>5</v>
      </c>
      <c r="K257" s="13" t="s">
        <v>123</v>
      </c>
      <c r="L257" s="13" t="s">
        <v>1216</v>
      </c>
      <c r="M257" s="13" t="s">
        <v>125</v>
      </c>
      <c r="N257" s="13" t="s">
        <v>126</v>
      </c>
      <c r="O257" s="247">
        <v>0.27</v>
      </c>
      <c r="P257" s="13">
        <v>100</v>
      </c>
      <c r="Q257" s="13">
        <v>17</v>
      </c>
      <c r="R257" s="13" t="s">
        <v>127</v>
      </c>
      <c r="S257" s="430" t="str">
        <f t="shared" si="96"/>
        <v>N/A</v>
      </c>
      <c r="T257" s="247">
        <v>0.8</v>
      </c>
      <c r="U257" s="13">
        <v>200</v>
      </c>
      <c r="V257" s="13">
        <v>700</v>
      </c>
      <c r="W257" s="430">
        <f t="shared" si="94"/>
        <v>500</v>
      </c>
      <c r="X257" s="430">
        <f t="shared" si="95"/>
        <v>130</v>
      </c>
      <c r="Y257" s="13">
        <v>200</v>
      </c>
      <c r="Z257" s="13">
        <v>700</v>
      </c>
      <c r="AA257" s="430">
        <f t="shared" si="97"/>
        <v>500</v>
      </c>
      <c r="AB257" s="430">
        <f t="shared" si="98"/>
        <v>130</v>
      </c>
      <c r="AC257" s="430" t="str">
        <f t="shared" si="99"/>
        <v>N/A</v>
      </c>
      <c r="AD257" s="430">
        <f t="shared" si="100"/>
        <v>83</v>
      </c>
      <c r="AE257" s="431">
        <f t="shared" si="101"/>
        <v>1.0241</v>
      </c>
      <c r="AF257" s="431"/>
      <c r="AG257" s="431">
        <f t="shared" si="102"/>
        <v>0.93109850000000005</v>
      </c>
      <c r="AH257" s="431">
        <f t="shared" si="103"/>
        <v>0.98696441000000001</v>
      </c>
      <c r="AI257" s="432">
        <f t="shared" si="104"/>
        <v>865.57840400000009</v>
      </c>
      <c r="AJ257" s="432">
        <f t="shared" si="105"/>
        <v>163.23182115013967</v>
      </c>
      <c r="AK257" s="432">
        <f t="shared" si="106"/>
        <v>178.48140477569396</v>
      </c>
      <c r="AL257" s="432">
        <f t="shared" si="107"/>
        <v>354.79527819144755</v>
      </c>
      <c r="AM257" s="250">
        <v>178</v>
      </c>
      <c r="AN257" s="432">
        <f t="shared" si="108"/>
        <v>178</v>
      </c>
      <c r="AO257" s="432">
        <f t="shared" si="109"/>
        <v>175.67966498000001</v>
      </c>
      <c r="AP257" s="432">
        <f t="shared" si="110"/>
        <v>1033.4097939999999</v>
      </c>
      <c r="AQ257" s="255">
        <v>45689</v>
      </c>
      <c r="AR257" s="13" t="s">
        <v>1060</v>
      </c>
      <c r="AS257" s="434" t="s">
        <v>1217</v>
      </c>
      <c r="AT257" s="429"/>
      <c r="AU257" s="250"/>
      <c r="AV257" s="243"/>
      <c r="AW257" s="13"/>
      <c r="AX257" s="243"/>
      <c r="AY257" s="103"/>
      <c r="BA257" s="13"/>
      <c r="BC257" s="32"/>
      <c r="BD257" s="241"/>
      <c r="BE257" s="241"/>
      <c r="BF257" s="71"/>
      <c r="BG257" s="241"/>
      <c r="BH257" s="241"/>
      <c r="BI257" s="71"/>
      <c r="BJ257" s="123"/>
      <c r="BK257" s="123"/>
      <c r="BL257" s="126"/>
      <c r="BM257" s="123"/>
      <c r="BN257" s="123"/>
      <c r="BO257" s="123"/>
      <c r="BP257" s="108"/>
      <c r="BQ257" s="142"/>
      <c r="BR257" s="71"/>
      <c r="BS257" s="71"/>
      <c r="BT257" s="13"/>
      <c r="BU257" s="79"/>
      <c r="BV257" s="29"/>
      <c r="BW257" s="86"/>
      <c r="BX257" s="79"/>
      <c r="BY257" s="79"/>
      <c r="BZ257" s="86"/>
      <c r="CA257" s="76"/>
    </row>
    <row r="258" spans="1:79" s="72" customFormat="1">
      <c r="A258" s="13" t="s">
        <v>466</v>
      </c>
      <c r="B258" s="387" t="s">
        <v>1186</v>
      </c>
      <c r="C258" s="13" t="s">
        <v>357</v>
      </c>
      <c r="D258" s="13" t="s">
        <v>1218</v>
      </c>
      <c r="E258" s="13" t="s">
        <v>118</v>
      </c>
      <c r="F258" s="13" t="s">
        <v>119</v>
      </c>
      <c r="G258" s="13" t="s">
        <v>1219</v>
      </c>
      <c r="H258" s="13" t="s">
        <v>121</v>
      </c>
      <c r="I258" s="13" t="s">
        <v>147</v>
      </c>
      <c r="J258" s="13" t="s">
        <v>5</v>
      </c>
      <c r="K258" s="13" t="s">
        <v>123</v>
      </c>
      <c r="L258" s="13" t="s">
        <v>1220</v>
      </c>
      <c r="M258" s="13" t="s">
        <v>125</v>
      </c>
      <c r="N258" s="13" t="s">
        <v>126</v>
      </c>
      <c r="O258" s="247">
        <v>0.34</v>
      </c>
      <c r="P258" s="13">
        <v>87</v>
      </c>
      <c r="Q258" s="13">
        <v>20</v>
      </c>
      <c r="R258" s="13" t="s">
        <v>127</v>
      </c>
      <c r="S258" s="430" t="str">
        <f t="shared" si="96"/>
        <v>N/A</v>
      </c>
      <c r="T258" s="247">
        <v>0.8</v>
      </c>
      <c r="U258" s="13">
        <v>180</v>
      </c>
      <c r="V258" s="13">
        <v>530</v>
      </c>
      <c r="W258" s="430">
        <f t="shared" si="94"/>
        <v>350</v>
      </c>
      <c r="X258" s="430">
        <f t="shared" si="95"/>
        <v>140</v>
      </c>
      <c r="Y258" s="13">
        <v>180</v>
      </c>
      <c r="Z258" s="13">
        <v>580</v>
      </c>
      <c r="AA258" s="430">
        <f t="shared" si="97"/>
        <v>400</v>
      </c>
      <c r="AB258" s="430">
        <f t="shared" si="98"/>
        <v>90</v>
      </c>
      <c r="AC258" s="430" t="str">
        <f t="shared" si="99"/>
        <v>N/A</v>
      </c>
      <c r="AD258" s="430">
        <f t="shared" si="100"/>
        <v>67</v>
      </c>
      <c r="AE258" s="431">
        <f t="shared" si="101"/>
        <v>1.0278</v>
      </c>
      <c r="AF258" s="431"/>
      <c r="AG258" s="431">
        <f t="shared" si="102"/>
        <v>0.94008390804597708</v>
      </c>
      <c r="AH258" s="431">
        <f t="shared" si="103"/>
        <v>0.99648894252873566</v>
      </c>
      <c r="AI258" s="432">
        <f t="shared" si="104"/>
        <v>870.13576799999998</v>
      </c>
      <c r="AJ258" s="432">
        <f t="shared" si="105"/>
        <v>162.64419929933646</v>
      </c>
      <c r="AK258" s="432">
        <f t="shared" si="106"/>
        <v>177.83888561080769</v>
      </c>
      <c r="AL258" s="432">
        <f t="shared" si="107"/>
        <v>353.51804280585856</v>
      </c>
      <c r="AM258" s="250">
        <v>178</v>
      </c>
      <c r="AN258" s="432">
        <f t="shared" si="108"/>
        <v>154.86000000000001</v>
      </c>
      <c r="AO258" s="432">
        <f t="shared" si="109"/>
        <v>154.31627764000001</v>
      </c>
      <c r="AP258" s="432">
        <f t="shared" si="110"/>
        <v>771.58138819999999</v>
      </c>
      <c r="AQ258" s="255">
        <v>45741</v>
      </c>
      <c r="AR258" s="13" t="s">
        <v>988</v>
      </c>
      <c r="AS258" s="434"/>
      <c r="AT258" s="429"/>
      <c r="AU258" s="250"/>
      <c r="AV258" s="243"/>
      <c r="AW258" s="13"/>
      <c r="AX258" s="243"/>
      <c r="AY258" s="103"/>
      <c r="BA258" s="13"/>
      <c r="BC258" s="32"/>
      <c r="BD258" s="241"/>
      <c r="BE258" s="241"/>
      <c r="BF258" s="71"/>
      <c r="BG258" s="241"/>
      <c r="BH258" s="241"/>
      <c r="BI258" s="71"/>
      <c r="BJ258" s="123"/>
      <c r="BK258" s="123"/>
      <c r="BL258" s="126"/>
      <c r="BM258" s="123"/>
      <c r="BN258" s="123"/>
      <c r="BO258" s="123"/>
      <c r="BP258" s="108"/>
      <c r="BQ258" s="124"/>
      <c r="BR258" s="124"/>
      <c r="BS258" s="71"/>
      <c r="BU258" s="78"/>
      <c r="BV258" s="32"/>
      <c r="BW258" s="127"/>
      <c r="BX258" s="78"/>
      <c r="BY258" s="78"/>
      <c r="BZ258" s="127"/>
      <c r="CA258" s="76"/>
    </row>
    <row r="259" spans="1:79" s="14" customFormat="1">
      <c r="A259" s="13" t="s">
        <v>466</v>
      </c>
      <c r="B259" s="387" t="s">
        <v>1186</v>
      </c>
      <c r="C259" s="13" t="s">
        <v>357</v>
      </c>
      <c r="D259" s="13" t="s">
        <v>1218</v>
      </c>
      <c r="E259" s="13" t="s">
        <v>118</v>
      </c>
      <c r="F259" s="13" t="s">
        <v>119</v>
      </c>
      <c r="G259" s="13" t="s">
        <v>1221</v>
      </c>
      <c r="H259" s="13" t="s">
        <v>121</v>
      </c>
      <c r="I259" s="13" t="s">
        <v>147</v>
      </c>
      <c r="J259" s="13" t="s">
        <v>5</v>
      </c>
      <c r="K259" s="13" t="s">
        <v>123</v>
      </c>
      <c r="L259" s="13" t="s">
        <v>1222</v>
      </c>
      <c r="M259" s="13" t="s">
        <v>125</v>
      </c>
      <c r="N259" s="13" t="s">
        <v>126</v>
      </c>
      <c r="O259" s="247">
        <v>0.65</v>
      </c>
      <c r="P259" s="13">
        <v>87</v>
      </c>
      <c r="Q259" s="13">
        <v>20</v>
      </c>
      <c r="R259" s="13" t="s">
        <v>127</v>
      </c>
      <c r="S259" s="430" t="str">
        <f t="shared" si="96"/>
        <v>N/A</v>
      </c>
      <c r="T259" s="247">
        <v>0.8</v>
      </c>
      <c r="U259" s="13">
        <v>180</v>
      </c>
      <c r="V259" s="13">
        <v>530</v>
      </c>
      <c r="W259" s="430">
        <f t="shared" si="94"/>
        <v>350</v>
      </c>
      <c r="X259" s="430">
        <f t="shared" si="95"/>
        <v>140</v>
      </c>
      <c r="Y259" s="13">
        <v>180</v>
      </c>
      <c r="Z259" s="13">
        <v>580</v>
      </c>
      <c r="AA259" s="430">
        <f t="shared" si="97"/>
        <v>400</v>
      </c>
      <c r="AB259" s="430">
        <f t="shared" si="98"/>
        <v>90</v>
      </c>
      <c r="AC259" s="430" t="str">
        <f t="shared" si="99"/>
        <v>N/A</v>
      </c>
      <c r="AD259" s="430">
        <f t="shared" si="100"/>
        <v>67</v>
      </c>
      <c r="AE259" s="431">
        <f t="shared" si="101"/>
        <v>1.2355</v>
      </c>
      <c r="AF259" s="431"/>
      <c r="AG259" s="431">
        <f t="shared" si="102"/>
        <v>1.0678074712643677</v>
      </c>
      <c r="AH259" s="431">
        <f t="shared" si="103"/>
        <v>1.1318759195402297</v>
      </c>
      <c r="AI259" s="432">
        <f t="shared" si="104"/>
        <v>890.31838000000005</v>
      </c>
      <c r="AJ259" s="432">
        <f t="shared" si="105"/>
        <v>135.30207044909594</v>
      </c>
      <c r="AK259" s="432">
        <f t="shared" si="106"/>
        <v>147.94237687639674</v>
      </c>
      <c r="AL259" s="432">
        <f t="shared" si="107"/>
        <v>294.08809744707526</v>
      </c>
      <c r="AM259" s="250">
        <v>148</v>
      </c>
      <c r="AN259" s="432">
        <f t="shared" si="108"/>
        <v>128.76</v>
      </c>
      <c r="AO259" s="432">
        <f t="shared" si="109"/>
        <v>145.74034339999997</v>
      </c>
      <c r="AP259" s="432">
        <f t="shared" si="110"/>
        <v>728.7017169999998</v>
      </c>
      <c r="AQ259" s="255">
        <v>45741</v>
      </c>
      <c r="AR259" s="13" t="s">
        <v>988</v>
      </c>
      <c r="AS259" s="434"/>
      <c r="AT259" s="429"/>
      <c r="AU259" s="250"/>
      <c r="AV259" s="243"/>
      <c r="AW259" s="13"/>
      <c r="AX259" s="243"/>
      <c r="AY259" s="103"/>
      <c r="AZ259" s="72"/>
      <c r="BA259" s="13"/>
      <c r="BB259" s="72"/>
      <c r="BC259" s="32"/>
      <c r="BD259" s="241"/>
      <c r="BE259" s="241"/>
      <c r="BF259" s="71"/>
      <c r="BG259" s="241"/>
      <c r="BH259" s="241"/>
      <c r="BI259" s="71"/>
      <c r="BJ259" s="123"/>
      <c r="BK259" s="123"/>
      <c r="BL259" s="126"/>
      <c r="BM259" s="123"/>
      <c r="BN259" s="123"/>
      <c r="BO259" s="123"/>
      <c r="BP259" s="108"/>
      <c r="BQ259" s="124"/>
      <c r="BR259" s="124"/>
      <c r="BS259" s="71"/>
      <c r="BT259" s="72"/>
      <c r="BU259" s="78"/>
      <c r="BV259" s="32"/>
      <c r="BW259" s="127"/>
      <c r="BX259" s="78"/>
      <c r="BY259" s="78"/>
      <c r="BZ259" s="127"/>
      <c r="CA259" s="76"/>
    </row>
    <row r="260" spans="1:79" s="72" customFormat="1">
      <c r="A260" s="13" t="s">
        <v>466</v>
      </c>
      <c r="B260" s="13" t="s">
        <v>1186</v>
      </c>
      <c r="C260" s="13" t="s">
        <v>357</v>
      </c>
      <c r="D260" s="387" t="s">
        <v>1223</v>
      </c>
      <c r="E260" s="13" t="s">
        <v>118</v>
      </c>
      <c r="F260" s="387" t="s">
        <v>119</v>
      </c>
      <c r="G260" s="13" t="s">
        <v>1224</v>
      </c>
      <c r="H260" s="13" t="s">
        <v>121</v>
      </c>
      <c r="I260" s="13" t="s">
        <v>147</v>
      </c>
      <c r="J260" s="13" t="s">
        <v>5</v>
      </c>
      <c r="K260" s="13" t="s">
        <v>123</v>
      </c>
      <c r="L260" s="13" t="s">
        <v>1225</v>
      </c>
      <c r="M260" s="13" t="s">
        <v>125</v>
      </c>
      <c r="N260" s="13" t="s">
        <v>126</v>
      </c>
      <c r="O260" s="247">
        <v>0.45</v>
      </c>
      <c r="P260" s="13">
        <v>107</v>
      </c>
      <c r="Q260" s="13">
        <v>30</v>
      </c>
      <c r="R260" s="13" t="s">
        <v>127</v>
      </c>
      <c r="S260" s="430" t="str">
        <f t="shared" si="96"/>
        <v>N/A</v>
      </c>
      <c r="T260" s="247">
        <v>0.8</v>
      </c>
      <c r="U260" s="13">
        <v>200</v>
      </c>
      <c r="V260" s="13">
        <v>600</v>
      </c>
      <c r="W260" s="430">
        <f t="shared" si="94"/>
        <v>400</v>
      </c>
      <c r="X260" s="430">
        <f t="shared" si="95"/>
        <v>170</v>
      </c>
      <c r="Y260" s="13">
        <v>150</v>
      </c>
      <c r="Z260" s="13">
        <v>600</v>
      </c>
      <c r="AA260" s="430">
        <f t="shared" si="97"/>
        <v>450</v>
      </c>
      <c r="AB260" s="430">
        <f t="shared" si="98"/>
        <v>170</v>
      </c>
      <c r="AC260" s="430" t="str">
        <f t="shared" si="99"/>
        <v>N/A</v>
      </c>
      <c r="AD260" s="430">
        <f t="shared" si="100"/>
        <v>77</v>
      </c>
      <c r="AE260" s="431">
        <f t="shared" si="101"/>
        <v>1.1465000000000001</v>
      </c>
      <c r="AF260" s="431"/>
      <c r="AG260" s="431">
        <f t="shared" si="102"/>
        <v>1.0218247663551403</v>
      </c>
      <c r="AH260" s="431">
        <f t="shared" si="103"/>
        <v>1.0831342523364487</v>
      </c>
      <c r="AI260" s="432">
        <f t="shared" si="104"/>
        <v>877.29733999999996</v>
      </c>
      <c r="AJ260" s="432">
        <f t="shared" si="105"/>
        <v>145.80524033131968</v>
      </c>
      <c r="AK260" s="432">
        <f t="shared" si="106"/>
        <v>159.426782931346</v>
      </c>
      <c r="AL260" s="432">
        <f t="shared" si="107"/>
        <v>316.91743950794722</v>
      </c>
      <c r="AM260" s="250">
        <v>159</v>
      </c>
      <c r="AN260" s="432">
        <f t="shared" si="108"/>
        <v>170.13</v>
      </c>
      <c r="AO260" s="432">
        <f t="shared" si="109"/>
        <v>184.27363035000002</v>
      </c>
      <c r="AP260" s="432">
        <f t="shared" si="110"/>
        <v>614.2454345000001</v>
      </c>
      <c r="AQ260" s="255">
        <v>45130</v>
      </c>
      <c r="AR260" s="13" t="s">
        <v>571</v>
      </c>
      <c r="AS260" s="429" t="s">
        <v>1226</v>
      </c>
      <c r="AT260" s="429"/>
      <c r="AU260" s="241"/>
      <c r="AV260" s="243"/>
      <c r="AW260" s="72" t="s">
        <v>127</v>
      </c>
      <c r="AX260" s="243"/>
      <c r="AY260" s="103">
        <f>(V260/10)/P260</f>
        <v>0.56074766355140182</v>
      </c>
      <c r="BA260" s="13" t="str">
        <f>LEFT(G260,3)</f>
        <v>W22</v>
      </c>
      <c r="BC260" s="32"/>
      <c r="BD260" s="241"/>
      <c r="BE260" s="241"/>
      <c r="BF260" s="71"/>
      <c r="BG260" s="241"/>
      <c r="BH260" s="241"/>
      <c r="BI260" s="71"/>
      <c r="BJ260" s="123"/>
      <c r="BK260" s="108"/>
      <c r="BL260" s="126"/>
      <c r="BM260" s="108"/>
      <c r="BN260" s="71"/>
      <c r="BO260" s="108"/>
      <c r="BP260" s="108"/>
      <c r="BQ260" s="130"/>
      <c r="BR260" s="100"/>
      <c r="BS260" s="100"/>
      <c r="BT260" s="13">
        <f>P260-V260/10-120/10</f>
        <v>35</v>
      </c>
      <c r="BU260" s="79">
        <f>BT260-Q260</f>
        <v>5</v>
      </c>
      <c r="BV260" s="29">
        <f>T260+(O260/100*(P260-BT260))</f>
        <v>1.1240000000000001</v>
      </c>
      <c r="BW260" s="86">
        <f>(AE260-BV260)/AE260</f>
        <v>1.9624945486262507E-2</v>
      </c>
      <c r="BX260" s="79">
        <f>(PI()*((51/2)^2-(16.545/2)^2)/(BV260/10))/100</f>
        <v>162.61815536546987</v>
      </c>
      <c r="BY260" s="79">
        <f>BX260-AK260</f>
        <v>3.1913724341238776</v>
      </c>
      <c r="BZ260" s="86">
        <f>BY260/AK260</f>
        <v>2.0017793594305791E-2</v>
      </c>
      <c r="CA260" s="76"/>
    </row>
    <row r="261" spans="1:79" s="273" customFormat="1">
      <c r="A261" s="13" t="s">
        <v>466</v>
      </c>
      <c r="B261" s="387" t="s">
        <v>1186</v>
      </c>
      <c r="C261" s="13" t="s">
        <v>135</v>
      </c>
      <c r="D261" s="13" t="s">
        <v>1227</v>
      </c>
      <c r="E261" s="13" t="s">
        <v>118</v>
      </c>
      <c r="F261" s="13" t="s">
        <v>119</v>
      </c>
      <c r="G261" s="13" t="s">
        <v>1228</v>
      </c>
      <c r="H261" s="13" t="s">
        <v>389</v>
      </c>
      <c r="I261" s="13" t="s">
        <v>139</v>
      </c>
      <c r="J261" s="13" t="s">
        <v>5</v>
      </c>
      <c r="K261" s="13" t="s">
        <v>140</v>
      </c>
      <c r="L261" s="13"/>
      <c r="M261" s="13" t="s">
        <v>125</v>
      </c>
      <c r="N261" s="13" t="s">
        <v>142</v>
      </c>
      <c r="O261" s="247">
        <v>0.65</v>
      </c>
      <c r="P261" s="13">
        <v>93</v>
      </c>
      <c r="Q261" s="13">
        <v>20</v>
      </c>
      <c r="R261" s="13" t="s">
        <v>127</v>
      </c>
      <c r="S261" s="430" t="str">
        <f t="shared" si="96"/>
        <v>N/A</v>
      </c>
      <c r="T261" s="247">
        <v>0.76</v>
      </c>
      <c r="U261" s="13">
        <v>200</v>
      </c>
      <c r="V261" s="13">
        <v>600</v>
      </c>
      <c r="W261" s="430">
        <f t="shared" si="94"/>
        <v>400</v>
      </c>
      <c r="X261" s="430">
        <f t="shared" si="95"/>
        <v>130</v>
      </c>
      <c r="Y261" s="13">
        <v>200</v>
      </c>
      <c r="Z261" s="13">
        <v>600</v>
      </c>
      <c r="AA261" s="430">
        <f t="shared" si="97"/>
        <v>400</v>
      </c>
      <c r="AB261" s="430">
        <f t="shared" si="98"/>
        <v>130</v>
      </c>
      <c r="AC261" s="430" t="str">
        <f t="shared" si="99"/>
        <v>N/A</v>
      </c>
      <c r="AD261" s="430">
        <f t="shared" si="100"/>
        <v>73</v>
      </c>
      <c r="AE261" s="431">
        <f t="shared" si="101"/>
        <v>1.2345000000000002</v>
      </c>
      <c r="AF261" s="431"/>
      <c r="AG261" s="431">
        <f t="shared" si="102"/>
        <v>1.0482715053763441</v>
      </c>
      <c r="AH261" s="431">
        <f t="shared" si="103"/>
        <v>1.1164091532258063</v>
      </c>
      <c r="AI261" s="432">
        <f t="shared" si="104"/>
        <v>851.91799500000002</v>
      </c>
      <c r="AJ261" s="432">
        <f t="shared" si="105"/>
        <v>135.41167115419847</v>
      </c>
      <c r="AK261" s="432">
        <f t="shared" si="106"/>
        <v>148.06221679286199</v>
      </c>
      <c r="AL261" s="432">
        <f t="shared" si="107"/>
        <v>294.32632190835267</v>
      </c>
      <c r="AM261" s="250">
        <v>148</v>
      </c>
      <c r="AN261" s="432">
        <f t="shared" si="108"/>
        <v>137.63999999999999</v>
      </c>
      <c r="AO261" s="432">
        <f t="shared" si="109"/>
        <v>153.66255584999996</v>
      </c>
      <c r="AP261" s="432">
        <f t="shared" si="110"/>
        <v>768.31277924999972</v>
      </c>
      <c r="AQ261" s="255" t="s">
        <v>132</v>
      </c>
      <c r="AR261" s="13" t="s">
        <v>988</v>
      </c>
      <c r="AS261" s="434"/>
      <c r="AT261" s="429"/>
      <c r="AU261" s="250"/>
      <c r="AV261" s="243"/>
      <c r="AW261" s="13"/>
      <c r="AX261" s="243"/>
      <c r="AY261" s="103"/>
      <c r="AZ261" s="72"/>
      <c r="BA261" s="13"/>
      <c r="BB261" s="72"/>
      <c r="BC261" s="32"/>
      <c r="BD261" s="241"/>
      <c r="BE261" s="241"/>
      <c r="BF261" s="71"/>
      <c r="BG261" s="241"/>
      <c r="BH261" s="241"/>
      <c r="BI261" s="71"/>
      <c r="BJ261" s="123"/>
      <c r="BK261" s="123"/>
      <c r="BL261" s="126"/>
      <c r="BM261" s="123"/>
      <c r="BN261" s="123"/>
      <c r="BO261" s="123"/>
      <c r="BP261" s="108"/>
      <c r="BQ261" s="115"/>
      <c r="BR261" s="113"/>
      <c r="BS261" s="80"/>
      <c r="BT261" s="22"/>
      <c r="BU261" s="87"/>
      <c r="BV261" s="73"/>
      <c r="BW261" s="109"/>
      <c r="BX261" s="87"/>
      <c r="BY261" s="87"/>
      <c r="BZ261" s="109"/>
      <c r="CA261" s="76"/>
    </row>
    <row r="262" spans="1:79" s="72" customFormat="1">
      <c r="A262" s="13" t="s">
        <v>466</v>
      </c>
      <c r="B262" s="387" t="s">
        <v>1186</v>
      </c>
      <c r="C262" s="13" t="s">
        <v>135</v>
      </c>
      <c r="D262" s="387" t="s">
        <v>1229</v>
      </c>
      <c r="E262" s="13" t="s">
        <v>118</v>
      </c>
      <c r="F262" s="13" t="s">
        <v>186</v>
      </c>
      <c r="G262" s="13" t="s">
        <v>1230</v>
      </c>
      <c r="H262" s="13" t="s">
        <v>389</v>
      </c>
      <c r="I262" s="13" t="s">
        <v>139</v>
      </c>
      <c r="J262" s="13" t="s">
        <v>5</v>
      </c>
      <c r="K262" s="13" t="s">
        <v>140</v>
      </c>
      <c r="L262" s="13" t="s">
        <v>1231</v>
      </c>
      <c r="M262" s="13"/>
      <c r="N262" s="13" t="s">
        <v>142</v>
      </c>
      <c r="O262" s="247">
        <v>0.56000000000000005</v>
      </c>
      <c r="P262" s="13">
        <v>101</v>
      </c>
      <c r="Q262" s="13">
        <v>30</v>
      </c>
      <c r="R262" s="13" t="s">
        <v>127</v>
      </c>
      <c r="S262" s="430" t="str">
        <f t="shared" si="96"/>
        <v>N/A</v>
      </c>
      <c r="T262" s="247">
        <v>0.76</v>
      </c>
      <c r="U262" s="13">
        <v>190</v>
      </c>
      <c r="V262" s="13">
        <v>590</v>
      </c>
      <c r="W262" s="430">
        <f t="shared" si="94"/>
        <v>400</v>
      </c>
      <c r="X262" s="430">
        <f t="shared" si="95"/>
        <v>120</v>
      </c>
      <c r="Y262" s="13">
        <v>150</v>
      </c>
      <c r="Z262" s="13">
        <v>600</v>
      </c>
      <c r="AA262" s="430">
        <f t="shared" si="97"/>
        <v>450</v>
      </c>
      <c r="AB262" s="430">
        <f t="shared" si="98"/>
        <v>110</v>
      </c>
      <c r="AC262" s="430" t="str">
        <f t="shared" si="99"/>
        <v>N/A</v>
      </c>
      <c r="AD262" s="430">
        <f t="shared" si="100"/>
        <v>71</v>
      </c>
      <c r="AE262" s="431">
        <f t="shared" si="101"/>
        <v>1.1576</v>
      </c>
      <c r="AF262" s="431"/>
      <c r="AG262" s="431">
        <f t="shared" si="102"/>
        <v>1.017849504950495</v>
      </c>
      <c r="AH262" s="431">
        <f t="shared" si="103"/>
        <v>1.0840097227722771</v>
      </c>
      <c r="AI262" s="432">
        <f t="shared" si="104"/>
        <v>846.030888</v>
      </c>
      <c r="AJ262" s="432">
        <f t="shared" si="105"/>
        <v>144.40714239794232</v>
      </c>
      <c r="AK262" s="432">
        <f t="shared" si="106"/>
        <v>157.89807069003814</v>
      </c>
      <c r="AL262" s="432">
        <f t="shared" si="107"/>
        <v>313.87858016228529</v>
      </c>
      <c r="AM262" s="250">
        <v>120</v>
      </c>
      <c r="AN262" s="432">
        <f t="shared" si="108"/>
        <v>121.2</v>
      </c>
      <c r="AO262" s="432">
        <f t="shared" si="109"/>
        <v>131.38197839999998</v>
      </c>
      <c r="AP262" s="432">
        <f t="shared" si="110"/>
        <v>437.93992799999995</v>
      </c>
      <c r="AQ262" s="255">
        <v>45130</v>
      </c>
      <c r="AR262" s="13" t="s">
        <v>506</v>
      </c>
      <c r="AS262" s="434" t="s">
        <v>1232</v>
      </c>
      <c r="AT262" s="429" t="s">
        <v>1233</v>
      </c>
      <c r="AU262" s="241"/>
      <c r="AV262" s="243"/>
      <c r="AW262" s="13" t="s">
        <v>127</v>
      </c>
      <c r="AX262" s="260"/>
      <c r="AY262" s="103">
        <f t="shared" ref="AY262:AY268" si="118">(V262/10)/P262</f>
        <v>0.58415841584158412</v>
      </c>
      <c r="AZ262" s="22"/>
      <c r="BA262" s="13" t="str">
        <f t="shared" ref="BA262:BA274" si="119">LEFT(G262,3)</f>
        <v>W50</v>
      </c>
      <c r="BB262" s="72" t="str">
        <f>IF(R262="n/a","Clear","S/B")</f>
        <v>Clear</v>
      </c>
      <c r="BC262" s="32"/>
      <c r="BD262" s="241"/>
      <c r="BE262" s="241"/>
      <c r="BF262" s="71"/>
      <c r="BG262" s="241"/>
      <c r="BH262" s="241"/>
      <c r="BI262" s="71"/>
      <c r="BJ262" s="123"/>
      <c r="BK262" s="108"/>
      <c r="BL262" s="126"/>
      <c r="BM262" s="108"/>
      <c r="BN262" s="71"/>
      <c r="BO262" s="108"/>
      <c r="BP262" s="108"/>
      <c r="BQ262" s="159"/>
      <c r="BR262" s="159"/>
      <c r="BS262" s="100"/>
      <c r="BT262" s="77"/>
      <c r="BU262" s="282"/>
      <c r="BV262" s="264"/>
      <c r="BW262" s="169"/>
      <c r="BX262" s="282"/>
      <c r="BY262" s="282"/>
      <c r="BZ262" s="169"/>
      <c r="CA262" s="271"/>
    </row>
    <row r="263" spans="1:79" s="72" customFormat="1">
      <c r="A263" s="13" t="s">
        <v>466</v>
      </c>
      <c r="B263" s="387" t="s">
        <v>1186</v>
      </c>
      <c r="C263" s="13" t="s">
        <v>1234</v>
      </c>
      <c r="D263" s="387" t="s">
        <v>1235</v>
      </c>
      <c r="E263" s="13" t="s">
        <v>118</v>
      </c>
      <c r="F263" s="13" t="s">
        <v>167</v>
      </c>
      <c r="G263" s="13" t="s">
        <v>1236</v>
      </c>
      <c r="H263" s="13" t="s">
        <v>121</v>
      </c>
      <c r="I263" s="13" t="s">
        <v>147</v>
      </c>
      <c r="J263" s="13" t="s">
        <v>5</v>
      </c>
      <c r="K263" s="13" t="s">
        <v>123</v>
      </c>
      <c r="L263" s="13" t="s">
        <v>1237</v>
      </c>
      <c r="M263" s="13" t="s">
        <v>125</v>
      </c>
      <c r="N263" s="13" t="s">
        <v>126</v>
      </c>
      <c r="O263" s="247">
        <v>0.4</v>
      </c>
      <c r="P263" s="13">
        <v>113</v>
      </c>
      <c r="Q263" s="13">
        <v>30</v>
      </c>
      <c r="R263" s="13" t="s">
        <v>127</v>
      </c>
      <c r="S263" s="430" t="str">
        <f t="shared" si="96"/>
        <v>N/A</v>
      </c>
      <c r="T263" s="247">
        <v>0.8</v>
      </c>
      <c r="U263" s="13">
        <v>200</v>
      </c>
      <c r="V263" s="13">
        <v>600</v>
      </c>
      <c r="W263" s="430">
        <f t="shared" ref="W263:W326" si="120">V263-U263</f>
        <v>400</v>
      </c>
      <c r="X263" s="430">
        <f t="shared" ref="X263:X326" si="121">AD263*10-V263</f>
        <v>230</v>
      </c>
      <c r="Y263" s="13">
        <v>150</v>
      </c>
      <c r="Z263" s="13">
        <v>650</v>
      </c>
      <c r="AA263" s="430">
        <f t="shared" si="97"/>
        <v>500</v>
      </c>
      <c r="AB263" s="430">
        <f t="shared" si="98"/>
        <v>180</v>
      </c>
      <c r="AC263" s="430" t="str">
        <f t="shared" si="99"/>
        <v>N/A</v>
      </c>
      <c r="AD263" s="430">
        <f t="shared" si="100"/>
        <v>83</v>
      </c>
      <c r="AE263" s="431">
        <f t="shared" si="101"/>
        <v>1.1320000000000001</v>
      </c>
      <c r="AF263" s="431"/>
      <c r="AG263" s="431">
        <f t="shared" si="102"/>
        <v>1.0100707964601769</v>
      </c>
      <c r="AH263" s="431">
        <f t="shared" si="103"/>
        <v>1.0706750442477875</v>
      </c>
      <c r="AI263" s="432">
        <f t="shared" si="104"/>
        <v>874.04208000000006</v>
      </c>
      <c r="AJ263" s="432">
        <f t="shared" si="105"/>
        <v>147.6728869610053</v>
      </c>
      <c r="AK263" s="432">
        <f t="shared" si="106"/>
        <v>161.46891045122629</v>
      </c>
      <c r="AL263" s="432">
        <f t="shared" si="107"/>
        <v>320.97689434263378</v>
      </c>
      <c r="AM263" s="250">
        <v>120</v>
      </c>
      <c r="AN263" s="432">
        <f t="shared" si="108"/>
        <v>135.6</v>
      </c>
      <c r="AO263" s="432">
        <f t="shared" si="109"/>
        <v>145.18353599999998</v>
      </c>
      <c r="AP263" s="432">
        <f t="shared" si="110"/>
        <v>483.94511999999992</v>
      </c>
      <c r="AQ263" s="255">
        <v>45100</v>
      </c>
      <c r="AR263" s="13" t="s">
        <v>506</v>
      </c>
      <c r="AS263" s="434" t="s">
        <v>1238</v>
      </c>
      <c r="AT263" s="429"/>
      <c r="AU263" s="241"/>
      <c r="AV263" s="243"/>
      <c r="AW263" s="72" t="s">
        <v>127</v>
      </c>
      <c r="AX263" s="243"/>
      <c r="AY263" s="71">
        <f t="shared" si="118"/>
        <v>0.53097345132743368</v>
      </c>
      <c r="BA263" s="72" t="str">
        <f t="shared" si="119"/>
        <v>W22</v>
      </c>
      <c r="BB263" s="72" t="str">
        <f>IF(R263="n/a","Clear","S/B")</f>
        <v>Clear</v>
      </c>
      <c r="BC263" s="32"/>
      <c r="BD263" s="241"/>
      <c r="BE263" s="241"/>
      <c r="BF263" s="71"/>
      <c r="BG263" s="241"/>
      <c r="BH263" s="241"/>
      <c r="BI263" s="71"/>
      <c r="BJ263" s="123"/>
      <c r="BK263" s="123"/>
      <c r="BL263" s="126"/>
      <c r="BM263" s="123"/>
      <c r="BN263" s="123"/>
      <c r="BO263" s="108"/>
      <c r="BP263" s="108"/>
      <c r="BQ263" s="124"/>
      <c r="BR263" s="124"/>
      <c r="BS263" s="71"/>
      <c r="BU263" s="78"/>
      <c r="BV263" s="32"/>
      <c r="BW263" s="127"/>
      <c r="BX263" s="78"/>
      <c r="BY263" s="78"/>
      <c r="BZ263" s="127"/>
      <c r="CA263" s="76"/>
    </row>
    <row r="264" spans="1:79" s="72" customFormat="1">
      <c r="A264" s="13" t="s">
        <v>466</v>
      </c>
      <c r="B264" s="13" t="s">
        <v>1239</v>
      </c>
      <c r="C264" s="13" t="s">
        <v>573</v>
      </c>
      <c r="D264" s="387" t="s">
        <v>1240</v>
      </c>
      <c r="E264" s="13" t="s">
        <v>118</v>
      </c>
      <c r="F264" s="13" t="s">
        <v>167</v>
      </c>
      <c r="G264" s="13" t="s">
        <v>1241</v>
      </c>
      <c r="H264" s="13" t="s">
        <v>121</v>
      </c>
      <c r="I264" s="13" t="s">
        <v>147</v>
      </c>
      <c r="J264" s="13" t="s">
        <v>5</v>
      </c>
      <c r="K264" s="13" t="s">
        <v>123</v>
      </c>
      <c r="L264" s="13" t="s">
        <v>1242</v>
      </c>
      <c r="M264" s="13" t="s">
        <v>125</v>
      </c>
      <c r="N264" s="13" t="s">
        <v>126</v>
      </c>
      <c r="O264" s="247">
        <v>0.19</v>
      </c>
      <c r="P264" s="13">
        <v>130</v>
      </c>
      <c r="Q264" s="13">
        <v>30</v>
      </c>
      <c r="R264" s="13" t="s">
        <v>127</v>
      </c>
      <c r="S264" s="430" t="str">
        <f t="shared" si="96"/>
        <v>N/A</v>
      </c>
      <c r="T264" s="247">
        <v>0.8</v>
      </c>
      <c r="U264" s="13">
        <v>200</v>
      </c>
      <c r="V264" s="13">
        <v>600</v>
      </c>
      <c r="W264" s="430">
        <f t="shared" si="120"/>
        <v>400</v>
      </c>
      <c r="X264" s="430">
        <f t="shared" si="121"/>
        <v>400</v>
      </c>
      <c r="Y264" s="13">
        <v>200</v>
      </c>
      <c r="Z264" s="13">
        <v>650</v>
      </c>
      <c r="AA264" s="430">
        <f t="shared" si="97"/>
        <v>450</v>
      </c>
      <c r="AB264" s="430">
        <f t="shared" si="98"/>
        <v>350</v>
      </c>
      <c r="AC264" s="430" t="str">
        <f t="shared" si="99"/>
        <v>N/A</v>
      </c>
      <c r="AD264" s="430">
        <f t="shared" si="100"/>
        <v>100</v>
      </c>
      <c r="AE264" s="431">
        <f t="shared" si="101"/>
        <v>0.99</v>
      </c>
      <c r="AF264" s="431"/>
      <c r="AG264" s="431">
        <f t="shared" si="102"/>
        <v>0.91692307692307695</v>
      </c>
      <c r="AH264" s="431">
        <f t="shared" si="103"/>
        <v>0.97193846153846164</v>
      </c>
      <c r="AI264" s="432">
        <f t="shared" si="104"/>
        <v>860.36998800000003</v>
      </c>
      <c r="AJ264" s="432">
        <f t="shared" si="105"/>
        <v>168.85425054531115</v>
      </c>
      <c r="AK264" s="432">
        <f t="shared" si="106"/>
        <v>184.62909760685673</v>
      </c>
      <c r="AL264" s="432">
        <f t="shared" si="107"/>
        <v>367.01600444026406</v>
      </c>
      <c r="AM264" s="250">
        <v>120</v>
      </c>
      <c r="AN264" s="432">
        <f t="shared" si="108"/>
        <v>156</v>
      </c>
      <c r="AO264" s="432">
        <f t="shared" si="109"/>
        <v>151.62240000000003</v>
      </c>
      <c r="AP264" s="432">
        <f t="shared" si="110"/>
        <v>505.40800000000013</v>
      </c>
      <c r="AQ264" s="255">
        <v>44986</v>
      </c>
      <c r="AR264" s="13" t="s">
        <v>1243</v>
      </c>
      <c r="AS264" s="434" t="s">
        <v>1244</v>
      </c>
      <c r="AT264" s="429" t="s">
        <v>1245</v>
      </c>
      <c r="AU264" s="241"/>
      <c r="AV264" s="243"/>
      <c r="AW264" s="72" t="s">
        <v>127</v>
      </c>
      <c r="AX264" s="243"/>
      <c r="AY264" s="103">
        <f t="shared" si="118"/>
        <v>0.46153846153846156</v>
      </c>
      <c r="BA264" s="72" t="str">
        <f t="shared" si="119"/>
        <v>W22</v>
      </c>
      <c r="BB264" s="72" t="str">
        <f>IF(R264="n/a","Clear","S/B")</f>
        <v>Clear</v>
      </c>
      <c r="BC264" s="32"/>
      <c r="BD264" s="241"/>
      <c r="BE264" s="241"/>
      <c r="BF264" s="71"/>
      <c r="BG264" s="241"/>
      <c r="BH264" s="241"/>
      <c r="BI264" s="71"/>
      <c r="BJ264" s="123"/>
      <c r="BK264" s="123"/>
      <c r="BL264" s="126"/>
      <c r="BM264" s="123"/>
      <c r="BN264" s="123"/>
      <c r="BO264" s="108"/>
      <c r="BP264" s="108"/>
      <c r="BQ264" s="124"/>
      <c r="BR264" s="124"/>
      <c r="BS264" s="71"/>
      <c r="BU264" s="78"/>
      <c r="BV264" s="32"/>
      <c r="BW264" s="127"/>
      <c r="BX264" s="78"/>
      <c r="BY264" s="78"/>
      <c r="BZ264" s="127"/>
      <c r="CA264" s="76"/>
    </row>
    <row r="265" spans="1:79" s="72" customFormat="1">
      <c r="A265" s="13" t="s">
        <v>466</v>
      </c>
      <c r="B265" s="13" t="s">
        <v>1239</v>
      </c>
      <c r="C265" s="13" t="s">
        <v>573</v>
      </c>
      <c r="D265" s="387" t="s">
        <v>1246</v>
      </c>
      <c r="E265" s="13" t="s">
        <v>118</v>
      </c>
      <c r="F265" s="13" t="s">
        <v>119</v>
      </c>
      <c r="G265" s="13" t="s">
        <v>1247</v>
      </c>
      <c r="H265" s="13" t="s">
        <v>121</v>
      </c>
      <c r="I265" s="13" t="s">
        <v>147</v>
      </c>
      <c r="J265" s="13" t="s">
        <v>5</v>
      </c>
      <c r="K265" s="13" t="s">
        <v>123</v>
      </c>
      <c r="L265" s="13" t="s">
        <v>1248</v>
      </c>
      <c r="M265" s="13" t="s">
        <v>125</v>
      </c>
      <c r="N265" s="13" t="s">
        <v>126</v>
      </c>
      <c r="O265" s="247">
        <v>0.18</v>
      </c>
      <c r="P265" s="13">
        <v>122</v>
      </c>
      <c r="Q265" s="13">
        <v>30</v>
      </c>
      <c r="R265" s="13" t="s">
        <v>127</v>
      </c>
      <c r="S265" s="430" t="str">
        <f t="shared" ref="S265:S328" si="122">IF(R265="n/a","N/A",P265-R265)</f>
        <v>N/A</v>
      </c>
      <c r="T265" s="247">
        <v>0.8</v>
      </c>
      <c r="U265" s="13">
        <v>200</v>
      </c>
      <c r="V265" s="13">
        <v>600</v>
      </c>
      <c r="W265" s="430">
        <f t="shared" si="120"/>
        <v>400</v>
      </c>
      <c r="X265" s="430">
        <f t="shared" si="121"/>
        <v>320</v>
      </c>
      <c r="Y265" s="13">
        <v>200</v>
      </c>
      <c r="Z265" s="13">
        <v>600</v>
      </c>
      <c r="AA265" s="430">
        <f t="shared" ref="AA265:AA328" si="123">Z265-Y265</f>
        <v>400</v>
      </c>
      <c r="AB265" s="430">
        <f t="shared" ref="AB265:AB328" si="124">AD265*10-Z265</f>
        <v>320</v>
      </c>
      <c r="AC265" s="430" t="str">
        <f t="shared" ref="AC265:AC328" si="125">IF(J265="clear","N/A",((Q265-R265)*10))</f>
        <v>N/A</v>
      </c>
      <c r="AD265" s="430">
        <f t="shared" ref="AD265:AD328" si="126">P265-Q265</f>
        <v>92</v>
      </c>
      <c r="AE265" s="431">
        <f t="shared" ref="AE265:AE328" si="127">T265+(O265/100*AD265)</f>
        <v>0.96560000000000001</v>
      </c>
      <c r="AF265" s="431"/>
      <c r="AG265" s="431">
        <f t="shared" ref="AG265:AG328" si="128">(((T265+(0.5*(AE265-T265)))*AD265)+(AE265*Q265))/P265</f>
        <v>0.90316065573770499</v>
      </c>
      <c r="AH265" s="431">
        <f t="shared" ref="AH265:AH328" si="129">IF(MID(G265,2,2)="10",(AG265/1000*$W$2),(IF(MID(G265,2,2)="11",(AG265/1000*$X$2),(IF(MID(G265,2,2)="12",(AG265/1000*$Y$2),(IF(MID(G265,2,2)="13",(AG265/1000*$Z$2),(IF(MID(G265,2,2)="20",(AG265/1000*$AA$2),(IF(MID(G265,2,2)="21",(AG265/1000*$AB$2),(IF(MID(G265,2,2)="22",(AG265/1000*$AC$2),(IF(MID(G265,2,2)="23",(AG265/1000*$AD$2),(IF(MID(G265,2,2)="50",(AG265/1000*$AE$2),(IF(MID(G265,2,2)="51",(AG265/1000*$AG$2),"?")))))))))))))))))))</f>
        <v>0.95735029508196734</v>
      </c>
      <c r="AI265" s="432">
        <f t="shared" ref="AI265:AI328" si="130">IF(MID(G265,2,2)="10",((T265+O265*(6.142)/100)*$W$2),(IF(MID(G265,2,2)="11",((T265+O265*(6.142)/100)*$X$2),(IF(MID(G265,2,2)="12",((T265+O265*(6.142)/100)*$Y$2),(IF(MID(G265,2,2)="13",((T265+O265*(6.142)/100)*$Z$2),(IF(MID(G265,2,2)="20",((T265+O265*(6.142)/100)*$AA$2),(IF(MID(G265,2,2)="21",((T265+O265*(6.142)/100)*$AB$2),(IF(MID(G265,2,2)="22",((T265+O265*(6.142)/100)*$AC$2),(IF(MID(G265,2,2)="23",((T265+O265*(6.142)/100)*$AD$2),(IF(MID(G265,2,2)="50",((T265+O265*(6.142)/100)*$AE$2),(IF(MID(G265,2,2)="51",((T265+O265*(6.142)/100)*$AG$2),"?")))))))))))))))))))</f>
        <v>859.7189360000001</v>
      </c>
      <c r="AJ265" s="432">
        <f t="shared" ref="AJ265:AJ328" si="131">(PI()*((49/2)^2-(16.51/2)^2)/(AE265/10))/100</f>
        <v>173.12107294931445</v>
      </c>
      <c r="AK265" s="432">
        <f t="shared" ref="AK265:AK328" si="132">(PI()*((51/2)^2-(16.545/2)^2)/(AE265/10))/100</f>
        <v>189.29453876427939</v>
      </c>
      <c r="AL265" s="432">
        <f t="shared" ref="AL265:AL328" si="133">(PI()*((70/2)^2-(16.545/2)^2)/(AE265/10))/100</f>
        <v>376.29022824757811</v>
      </c>
      <c r="AM265" s="250">
        <v>189</v>
      </c>
      <c r="AN265" s="432">
        <f t="shared" ref="AN265:AN328" si="134">AM265*P265/100</f>
        <v>230.58</v>
      </c>
      <c r="AO265" s="432">
        <f t="shared" ref="AO265:AO328" si="135">AN265*AH265</f>
        <v>220.74583104000004</v>
      </c>
      <c r="AP265" s="432">
        <f t="shared" ref="AP265:AP328" si="136">AO265/(Q265/100)</f>
        <v>735.81943680000018</v>
      </c>
      <c r="AQ265" s="255">
        <v>45130</v>
      </c>
      <c r="AR265" s="13" t="s">
        <v>1081</v>
      </c>
      <c r="AS265" s="429" t="s">
        <v>1249</v>
      </c>
      <c r="AT265" s="13"/>
      <c r="AU265" s="252"/>
      <c r="AV265" s="260"/>
      <c r="AW265" s="72" t="s">
        <v>127</v>
      </c>
      <c r="AX265" s="243"/>
      <c r="AY265" s="103">
        <f t="shared" si="118"/>
        <v>0.49180327868852458</v>
      </c>
      <c r="BA265" s="13" t="str">
        <f t="shared" si="119"/>
        <v>W22</v>
      </c>
      <c r="BB265" s="72" t="str">
        <f>IF(R265="n/a","Clear","S/B")</f>
        <v>Clear</v>
      </c>
      <c r="BC265" s="32"/>
      <c r="BD265" s="241"/>
      <c r="BE265" s="241"/>
      <c r="BF265" s="71"/>
      <c r="BG265" s="241"/>
      <c r="BH265" s="241"/>
      <c r="BI265" s="71"/>
      <c r="BJ265" s="114"/>
      <c r="BK265" s="111"/>
      <c r="BL265" s="112"/>
      <c r="BM265" s="111"/>
      <c r="BN265" s="123"/>
      <c r="BO265" s="83"/>
      <c r="BP265" s="88"/>
      <c r="BQ265" s="115"/>
      <c r="BR265" s="152"/>
      <c r="BS265" s="80"/>
      <c r="BT265" s="22"/>
      <c r="BU265" s="87"/>
      <c r="BV265" s="73"/>
      <c r="BW265" s="109"/>
      <c r="BX265" s="87"/>
      <c r="BY265" s="87"/>
      <c r="BZ265" s="109"/>
      <c r="CA265" s="76"/>
    </row>
    <row r="266" spans="1:79" s="72" customFormat="1">
      <c r="A266" s="13" t="s">
        <v>466</v>
      </c>
      <c r="B266" s="13" t="s">
        <v>1239</v>
      </c>
      <c r="C266" s="13" t="s">
        <v>357</v>
      </c>
      <c r="D266" s="387" t="s">
        <v>1250</v>
      </c>
      <c r="E266" s="13" t="s">
        <v>118</v>
      </c>
      <c r="F266" s="13" t="s">
        <v>119</v>
      </c>
      <c r="G266" s="13" t="s">
        <v>1251</v>
      </c>
      <c r="H266" s="13" t="s">
        <v>121</v>
      </c>
      <c r="I266" s="13" t="s">
        <v>147</v>
      </c>
      <c r="J266" s="13" t="s">
        <v>5</v>
      </c>
      <c r="K266" s="13" t="s">
        <v>123</v>
      </c>
      <c r="L266" s="13" t="s">
        <v>1252</v>
      </c>
      <c r="M266" s="13" t="s">
        <v>125</v>
      </c>
      <c r="N266" s="13" t="s">
        <v>126</v>
      </c>
      <c r="O266" s="247">
        <v>0.25</v>
      </c>
      <c r="P266" s="13">
        <v>102</v>
      </c>
      <c r="Q266" s="13">
        <v>30</v>
      </c>
      <c r="R266" s="13" t="s">
        <v>127</v>
      </c>
      <c r="S266" s="430" t="str">
        <f t="shared" si="122"/>
        <v>N/A</v>
      </c>
      <c r="T266" s="247">
        <v>0.8</v>
      </c>
      <c r="U266" s="13">
        <v>200</v>
      </c>
      <c r="V266" s="13">
        <v>600</v>
      </c>
      <c r="W266" s="430">
        <f t="shared" si="120"/>
        <v>400</v>
      </c>
      <c r="X266" s="430">
        <f t="shared" si="121"/>
        <v>120</v>
      </c>
      <c r="Y266" s="13">
        <v>200</v>
      </c>
      <c r="Z266" s="13">
        <v>600</v>
      </c>
      <c r="AA266" s="430">
        <f t="shared" si="123"/>
        <v>400</v>
      </c>
      <c r="AB266" s="430">
        <f t="shared" si="124"/>
        <v>120</v>
      </c>
      <c r="AC266" s="430" t="str">
        <f t="shared" si="125"/>
        <v>N/A</v>
      </c>
      <c r="AD266" s="430">
        <f t="shared" si="126"/>
        <v>72</v>
      </c>
      <c r="AE266" s="431">
        <f t="shared" si="127"/>
        <v>0.98</v>
      </c>
      <c r="AF266" s="431"/>
      <c r="AG266" s="431">
        <f t="shared" si="128"/>
        <v>0.91647058823529404</v>
      </c>
      <c r="AH266" s="431">
        <f t="shared" si="129"/>
        <v>0.9714588235294116</v>
      </c>
      <c r="AI266" s="432">
        <f t="shared" si="130"/>
        <v>864.27630000000011</v>
      </c>
      <c r="AJ266" s="432">
        <f t="shared" si="131"/>
        <v>170.57725310189596</v>
      </c>
      <c r="AK266" s="432">
        <f t="shared" si="132"/>
        <v>186.51306799060018</v>
      </c>
      <c r="AL266" s="432">
        <f t="shared" si="133"/>
        <v>370.76106571006267</v>
      </c>
      <c r="AM266" s="250">
        <v>187</v>
      </c>
      <c r="AN266" s="432">
        <f t="shared" si="134"/>
        <v>190.74</v>
      </c>
      <c r="AO266" s="432">
        <f t="shared" si="135"/>
        <v>185.29605599999996</v>
      </c>
      <c r="AP266" s="432">
        <f t="shared" si="136"/>
        <v>617.65351999999996</v>
      </c>
      <c r="AQ266" s="255">
        <v>45261</v>
      </c>
      <c r="AR266" s="13" t="s">
        <v>1253</v>
      </c>
      <c r="AS266" s="434" t="s">
        <v>1254</v>
      </c>
      <c r="AT266" s="429"/>
      <c r="AU266" s="241"/>
      <c r="AV266" s="243"/>
      <c r="AX266" s="243"/>
      <c r="AY266" s="103">
        <f t="shared" si="118"/>
        <v>0.58823529411764708</v>
      </c>
      <c r="BA266" s="13" t="str">
        <f t="shared" si="119"/>
        <v>W22</v>
      </c>
      <c r="BC266" s="32"/>
      <c r="BD266" s="241"/>
      <c r="BE266" s="241"/>
      <c r="BF266" s="71"/>
      <c r="BG266" s="241"/>
      <c r="BH266" s="241"/>
      <c r="BI266" s="71"/>
      <c r="BJ266" s="123"/>
      <c r="BK266" s="123"/>
      <c r="BL266" s="126"/>
      <c r="BM266" s="123"/>
      <c r="BN266" s="123"/>
      <c r="BO266" s="108"/>
      <c r="BP266" s="108"/>
      <c r="BQ266" s="141"/>
      <c r="BR266" s="71"/>
      <c r="BS266" s="71"/>
      <c r="BT266" s="13">
        <f>P266-V266/10-120/10</f>
        <v>30</v>
      </c>
      <c r="BU266" s="79">
        <f>BT266-Q266</f>
        <v>0</v>
      </c>
      <c r="BV266" s="29">
        <f>T266+(O266/100*(P266-BT266))</f>
        <v>0.98</v>
      </c>
      <c r="BW266" s="86">
        <f>(AE266-BV266)/AE266</f>
        <v>0</v>
      </c>
      <c r="BX266" s="79">
        <f>(PI()*((51/2)^2-(16.545/2)^2)/(BV266/10))/100</f>
        <v>186.51306799060018</v>
      </c>
      <c r="BY266" s="79">
        <f>BX266-AK266</f>
        <v>0</v>
      </c>
      <c r="BZ266" s="86">
        <f>BY266/AK266</f>
        <v>0</v>
      </c>
      <c r="CA266" s="76"/>
    </row>
    <row r="267" spans="1:79" s="72" customFormat="1">
      <c r="A267" s="13" t="s">
        <v>466</v>
      </c>
      <c r="B267" s="13" t="s">
        <v>1239</v>
      </c>
      <c r="C267" s="13" t="s">
        <v>650</v>
      </c>
      <c r="D267" s="387" t="s">
        <v>1255</v>
      </c>
      <c r="E267" s="13" t="s">
        <v>118</v>
      </c>
      <c r="F267" s="13" t="s">
        <v>167</v>
      </c>
      <c r="G267" s="13" t="s">
        <v>1256</v>
      </c>
      <c r="H267" s="13" t="s">
        <v>121</v>
      </c>
      <c r="I267" s="13" t="s">
        <v>147</v>
      </c>
      <c r="J267" s="13" t="s">
        <v>5</v>
      </c>
      <c r="K267" s="13" t="s">
        <v>123</v>
      </c>
      <c r="L267" s="13" t="s">
        <v>1257</v>
      </c>
      <c r="M267" s="13" t="s">
        <v>125</v>
      </c>
      <c r="N267" s="13" t="s">
        <v>126</v>
      </c>
      <c r="O267" s="247">
        <v>0.64</v>
      </c>
      <c r="P267" s="13">
        <v>110</v>
      </c>
      <c r="Q267" s="13">
        <v>30</v>
      </c>
      <c r="R267" s="13" t="s">
        <v>127</v>
      </c>
      <c r="S267" s="430" t="str">
        <f t="shared" si="122"/>
        <v>N/A</v>
      </c>
      <c r="T267" s="247">
        <v>0.8</v>
      </c>
      <c r="U267" s="13">
        <v>200</v>
      </c>
      <c r="V267" s="13">
        <v>600</v>
      </c>
      <c r="W267" s="430">
        <f t="shared" si="120"/>
        <v>400</v>
      </c>
      <c r="X267" s="430">
        <f t="shared" si="121"/>
        <v>200</v>
      </c>
      <c r="Y267" s="13">
        <v>150</v>
      </c>
      <c r="Z267" s="13">
        <v>600</v>
      </c>
      <c r="AA267" s="430">
        <f t="shared" si="123"/>
        <v>450</v>
      </c>
      <c r="AB267" s="430">
        <f t="shared" si="124"/>
        <v>200</v>
      </c>
      <c r="AC267" s="430" t="str">
        <f t="shared" si="125"/>
        <v>N/A</v>
      </c>
      <c r="AD267" s="430">
        <f t="shared" si="126"/>
        <v>80</v>
      </c>
      <c r="AE267" s="431">
        <f t="shared" si="127"/>
        <v>1.3120000000000001</v>
      </c>
      <c r="AF267" s="431"/>
      <c r="AG267" s="431">
        <f t="shared" si="128"/>
        <v>1.1258181818181818</v>
      </c>
      <c r="AH267" s="431">
        <f t="shared" si="129"/>
        <v>1.1933672727272728</v>
      </c>
      <c r="AI267" s="432">
        <f t="shared" si="130"/>
        <v>889.66732800000011</v>
      </c>
      <c r="AJ267" s="432">
        <f t="shared" si="131"/>
        <v>127.41288722550155</v>
      </c>
      <c r="AK267" s="432">
        <f t="shared" si="132"/>
        <v>139.31616359053976</v>
      </c>
      <c r="AL267" s="432">
        <f t="shared" si="133"/>
        <v>276.94043017977242</v>
      </c>
      <c r="AM267" s="250">
        <v>120</v>
      </c>
      <c r="AN267" s="432">
        <f t="shared" si="134"/>
        <v>132</v>
      </c>
      <c r="AO267" s="432">
        <f t="shared" si="135"/>
        <v>157.52448000000001</v>
      </c>
      <c r="AP267" s="432">
        <f t="shared" si="136"/>
        <v>525.08160000000009</v>
      </c>
      <c r="AQ267" s="255">
        <v>44927</v>
      </c>
      <c r="AR267" s="13" t="s">
        <v>545</v>
      </c>
      <c r="AS267" s="434" t="s">
        <v>1258</v>
      </c>
      <c r="AT267" s="429" t="s">
        <v>1259</v>
      </c>
      <c r="AU267" s="241"/>
      <c r="AV267" s="243"/>
      <c r="AW267" s="72" t="s">
        <v>127</v>
      </c>
      <c r="AX267" s="243"/>
      <c r="AY267" s="103">
        <f t="shared" si="118"/>
        <v>0.54545454545454541</v>
      </c>
      <c r="BA267" s="13" t="str">
        <f t="shared" si="119"/>
        <v>W22</v>
      </c>
      <c r="BB267" s="72" t="str">
        <f>IF(R267="n/a","Clear","S/B")</f>
        <v>Clear</v>
      </c>
      <c r="BC267" s="32">
        <f>IF(Q267="","",((P267/100*O267)+T267))</f>
        <v>1.504</v>
      </c>
      <c r="BD267" s="241">
        <f>IF(BC267="","",((PI()*((51/2)^2-(16.545/2)^2)/(BC267/10))/100))</f>
        <v>121.53112143004532</v>
      </c>
      <c r="BE267" s="241">
        <f>IF(BC267="","",(BD267-AK267))</f>
        <v>-17.785042160494442</v>
      </c>
      <c r="BF267" s="71">
        <f>IF(BC267="","",(BE267/AK267))</f>
        <v>-0.12765957446808512</v>
      </c>
      <c r="BG267" s="241">
        <f>IF(BF267="","",((PI()*((70/2)^2-(16.545/2)^2)/(BC267/10))/100))</f>
        <v>241.58633271001426</v>
      </c>
      <c r="BH267" s="241">
        <f>IF(BF267="","",(BG267-AL267))</f>
        <v>-35.354097469758159</v>
      </c>
      <c r="BI267" s="71">
        <f>IF(BG267="","",(BH267/AL267))</f>
        <v>-0.12765957446808501</v>
      </c>
      <c r="BJ267" s="123"/>
      <c r="BK267" s="108"/>
      <c r="BL267" s="126"/>
      <c r="BM267" s="108"/>
      <c r="BN267" s="71"/>
      <c r="BO267" s="108"/>
      <c r="BP267" s="108"/>
      <c r="BQ267" s="124">
        <v>20760</v>
      </c>
      <c r="BR267" s="155"/>
      <c r="BS267" s="71"/>
      <c r="BT267" s="72">
        <f>P267-V267/10-120/10</f>
        <v>38</v>
      </c>
      <c r="BU267" s="78">
        <f>BT267-Q267</f>
        <v>8</v>
      </c>
      <c r="BV267" s="32">
        <f>T267+(O267/100*(P267-BT267))</f>
        <v>1.2608000000000001</v>
      </c>
      <c r="BW267" s="127">
        <f>(AE267-BV267)/AE267</f>
        <v>3.902439024390237E-2</v>
      </c>
      <c r="BX267" s="78">
        <f>(PI()*((51/2)^2-(16.545/2)^2)/(BV267/10))/100</f>
        <v>144.97367277188144</v>
      </c>
      <c r="BY267" s="78">
        <f>BX267-AK267</f>
        <v>5.6575091813416805</v>
      </c>
      <c r="BZ267" s="127">
        <f>BY267/AK267</f>
        <v>4.060913705583731E-2</v>
      </c>
      <c r="CA267" s="76"/>
    </row>
    <row r="268" spans="1:79" s="72" customFormat="1" ht="29.1">
      <c r="A268" s="13" t="s">
        <v>466</v>
      </c>
      <c r="B268" s="13" t="s">
        <v>1239</v>
      </c>
      <c r="C268" s="13" t="s">
        <v>650</v>
      </c>
      <c r="D268" s="387" t="s">
        <v>1260</v>
      </c>
      <c r="E268" s="13" t="s">
        <v>118</v>
      </c>
      <c r="F268" s="13" t="s">
        <v>186</v>
      </c>
      <c r="G268" s="13" t="s">
        <v>1261</v>
      </c>
      <c r="H268" s="13" t="s">
        <v>121</v>
      </c>
      <c r="I268" s="13" t="s">
        <v>147</v>
      </c>
      <c r="J268" s="13" t="s">
        <v>5</v>
      </c>
      <c r="K268" s="13" t="s">
        <v>123</v>
      </c>
      <c r="L268" s="13" t="s">
        <v>1262</v>
      </c>
      <c r="M268" s="13" t="s">
        <v>125</v>
      </c>
      <c r="N268" s="13" t="s">
        <v>126</v>
      </c>
      <c r="O268" s="247">
        <v>0.57999999999999996</v>
      </c>
      <c r="P268" s="13">
        <v>110</v>
      </c>
      <c r="Q268" s="13">
        <v>30</v>
      </c>
      <c r="R268" s="13" t="s">
        <v>127</v>
      </c>
      <c r="S268" s="430" t="str">
        <f t="shared" si="122"/>
        <v>N/A</v>
      </c>
      <c r="T268" s="247">
        <v>0.8</v>
      </c>
      <c r="U268" s="13">
        <v>200</v>
      </c>
      <c r="V268" s="13">
        <v>600</v>
      </c>
      <c r="W268" s="430">
        <f t="shared" si="120"/>
        <v>400</v>
      </c>
      <c r="X268" s="430">
        <f t="shared" si="121"/>
        <v>200</v>
      </c>
      <c r="Y268" s="13">
        <v>150</v>
      </c>
      <c r="Z268" s="13">
        <v>600</v>
      </c>
      <c r="AA268" s="430">
        <f t="shared" si="123"/>
        <v>450</v>
      </c>
      <c r="AB268" s="430">
        <f t="shared" si="124"/>
        <v>200</v>
      </c>
      <c r="AC268" s="430" t="str">
        <f t="shared" si="125"/>
        <v>N/A</v>
      </c>
      <c r="AD268" s="430">
        <f t="shared" si="126"/>
        <v>80</v>
      </c>
      <c r="AE268" s="431">
        <f t="shared" si="127"/>
        <v>1.264</v>
      </c>
      <c r="AF268" s="431"/>
      <c r="AG268" s="431">
        <f t="shared" si="128"/>
        <v>1.0952727272727274</v>
      </c>
      <c r="AH268" s="431">
        <f t="shared" si="129"/>
        <v>1.1609890909090912</v>
      </c>
      <c r="AI268" s="432">
        <f t="shared" si="130"/>
        <v>885.76101600000004</v>
      </c>
      <c r="AJ268" s="432">
        <f t="shared" si="131"/>
        <v>132.25135129735602</v>
      </c>
      <c r="AK268" s="432">
        <f t="shared" si="132"/>
        <v>144.60665081549695</v>
      </c>
      <c r="AL268" s="432">
        <f t="shared" si="133"/>
        <v>287.45715537647266</v>
      </c>
      <c r="AM268" s="250">
        <v>145</v>
      </c>
      <c r="AN268" s="432">
        <f t="shared" si="134"/>
        <v>159.5</v>
      </c>
      <c r="AO268" s="432">
        <f t="shared" si="135"/>
        <v>185.17776000000003</v>
      </c>
      <c r="AP268" s="432">
        <f t="shared" si="136"/>
        <v>617.25920000000019</v>
      </c>
      <c r="AQ268" s="255">
        <v>44986</v>
      </c>
      <c r="AR268" s="13" t="s">
        <v>1263</v>
      </c>
      <c r="AS268" s="434" t="s">
        <v>1264</v>
      </c>
      <c r="AT268" s="429" t="s">
        <v>1265</v>
      </c>
      <c r="AU268" s="253"/>
      <c r="AV268" s="268"/>
      <c r="AW268" s="77" t="s">
        <v>127</v>
      </c>
      <c r="AX268" s="268"/>
      <c r="AY268" s="102">
        <f t="shared" si="118"/>
        <v>0.54545454545454541</v>
      </c>
      <c r="AZ268" s="77"/>
      <c r="BA268" s="38" t="str">
        <f t="shared" si="119"/>
        <v>W22</v>
      </c>
      <c r="BB268" s="77" t="str">
        <f>IF(R268="n/a","Clear","S/B")</f>
        <v>Clear</v>
      </c>
      <c r="BC268" s="264"/>
      <c r="BD268" s="253"/>
      <c r="BE268" s="253"/>
      <c r="BF268" s="100"/>
      <c r="BG268" s="253"/>
      <c r="BH268" s="253"/>
      <c r="BI268" s="100"/>
      <c r="BJ268" s="143"/>
      <c r="BK268" s="139"/>
      <c r="BL268" s="191"/>
      <c r="BM268" s="139"/>
      <c r="BN268" s="162"/>
      <c r="BO268" s="101"/>
      <c r="BP268" s="130"/>
      <c r="BQ268" s="144"/>
      <c r="BR268" s="140"/>
      <c r="BS268" s="100"/>
      <c r="BT268" s="38"/>
      <c r="BU268" s="288"/>
      <c r="BV268" s="248"/>
      <c r="BW268" s="173"/>
      <c r="BX268" s="288"/>
      <c r="BY268" s="288"/>
      <c r="BZ268" s="173"/>
      <c r="CA268" s="271"/>
    </row>
    <row r="269" spans="1:79" s="72" customFormat="1">
      <c r="A269" s="13" t="s">
        <v>466</v>
      </c>
      <c r="B269" s="13" t="s">
        <v>1239</v>
      </c>
      <c r="C269" s="13" t="s">
        <v>135</v>
      </c>
      <c r="D269" s="387" t="s">
        <v>1117</v>
      </c>
      <c r="E269" s="13" t="s">
        <v>118</v>
      </c>
      <c r="F269" s="13" t="s">
        <v>119</v>
      </c>
      <c r="G269" s="13" t="s">
        <v>1266</v>
      </c>
      <c r="H269" s="13" t="s">
        <v>389</v>
      </c>
      <c r="I269" s="13" t="s">
        <v>139</v>
      </c>
      <c r="J269" s="13" t="s">
        <v>5</v>
      </c>
      <c r="K269" s="13" t="s">
        <v>140</v>
      </c>
      <c r="L269" s="13"/>
      <c r="M269" s="13"/>
      <c r="N269" s="13" t="s">
        <v>142</v>
      </c>
      <c r="O269" s="247">
        <v>0.48</v>
      </c>
      <c r="P269" s="13">
        <v>98</v>
      </c>
      <c r="Q269" s="13">
        <v>30</v>
      </c>
      <c r="R269" s="13" t="s">
        <v>127</v>
      </c>
      <c r="S269" s="430" t="str">
        <f t="shared" si="122"/>
        <v>N/A</v>
      </c>
      <c r="T269" s="247">
        <v>0.76</v>
      </c>
      <c r="U269" s="13">
        <v>150</v>
      </c>
      <c r="V269" s="13">
        <v>550</v>
      </c>
      <c r="W269" s="430">
        <f t="shared" si="120"/>
        <v>400</v>
      </c>
      <c r="X269" s="430">
        <f t="shared" si="121"/>
        <v>130</v>
      </c>
      <c r="Y269" s="13">
        <v>150</v>
      </c>
      <c r="Z269" s="13">
        <v>550</v>
      </c>
      <c r="AA269" s="430">
        <f t="shared" si="123"/>
        <v>400</v>
      </c>
      <c r="AB269" s="430">
        <f t="shared" si="124"/>
        <v>130</v>
      </c>
      <c r="AC269" s="430" t="str">
        <f t="shared" si="125"/>
        <v>N/A</v>
      </c>
      <c r="AD269" s="430">
        <f t="shared" si="126"/>
        <v>68</v>
      </c>
      <c r="AE269" s="431">
        <f t="shared" si="127"/>
        <v>1.0864</v>
      </c>
      <c r="AF269" s="431"/>
      <c r="AG269" s="431">
        <f t="shared" si="128"/>
        <v>0.97315918367346932</v>
      </c>
      <c r="AH269" s="431">
        <f t="shared" si="129"/>
        <v>1.036414530612245</v>
      </c>
      <c r="AI269" s="432">
        <f t="shared" si="130"/>
        <v>840.79790400000002</v>
      </c>
      <c r="AJ269" s="432">
        <f t="shared" si="131"/>
        <v>153.87123346820511</v>
      </c>
      <c r="AK269" s="432">
        <f t="shared" si="132"/>
        <v>168.24632421832493</v>
      </c>
      <c r="AL269" s="432">
        <f t="shared" si="133"/>
        <v>334.44941494464422</v>
      </c>
      <c r="AM269" s="250">
        <v>168</v>
      </c>
      <c r="AN269" s="432">
        <f t="shared" si="134"/>
        <v>164.64</v>
      </c>
      <c r="AO269" s="432">
        <f t="shared" si="135"/>
        <v>170.63528832</v>
      </c>
      <c r="AP269" s="432">
        <f t="shared" si="136"/>
        <v>568.78429440000002</v>
      </c>
      <c r="AQ269" s="255" t="s">
        <v>132</v>
      </c>
      <c r="AR269" s="13" t="s">
        <v>1267</v>
      </c>
      <c r="AS269" s="434"/>
      <c r="AT269" s="429" t="s">
        <v>1268</v>
      </c>
      <c r="AU269" s="241"/>
      <c r="AV269" s="243"/>
      <c r="AX269" s="243"/>
      <c r="AY269" s="103"/>
      <c r="BA269" s="13" t="str">
        <f t="shared" si="119"/>
        <v>W50</v>
      </c>
      <c r="BC269" s="32"/>
      <c r="BD269" s="241"/>
      <c r="BE269" s="241"/>
      <c r="BF269" s="71"/>
      <c r="BG269" s="241"/>
      <c r="BH269" s="241"/>
      <c r="BI269" s="71"/>
      <c r="BJ269" s="123"/>
      <c r="BK269" s="108"/>
      <c r="BL269" s="126"/>
      <c r="BM269" s="108"/>
      <c r="BN269" s="71"/>
      <c r="BO269" s="108"/>
      <c r="BP269" s="108"/>
      <c r="BQ269" s="115"/>
      <c r="BR269" s="152"/>
      <c r="BS269" s="71"/>
      <c r="BT269" s="13"/>
      <c r="BU269" s="79"/>
      <c r="BV269" s="29"/>
      <c r="BW269" s="86"/>
      <c r="BX269" s="79"/>
      <c r="BY269" s="79"/>
      <c r="BZ269" s="86"/>
      <c r="CA269" s="76"/>
    </row>
    <row r="270" spans="1:79" s="72" customFormat="1">
      <c r="A270" s="13" t="s">
        <v>466</v>
      </c>
      <c r="B270" s="13" t="s">
        <v>1239</v>
      </c>
      <c r="C270" s="13" t="s">
        <v>135</v>
      </c>
      <c r="D270" s="387" t="s">
        <v>1117</v>
      </c>
      <c r="E270" s="13" t="s">
        <v>118</v>
      </c>
      <c r="F270" s="13" t="s">
        <v>119</v>
      </c>
      <c r="G270" s="13" t="s">
        <v>1269</v>
      </c>
      <c r="H270" s="13" t="s">
        <v>389</v>
      </c>
      <c r="I270" s="13" t="s">
        <v>139</v>
      </c>
      <c r="J270" s="13" t="s">
        <v>5</v>
      </c>
      <c r="K270" s="13" t="s">
        <v>140</v>
      </c>
      <c r="L270" s="13" t="s">
        <v>1270</v>
      </c>
      <c r="M270" s="13"/>
      <c r="N270" s="13" t="s">
        <v>142</v>
      </c>
      <c r="O270" s="247">
        <v>0.48</v>
      </c>
      <c r="P270" s="13">
        <v>98</v>
      </c>
      <c r="Q270" s="13">
        <v>30</v>
      </c>
      <c r="R270" s="13" t="s">
        <v>127</v>
      </c>
      <c r="S270" s="430" t="str">
        <f t="shared" si="122"/>
        <v>N/A</v>
      </c>
      <c r="T270" s="247">
        <v>0.76</v>
      </c>
      <c r="U270" s="13">
        <v>150</v>
      </c>
      <c r="V270" s="13">
        <v>550</v>
      </c>
      <c r="W270" s="430">
        <f t="shared" si="120"/>
        <v>400</v>
      </c>
      <c r="X270" s="430">
        <f t="shared" si="121"/>
        <v>130</v>
      </c>
      <c r="Y270" s="13">
        <v>150</v>
      </c>
      <c r="Z270" s="13">
        <v>600</v>
      </c>
      <c r="AA270" s="430">
        <f t="shared" si="123"/>
        <v>450</v>
      </c>
      <c r="AB270" s="430">
        <f t="shared" si="124"/>
        <v>80</v>
      </c>
      <c r="AC270" s="430" t="str">
        <f t="shared" si="125"/>
        <v>N/A</v>
      </c>
      <c r="AD270" s="430">
        <f t="shared" si="126"/>
        <v>68</v>
      </c>
      <c r="AE270" s="431">
        <f t="shared" si="127"/>
        <v>1.0864</v>
      </c>
      <c r="AF270" s="431"/>
      <c r="AG270" s="431">
        <f t="shared" si="128"/>
        <v>0.97315918367346932</v>
      </c>
      <c r="AH270" s="431">
        <f t="shared" si="129"/>
        <v>1.036414530612245</v>
      </c>
      <c r="AI270" s="432">
        <f t="shared" si="130"/>
        <v>840.79790400000002</v>
      </c>
      <c r="AJ270" s="432">
        <f t="shared" si="131"/>
        <v>153.87123346820511</v>
      </c>
      <c r="AK270" s="432">
        <f t="shared" si="132"/>
        <v>168.24632421832493</v>
      </c>
      <c r="AL270" s="432">
        <f t="shared" si="133"/>
        <v>334.44941494464422</v>
      </c>
      <c r="AM270" s="250">
        <v>120</v>
      </c>
      <c r="AN270" s="432">
        <f t="shared" si="134"/>
        <v>117.6</v>
      </c>
      <c r="AO270" s="432">
        <f t="shared" si="135"/>
        <v>121.8823488</v>
      </c>
      <c r="AP270" s="432">
        <f t="shared" si="136"/>
        <v>406.274496</v>
      </c>
      <c r="AQ270" s="255" t="s">
        <v>132</v>
      </c>
      <c r="AR270" s="13" t="s">
        <v>1243</v>
      </c>
      <c r="AS270" s="434" t="s">
        <v>1271</v>
      </c>
      <c r="AT270" s="429"/>
      <c r="AU270" s="241"/>
      <c r="AV270" s="243"/>
      <c r="AW270" s="72" t="s">
        <v>127</v>
      </c>
      <c r="AX270" s="243"/>
      <c r="AY270" s="71">
        <f>(V270/10)/P270</f>
        <v>0.56122448979591832</v>
      </c>
      <c r="BA270" s="72" t="str">
        <f t="shared" si="119"/>
        <v>W50</v>
      </c>
      <c r="BB270" s="72" t="str">
        <f>IF(R270="n/a","Clear","S/B")</f>
        <v>Clear</v>
      </c>
      <c r="BC270" s="32"/>
      <c r="BD270" s="241"/>
      <c r="BE270" s="241"/>
      <c r="BF270" s="71"/>
      <c r="BG270" s="241"/>
      <c r="BH270" s="241"/>
      <c r="BI270" s="71"/>
      <c r="BJ270" s="123"/>
      <c r="BK270" s="108"/>
      <c r="BL270" s="126"/>
      <c r="BM270" s="108"/>
      <c r="BN270" s="71"/>
      <c r="BO270" s="108"/>
      <c r="BP270" s="108"/>
      <c r="BQ270" s="151"/>
      <c r="BR270" s="113"/>
      <c r="BS270" s="80"/>
      <c r="BT270" s="22"/>
      <c r="BU270" s="87"/>
      <c r="BV270" s="73"/>
      <c r="BW270" s="109"/>
      <c r="BX270" s="87"/>
      <c r="BY270" s="87"/>
      <c r="BZ270" s="109"/>
      <c r="CA270" s="76"/>
    </row>
    <row r="271" spans="1:79" s="77" customFormat="1">
      <c r="A271" s="13" t="s">
        <v>466</v>
      </c>
      <c r="B271" s="13" t="s">
        <v>1239</v>
      </c>
      <c r="C271" s="13" t="s">
        <v>135</v>
      </c>
      <c r="D271" s="387" t="s">
        <v>1117</v>
      </c>
      <c r="E271" s="13" t="s">
        <v>118</v>
      </c>
      <c r="F271" s="13" t="s">
        <v>167</v>
      </c>
      <c r="G271" s="13" t="s">
        <v>1272</v>
      </c>
      <c r="H271" s="13" t="s">
        <v>121</v>
      </c>
      <c r="I271" s="13" t="s">
        <v>147</v>
      </c>
      <c r="J271" s="13" t="s">
        <v>5</v>
      </c>
      <c r="K271" s="13" t="s">
        <v>123</v>
      </c>
      <c r="L271" s="13" t="s">
        <v>1273</v>
      </c>
      <c r="M271" s="13" t="s">
        <v>125</v>
      </c>
      <c r="N271" s="13" t="s">
        <v>126</v>
      </c>
      <c r="O271" s="247">
        <v>0.6</v>
      </c>
      <c r="P271" s="13">
        <v>91</v>
      </c>
      <c r="Q271" s="13">
        <v>30</v>
      </c>
      <c r="R271" s="13" t="s">
        <v>127</v>
      </c>
      <c r="S271" s="430" t="str">
        <f t="shared" si="122"/>
        <v>N/A</v>
      </c>
      <c r="T271" s="247">
        <v>0.8</v>
      </c>
      <c r="U271" s="13">
        <v>175</v>
      </c>
      <c r="V271" s="13">
        <v>375</v>
      </c>
      <c r="W271" s="430">
        <f t="shared" si="120"/>
        <v>200</v>
      </c>
      <c r="X271" s="430">
        <f t="shared" si="121"/>
        <v>235</v>
      </c>
      <c r="Y271" s="13">
        <v>100</v>
      </c>
      <c r="Z271" s="13">
        <v>500</v>
      </c>
      <c r="AA271" s="430">
        <f t="shared" si="123"/>
        <v>400</v>
      </c>
      <c r="AB271" s="430">
        <f t="shared" si="124"/>
        <v>110</v>
      </c>
      <c r="AC271" s="430" t="str">
        <f t="shared" si="125"/>
        <v>N/A</v>
      </c>
      <c r="AD271" s="430">
        <f t="shared" si="126"/>
        <v>61</v>
      </c>
      <c r="AE271" s="431">
        <f t="shared" si="127"/>
        <v>1.1659999999999999</v>
      </c>
      <c r="AF271" s="431"/>
      <c r="AG271" s="431">
        <f t="shared" si="128"/>
        <v>1.0433296703296704</v>
      </c>
      <c r="AH271" s="431">
        <f t="shared" si="129"/>
        <v>1.1059294505494506</v>
      </c>
      <c r="AI271" s="432">
        <f t="shared" si="130"/>
        <v>887.06312000000003</v>
      </c>
      <c r="AJ271" s="432">
        <f t="shared" si="131"/>
        <v>143.36681650073587</v>
      </c>
      <c r="AK271" s="432">
        <f t="shared" si="132"/>
        <v>156.7605545718595</v>
      </c>
      <c r="AL271" s="432">
        <f t="shared" si="133"/>
        <v>311.61736226060162</v>
      </c>
      <c r="AM271" s="250">
        <v>50</v>
      </c>
      <c r="AN271" s="432">
        <f t="shared" si="134"/>
        <v>45.5</v>
      </c>
      <c r="AO271" s="432">
        <f t="shared" si="135"/>
        <v>50.319790000000005</v>
      </c>
      <c r="AP271" s="432">
        <f t="shared" si="136"/>
        <v>167.73263333333335</v>
      </c>
      <c r="AQ271" s="255">
        <v>44896</v>
      </c>
      <c r="AR271" s="13" t="s">
        <v>500</v>
      </c>
      <c r="AS271" s="434"/>
      <c r="AT271" s="429" t="s">
        <v>1274</v>
      </c>
      <c r="AU271" s="241"/>
      <c r="AV271" s="243"/>
      <c r="AW271" s="72" t="s">
        <v>127</v>
      </c>
      <c r="AX271" s="243"/>
      <c r="AY271" s="71">
        <f>(V271/10)/P271</f>
        <v>0.41208791208791207</v>
      </c>
      <c r="AZ271" s="72"/>
      <c r="BA271" s="72" t="str">
        <f t="shared" si="119"/>
        <v>W22</v>
      </c>
      <c r="BB271" s="72" t="str">
        <f>IF(R271="n/a","Clear","S/B")</f>
        <v>Clear</v>
      </c>
      <c r="BC271" s="32">
        <f>IF(Q271="","",((P271/100*O271)+T271))</f>
        <v>1.3460000000000001</v>
      </c>
      <c r="BD271" s="241">
        <f>IF(BC271="","",((PI()*((51/2)^2-(16.545/2)^2)/(BC271/10))/100))</f>
        <v>135.79703315808928</v>
      </c>
      <c r="BE271" s="241">
        <f>IF(BC271="","",(BD271-AK271))</f>
        <v>-20.963521413770223</v>
      </c>
      <c r="BF271" s="71">
        <f>IF(BC271="","",(BE271/AK271))</f>
        <v>-0.13372956909361075</v>
      </c>
      <c r="BG271" s="241">
        <f>IF(BF271="","",((PI()*((70/2)^2-(16.545/2)^2)/(BC271/10))/100))</f>
        <v>269.94490668340381</v>
      </c>
      <c r="BH271" s="241">
        <f>IF(BF271="","",(BG271-AL271))</f>
        <v>-41.672455577197809</v>
      </c>
      <c r="BI271" s="71">
        <f>IF(BG271="","",(BH271/AL271))</f>
        <v>-0.13372956909361061</v>
      </c>
      <c r="BJ271" s="123"/>
      <c r="BK271" s="123"/>
      <c r="BL271" s="126"/>
      <c r="BM271" s="123"/>
      <c r="BN271" s="123"/>
      <c r="BO271" s="123"/>
      <c r="BP271" s="108"/>
      <c r="BQ271" s="124"/>
      <c r="BR271" s="124"/>
      <c r="BS271" s="71"/>
      <c r="BT271" s="72"/>
      <c r="BU271" s="78"/>
      <c r="BV271" s="32"/>
      <c r="BW271" s="127"/>
      <c r="BX271" s="78"/>
      <c r="BY271" s="78"/>
      <c r="BZ271" s="127"/>
      <c r="CA271" s="76"/>
    </row>
    <row r="272" spans="1:79" s="72" customFormat="1">
      <c r="A272" s="13" t="s">
        <v>466</v>
      </c>
      <c r="B272" s="13" t="s">
        <v>1239</v>
      </c>
      <c r="C272" s="13" t="s">
        <v>135</v>
      </c>
      <c r="D272" s="387" t="s">
        <v>1275</v>
      </c>
      <c r="E272" s="13" t="s">
        <v>118</v>
      </c>
      <c r="F272" s="13" t="s">
        <v>167</v>
      </c>
      <c r="G272" s="13" t="s">
        <v>1276</v>
      </c>
      <c r="H272" s="13" t="s">
        <v>121</v>
      </c>
      <c r="I272" s="13" t="s">
        <v>147</v>
      </c>
      <c r="J272" s="13" t="s">
        <v>5</v>
      </c>
      <c r="K272" s="13" t="s">
        <v>123</v>
      </c>
      <c r="L272" s="13" t="s">
        <v>1277</v>
      </c>
      <c r="M272" s="13" t="s">
        <v>125</v>
      </c>
      <c r="N272" s="13" t="s">
        <v>126</v>
      </c>
      <c r="O272" s="247">
        <v>0.36</v>
      </c>
      <c r="P272" s="13">
        <v>97</v>
      </c>
      <c r="Q272" s="13">
        <v>30</v>
      </c>
      <c r="R272" s="13" t="s">
        <v>127</v>
      </c>
      <c r="S272" s="430" t="str">
        <f t="shared" si="122"/>
        <v>N/A</v>
      </c>
      <c r="T272" s="247">
        <v>0.8</v>
      </c>
      <c r="U272" s="13">
        <v>175</v>
      </c>
      <c r="V272" s="13">
        <v>375</v>
      </c>
      <c r="W272" s="430">
        <f t="shared" si="120"/>
        <v>200</v>
      </c>
      <c r="X272" s="430">
        <f t="shared" si="121"/>
        <v>295</v>
      </c>
      <c r="Y272" s="13">
        <v>100</v>
      </c>
      <c r="Z272" s="13">
        <v>500</v>
      </c>
      <c r="AA272" s="430">
        <f t="shared" si="123"/>
        <v>400</v>
      </c>
      <c r="AB272" s="430">
        <f t="shared" si="124"/>
        <v>170</v>
      </c>
      <c r="AC272" s="430" t="str">
        <f t="shared" si="125"/>
        <v>N/A</v>
      </c>
      <c r="AD272" s="430">
        <f t="shared" si="126"/>
        <v>67</v>
      </c>
      <c r="AE272" s="431">
        <f t="shared" si="127"/>
        <v>1.0412000000000001</v>
      </c>
      <c r="AF272" s="431"/>
      <c r="AG272" s="431">
        <f t="shared" si="128"/>
        <v>0.95789896907216499</v>
      </c>
      <c r="AH272" s="431">
        <f t="shared" si="129"/>
        <v>1.0153729072164948</v>
      </c>
      <c r="AI272" s="432">
        <f t="shared" si="130"/>
        <v>871.43787200000008</v>
      </c>
      <c r="AJ272" s="432">
        <f t="shared" si="131"/>
        <v>160.55100656920669</v>
      </c>
      <c r="AK272" s="432">
        <f t="shared" si="132"/>
        <v>175.55014082864784</v>
      </c>
      <c r="AL272" s="432">
        <f t="shared" si="133"/>
        <v>348.96834844012812</v>
      </c>
      <c r="AM272" s="250">
        <v>50</v>
      </c>
      <c r="AN272" s="432">
        <f t="shared" si="134"/>
        <v>48.5</v>
      </c>
      <c r="AO272" s="432">
        <f t="shared" si="135"/>
        <v>49.245585999999996</v>
      </c>
      <c r="AP272" s="432">
        <f t="shared" si="136"/>
        <v>164.15195333333332</v>
      </c>
      <c r="AQ272" s="255">
        <v>44896</v>
      </c>
      <c r="AR272" s="13" t="s">
        <v>500</v>
      </c>
      <c r="AS272" s="434"/>
      <c r="AT272" s="429"/>
      <c r="AU272" s="241"/>
      <c r="AV272" s="243"/>
      <c r="AW272" s="72" t="s">
        <v>127</v>
      </c>
      <c r="AX272" s="243"/>
      <c r="AY272" s="71">
        <f>(V272/10)/P272</f>
        <v>0.38659793814432991</v>
      </c>
      <c r="BA272" s="72" t="str">
        <f t="shared" si="119"/>
        <v>W22</v>
      </c>
      <c r="BB272" s="72" t="str">
        <f>IF(R272="n/a","Clear","S/B")</f>
        <v>Clear</v>
      </c>
      <c r="BC272" s="32">
        <f>IF(Q272="","",((P272/100*O272)+T272))</f>
        <v>1.1492</v>
      </c>
      <c r="BD272" s="241">
        <f>IF(BC272="","",((PI()*((51/2)^2-(16.545/2)^2)/(BC272/10))/100))</f>
        <v>159.05221600312231</v>
      </c>
      <c r="BE272" s="241">
        <f>IF(BC272="","",(BD272-AK272))</f>
        <v>-16.49792482552553</v>
      </c>
      <c r="BF272" s="71">
        <f>IF(BC272="","",(BE272/AK272))</f>
        <v>-9.3978419770274838E-2</v>
      </c>
      <c r="BG272" s="241">
        <f>IF(BF272="","",((PI()*((70/2)^2-(16.545/2)^2)/(BC272/10))/100))</f>
        <v>316.17285450388226</v>
      </c>
      <c r="BH272" s="241">
        <f>IF(BF272="","",(BG272-AL272))</f>
        <v>-32.795493936245862</v>
      </c>
      <c r="BI272" s="71">
        <f>IF(BG272="","",(BH272/AL272))</f>
        <v>-9.397841977027474E-2</v>
      </c>
      <c r="BJ272" s="123"/>
      <c r="BK272" s="123"/>
      <c r="BL272" s="126"/>
      <c r="BM272" s="123"/>
      <c r="BN272" s="123"/>
      <c r="BO272" s="123"/>
      <c r="BP272" s="108"/>
      <c r="BQ272" s="115"/>
      <c r="BR272" s="113">
        <v>2182</v>
      </c>
      <c r="BS272" s="80"/>
      <c r="BT272" s="22"/>
      <c r="BU272" s="87"/>
      <c r="BV272" s="73"/>
      <c r="BW272" s="109"/>
      <c r="BX272" s="87"/>
      <c r="BY272" s="87"/>
      <c r="BZ272" s="109"/>
      <c r="CA272" s="76"/>
    </row>
    <row r="273" spans="1:79" s="72" customFormat="1">
      <c r="A273" s="13" t="s">
        <v>466</v>
      </c>
      <c r="B273" s="13" t="s">
        <v>1239</v>
      </c>
      <c r="C273" s="13" t="s">
        <v>135</v>
      </c>
      <c r="D273" s="13" t="s">
        <v>1275</v>
      </c>
      <c r="E273" s="13" t="s">
        <v>118</v>
      </c>
      <c r="F273" s="13" t="s">
        <v>167</v>
      </c>
      <c r="G273" s="13" t="s">
        <v>1278</v>
      </c>
      <c r="H273" s="13" t="s">
        <v>389</v>
      </c>
      <c r="I273" s="13" t="s">
        <v>139</v>
      </c>
      <c r="J273" s="13" t="s">
        <v>5</v>
      </c>
      <c r="K273" s="13" t="s">
        <v>140</v>
      </c>
      <c r="L273" s="13" t="s">
        <v>1279</v>
      </c>
      <c r="M273" s="13"/>
      <c r="N273" s="13" t="s">
        <v>142</v>
      </c>
      <c r="O273" s="247">
        <v>0.62</v>
      </c>
      <c r="P273" s="13">
        <v>95</v>
      </c>
      <c r="Q273" s="13">
        <v>25</v>
      </c>
      <c r="R273" s="13" t="s">
        <v>127</v>
      </c>
      <c r="S273" s="430" t="str">
        <f t="shared" si="122"/>
        <v>N/A</v>
      </c>
      <c r="T273" s="247">
        <v>0.76</v>
      </c>
      <c r="U273" s="13">
        <v>150</v>
      </c>
      <c r="V273" s="13">
        <v>500</v>
      </c>
      <c r="W273" s="430">
        <f t="shared" si="120"/>
        <v>350</v>
      </c>
      <c r="X273" s="430">
        <f t="shared" si="121"/>
        <v>200</v>
      </c>
      <c r="Y273" s="13">
        <v>150</v>
      </c>
      <c r="Z273" s="13">
        <v>600</v>
      </c>
      <c r="AA273" s="430">
        <f t="shared" si="123"/>
        <v>450</v>
      </c>
      <c r="AB273" s="430">
        <f t="shared" si="124"/>
        <v>100</v>
      </c>
      <c r="AC273" s="430" t="str">
        <f t="shared" si="125"/>
        <v>N/A</v>
      </c>
      <c r="AD273" s="430">
        <f t="shared" si="126"/>
        <v>70</v>
      </c>
      <c r="AE273" s="431">
        <f t="shared" si="127"/>
        <v>1.194</v>
      </c>
      <c r="AF273" s="431"/>
      <c r="AG273" s="431">
        <f t="shared" si="128"/>
        <v>1.0341052631578946</v>
      </c>
      <c r="AH273" s="431">
        <f t="shared" si="129"/>
        <v>1.1013221052631577</v>
      </c>
      <c r="AI273" s="432">
        <f t="shared" si="130"/>
        <v>849.95562600000005</v>
      </c>
      <c r="AJ273" s="432">
        <f t="shared" si="131"/>
        <v>140.00478060289618</v>
      </c>
      <c r="AK273" s="432">
        <f t="shared" si="132"/>
        <v>153.08442766397673</v>
      </c>
      <c r="AL273" s="432">
        <f t="shared" si="133"/>
        <v>304.30975242534464</v>
      </c>
      <c r="AM273" s="250">
        <v>153</v>
      </c>
      <c r="AN273" s="432">
        <f t="shared" si="134"/>
        <v>145.35</v>
      </c>
      <c r="AO273" s="432">
        <f t="shared" si="135"/>
        <v>160.07716799999997</v>
      </c>
      <c r="AP273" s="432">
        <f t="shared" si="136"/>
        <v>640.30867199999989</v>
      </c>
      <c r="AQ273" s="255">
        <v>45130</v>
      </c>
      <c r="AR273" s="13" t="s">
        <v>1280</v>
      </c>
      <c r="AS273" s="434" t="s">
        <v>1281</v>
      </c>
      <c r="AT273" s="429" t="s">
        <v>1282</v>
      </c>
      <c r="AU273" s="241"/>
      <c r="AV273" s="243"/>
      <c r="AW273" s="72" t="s">
        <v>127</v>
      </c>
      <c r="AX273" s="243"/>
      <c r="AY273" s="71">
        <f>(V273/10)/P273</f>
        <v>0.52631578947368418</v>
      </c>
      <c r="BA273" s="72" t="str">
        <f t="shared" si="119"/>
        <v>W50</v>
      </c>
      <c r="BB273" s="72" t="str">
        <f>IF(R196="n/a","Clear","S/B")</f>
        <v>Clear</v>
      </c>
      <c r="BC273" s="32"/>
      <c r="BD273" s="241"/>
      <c r="BE273" s="241"/>
      <c r="BF273" s="71"/>
      <c r="BG273" s="241"/>
      <c r="BH273" s="241"/>
      <c r="BI273" s="71"/>
      <c r="BJ273" s="123"/>
      <c r="BK273" s="108"/>
      <c r="BL273" s="126"/>
      <c r="BM273" s="108"/>
      <c r="BN273" s="71"/>
      <c r="BO273" s="108"/>
      <c r="BP273" s="108"/>
      <c r="BQ273" s="124"/>
      <c r="BR273" s="124"/>
      <c r="BS273" s="71"/>
      <c r="BU273" s="78"/>
      <c r="BV273" s="32"/>
      <c r="BW273" s="127"/>
      <c r="BX273" s="78"/>
      <c r="BY273" s="78"/>
      <c r="BZ273" s="127"/>
      <c r="CA273" s="76"/>
    </row>
    <row r="274" spans="1:79" s="72" customFormat="1">
      <c r="A274" s="13" t="s">
        <v>466</v>
      </c>
      <c r="B274" s="13" t="s">
        <v>1239</v>
      </c>
      <c r="C274" s="13" t="s">
        <v>135</v>
      </c>
      <c r="D274" s="13" t="s">
        <v>1275</v>
      </c>
      <c r="E274" s="13" t="s">
        <v>118</v>
      </c>
      <c r="F274" s="13" t="s">
        <v>167</v>
      </c>
      <c r="G274" s="13" t="s">
        <v>1283</v>
      </c>
      <c r="H274" s="13" t="s">
        <v>389</v>
      </c>
      <c r="I274" s="13" t="s">
        <v>139</v>
      </c>
      <c r="J274" s="13" t="s">
        <v>5</v>
      </c>
      <c r="K274" s="13" t="s">
        <v>140</v>
      </c>
      <c r="L274" s="13" t="s">
        <v>1284</v>
      </c>
      <c r="M274" s="13"/>
      <c r="N274" s="13" t="s">
        <v>142</v>
      </c>
      <c r="O274" s="247">
        <v>0.62</v>
      </c>
      <c r="P274" s="13">
        <v>95</v>
      </c>
      <c r="Q274" s="13">
        <v>25</v>
      </c>
      <c r="R274" s="13" t="s">
        <v>127</v>
      </c>
      <c r="S274" s="430" t="str">
        <f t="shared" si="122"/>
        <v>N/A</v>
      </c>
      <c r="T274" s="247">
        <v>0.76</v>
      </c>
      <c r="U274" s="13">
        <v>150</v>
      </c>
      <c r="V274" s="13">
        <v>550</v>
      </c>
      <c r="W274" s="430">
        <f t="shared" si="120"/>
        <v>400</v>
      </c>
      <c r="X274" s="430">
        <f t="shared" si="121"/>
        <v>150</v>
      </c>
      <c r="Y274" s="13">
        <v>150</v>
      </c>
      <c r="Z274" s="13">
        <v>550</v>
      </c>
      <c r="AA274" s="430">
        <f t="shared" si="123"/>
        <v>400</v>
      </c>
      <c r="AB274" s="430">
        <f t="shared" si="124"/>
        <v>150</v>
      </c>
      <c r="AC274" s="430" t="str">
        <f t="shared" si="125"/>
        <v>N/A</v>
      </c>
      <c r="AD274" s="430">
        <f t="shared" si="126"/>
        <v>70</v>
      </c>
      <c r="AE274" s="431">
        <f t="shared" si="127"/>
        <v>1.194</v>
      </c>
      <c r="AF274" s="431"/>
      <c r="AG274" s="431">
        <f t="shared" si="128"/>
        <v>1.0341052631578946</v>
      </c>
      <c r="AH274" s="431">
        <f t="shared" si="129"/>
        <v>1.1013221052631577</v>
      </c>
      <c r="AI274" s="432">
        <f t="shared" si="130"/>
        <v>849.95562600000005</v>
      </c>
      <c r="AJ274" s="432">
        <f t="shared" si="131"/>
        <v>140.00478060289618</v>
      </c>
      <c r="AK274" s="432">
        <f t="shared" si="132"/>
        <v>153.08442766397673</v>
      </c>
      <c r="AL274" s="432">
        <f t="shared" si="133"/>
        <v>304.30975242534464</v>
      </c>
      <c r="AM274" s="250">
        <v>153</v>
      </c>
      <c r="AN274" s="432">
        <f t="shared" si="134"/>
        <v>145.35</v>
      </c>
      <c r="AO274" s="432">
        <f t="shared" si="135"/>
        <v>160.07716799999997</v>
      </c>
      <c r="AP274" s="432">
        <f t="shared" si="136"/>
        <v>640.30867199999989</v>
      </c>
      <c r="AQ274" s="255" t="s">
        <v>132</v>
      </c>
      <c r="AR274" s="13" t="s">
        <v>1285</v>
      </c>
      <c r="AS274" s="434" t="s">
        <v>1286</v>
      </c>
      <c r="AT274" s="429" t="s">
        <v>1287</v>
      </c>
      <c r="AU274" s="241"/>
      <c r="AV274" s="243"/>
      <c r="AX274" s="243"/>
      <c r="AY274" s="71">
        <f>(V274/10)/P274</f>
        <v>0.57894736842105265</v>
      </c>
      <c r="BA274" s="72" t="str">
        <f t="shared" si="119"/>
        <v>W50</v>
      </c>
      <c r="BC274" s="32"/>
      <c r="BD274" s="241"/>
      <c r="BE274" s="241"/>
      <c r="BF274" s="71"/>
      <c r="BG274" s="241"/>
      <c r="BH274" s="241"/>
      <c r="BI274" s="71"/>
      <c r="BJ274" s="123"/>
      <c r="BK274" s="108"/>
      <c r="BL274" s="126"/>
      <c r="BM274" s="108"/>
      <c r="BN274" s="71"/>
      <c r="BO274" s="108"/>
      <c r="BP274" s="108"/>
      <c r="BQ274" s="71"/>
      <c r="BR274" s="71"/>
      <c r="BS274" s="71"/>
      <c r="BT274" s="72">
        <f>P274-V274/10-120/10</f>
        <v>28</v>
      </c>
      <c r="BU274" s="78">
        <f>BT274-Q274</f>
        <v>3</v>
      </c>
      <c r="BV274" s="32">
        <f>T274+(O274/100*(P274-BT274))</f>
        <v>1.1754</v>
      </c>
      <c r="BW274" s="127">
        <f>(AE274-BV274)/AE274</f>
        <v>1.557788944723614E-2</v>
      </c>
      <c r="BX274" s="78">
        <f>(PI()*((51/2)^2-(16.545/2)^2)/(BV274/10))/100</f>
        <v>155.50689691236019</v>
      </c>
      <c r="BY274" s="78">
        <f>BX274-AK274</f>
        <v>2.4224692483834644</v>
      </c>
      <c r="BZ274" s="127">
        <f>BY274/AK274</f>
        <v>1.582440020418557E-2</v>
      </c>
      <c r="CA274" s="76"/>
    </row>
    <row r="275" spans="1:79" s="72" customFormat="1">
      <c r="A275" s="13" t="s">
        <v>466</v>
      </c>
      <c r="B275" s="387" t="s">
        <v>1239</v>
      </c>
      <c r="C275" s="13" t="s">
        <v>135</v>
      </c>
      <c r="D275" s="13" t="s">
        <v>1275</v>
      </c>
      <c r="E275" s="13" t="s">
        <v>118</v>
      </c>
      <c r="F275" s="13" t="s">
        <v>167</v>
      </c>
      <c r="G275" s="13" t="s">
        <v>1288</v>
      </c>
      <c r="H275" s="13" t="s">
        <v>389</v>
      </c>
      <c r="I275" s="13" t="s">
        <v>139</v>
      </c>
      <c r="J275" s="13" t="s">
        <v>5</v>
      </c>
      <c r="K275" s="13" t="s">
        <v>140</v>
      </c>
      <c r="L275" s="13"/>
      <c r="M275" s="13" t="s">
        <v>125</v>
      </c>
      <c r="N275" s="13" t="s">
        <v>142</v>
      </c>
      <c r="O275" s="247">
        <v>0.68</v>
      </c>
      <c r="P275" s="13">
        <v>95</v>
      </c>
      <c r="Q275" s="13">
        <v>20</v>
      </c>
      <c r="R275" s="13" t="s">
        <v>127</v>
      </c>
      <c r="S275" s="430" t="str">
        <f t="shared" si="122"/>
        <v>N/A</v>
      </c>
      <c r="T275" s="247">
        <v>0.76</v>
      </c>
      <c r="U275" s="13">
        <v>150</v>
      </c>
      <c r="V275" s="13">
        <v>550</v>
      </c>
      <c r="W275" s="430">
        <f t="shared" si="120"/>
        <v>400</v>
      </c>
      <c r="X275" s="430">
        <f t="shared" si="121"/>
        <v>200</v>
      </c>
      <c r="Y275" s="13">
        <v>150</v>
      </c>
      <c r="Z275" s="13">
        <v>550</v>
      </c>
      <c r="AA275" s="430">
        <f t="shared" si="123"/>
        <v>400</v>
      </c>
      <c r="AB275" s="430">
        <f t="shared" si="124"/>
        <v>200</v>
      </c>
      <c r="AC275" s="430" t="str">
        <f t="shared" si="125"/>
        <v>N/A</v>
      </c>
      <c r="AD275" s="430">
        <f t="shared" si="126"/>
        <v>75</v>
      </c>
      <c r="AE275" s="431">
        <f t="shared" si="127"/>
        <v>1.27</v>
      </c>
      <c r="AF275" s="431"/>
      <c r="AG275" s="431">
        <f t="shared" si="128"/>
        <v>1.0686842105263159</v>
      </c>
      <c r="AH275" s="431">
        <f t="shared" si="129"/>
        <v>1.1381486842105264</v>
      </c>
      <c r="AI275" s="432">
        <f t="shared" si="130"/>
        <v>853.88036399999999</v>
      </c>
      <c r="AJ275" s="432">
        <f t="shared" si="131"/>
        <v>131.62654176366775</v>
      </c>
      <c r="AK275" s="432">
        <f t="shared" si="132"/>
        <v>143.92346978802217</v>
      </c>
      <c r="AL275" s="432">
        <f t="shared" si="133"/>
        <v>286.09909007548146</v>
      </c>
      <c r="AM275" s="250">
        <v>144</v>
      </c>
      <c r="AN275" s="432">
        <f t="shared" si="134"/>
        <v>136.80000000000001</v>
      </c>
      <c r="AO275" s="432">
        <f t="shared" si="135"/>
        <v>155.69874000000002</v>
      </c>
      <c r="AP275" s="432">
        <f t="shared" si="136"/>
        <v>778.49369999999999</v>
      </c>
      <c r="AQ275" s="255" t="s">
        <v>132</v>
      </c>
      <c r="AR275" s="13" t="s">
        <v>828</v>
      </c>
      <c r="AS275" s="434"/>
      <c r="AT275" s="429"/>
      <c r="AU275" s="241"/>
      <c r="AV275" s="243"/>
      <c r="AX275" s="243"/>
      <c r="AY275" s="71"/>
      <c r="BC275" s="32"/>
      <c r="BD275" s="241"/>
      <c r="BE275" s="241"/>
      <c r="BF275" s="71"/>
      <c r="BG275" s="241"/>
      <c r="BH275" s="241"/>
      <c r="BI275" s="71"/>
      <c r="BJ275" s="123"/>
      <c r="BK275" s="108"/>
      <c r="BL275" s="126"/>
      <c r="BM275" s="108"/>
      <c r="BN275" s="71"/>
      <c r="BO275" s="108"/>
      <c r="BP275" s="108"/>
      <c r="BQ275" s="71"/>
      <c r="BR275" s="71"/>
      <c r="BS275" s="71"/>
      <c r="BU275" s="78"/>
      <c r="BV275" s="32"/>
      <c r="BW275" s="127"/>
      <c r="BX275" s="78"/>
      <c r="BY275" s="78"/>
      <c r="BZ275" s="127"/>
      <c r="CA275" s="76"/>
    </row>
    <row r="276" spans="1:79" s="72" customFormat="1">
      <c r="A276" s="13" t="s">
        <v>466</v>
      </c>
      <c r="B276" s="13" t="s">
        <v>1239</v>
      </c>
      <c r="C276" s="13" t="s">
        <v>135</v>
      </c>
      <c r="D276" s="387" t="s">
        <v>1289</v>
      </c>
      <c r="E276" s="13" t="s">
        <v>118</v>
      </c>
      <c r="F276" s="13" t="s">
        <v>119</v>
      </c>
      <c r="G276" s="13" t="s">
        <v>1290</v>
      </c>
      <c r="H276" s="13" t="s">
        <v>389</v>
      </c>
      <c r="I276" s="13" t="s">
        <v>139</v>
      </c>
      <c r="J276" s="13" t="s">
        <v>5</v>
      </c>
      <c r="K276" s="13" t="s">
        <v>140</v>
      </c>
      <c r="L276" s="13" t="s">
        <v>1291</v>
      </c>
      <c r="M276" s="13"/>
      <c r="N276" s="13" t="s">
        <v>142</v>
      </c>
      <c r="O276" s="247">
        <v>0.72</v>
      </c>
      <c r="P276" s="13">
        <v>86</v>
      </c>
      <c r="Q276" s="13">
        <v>15</v>
      </c>
      <c r="R276" s="13" t="s">
        <v>127</v>
      </c>
      <c r="S276" s="430" t="str">
        <f t="shared" si="122"/>
        <v>N/A</v>
      </c>
      <c r="T276" s="247">
        <v>0.76</v>
      </c>
      <c r="U276" s="13">
        <v>150</v>
      </c>
      <c r="V276" s="13">
        <v>550</v>
      </c>
      <c r="W276" s="430">
        <f t="shared" si="120"/>
        <v>400</v>
      </c>
      <c r="X276" s="430">
        <f t="shared" si="121"/>
        <v>160</v>
      </c>
      <c r="Y276" s="13">
        <v>150</v>
      </c>
      <c r="Z276" s="13">
        <v>550</v>
      </c>
      <c r="AA276" s="430">
        <f t="shared" si="123"/>
        <v>400</v>
      </c>
      <c r="AB276" s="430">
        <f t="shared" si="124"/>
        <v>160</v>
      </c>
      <c r="AC276" s="430" t="str">
        <f t="shared" si="125"/>
        <v>N/A</v>
      </c>
      <c r="AD276" s="430">
        <f t="shared" si="126"/>
        <v>71</v>
      </c>
      <c r="AE276" s="431">
        <f t="shared" si="127"/>
        <v>1.2711999999999999</v>
      </c>
      <c r="AF276" s="431"/>
      <c r="AG276" s="431">
        <f t="shared" si="128"/>
        <v>1.0601813953488373</v>
      </c>
      <c r="AH276" s="431">
        <f t="shared" si="129"/>
        <v>1.1290931860465117</v>
      </c>
      <c r="AI276" s="432">
        <f t="shared" si="130"/>
        <v>856.49685599999998</v>
      </c>
      <c r="AJ276" s="432">
        <f t="shared" si="131"/>
        <v>131.50228763362023</v>
      </c>
      <c r="AK276" s="432">
        <f t="shared" si="132"/>
        <v>143.78760748174025</v>
      </c>
      <c r="AL276" s="432">
        <f t="shared" si="133"/>
        <v>285.8290154152466</v>
      </c>
      <c r="AM276" s="250">
        <v>140</v>
      </c>
      <c r="AN276" s="432">
        <f t="shared" si="134"/>
        <v>120.4</v>
      </c>
      <c r="AO276" s="432">
        <f t="shared" si="135"/>
        <v>135.94281960000001</v>
      </c>
      <c r="AP276" s="432">
        <f t="shared" si="136"/>
        <v>906.28546400000005</v>
      </c>
      <c r="AQ276" s="255" t="s">
        <v>132</v>
      </c>
      <c r="AR276" s="13" t="s">
        <v>1292</v>
      </c>
      <c r="AS276" s="429" t="s">
        <v>1293</v>
      </c>
      <c r="AT276" s="429" t="s">
        <v>1294</v>
      </c>
      <c r="AU276" s="252"/>
      <c r="AV276" s="260"/>
      <c r="AX276" s="243"/>
      <c r="AY276" s="103"/>
      <c r="BA276" s="13"/>
      <c r="BC276" s="32"/>
      <c r="BD276" s="241"/>
      <c r="BE276" s="241"/>
      <c r="BF276" s="71"/>
      <c r="BG276" s="241"/>
      <c r="BH276" s="241"/>
      <c r="BI276" s="71"/>
      <c r="BJ276" s="114"/>
      <c r="BK276" s="111"/>
      <c r="BL276" s="112"/>
      <c r="BM276" s="111"/>
      <c r="BN276" s="123"/>
      <c r="BO276" s="83"/>
      <c r="BP276" s="88"/>
      <c r="BQ276" s="83"/>
      <c r="BR276" s="71"/>
      <c r="BS276" s="71"/>
      <c r="BT276" s="13">
        <f>P276-V276/10-120/10</f>
        <v>19</v>
      </c>
      <c r="BU276" s="79">
        <f>BT276-Q276</f>
        <v>4</v>
      </c>
      <c r="BV276" s="29">
        <f>T276+(O276/100*(P276-BT276))</f>
        <v>1.2423999999999999</v>
      </c>
      <c r="BW276" s="86">
        <f>(AE276-BV276)/AE276</f>
        <v>2.2655758338577674E-2</v>
      </c>
      <c r="BX276" s="79">
        <f>(PI()*((51/2)^2-(16.545/2)^2)/(BV276/10))/100</f>
        <v>147.12073940018365</v>
      </c>
      <c r="BY276" s="79">
        <f>BX276-AK276</f>
        <v>3.3331319184433994</v>
      </c>
      <c r="BZ276" s="86">
        <f>BY276/AK276</f>
        <v>2.3180940115904478E-2</v>
      </c>
      <c r="CA276" s="76"/>
    </row>
    <row r="277" spans="1:79" s="72" customFormat="1">
      <c r="A277" s="13" t="s">
        <v>466</v>
      </c>
      <c r="B277" s="387" t="s">
        <v>1239</v>
      </c>
      <c r="C277" s="13" t="s">
        <v>135</v>
      </c>
      <c r="D277" s="387" t="s">
        <v>1295</v>
      </c>
      <c r="E277" s="13" t="s">
        <v>118</v>
      </c>
      <c r="F277" s="13" t="s">
        <v>119</v>
      </c>
      <c r="G277" s="13" t="s">
        <v>1296</v>
      </c>
      <c r="H277" s="13" t="s">
        <v>121</v>
      </c>
      <c r="I277" s="13" t="s">
        <v>147</v>
      </c>
      <c r="J277" s="13" t="s">
        <v>5</v>
      </c>
      <c r="K277" s="13" t="s">
        <v>123</v>
      </c>
      <c r="L277" s="13" t="s">
        <v>1297</v>
      </c>
      <c r="M277" s="13" t="s">
        <v>125</v>
      </c>
      <c r="N277" s="13" t="s">
        <v>126</v>
      </c>
      <c r="O277" s="247">
        <v>0.62</v>
      </c>
      <c r="P277" s="13">
        <v>94</v>
      </c>
      <c r="Q277" s="13">
        <v>30</v>
      </c>
      <c r="R277" s="13" t="s">
        <v>127</v>
      </c>
      <c r="S277" s="430" t="str">
        <f t="shared" si="122"/>
        <v>N/A</v>
      </c>
      <c r="T277" s="247">
        <v>0.8</v>
      </c>
      <c r="U277" s="13">
        <v>120</v>
      </c>
      <c r="V277" s="13">
        <v>520</v>
      </c>
      <c r="W277" s="430">
        <f t="shared" si="120"/>
        <v>400</v>
      </c>
      <c r="X277" s="430">
        <f t="shared" si="121"/>
        <v>120</v>
      </c>
      <c r="Y277" s="13">
        <v>100</v>
      </c>
      <c r="Z277" s="13">
        <v>550</v>
      </c>
      <c r="AA277" s="430">
        <f t="shared" si="123"/>
        <v>450</v>
      </c>
      <c r="AB277" s="430">
        <f t="shared" si="124"/>
        <v>90</v>
      </c>
      <c r="AC277" s="430" t="str">
        <f t="shared" si="125"/>
        <v>N/A</v>
      </c>
      <c r="AD277" s="430">
        <f t="shared" si="126"/>
        <v>64</v>
      </c>
      <c r="AE277" s="431">
        <f t="shared" si="127"/>
        <v>1.1968000000000001</v>
      </c>
      <c r="AF277" s="431"/>
      <c r="AG277" s="431">
        <f t="shared" si="128"/>
        <v>1.0617191489361704</v>
      </c>
      <c r="AH277" s="431">
        <f t="shared" si="129"/>
        <v>1.1254222978723405</v>
      </c>
      <c r="AI277" s="432">
        <f t="shared" si="130"/>
        <v>888.36522400000001</v>
      </c>
      <c r="AJ277" s="432">
        <f t="shared" si="131"/>
        <v>139.67722931137868</v>
      </c>
      <c r="AK277" s="432">
        <f t="shared" si="132"/>
        <v>152.72627559390722</v>
      </c>
      <c r="AL277" s="432">
        <f t="shared" si="133"/>
        <v>303.59779779065963</v>
      </c>
      <c r="AM277" s="250">
        <v>120</v>
      </c>
      <c r="AN277" s="432">
        <f t="shared" si="134"/>
        <v>112.8</v>
      </c>
      <c r="AO277" s="432">
        <f t="shared" si="135"/>
        <v>126.94763520000001</v>
      </c>
      <c r="AP277" s="432">
        <f t="shared" si="136"/>
        <v>423.15878400000003</v>
      </c>
      <c r="AQ277" s="255">
        <v>45566</v>
      </c>
      <c r="AR277" s="13" t="s">
        <v>545</v>
      </c>
      <c r="AS277" s="434" t="s">
        <v>1298</v>
      </c>
      <c r="AT277" s="429" t="s">
        <v>1299</v>
      </c>
      <c r="AU277" s="241"/>
      <c r="AV277" s="243"/>
      <c r="AW277" s="13" t="s">
        <v>127</v>
      </c>
      <c r="AX277" s="260"/>
      <c r="AY277" s="103">
        <f>(V277/10)/P277</f>
        <v>0.55319148936170215</v>
      </c>
      <c r="AZ277" s="22"/>
      <c r="BA277" s="13" t="str">
        <f>LEFT(G277,3)</f>
        <v>W22</v>
      </c>
      <c r="BB277" s="72" t="str">
        <f>IF(R277="n/a","Clear","S/B")</f>
        <v>Clear</v>
      </c>
      <c r="BC277" s="32">
        <f>IF(Q277="","",((P277/100*O277)+T277))</f>
        <v>1.3828</v>
      </c>
      <c r="BD277" s="241">
        <f>IF(BC277="","",((PI()*((51/2)^2-(16.545/2)^2)/(BC277/10))/100))</f>
        <v>132.18311153513753</v>
      </c>
      <c r="BE277" s="241">
        <f>IF(BC277="","",(BD277-AK277))</f>
        <v>-20.54316405876969</v>
      </c>
      <c r="BF277" s="71">
        <f>IF(BC277="","",(BE277/AK277))</f>
        <v>-0.13450969048307773</v>
      </c>
      <c r="BG277" s="241">
        <f>IF(BF277="","",((PI()*((70/2)^2-(16.545/2)^2)/(BC277/10))/100))</f>
        <v>262.76095197849395</v>
      </c>
      <c r="BH277" s="241">
        <f>IF(BF277="","",(BG277-AL277))</f>
        <v>-40.836845812165677</v>
      </c>
      <c r="BI277" s="71">
        <f>IF(BG277="","",(BH277/AL277))</f>
        <v>-0.13450969048307784</v>
      </c>
      <c r="BJ277" s="123"/>
      <c r="BK277" s="108"/>
      <c r="BL277" s="126"/>
      <c r="BM277" s="108"/>
      <c r="BN277" s="123"/>
      <c r="BO277" s="123"/>
      <c r="BP277" s="123"/>
      <c r="BQ277" s="124"/>
      <c r="BR277" s="124"/>
      <c r="BS277" s="71"/>
      <c r="BU277" s="78"/>
      <c r="BV277" s="32"/>
      <c r="BW277" s="127"/>
      <c r="BX277" s="78"/>
      <c r="BY277" s="78"/>
      <c r="BZ277" s="127"/>
      <c r="CA277" s="76"/>
    </row>
    <row r="278" spans="1:79" s="72" customFormat="1">
      <c r="A278" s="13" t="s">
        <v>466</v>
      </c>
      <c r="B278" s="387" t="s">
        <v>1239</v>
      </c>
      <c r="C278" s="13" t="s">
        <v>135</v>
      </c>
      <c r="D278" s="13" t="s">
        <v>1300</v>
      </c>
      <c r="E278" s="13" t="s">
        <v>118</v>
      </c>
      <c r="F278" s="13" t="s">
        <v>119</v>
      </c>
      <c r="G278" s="13" t="s">
        <v>1301</v>
      </c>
      <c r="H278" s="13" t="s">
        <v>121</v>
      </c>
      <c r="I278" s="13" t="s">
        <v>147</v>
      </c>
      <c r="J278" s="13" t="s">
        <v>5</v>
      </c>
      <c r="K278" s="13" t="s">
        <v>123</v>
      </c>
      <c r="L278" s="13" t="s">
        <v>516</v>
      </c>
      <c r="M278" s="13" t="s">
        <v>1302</v>
      </c>
      <c r="N278" s="13" t="s">
        <v>126</v>
      </c>
      <c r="O278" s="247"/>
      <c r="P278" s="13"/>
      <c r="Q278" s="13"/>
      <c r="R278" s="13"/>
      <c r="S278" s="430">
        <f t="shared" si="122"/>
        <v>0</v>
      </c>
      <c r="T278" s="247"/>
      <c r="U278" s="13"/>
      <c r="V278" s="13"/>
      <c r="W278" s="430">
        <f t="shared" si="120"/>
        <v>0</v>
      </c>
      <c r="X278" s="430">
        <f t="shared" si="121"/>
        <v>0</v>
      </c>
      <c r="Y278" s="13"/>
      <c r="Z278" s="13"/>
      <c r="AA278" s="430">
        <f t="shared" si="123"/>
        <v>0</v>
      </c>
      <c r="AB278" s="430">
        <f t="shared" si="124"/>
        <v>0</v>
      </c>
      <c r="AC278" s="430" t="str">
        <f t="shared" si="125"/>
        <v>N/A</v>
      </c>
      <c r="AD278" s="430">
        <f t="shared" si="126"/>
        <v>0</v>
      </c>
      <c r="AE278" s="431">
        <f t="shared" si="127"/>
        <v>0</v>
      </c>
      <c r="AF278" s="431"/>
      <c r="AG278" s="431" t="e">
        <f t="shared" si="128"/>
        <v>#DIV/0!</v>
      </c>
      <c r="AH278" s="431" t="e">
        <f t="shared" si="129"/>
        <v>#DIV/0!</v>
      </c>
      <c r="AI278" s="432">
        <f t="shared" si="130"/>
        <v>0</v>
      </c>
      <c r="AJ278" s="432" t="e">
        <f t="shared" si="131"/>
        <v>#DIV/0!</v>
      </c>
      <c r="AK278" s="432" t="e">
        <f t="shared" si="132"/>
        <v>#DIV/0!</v>
      </c>
      <c r="AL278" s="432" t="e">
        <f t="shared" si="133"/>
        <v>#DIV/0!</v>
      </c>
      <c r="AM278" s="250"/>
      <c r="AN278" s="432">
        <f t="shared" si="134"/>
        <v>0</v>
      </c>
      <c r="AO278" s="432" t="e">
        <f t="shared" si="135"/>
        <v>#DIV/0!</v>
      </c>
      <c r="AP278" s="432" t="e">
        <f t="shared" si="136"/>
        <v>#DIV/0!</v>
      </c>
      <c r="AQ278" s="255"/>
      <c r="AR278" s="13" t="s">
        <v>127</v>
      </c>
      <c r="AS278" s="434"/>
      <c r="AT278" s="429"/>
      <c r="AU278" s="252"/>
      <c r="AV278" s="260"/>
      <c r="AW278" s="13"/>
      <c r="AX278" s="260"/>
      <c r="AY278" s="103"/>
      <c r="AZ278" s="22"/>
      <c r="BA278" s="13"/>
      <c r="BC278" s="32"/>
      <c r="BD278" s="241"/>
      <c r="BE278" s="241"/>
      <c r="BF278" s="71"/>
      <c r="BG278" s="241"/>
      <c r="BH278" s="241"/>
      <c r="BI278" s="71"/>
      <c r="BJ278" s="114"/>
      <c r="BK278" s="111"/>
      <c r="BL278" s="112"/>
      <c r="BM278" s="111"/>
      <c r="BN278" s="123"/>
      <c r="BO278" s="83"/>
      <c r="BP278" s="88"/>
      <c r="BQ278" s="115"/>
      <c r="BR278" s="113"/>
      <c r="BS278" s="103"/>
      <c r="BT278" s="13"/>
      <c r="BU278" s="79"/>
      <c r="BV278" s="29"/>
      <c r="BW278" s="86"/>
      <c r="BX278" s="79"/>
      <c r="BY278" s="79"/>
      <c r="BZ278" s="86"/>
      <c r="CA278" s="76"/>
    </row>
    <row r="279" spans="1:79" s="72" customFormat="1">
      <c r="A279" s="13" t="s">
        <v>466</v>
      </c>
      <c r="B279" s="387" t="s">
        <v>1239</v>
      </c>
      <c r="C279" s="13" t="s">
        <v>135</v>
      </c>
      <c r="D279" s="387" t="s">
        <v>1303</v>
      </c>
      <c r="E279" s="13" t="s">
        <v>118</v>
      </c>
      <c r="F279" s="13" t="s">
        <v>119</v>
      </c>
      <c r="G279" s="13" t="s">
        <v>1304</v>
      </c>
      <c r="H279" s="13" t="s">
        <v>146</v>
      </c>
      <c r="I279" s="13" t="s">
        <v>147</v>
      </c>
      <c r="J279" s="13" t="s">
        <v>5</v>
      </c>
      <c r="K279" s="13" t="s">
        <v>123</v>
      </c>
      <c r="L279" s="13" t="s">
        <v>516</v>
      </c>
      <c r="M279" s="13" t="s">
        <v>1302</v>
      </c>
      <c r="N279" s="13" t="s">
        <v>126</v>
      </c>
      <c r="O279" s="247"/>
      <c r="P279" s="13"/>
      <c r="Q279" s="13"/>
      <c r="R279" s="13"/>
      <c r="S279" s="430">
        <f t="shared" si="122"/>
        <v>0</v>
      </c>
      <c r="T279" s="247"/>
      <c r="U279" s="13"/>
      <c r="V279" s="13"/>
      <c r="W279" s="430">
        <f t="shared" si="120"/>
        <v>0</v>
      </c>
      <c r="X279" s="430">
        <f t="shared" si="121"/>
        <v>0</v>
      </c>
      <c r="Y279" s="13"/>
      <c r="Z279" s="13"/>
      <c r="AA279" s="430">
        <f t="shared" si="123"/>
        <v>0</v>
      </c>
      <c r="AB279" s="430">
        <f t="shared" si="124"/>
        <v>0</v>
      </c>
      <c r="AC279" s="430" t="str">
        <f t="shared" si="125"/>
        <v>N/A</v>
      </c>
      <c r="AD279" s="430">
        <f t="shared" si="126"/>
        <v>0</v>
      </c>
      <c r="AE279" s="431">
        <f t="shared" si="127"/>
        <v>0</v>
      </c>
      <c r="AF279" s="431"/>
      <c r="AG279" s="431" t="e">
        <f t="shared" si="128"/>
        <v>#DIV/0!</v>
      </c>
      <c r="AH279" s="431" t="e">
        <f t="shared" si="129"/>
        <v>#DIV/0!</v>
      </c>
      <c r="AI279" s="432">
        <f t="shared" si="130"/>
        <v>0</v>
      </c>
      <c r="AJ279" s="432" t="e">
        <f t="shared" si="131"/>
        <v>#DIV/0!</v>
      </c>
      <c r="AK279" s="432" t="e">
        <f t="shared" si="132"/>
        <v>#DIV/0!</v>
      </c>
      <c r="AL279" s="432" t="e">
        <f t="shared" si="133"/>
        <v>#DIV/0!</v>
      </c>
      <c r="AM279" s="250"/>
      <c r="AN279" s="432">
        <f t="shared" si="134"/>
        <v>0</v>
      </c>
      <c r="AO279" s="432" t="e">
        <f t="shared" si="135"/>
        <v>#DIV/0!</v>
      </c>
      <c r="AP279" s="432" t="e">
        <f t="shared" si="136"/>
        <v>#DIV/0!</v>
      </c>
      <c r="AQ279" s="255"/>
      <c r="AR279" s="13" t="s">
        <v>127</v>
      </c>
      <c r="AS279" s="429"/>
      <c r="AT279" s="13"/>
      <c r="AU279" s="252"/>
      <c r="AV279" s="260"/>
      <c r="AX279" s="243"/>
      <c r="AY279" s="103"/>
      <c r="BA279" s="13"/>
      <c r="BC279" s="32"/>
      <c r="BD279" s="241"/>
      <c r="BE279" s="241"/>
      <c r="BF279" s="71"/>
      <c r="BG279" s="241"/>
      <c r="BH279" s="241"/>
      <c r="BI279" s="71"/>
      <c r="BJ279" s="114"/>
      <c r="BK279" s="111"/>
      <c r="BL279" s="112"/>
      <c r="BM279" s="111"/>
      <c r="BN279" s="123"/>
      <c r="BO279" s="83"/>
      <c r="BP279" s="88"/>
      <c r="BQ279" s="18"/>
      <c r="BR279" s="30"/>
      <c r="BS279" s="30"/>
      <c r="BT279" s="2"/>
      <c r="BU279" s="2"/>
      <c r="BV279" s="2"/>
      <c r="BW279" s="2"/>
      <c r="BX279" s="2"/>
      <c r="BY279" s="2"/>
      <c r="BZ279" s="2"/>
      <c r="CA279" s="2"/>
    </row>
    <row r="280" spans="1:79" s="72" customFormat="1">
      <c r="A280" s="13" t="s">
        <v>466</v>
      </c>
      <c r="B280" s="13" t="s">
        <v>1239</v>
      </c>
      <c r="C280" s="13" t="s">
        <v>135</v>
      </c>
      <c r="D280" s="13" t="s">
        <v>1305</v>
      </c>
      <c r="E280" s="13" t="s">
        <v>118</v>
      </c>
      <c r="F280" s="13" t="s">
        <v>119</v>
      </c>
      <c r="G280" s="13" t="s">
        <v>1306</v>
      </c>
      <c r="H280" s="13" t="s">
        <v>121</v>
      </c>
      <c r="I280" s="13" t="s">
        <v>147</v>
      </c>
      <c r="J280" s="13" t="s">
        <v>5</v>
      </c>
      <c r="K280" s="13" t="s">
        <v>123</v>
      </c>
      <c r="L280" s="13" t="s">
        <v>1307</v>
      </c>
      <c r="M280" s="13" t="s">
        <v>125</v>
      </c>
      <c r="N280" s="13" t="s">
        <v>126</v>
      </c>
      <c r="O280" s="247">
        <v>0.5</v>
      </c>
      <c r="P280" s="13">
        <v>107</v>
      </c>
      <c r="Q280" s="13">
        <v>30</v>
      </c>
      <c r="R280" s="13" t="s">
        <v>127</v>
      </c>
      <c r="S280" s="430" t="str">
        <f t="shared" si="122"/>
        <v>N/A</v>
      </c>
      <c r="T280" s="247">
        <v>0.8</v>
      </c>
      <c r="U280" s="13">
        <v>200</v>
      </c>
      <c r="V280" s="13">
        <v>600</v>
      </c>
      <c r="W280" s="430">
        <f t="shared" si="120"/>
        <v>400</v>
      </c>
      <c r="X280" s="430">
        <f t="shared" si="121"/>
        <v>170</v>
      </c>
      <c r="Y280" s="13">
        <v>200</v>
      </c>
      <c r="Z280" s="13">
        <v>600</v>
      </c>
      <c r="AA280" s="430">
        <f t="shared" si="123"/>
        <v>400</v>
      </c>
      <c r="AB280" s="430">
        <f t="shared" si="124"/>
        <v>170</v>
      </c>
      <c r="AC280" s="430" t="str">
        <f t="shared" si="125"/>
        <v>N/A</v>
      </c>
      <c r="AD280" s="430">
        <f t="shared" si="126"/>
        <v>77</v>
      </c>
      <c r="AE280" s="431">
        <f t="shared" si="127"/>
        <v>1.1850000000000001</v>
      </c>
      <c r="AF280" s="431"/>
      <c r="AG280" s="431">
        <f t="shared" si="128"/>
        <v>1.0464719626168224</v>
      </c>
      <c r="AH280" s="431">
        <f t="shared" si="129"/>
        <v>1.1092602803738318</v>
      </c>
      <c r="AI280" s="432">
        <f t="shared" si="130"/>
        <v>880.5526000000001</v>
      </c>
      <c r="AJ280" s="432">
        <f t="shared" si="131"/>
        <v>141.0681080505131</v>
      </c>
      <c r="AK280" s="432">
        <f t="shared" si="132"/>
        <v>154.24709420319675</v>
      </c>
      <c r="AL280" s="432">
        <f t="shared" si="133"/>
        <v>306.62096573490419</v>
      </c>
      <c r="AM280" s="250">
        <v>154</v>
      </c>
      <c r="AN280" s="432">
        <f t="shared" si="134"/>
        <v>164.78</v>
      </c>
      <c r="AO280" s="432">
        <f t="shared" si="135"/>
        <v>182.78390900000002</v>
      </c>
      <c r="AP280" s="432">
        <f t="shared" si="136"/>
        <v>609.27969666666672</v>
      </c>
      <c r="AQ280" s="255">
        <v>45108</v>
      </c>
      <c r="AR280" s="13" t="s">
        <v>1081</v>
      </c>
      <c r="AS280" s="429" t="s">
        <v>1308</v>
      </c>
      <c r="AT280" s="13"/>
      <c r="AU280" s="252"/>
      <c r="AV280" s="260"/>
      <c r="AW280" s="72" t="s">
        <v>127</v>
      </c>
      <c r="AX280" s="243"/>
      <c r="AY280" s="103">
        <f t="shared" ref="AY280:AY292" si="137">(V280/10)/P280</f>
        <v>0.56074766355140182</v>
      </c>
      <c r="BA280" s="13" t="str">
        <f t="shared" ref="BA280:BA292" si="138">LEFT(G280,3)</f>
        <v>W22</v>
      </c>
      <c r="BB280" s="72" t="str">
        <f t="shared" ref="BB280:BB292" si="139">IF(R280="n/a","Clear","S/B")</f>
        <v>Clear</v>
      </c>
      <c r="BC280" s="32"/>
      <c r="BD280" s="241"/>
      <c r="BE280" s="241"/>
      <c r="BF280" s="71"/>
      <c r="BG280" s="241"/>
      <c r="BH280" s="241"/>
      <c r="BI280" s="71"/>
      <c r="BJ280" s="114"/>
      <c r="BK280" s="111"/>
      <c r="BL280" s="112"/>
      <c r="BM280" s="111"/>
      <c r="BN280" s="123"/>
      <c r="BO280" s="83"/>
      <c r="BP280" s="88"/>
      <c r="BQ280" s="124">
        <v>5920</v>
      </c>
      <c r="BR280" s="155"/>
      <c r="BS280" s="71"/>
      <c r="BU280" s="78"/>
      <c r="BV280" s="32"/>
      <c r="BW280" s="127"/>
      <c r="BX280" s="78"/>
      <c r="BY280" s="78"/>
      <c r="BZ280" s="127"/>
      <c r="CA280" s="76"/>
    </row>
    <row r="281" spans="1:79" s="262" customFormat="1">
      <c r="A281" s="13" t="s">
        <v>466</v>
      </c>
      <c r="B281" s="13" t="s">
        <v>1239</v>
      </c>
      <c r="C281" s="13" t="s">
        <v>135</v>
      </c>
      <c r="D281" s="13" t="s">
        <v>1309</v>
      </c>
      <c r="E281" s="13" t="s">
        <v>118</v>
      </c>
      <c r="F281" s="13" t="s">
        <v>186</v>
      </c>
      <c r="G281" s="13" t="s">
        <v>1310</v>
      </c>
      <c r="H281" s="13" t="s">
        <v>121</v>
      </c>
      <c r="I281" s="13" t="s">
        <v>147</v>
      </c>
      <c r="J281" s="13" t="s">
        <v>5</v>
      </c>
      <c r="K281" s="13" t="s">
        <v>123</v>
      </c>
      <c r="L281" s="13" t="s">
        <v>1311</v>
      </c>
      <c r="M281" s="13" t="s">
        <v>125</v>
      </c>
      <c r="N281" s="13" t="s">
        <v>126</v>
      </c>
      <c r="O281" s="247">
        <v>0.28999999999999998</v>
      </c>
      <c r="P281" s="13">
        <v>115</v>
      </c>
      <c r="Q281" s="13">
        <v>30</v>
      </c>
      <c r="R281" s="13" t="s">
        <v>127</v>
      </c>
      <c r="S281" s="430" t="str">
        <f t="shared" si="122"/>
        <v>N/A</v>
      </c>
      <c r="T281" s="247">
        <v>0.8</v>
      </c>
      <c r="U281" s="13">
        <v>200</v>
      </c>
      <c r="V281" s="13">
        <v>600</v>
      </c>
      <c r="W281" s="430">
        <f t="shared" si="120"/>
        <v>400</v>
      </c>
      <c r="X281" s="430">
        <f t="shared" si="121"/>
        <v>250</v>
      </c>
      <c r="Y281" s="13">
        <v>200</v>
      </c>
      <c r="Z281" s="13">
        <v>600</v>
      </c>
      <c r="AA281" s="430">
        <f t="shared" si="123"/>
        <v>400</v>
      </c>
      <c r="AB281" s="430">
        <f t="shared" si="124"/>
        <v>250</v>
      </c>
      <c r="AC281" s="430" t="str">
        <f t="shared" si="125"/>
        <v>N/A</v>
      </c>
      <c r="AD281" s="430">
        <f t="shared" si="126"/>
        <v>85</v>
      </c>
      <c r="AE281" s="431">
        <f t="shared" si="127"/>
        <v>1.0465</v>
      </c>
      <c r="AF281" s="431"/>
      <c r="AG281" s="431">
        <f t="shared" si="128"/>
        <v>0.9554021739130435</v>
      </c>
      <c r="AH281" s="431">
        <f t="shared" si="129"/>
        <v>1.0127263043478261</v>
      </c>
      <c r="AI281" s="432">
        <f t="shared" si="130"/>
        <v>866.88050800000008</v>
      </c>
      <c r="AJ281" s="432">
        <f t="shared" si="131"/>
        <v>159.73789588137416</v>
      </c>
      <c r="AK281" s="432">
        <f t="shared" si="132"/>
        <v>174.66106701460888</v>
      </c>
      <c r="AL281" s="432">
        <f t="shared" si="133"/>
        <v>347.20099798935638</v>
      </c>
      <c r="AM281" s="250">
        <v>175</v>
      </c>
      <c r="AN281" s="432">
        <f t="shared" si="134"/>
        <v>201.25</v>
      </c>
      <c r="AO281" s="432">
        <f t="shared" si="135"/>
        <v>203.81116875000001</v>
      </c>
      <c r="AP281" s="432">
        <f t="shared" si="136"/>
        <v>679.37056250000001</v>
      </c>
      <c r="AQ281" s="255">
        <v>45130</v>
      </c>
      <c r="AR281" s="13" t="s">
        <v>1081</v>
      </c>
      <c r="AS281" s="429" t="s">
        <v>1312</v>
      </c>
      <c r="AT281" s="429" t="s">
        <v>1313</v>
      </c>
      <c r="AU281" s="257"/>
      <c r="AV281" s="259"/>
      <c r="AW281" s="77" t="s">
        <v>127</v>
      </c>
      <c r="AX281" s="268"/>
      <c r="AY281" s="103">
        <f t="shared" si="137"/>
        <v>0.52173913043478259</v>
      </c>
      <c r="AZ281" s="77"/>
      <c r="BA281" s="38" t="str">
        <f t="shared" si="138"/>
        <v>W22</v>
      </c>
      <c r="BB281" s="77" t="str">
        <f t="shared" si="139"/>
        <v>Clear</v>
      </c>
      <c r="BC281" s="264"/>
      <c r="BD281" s="253"/>
      <c r="BE281" s="253"/>
      <c r="BF281" s="100"/>
      <c r="BG281" s="253"/>
      <c r="BH281" s="253"/>
      <c r="BI281" s="100"/>
      <c r="BJ281" s="143"/>
      <c r="BK281" s="139"/>
      <c r="BL281" s="191"/>
      <c r="BM281" s="139"/>
      <c r="BN281" s="162"/>
      <c r="BO281" s="101"/>
      <c r="BP281" s="105"/>
      <c r="BQ281" s="115"/>
      <c r="BR281" s="113"/>
      <c r="BS281" s="80"/>
      <c r="BT281" s="22"/>
      <c r="BU281" s="87"/>
      <c r="BV281" s="73"/>
      <c r="BW281" s="109"/>
      <c r="BX281" s="87"/>
      <c r="BY281" s="87"/>
      <c r="BZ281" s="109"/>
      <c r="CA281" s="76"/>
    </row>
    <row r="282" spans="1:79" s="22" customFormat="1">
      <c r="A282" s="13" t="s">
        <v>466</v>
      </c>
      <c r="B282" s="13" t="s">
        <v>1239</v>
      </c>
      <c r="C282" s="13" t="s">
        <v>135</v>
      </c>
      <c r="D282" s="387" t="s">
        <v>1314</v>
      </c>
      <c r="E282" s="13" t="s">
        <v>118</v>
      </c>
      <c r="F282" s="13" t="s">
        <v>167</v>
      </c>
      <c r="G282" s="13" t="s">
        <v>1315</v>
      </c>
      <c r="H282" s="13" t="s">
        <v>121</v>
      </c>
      <c r="I282" s="13" t="s">
        <v>147</v>
      </c>
      <c r="J282" s="13" t="s">
        <v>5</v>
      </c>
      <c r="K282" s="13" t="s">
        <v>123</v>
      </c>
      <c r="L282" s="13" t="s">
        <v>1316</v>
      </c>
      <c r="M282" s="13" t="s">
        <v>125</v>
      </c>
      <c r="N282" s="13" t="s">
        <v>12</v>
      </c>
      <c r="O282" s="247">
        <v>0.33</v>
      </c>
      <c r="P282" s="13">
        <v>91</v>
      </c>
      <c r="Q282" s="13">
        <v>30</v>
      </c>
      <c r="R282" s="13" t="s">
        <v>127</v>
      </c>
      <c r="S282" s="430" t="str">
        <f t="shared" si="122"/>
        <v>N/A</v>
      </c>
      <c r="T282" s="247">
        <v>0.8</v>
      </c>
      <c r="U282" s="13">
        <v>178</v>
      </c>
      <c r="V282" s="13">
        <v>375</v>
      </c>
      <c r="W282" s="430">
        <f t="shared" si="120"/>
        <v>197</v>
      </c>
      <c r="X282" s="430">
        <f t="shared" si="121"/>
        <v>235</v>
      </c>
      <c r="Y282" s="13">
        <v>100</v>
      </c>
      <c r="Z282" s="13">
        <v>500</v>
      </c>
      <c r="AA282" s="430">
        <f t="shared" si="123"/>
        <v>400</v>
      </c>
      <c r="AB282" s="430">
        <f t="shared" si="124"/>
        <v>110</v>
      </c>
      <c r="AC282" s="430" t="str">
        <f t="shared" si="125"/>
        <v>N/A</v>
      </c>
      <c r="AD282" s="430">
        <f t="shared" si="126"/>
        <v>61</v>
      </c>
      <c r="AE282" s="431">
        <f t="shared" si="127"/>
        <v>1.0013000000000001</v>
      </c>
      <c r="AF282" s="431"/>
      <c r="AG282" s="431">
        <f t="shared" si="128"/>
        <v>0.93383131868131874</v>
      </c>
      <c r="AH282" s="431">
        <f t="shared" si="129"/>
        <v>0.98986119780219783</v>
      </c>
      <c r="AI282" s="432">
        <f t="shared" si="130"/>
        <v>869.48471600000005</v>
      </c>
      <c r="AJ282" s="432">
        <f t="shared" si="131"/>
        <v>166.94867476266657</v>
      </c>
      <c r="AK282" s="432">
        <f t="shared" si="132"/>
        <v>182.54549748405887</v>
      </c>
      <c r="AL282" s="432">
        <f t="shared" si="133"/>
        <v>362.87410805538946</v>
      </c>
      <c r="AM282" s="250">
        <v>50</v>
      </c>
      <c r="AN282" s="432">
        <f t="shared" si="134"/>
        <v>45.5</v>
      </c>
      <c r="AO282" s="432">
        <f t="shared" si="135"/>
        <v>45.038684500000002</v>
      </c>
      <c r="AP282" s="432">
        <f t="shared" si="136"/>
        <v>150.12894833333334</v>
      </c>
      <c r="AQ282" s="255" t="s">
        <v>1317</v>
      </c>
      <c r="AR282" s="13" t="s">
        <v>1076</v>
      </c>
      <c r="AS282" s="434" t="s">
        <v>1318</v>
      </c>
      <c r="AT282" s="429"/>
      <c r="AU282" s="241"/>
      <c r="AV282" s="243"/>
      <c r="AW282" s="72" t="s">
        <v>127</v>
      </c>
      <c r="AX282" s="243"/>
      <c r="AY282" s="103">
        <f t="shared" si="137"/>
        <v>0.41208791208791207</v>
      </c>
      <c r="AZ282" s="72"/>
      <c r="BA282" s="13" t="str">
        <f t="shared" si="138"/>
        <v>W22</v>
      </c>
      <c r="BB282" s="72" t="str">
        <f t="shared" si="139"/>
        <v>Clear</v>
      </c>
      <c r="BC282" s="32">
        <f>IF(Q282="","",((P282/100*O282)+T282))</f>
        <v>1.1003000000000001</v>
      </c>
      <c r="BD282" s="241">
        <f>IF(BC282="","",((PI()*((51/2)^2-(16.545/2)^2)/(BC282/10))/100))</f>
        <v>166.12088215103896</v>
      </c>
      <c r="BE282" s="241">
        <f>IF(BC282="","",(BD282-AK282))</f>
        <v>-16.424615333019915</v>
      </c>
      <c r="BF282" s="71">
        <f>IF(BC282="","",(BE282/AK282))</f>
        <v>-8.997546123784414E-2</v>
      </c>
      <c r="BG282" s="241">
        <f>IF(BF282="","",((PI()*((70/2)^2-(16.545/2)^2)/(BC282/10))/100))</f>
        <v>330.22434281183445</v>
      </c>
      <c r="BH282" s="241">
        <f>IF(BF282="","",(BG282-AL282))</f>
        <v>-32.649765243555009</v>
      </c>
      <c r="BI282" s="71">
        <f>IF(BG282="","",(BH282/AL282))</f>
        <v>-8.9975461237844279E-2</v>
      </c>
      <c r="BJ282" s="123">
        <v>20</v>
      </c>
      <c r="BK282" s="123"/>
      <c r="BL282" s="126"/>
      <c r="BM282" s="108"/>
      <c r="BN282" s="71"/>
      <c r="BO282" s="108"/>
      <c r="BP282" s="108"/>
      <c r="BQ282" s="164"/>
      <c r="BR282" s="159"/>
      <c r="BS282" s="100"/>
      <c r="BT282" s="72"/>
      <c r="BU282" s="78"/>
      <c r="BV282" s="32"/>
      <c r="BW282" s="127"/>
      <c r="BX282" s="78"/>
      <c r="BY282" s="78"/>
      <c r="BZ282" s="127"/>
      <c r="CA282" s="76"/>
    </row>
    <row r="283" spans="1:79" s="262" customFormat="1">
      <c r="A283" s="13" t="s">
        <v>466</v>
      </c>
      <c r="B283" s="13" t="s">
        <v>1239</v>
      </c>
      <c r="C283" s="13" t="s">
        <v>135</v>
      </c>
      <c r="D283" s="387" t="s">
        <v>1314</v>
      </c>
      <c r="E283" s="13" t="s">
        <v>118</v>
      </c>
      <c r="F283" s="13" t="s">
        <v>186</v>
      </c>
      <c r="G283" s="13" t="s">
        <v>1319</v>
      </c>
      <c r="H283" s="13" t="s">
        <v>121</v>
      </c>
      <c r="I283" s="13" t="s">
        <v>147</v>
      </c>
      <c r="J283" s="13" t="s">
        <v>5</v>
      </c>
      <c r="K283" s="13" t="s">
        <v>123</v>
      </c>
      <c r="L283" s="13" t="s">
        <v>1320</v>
      </c>
      <c r="M283" s="13" t="s">
        <v>125</v>
      </c>
      <c r="N283" s="13" t="s">
        <v>126</v>
      </c>
      <c r="O283" s="247">
        <v>0.33</v>
      </c>
      <c r="P283" s="13">
        <v>91</v>
      </c>
      <c r="Q283" s="13">
        <v>30</v>
      </c>
      <c r="R283" s="13" t="s">
        <v>127</v>
      </c>
      <c r="S283" s="430" t="str">
        <f t="shared" si="122"/>
        <v>N/A</v>
      </c>
      <c r="T283" s="247">
        <v>0.8</v>
      </c>
      <c r="U283" s="13">
        <v>178</v>
      </c>
      <c r="V283" s="13">
        <v>375</v>
      </c>
      <c r="W283" s="430">
        <f t="shared" si="120"/>
        <v>197</v>
      </c>
      <c r="X283" s="430">
        <f t="shared" si="121"/>
        <v>235</v>
      </c>
      <c r="Y283" s="13">
        <v>100</v>
      </c>
      <c r="Z283" s="13">
        <v>500</v>
      </c>
      <c r="AA283" s="430">
        <f t="shared" si="123"/>
        <v>400</v>
      </c>
      <c r="AB283" s="430">
        <f t="shared" si="124"/>
        <v>110</v>
      </c>
      <c r="AC283" s="430" t="str">
        <f t="shared" si="125"/>
        <v>N/A</v>
      </c>
      <c r="AD283" s="430">
        <f t="shared" si="126"/>
        <v>61</v>
      </c>
      <c r="AE283" s="431">
        <f t="shared" si="127"/>
        <v>1.0013000000000001</v>
      </c>
      <c r="AF283" s="431"/>
      <c r="AG283" s="431">
        <f t="shared" si="128"/>
        <v>0.93383131868131874</v>
      </c>
      <c r="AH283" s="431">
        <f t="shared" si="129"/>
        <v>0.98986119780219783</v>
      </c>
      <c r="AI283" s="432">
        <f t="shared" si="130"/>
        <v>869.48471600000005</v>
      </c>
      <c r="AJ283" s="432">
        <f t="shared" si="131"/>
        <v>166.94867476266657</v>
      </c>
      <c r="AK283" s="432">
        <f t="shared" si="132"/>
        <v>182.54549748405887</v>
      </c>
      <c r="AL283" s="432">
        <f t="shared" si="133"/>
        <v>362.87410805538946</v>
      </c>
      <c r="AM283" s="250">
        <v>183</v>
      </c>
      <c r="AN283" s="432">
        <f t="shared" si="134"/>
        <v>166.53</v>
      </c>
      <c r="AO283" s="432">
        <f t="shared" si="135"/>
        <v>164.84158527</v>
      </c>
      <c r="AP283" s="432">
        <f t="shared" si="136"/>
        <v>549.47195090000002</v>
      </c>
      <c r="AQ283" s="255">
        <v>44980</v>
      </c>
      <c r="AR283" s="13" t="s">
        <v>682</v>
      </c>
      <c r="AS283" s="434" t="s">
        <v>1321</v>
      </c>
      <c r="AT283" s="429" t="s">
        <v>1322</v>
      </c>
      <c r="AU283" s="252"/>
      <c r="AV283" s="260"/>
      <c r="AW283" s="13" t="s">
        <v>127</v>
      </c>
      <c r="AX283" s="260"/>
      <c r="AY283" s="103">
        <f t="shared" si="137"/>
        <v>0.41208791208791207</v>
      </c>
      <c r="AZ283" s="22"/>
      <c r="BA283" s="13" t="str">
        <f t="shared" si="138"/>
        <v>W22</v>
      </c>
      <c r="BB283" s="72" t="str">
        <f t="shared" si="139"/>
        <v>Clear</v>
      </c>
      <c r="BC283" s="32">
        <f>IF(Q283="","",((P283/100*O283)+T283))</f>
        <v>1.1003000000000001</v>
      </c>
      <c r="BD283" s="241">
        <f>IF(BC283="","",((PI()*((51/2)^2-(16.545/2)^2)/(BC283/10))/100))</f>
        <v>166.12088215103896</v>
      </c>
      <c r="BE283" s="241">
        <f>IF(BC283="","",(BD283-AK283))</f>
        <v>-16.424615333019915</v>
      </c>
      <c r="BF283" s="71">
        <f>IF(BC283="","",(BE283/AK283))</f>
        <v>-8.997546123784414E-2</v>
      </c>
      <c r="BG283" s="241">
        <f>IF(BF283="","",((PI()*((70/2)^2-(16.545/2)^2)/(BC283/10))/100))</f>
        <v>330.22434281183445</v>
      </c>
      <c r="BH283" s="241">
        <f>IF(BF283="","",(BG283-AL283))</f>
        <v>-32.649765243555009</v>
      </c>
      <c r="BI283" s="71">
        <f>IF(BG283="","",(BH283/AL283))</f>
        <v>-8.9975461237844279E-2</v>
      </c>
      <c r="BJ283" s="114"/>
      <c r="BK283" s="111">
        <v>20</v>
      </c>
      <c r="BL283" s="112">
        <f>AH283</f>
        <v>0.98986119780219783</v>
      </c>
      <c r="BM283" s="111">
        <f>BK283/AH283</f>
        <v>20.204853008084637</v>
      </c>
      <c r="BN283" s="123">
        <f>BK283-BM283</f>
        <v>-0.20485300808463691</v>
      </c>
      <c r="BO283" s="111">
        <v>20.73</v>
      </c>
      <c r="BP283" s="137">
        <f>BO283-BM283</f>
        <v>0.52514699191536351</v>
      </c>
      <c r="BQ283" s="83"/>
      <c r="BR283" s="71"/>
      <c r="BS283" s="71"/>
      <c r="BT283" s="13"/>
      <c r="BU283" s="79"/>
      <c r="BV283" s="29"/>
      <c r="BW283" s="86"/>
      <c r="BX283" s="79"/>
      <c r="BY283" s="79"/>
      <c r="BZ283" s="86"/>
      <c r="CA283" s="76"/>
    </row>
    <row r="284" spans="1:79" s="262" customFormat="1">
      <c r="A284" s="13" t="s">
        <v>466</v>
      </c>
      <c r="B284" s="13" t="s">
        <v>1239</v>
      </c>
      <c r="C284" s="13" t="s">
        <v>1323</v>
      </c>
      <c r="D284" s="387" t="s">
        <v>1324</v>
      </c>
      <c r="E284" s="13" t="s">
        <v>118</v>
      </c>
      <c r="F284" s="13" t="s">
        <v>167</v>
      </c>
      <c r="G284" s="13" t="s">
        <v>1325</v>
      </c>
      <c r="H284" s="13" t="s">
        <v>121</v>
      </c>
      <c r="I284" s="13" t="s">
        <v>147</v>
      </c>
      <c r="J284" s="13" t="s">
        <v>5</v>
      </c>
      <c r="K284" s="13" t="s">
        <v>140</v>
      </c>
      <c r="L284" s="13" t="s">
        <v>1326</v>
      </c>
      <c r="M284" s="13"/>
      <c r="N284" s="13" t="s">
        <v>142</v>
      </c>
      <c r="O284" s="247">
        <v>0.4</v>
      </c>
      <c r="P284" s="13">
        <v>110</v>
      </c>
      <c r="Q284" s="13">
        <v>30</v>
      </c>
      <c r="R284" s="13" t="s">
        <v>127</v>
      </c>
      <c r="S284" s="430" t="str">
        <f t="shared" si="122"/>
        <v>N/A</v>
      </c>
      <c r="T284" s="247">
        <v>0.76</v>
      </c>
      <c r="U284" s="13">
        <v>200</v>
      </c>
      <c r="V284" s="13">
        <v>600</v>
      </c>
      <c r="W284" s="430">
        <f t="shared" si="120"/>
        <v>400</v>
      </c>
      <c r="X284" s="430">
        <f t="shared" si="121"/>
        <v>200</v>
      </c>
      <c r="Y284" s="13">
        <v>150</v>
      </c>
      <c r="Z284" s="13">
        <v>600</v>
      </c>
      <c r="AA284" s="430">
        <f t="shared" si="123"/>
        <v>450</v>
      </c>
      <c r="AB284" s="430">
        <f t="shared" si="124"/>
        <v>200</v>
      </c>
      <c r="AC284" s="430" t="str">
        <f t="shared" si="125"/>
        <v>N/A</v>
      </c>
      <c r="AD284" s="430">
        <f t="shared" si="126"/>
        <v>80</v>
      </c>
      <c r="AE284" s="431">
        <f t="shared" si="127"/>
        <v>1.08</v>
      </c>
      <c r="AF284" s="431"/>
      <c r="AG284" s="431">
        <f t="shared" si="128"/>
        <v>0.96363636363636374</v>
      </c>
      <c r="AH284" s="431">
        <f t="shared" si="129"/>
        <v>1.0262727272727274</v>
      </c>
      <c r="AI284" s="432">
        <f t="shared" si="130"/>
        <v>835.56492000000003</v>
      </c>
      <c r="AJ284" s="432">
        <f t="shared" si="131"/>
        <v>154.78306299986852</v>
      </c>
      <c r="AK284" s="432">
        <f t="shared" si="132"/>
        <v>169.24333947295199</v>
      </c>
      <c r="AL284" s="432">
        <f t="shared" si="133"/>
        <v>336.43133740357536</v>
      </c>
      <c r="AM284" s="250">
        <v>120</v>
      </c>
      <c r="AN284" s="432">
        <f t="shared" si="134"/>
        <v>132</v>
      </c>
      <c r="AO284" s="432">
        <f t="shared" si="135"/>
        <v>135.46800000000002</v>
      </c>
      <c r="AP284" s="432">
        <f t="shared" si="136"/>
        <v>451.56000000000006</v>
      </c>
      <c r="AQ284" s="255">
        <v>45130</v>
      </c>
      <c r="AR284" s="13" t="s">
        <v>1243</v>
      </c>
      <c r="AS284" s="434" t="s">
        <v>1327</v>
      </c>
      <c r="AT284" s="429"/>
      <c r="AU284" s="241"/>
      <c r="AV284" s="243"/>
      <c r="AW284" s="72" t="s">
        <v>127</v>
      </c>
      <c r="AX284" s="243"/>
      <c r="AY284" s="71">
        <f t="shared" si="137"/>
        <v>0.54545454545454541</v>
      </c>
      <c r="AZ284" s="72"/>
      <c r="BA284" s="72" t="str">
        <f t="shared" si="138"/>
        <v>W50</v>
      </c>
      <c r="BB284" s="72" t="str">
        <f t="shared" si="139"/>
        <v>Clear</v>
      </c>
      <c r="BC284" s="32"/>
      <c r="BD284" s="241"/>
      <c r="BE284" s="241"/>
      <c r="BF284" s="71"/>
      <c r="BG284" s="241"/>
      <c r="BH284" s="241"/>
      <c r="BI284" s="71"/>
      <c r="BJ284" s="123"/>
      <c r="BK284" s="108"/>
      <c r="BL284" s="126"/>
      <c r="BM284" s="108"/>
      <c r="BN284" s="71"/>
      <c r="BO284" s="108"/>
      <c r="BP284" s="108"/>
      <c r="BQ284" s="124">
        <v>2864</v>
      </c>
      <c r="BR284" s="155"/>
      <c r="BS284" s="71"/>
      <c r="BT284" s="72"/>
      <c r="BU284" s="78"/>
      <c r="BV284" s="32"/>
      <c r="BW284" s="127"/>
      <c r="BX284" s="78"/>
      <c r="BY284" s="78"/>
      <c r="BZ284" s="127"/>
      <c r="CA284" s="76"/>
    </row>
    <row r="285" spans="1:79" s="72" customFormat="1">
      <c r="A285" s="13" t="s">
        <v>466</v>
      </c>
      <c r="B285" s="13" t="s">
        <v>1239</v>
      </c>
      <c r="C285" s="13" t="s">
        <v>1122</v>
      </c>
      <c r="D285" s="387" t="s">
        <v>1328</v>
      </c>
      <c r="E285" s="13" t="s">
        <v>118</v>
      </c>
      <c r="F285" s="13" t="s">
        <v>119</v>
      </c>
      <c r="G285" s="13" t="s">
        <v>1329</v>
      </c>
      <c r="H285" s="13" t="s">
        <v>121</v>
      </c>
      <c r="I285" s="13" t="s">
        <v>147</v>
      </c>
      <c r="J285" s="13" t="s">
        <v>5</v>
      </c>
      <c r="K285" s="13" t="s">
        <v>123</v>
      </c>
      <c r="L285" s="13" t="s">
        <v>1330</v>
      </c>
      <c r="M285" s="13" t="s">
        <v>125</v>
      </c>
      <c r="N285" s="13" t="s">
        <v>126</v>
      </c>
      <c r="O285" s="247">
        <v>0.4</v>
      </c>
      <c r="P285" s="13">
        <v>135</v>
      </c>
      <c r="Q285" s="13">
        <v>30</v>
      </c>
      <c r="R285" s="13" t="s">
        <v>127</v>
      </c>
      <c r="S285" s="430" t="str">
        <f t="shared" si="122"/>
        <v>N/A</v>
      </c>
      <c r="T285" s="247">
        <v>0.8</v>
      </c>
      <c r="U285" s="13">
        <v>200</v>
      </c>
      <c r="V285" s="13">
        <v>600</v>
      </c>
      <c r="W285" s="430">
        <f t="shared" si="120"/>
        <v>400</v>
      </c>
      <c r="X285" s="430">
        <f t="shared" si="121"/>
        <v>450</v>
      </c>
      <c r="Y285" s="13">
        <v>200</v>
      </c>
      <c r="Z285" s="13">
        <v>600</v>
      </c>
      <c r="AA285" s="430">
        <f t="shared" si="123"/>
        <v>400</v>
      </c>
      <c r="AB285" s="430">
        <f t="shared" si="124"/>
        <v>450</v>
      </c>
      <c r="AC285" s="430" t="str">
        <f t="shared" si="125"/>
        <v>N/A</v>
      </c>
      <c r="AD285" s="430">
        <f t="shared" si="126"/>
        <v>105</v>
      </c>
      <c r="AE285" s="431">
        <f t="shared" si="127"/>
        <v>1.22</v>
      </c>
      <c r="AF285" s="431"/>
      <c r="AG285" s="431">
        <f t="shared" si="128"/>
        <v>1.0566666666666666</v>
      </c>
      <c r="AH285" s="431">
        <f t="shared" si="129"/>
        <v>1.1200666666666668</v>
      </c>
      <c r="AI285" s="432">
        <f t="shared" si="130"/>
        <v>874.04208000000006</v>
      </c>
      <c r="AJ285" s="432">
        <f t="shared" si="131"/>
        <v>137.02107216381808</v>
      </c>
      <c r="AK285" s="432">
        <f t="shared" si="132"/>
        <v>149.82197264818703</v>
      </c>
      <c r="AL285" s="432">
        <f t="shared" si="133"/>
        <v>297.82446261955857</v>
      </c>
      <c r="AM285" s="250">
        <v>150</v>
      </c>
      <c r="AN285" s="432">
        <f t="shared" si="134"/>
        <v>202.5</v>
      </c>
      <c r="AO285" s="432">
        <f t="shared" si="135"/>
        <v>226.81350000000003</v>
      </c>
      <c r="AP285" s="432">
        <f t="shared" si="136"/>
        <v>756.04500000000019</v>
      </c>
      <c r="AQ285" s="255">
        <v>45108</v>
      </c>
      <c r="AR285" s="13" t="s">
        <v>647</v>
      </c>
      <c r="AS285" s="434" t="s">
        <v>1331</v>
      </c>
      <c r="AT285" s="429"/>
      <c r="AU285" s="252"/>
      <c r="AV285" s="260"/>
      <c r="AW285" s="72" t="s">
        <v>127</v>
      </c>
      <c r="AX285" s="243"/>
      <c r="AY285" s="103">
        <f t="shared" si="137"/>
        <v>0.44444444444444442</v>
      </c>
      <c r="BA285" s="13" t="str">
        <f t="shared" si="138"/>
        <v>W22</v>
      </c>
      <c r="BB285" s="72" t="str">
        <f t="shared" si="139"/>
        <v>Clear</v>
      </c>
      <c r="BC285" s="32"/>
      <c r="BD285" s="241"/>
      <c r="BE285" s="241"/>
      <c r="BF285" s="71"/>
      <c r="BG285" s="241"/>
      <c r="BH285" s="241"/>
      <c r="BI285" s="71"/>
      <c r="BJ285" s="114"/>
      <c r="BK285" s="111"/>
      <c r="BL285" s="112"/>
      <c r="BM285" s="111"/>
      <c r="BN285" s="123"/>
      <c r="BO285" s="83"/>
      <c r="BP285" s="88"/>
      <c r="BQ285" s="115"/>
      <c r="BR285" s="113"/>
      <c r="BS285" s="80"/>
      <c r="BT285" s="22"/>
      <c r="BU285" s="87"/>
      <c r="BV285" s="73"/>
      <c r="BW285" s="109"/>
      <c r="BX285" s="87"/>
      <c r="BY285" s="87"/>
      <c r="BZ285" s="109"/>
      <c r="CA285" s="76"/>
    </row>
    <row r="286" spans="1:79" s="22" customFormat="1">
      <c r="A286" s="13" t="s">
        <v>466</v>
      </c>
      <c r="B286" s="13" t="s">
        <v>1239</v>
      </c>
      <c r="C286" s="13" t="s">
        <v>1122</v>
      </c>
      <c r="D286" s="387" t="s">
        <v>1332</v>
      </c>
      <c r="E286" s="13" t="s">
        <v>118</v>
      </c>
      <c r="F286" s="13" t="s">
        <v>167</v>
      </c>
      <c r="G286" s="13" t="s">
        <v>1333</v>
      </c>
      <c r="H286" s="13" t="s">
        <v>121</v>
      </c>
      <c r="I286" s="13" t="s">
        <v>147</v>
      </c>
      <c r="J286" s="13" t="s">
        <v>5</v>
      </c>
      <c r="K286" s="13" t="s">
        <v>123</v>
      </c>
      <c r="L286" s="13" t="s">
        <v>1334</v>
      </c>
      <c r="M286" s="13" t="s">
        <v>125</v>
      </c>
      <c r="N286" s="13" t="s">
        <v>126</v>
      </c>
      <c r="O286" s="247">
        <v>0.42</v>
      </c>
      <c r="P286" s="13">
        <v>135</v>
      </c>
      <c r="Q286" s="13">
        <v>30</v>
      </c>
      <c r="R286" s="13" t="s">
        <v>127</v>
      </c>
      <c r="S286" s="430" t="str">
        <f t="shared" si="122"/>
        <v>N/A</v>
      </c>
      <c r="T286" s="247">
        <v>0.8</v>
      </c>
      <c r="U286" s="13">
        <v>300</v>
      </c>
      <c r="V286" s="13">
        <v>700</v>
      </c>
      <c r="W286" s="430">
        <f t="shared" si="120"/>
        <v>400</v>
      </c>
      <c r="X286" s="430">
        <f t="shared" si="121"/>
        <v>350</v>
      </c>
      <c r="Y286" s="13">
        <v>300</v>
      </c>
      <c r="Z286" s="13">
        <v>700</v>
      </c>
      <c r="AA286" s="430">
        <f t="shared" si="123"/>
        <v>400</v>
      </c>
      <c r="AB286" s="430">
        <f t="shared" si="124"/>
        <v>350</v>
      </c>
      <c r="AC286" s="430" t="str">
        <f t="shared" si="125"/>
        <v>N/A</v>
      </c>
      <c r="AD286" s="430">
        <f t="shared" si="126"/>
        <v>105</v>
      </c>
      <c r="AE286" s="431">
        <f t="shared" si="127"/>
        <v>1.2410000000000001</v>
      </c>
      <c r="AF286" s="431"/>
      <c r="AG286" s="431">
        <f t="shared" si="128"/>
        <v>1.0695000000000001</v>
      </c>
      <c r="AH286" s="431">
        <f t="shared" si="129"/>
        <v>1.1336700000000002</v>
      </c>
      <c r="AI286" s="432">
        <f t="shared" si="130"/>
        <v>875.34418400000015</v>
      </c>
      <c r="AJ286" s="432">
        <f t="shared" si="131"/>
        <v>134.70242388385014</v>
      </c>
      <c r="AK286" s="432">
        <f t="shared" si="132"/>
        <v>147.28670961385023</v>
      </c>
      <c r="AL286" s="432">
        <f t="shared" si="133"/>
        <v>292.78472554058129</v>
      </c>
      <c r="AM286" s="250">
        <v>147</v>
      </c>
      <c r="AN286" s="432">
        <f t="shared" si="134"/>
        <v>198.45</v>
      </c>
      <c r="AO286" s="432">
        <f t="shared" si="135"/>
        <v>224.97681150000003</v>
      </c>
      <c r="AP286" s="432">
        <f t="shared" si="136"/>
        <v>749.92270500000006</v>
      </c>
      <c r="AQ286" s="255">
        <v>45017</v>
      </c>
      <c r="AR286" s="13" t="s">
        <v>525</v>
      </c>
      <c r="AS286" s="434" t="s">
        <v>1335</v>
      </c>
      <c r="AT286" s="429"/>
      <c r="AU286" s="241"/>
      <c r="AV286" s="243"/>
      <c r="AW286" s="72" t="s">
        <v>127</v>
      </c>
      <c r="AX286" s="243"/>
      <c r="AY286" s="103">
        <f t="shared" si="137"/>
        <v>0.51851851851851849</v>
      </c>
      <c r="AZ286" s="72"/>
      <c r="BA286" s="13" t="str">
        <f t="shared" si="138"/>
        <v>W22</v>
      </c>
      <c r="BB286" s="72" t="str">
        <f t="shared" si="139"/>
        <v>Clear</v>
      </c>
      <c r="BC286" s="32"/>
      <c r="BD286" s="241"/>
      <c r="BE286" s="241"/>
      <c r="BF286" s="71"/>
      <c r="BG286" s="241"/>
      <c r="BH286" s="241"/>
      <c r="BI286" s="71"/>
      <c r="BJ286" s="123"/>
      <c r="BK286" s="123"/>
      <c r="BL286" s="126"/>
      <c r="BM286" s="123"/>
      <c r="BN286" s="123"/>
      <c r="BO286" s="108"/>
      <c r="BP286" s="108"/>
      <c r="BQ286" s="80"/>
      <c r="BR286" s="80"/>
      <c r="BS286" s="80"/>
      <c r="BU286" s="87"/>
      <c r="BV286" s="73"/>
      <c r="BW286" s="109"/>
      <c r="BX286" s="87"/>
      <c r="BY286" s="87"/>
      <c r="BZ286" s="109"/>
      <c r="CA286" s="76"/>
    </row>
    <row r="287" spans="1:79" s="72" customFormat="1">
      <c r="A287" s="13" t="s">
        <v>466</v>
      </c>
      <c r="B287" s="13" t="s">
        <v>1239</v>
      </c>
      <c r="C287" s="13" t="s">
        <v>895</v>
      </c>
      <c r="D287" s="13" t="s">
        <v>1336</v>
      </c>
      <c r="E287" s="13" t="s">
        <v>118</v>
      </c>
      <c r="F287" s="13" t="s">
        <v>186</v>
      </c>
      <c r="G287" s="13" t="s">
        <v>1337</v>
      </c>
      <c r="H287" s="13" t="s">
        <v>121</v>
      </c>
      <c r="I287" s="13" t="s">
        <v>147</v>
      </c>
      <c r="J287" s="13" t="s">
        <v>5</v>
      </c>
      <c r="K287" s="13" t="s">
        <v>123</v>
      </c>
      <c r="L287" s="13" t="s">
        <v>1338</v>
      </c>
      <c r="M287" s="13" t="s">
        <v>125</v>
      </c>
      <c r="N287" s="13" t="s">
        <v>126</v>
      </c>
      <c r="O287" s="247">
        <v>0.48</v>
      </c>
      <c r="P287" s="13">
        <v>103</v>
      </c>
      <c r="Q287" s="13">
        <v>30</v>
      </c>
      <c r="R287" s="13" t="s">
        <v>127</v>
      </c>
      <c r="S287" s="430" t="str">
        <f t="shared" si="122"/>
        <v>N/A</v>
      </c>
      <c r="T287" s="247">
        <v>0.8</v>
      </c>
      <c r="U287" s="13">
        <v>200</v>
      </c>
      <c r="V287" s="13">
        <v>600</v>
      </c>
      <c r="W287" s="430">
        <f t="shared" si="120"/>
        <v>400</v>
      </c>
      <c r="X287" s="430">
        <f t="shared" si="121"/>
        <v>130</v>
      </c>
      <c r="Y287" s="13">
        <v>200</v>
      </c>
      <c r="Z287" s="13">
        <v>600</v>
      </c>
      <c r="AA287" s="430">
        <f t="shared" si="123"/>
        <v>400</v>
      </c>
      <c r="AB287" s="430">
        <f t="shared" si="124"/>
        <v>130</v>
      </c>
      <c r="AC287" s="430" t="str">
        <f t="shared" si="125"/>
        <v>N/A</v>
      </c>
      <c r="AD287" s="430">
        <f t="shared" si="126"/>
        <v>73</v>
      </c>
      <c r="AE287" s="431">
        <f t="shared" si="127"/>
        <v>1.1504000000000001</v>
      </c>
      <c r="AF287" s="431"/>
      <c r="AG287" s="431">
        <f t="shared" si="128"/>
        <v>1.0262291262135923</v>
      </c>
      <c r="AH287" s="431">
        <f t="shared" si="129"/>
        <v>1.0878028737864078</v>
      </c>
      <c r="AI287" s="432">
        <f t="shared" si="130"/>
        <v>879.250496</v>
      </c>
      <c r="AJ287" s="432">
        <f t="shared" si="131"/>
        <v>145.31094231559285</v>
      </c>
      <c r="AK287" s="432">
        <f t="shared" si="132"/>
        <v>158.88630618114411</v>
      </c>
      <c r="AL287" s="432">
        <f t="shared" si="133"/>
        <v>315.84304971823838</v>
      </c>
      <c r="AM287" s="250">
        <v>159</v>
      </c>
      <c r="AN287" s="432">
        <f t="shared" si="134"/>
        <v>163.77000000000001</v>
      </c>
      <c r="AO287" s="432">
        <f t="shared" si="135"/>
        <v>178.14947664000002</v>
      </c>
      <c r="AP287" s="432">
        <f t="shared" si="136"/>
        <v>593.83158880000008</v>
      </c>
      <c r="AQ287" s="255">
        <v>45130</v>
      </c>
      <c r="AR287" s="13" t="s">
        <v>1081</v>
      </c>
      <c r="AS287" s="429" t="s">
        <v>1339</v>
      </c>
      <c r="AT287" s="13"/>
      <c r="AU287" s="257"/>
      <c r="AV287" s="259"/>
      <c r="AW287" s="77" t="s">
        <v>127</v>
      </c>
      <c r="AX287" s="268"/>
      <c r="AY287" s="103">
        <f t="shared" si="137"/>
        <v>0.58252427184466016</v>
      </c>
      <c r="AZ287" s="77"/>
      <c r="BA287" s="38" t="str">
        <f t="shared" si="138"/>
        <v>W22</v>
      </c>
      <c r="BB287" s="77" t="str">
        <f t="shared" si="139"/>
        <v>Clear</v>
      </c>
      <c r="BC287" s="264"/>
      <c r="BD287" s="253"/>
      <c r="BE287" s="253"/>
      <c r="BF287" s="100"/>
      <c r="BG287" s="253"/>
      <c r="BH287" s="253"/>
      <c r="BI287" s="100"/>
      <c r="BJ287" s="143"/>
      <c r="BK287" s="139"/>
      <c r="BL287" s="191"/>
      <c r="BM287" s="139"/>
      <c r="BN287" s="162"/>
      <c r="BO287" s="101"/>
      <c r="BP287" s="105"/>
      <c r="BQ287" s="83"/>
      <c r="BR287" s="71"/>
      <c r="BS287" s="71"/>
      <c r="BT287" s="13">
        <f>P287-V287/10-120/10</f>
        <v>31</v>
      </c>
      <c r="BU287" s="79">
        <f>BT287-Q287</f>
        <v>1</v>
      </c>
      <c r="BV287" s="29">
        <f>T287+(O287/100*(P287-BT287))</f>
        <v>1.1456</v>
      </c>
      <c r="BW287" s="86">
        <f>(AE287-BV287)/AE287</f>
        <v>4.1724617524340549E-3</v>
      </c>
      <c r="BX287" s="79">
        <f>(PI()*((51/2)^2-(16.545/2)^2)/(BV287/10))/100</f>
        <v>159.55203092771316</v>
      </c>
      <c r="BY287" s="79">
        <f>BX287-AK287</f>
        <v>0.66572474656905456</v>
      </c>
      <c r="BZ287" s="86">
        <f>BY287/AK287</f>
        <v>4.1899441340783068E-3</v>
      </c>
      <c r="CA287" s="76"/>
    </row>
    <row r="288" spans="1:79" s="77" customFormat="1">
      <c r="A288" s="13" t="s">
        <v>466</v>
      </c>
      <c r="B288" s="13" t="s">
        <v>1239</v>
      </c>
      <c r="C288" s="13" t="s">
        <v>895</v>
      </c>
      <c r="D288" s="13" t="s">
        <v>1336</v>
      </c>
      <c r="E288" s="13" t="s">
        <v>118</v>
      </c>
      <c r="F288" s="13" t="s">
        <v>186</v>
      </c>
      <c r="G288" s="13" t="s">
        <v>1340</v>
      </c>
      <c r="H288" s="13" t="s">
        <v>121</v>
      </c>
      <c r="I288" s="13" t="s">
        <v>147</v>
      </c>
      <c r="J288" s="13" t="s">
        <v>5</v>
      </c>
      <c r="K288" s="13" t="s">
        <v>140</v>
      </c>
      <c r="L288" s="13" t="s">
        <v>1341</v>
      </c>
      <c r="M288" s="13"/>
      <c r="N288" s="13" t="s">
        <v>142</v>
      </c>
      <c r="O288" s="247">
        <v>0.48</v>
      </c>
      <c r="P288" s="13">
        <v>98</v>
      </c>
      <c r="Q288" s="13">
        <v>25</v>
      </c>
      <c r="R288" s="13" t="s">
        <v>127</v>
      </c>
      <c r="S288" s="430" t="str">
        <f t="shared" si="122"/>
        <v>N/A</v>
      </c>
      <c r="T288" s="247">
        <v>0.76</v>
      </c>
      <c r="U288" s="13">
        <v>200</v>
      </c>
      <c r="V288" s="13">
        <v>600</v>
      </c>
      <c r="W288" s="430">
        <f t="shared" si="120"/>
        <v>400</v>
      </c>
      <c r="X288" s="430">
        <f t="shared" si="121"/>
        <v>130</v>
      </c>
      <c r="Y288" s="13">
        <v>150</v>
      </c>
      <c r="Z288" s="13">
        <v>600</v>
      </c>
      <c r="AA288" s="430">
        <f t="shared" si="123"/>
        <v>450</v>
      </c>
      <c r="AB288" s="430">
        <f t="shared" si="124"/>
        <v>130</v>
      </c>
      <c r="AC288" s="430" t="str">
        <f t="shared" si="125"/>
        <v>N/A</v>
      </c>
      <c r="AD288" s="430">
        <f t="shared" si="126"/>
        <v>73</v>
      </c>
      <c r="AE288" s="431">
        <f t="shared" si="127"/>
        <v>1.1104000000000001</v>
      </c>
      <c r="AF288" s="431"/>
      <c r="AG288" s="431">
        <f t="shared" si="128"/>
        <v>0.97989387755102042</v>
      </c>
      <c r="AH288" s="431">
        <f t="shared" si="129"/>
        <v>1.0435869795918369</v>
      </c>
      <c r="AI288" s="432">
        <f t="shared" si="130"/>
        <v>840.79790400000002</v>
      </c>
      <c r="AJ288" s="432">
        <f t="shared" si="131"/>
        <v>150.54548634713439</v>
      </c>
      <c r="AK288" s="432">
        <f t="shared" si="132"/>
        <v>164.60987628853402</v>
      </c>
      <c r="AL288" s="432">
        <f t="shared" si="133"/>
        <v>327.22068119223837</v>
      </c>
      <c r="AM288" s="250">
        <v>165</v>
      </c>
      <c r="AN288" s="432">
        <f t="shared" si="134"/>
        <v>161.69999999999999</v>
      </c>
      <c r="AO288" s="432">
        <f t="shared" si="135"/>
        <v>168.7480146</v>
      </c>
      <c r="AP288" s="432">
        <f t="shared" si="136"/>
        <v>674.99205840000002</v>
      </c>
      <c r="AQ288" s="255">
        <v>45130</v>
      </c>
      <c r="AR288" s="13" t="s">
        <v>1280</v>
      </c>
      <c r="AS288" s="434" t="s">
        <v>1342</v>
      </c>
      <c r="AT288" s="429"/>
      <c r="AU288" s="253"/>
      <c r="AV288" s="268"/>
      <c r="AW288" s="77" t="s">
        <v>127</v>
      </c>
      <c r="AX288" s="268"/>
      <c r="AY288" s="102">
        <f t="shared" si="137"/>
        <v>0.61224489795918369</v>
      </c>
      <c r="BA288" s="38" t="str">
        <f t="shared" si="138"/>
        <v>W50</v>
      </c>
      <c r="BB288" s="77" t="str">
        <f t="shared" si="139"/>
        <v>Clear</v>
      </c>
      <c r="BC288" s="264"/>
      <c r="BD288" s="253"/>
      <c r="BE288" s="253"/>
      <c r="BF288" s="100"/>
      <c r="BG288" s="253"/>
      <c r="BH288" s="253"/>
      <c r="BI288" s="100"/>
      <c r="BJ288" s="162"/>
      <c r="BK288" s="130"/>
      <c r="BL288" s="168"/>
      <c r="BM288" s="130"/>
      <c r="BN288" s="100"/>
      <c r="BO288" s="130"/>
      <c r="BP288" s="130"/>
      <c r="BQ288" s="130"/>
      <c r="BR288" s="100"/>
      <c r="BS288" s="100"/>
      <c r="BU288" s="282"/>
      <c r="BV288" s="264"/>
      <c r="BW288" s="169"/>
      <c r="BX288" s="282"/>
      <c r="BY288" s="282"/>
      <c r="BZ288" s="169"/>
      <c r="CA288" s="271"/>
    </row>
    <row r="289" spans="1:79" s="22" customFormat="1">
      <c r="A289" s="13" t="s">
        <v>466</v>
      </c>
      <c r="B289" s="13" t="s">
        <v>1239</v>
      </c>
      <c r="C289" s="13" t="s">
        <v>895</v>
      </c>
      <c r="D289" s="13" t="s">
        <v>1343</v>
      </c>
      <c r="E289" s="13" t="s">
        <v>118</v>
      </c>
      <c r="F289" s="13" t="s">
        <v>186</v>
      </c>
      <c r="G289" s="13" t="s">
        <v>1344</v>
      </c>
      <c r="H289" s="13" t="s">
        <v>121</v>
      </c>
      <c r="I289" s="13" t="s">
        <v>147</v>
      </c>
      <c r="J289" s="13" t="s">
        <v>5</v>
      </c>
      <c r="K289" s="13" t="s">
        <v>123</v>
      </c>
      <c r="L289" s="13" t="s">
        <v>1345</v>
      </c>
      <c r="M289" s="13" t="s">
        <v>125</v>
      </c>
      <c r="N289" s="13" t="s">
        <v>126</v>
      </c>
      <c r="O289" s="247">
        <v>0.32</v>
      </c>
      <c r="P289" s="13">
        <v>121</v>
      </c>
      <c r="Q289" s="13">
        <v>30</v>
      </c>
      <c r="R289" s="13" t="s">
        <v>127</v>
      </c>
      <c r="S289" s="430" t="str">
        <f t="shared" si="122"/>
        <v>N/A</v>
      </c>
      <c r="T289" s="247">
        <v>0.8</v>
      </c>
      <c r="U289" s="13">
        <v>200</v>
      </c>
      <c r="V289" s="13">
        <v>600</v>
      </c>
      <c r="W289" s="430">
        <f t="shared" si="120"/>
        <v>400</v>
      </c>
      <c r="X289" s="430">
        <f t="shared" si="121"/>
        <v>310</v>
      </c>
      <c r="Y289" s="13">
        <v>150</v>
      </c>
      <c r="Z289" s="13">
        <v>600</v>
      </c>
      <c r="AA289" s="430">
        <f t="shared" si="123"/>
        <v>450</v>
      </c>
      <c r="AB289" s="430">
        <f t="shared" si="124"/>
        <v>310</v>
      </c>
      <c r="AC289" s="430" t="str">
        <f t="shared" si="125"/>
        <v>N/A</v>
      </c>
      <c r="AD289" s="430">
        <f t="shared" si="126"/>
        <v>91</v>
      </c>
      <c r="AE289" s="431">
        <f t="shared" si="127"/>
        <v>1.0912000000000002</v>
      </c>
      <c r="AF289" s="431"/>
      <c r="AG289" s="431">
        <f t="shared" si="128"/>
        <v>0.98169917355371916</v>
      </c>
      <c r="AH289" s="431">
        <f t="shared" si="129"/>
        <v>1.0406011239669422</v>
      </c>
      <c r="AI289" s="432">
        <f t="shared" si="130"/>
        <v>868.833664</v>
      </c>
      <c r="AJ289" s="432">
        <f t="shared" si="131"/>
        <v>153.19438053506047</v>
      </c>
      <c r="AK289" s="432">
        <f t="shared" si="132"/>
        <v>167.50623774815628</v>
      </c>
      <c r="AL289" s="432">
        <f t="shared" si="133"/>
        <v>332.97822983491699</v>
      </c>
      <c r="AM289" s="250">
        <v>168</v>
      </c>
      <c r="AN289" s="432">
        <f t="shared" si="134"/>
        <v>203.28</v>
      </c>
      <c r="AO289" s="432">
        <f t="shared" si="135"/>
        <v>211.53339647999999</v>
      </c>
      <c r="AP289" s="432">
        <f t="shared" si="136"/>
        <v>705.1113216</v>
      </c>
      <c r="AQ289" s="255">
        <v>44958</v>
      </c>
      <c r="AR289" s="13" t="s">
        <v>682</v>
      </c>
      <c r="AS289" s="434" t="s">
        <v>1346</v>
      </c>
      <c r="AT289" s="429"/>
      <c r="AU289" s="257"/>
      <c r="AV289" s="259"/>
      <c r="AW289" s="38" t="s">
        <v>127</v>
      </c>
      <c r="AX289" s="259"/>
      <c r="AY289" s="103">
        <f t="shared" si="137"/>
        <v>0.49586776859504134</v>
      </c>
      <c r="AZ289" s="262"/>
      <c r="BA289" s="13" t="str">
        <f t="shared" si="138"/>
        <v>W22</v>
      </c>
      <c r="BB289" s="72" t="str">
        <f t="shared" si="139"/>
        <v>Clear</v>
      </c>
      <c r="BC289" s="264">
        <f>IF(Q289="","",((P289/100*O289)+T289))</f>
        <v>1.1872</v>
      </c>
      <c r="BD289" s="253">
        <f>IF(BC289="","",((PI()*((51/2)^2-(16.545/2)^2)/(BC289/10))/100))</f>
        <v>153.96125895450484</v>
      </c>
      <c r="BE289" s="253">
        <f>IF(BC289="","",(BD289-AK289))</f>
        <v>-13.544978793651438</v>
      </c>
      <c r="BF289" s="100">
        <f>IF(BC289="","",(BE289/AK289))</f>
        <v>-8.0862533692722297E-2</v>
      </c>
      <c r="BG289" s="253">
        <f>IF(BF289="","",((PI()*((70/2)^2-(16.545/2)^2)/(BC289/10))/100))</f>
        <v>306.052766505948</v>
      </c>
      <c r="BH289" s="253">
        <f>IF(BF289="","",(BG289-AL289))</f>
        <v>-26.925463328968988</v>
      </c>
      <c r="BI289" s="100">
        <f>IF(BG289="","",(BH289/AL289))</f>
        <v>-8.0862533692722255E-2</v>
      </c>
      <c r="BJ289" s="143"/>
      <c r="BK289" s="111">
        <v>20</v>
      </c>
      <c r="BL289" s="112">
        <f>AH289</f>
        <v>1.0406011239669422</v>
      </c>
      <c r="BM289" s="111">
        <f>BK289/AH289</f>
        <v>19.219660193866329</v>
      </c>
      <c r="BN289" s="123">
        <f>BK289-BM289</f>
        <v>0.78033980613367149</v>
      </c>
      <c r="BO289" s="111">
        <v>19.7</v>
      </c>
      <c r="BP289" s="137">
        <f>BO289-BM289</f>
        <v>0.48033980613367078</v>
      </c>
      <c r="BQ289" s="164"/>
      <c r="BR289" s="159"/>
      <c r="BS289" s="100"/>
      <c r="BT289" s="72"/>
      <c r="BU289" s="78"/>
      <c r="BV289" s="32"/>
      <c r="BW289" s="127"/>
      <c r="BX289" s="78"/>
      <c r="BY289" s="78"/>
      <c r="BZ289" s="127"/>
      <c r="CA289" s="76"/>
    </row>
    <row r="290" spans="1:79" s="77" customFormat="1">
      <c r="A290" s="13" t="s">
        <v>466</v>
      </c>
      <c r="B290" s="13" t="s">
        <v>1239</v>
      </c>
      <c r="C290" s="13"/>
      <c r="D290" s="387"/>
      <c r="E290" s="13" t="s">
        <v>118</v>
      </c>
      <c r="F290" s="13" t="s">
        <v>119</v>
      </c>
      <c r="G290" s="13" t="s">
        <v>1347</v>
      </c>
      <c r="H290" s="13" t="s">
        <v>121</v>
      </c>
      <c r="I290" s="13" t="s">
        <v>147</v>
      </c>
      <c r="J290" s="13" t="s">
        <v>5</v>
      </c>
      <c r="K290" s="13" t="s">
        <v>140</v>
      </c>
      <c r="L290" s="13" t="s">
        <v>1348</v>
      </c>
      <c r="M290" s="13"/>
      <c r="N290" s="13" t="s">
        <v>142</v>
      </c>
      <c r="O290" s="247">
        <v>0.27</v>
      </c>
      <c r="P290" s="13">
        <v>108</v>
      </c>
      <c r="Q290" s="13">
        <v>30</v>
      </c>
      <c r="R290" s="13" t="s">
        <v>127</v>
      </c>
      <c r="S290" s="430" t="str">
        <f t="shared" si="122"/>
        <v>N/A</v>
      </c>
      <c r="T290" s="247">
        <v>0.76</v>
      </c>
      <c r="U290" s="13">
        <v>200</v>
      </c>
      <c r="V290" s="13">
        <v>600</v>
      </c>
      <c r="W290" s="430">
        <f t="shared" si="120"/>
        <v>400</v>
      </c>
      <c r="X290" s="430">
        <f t="shared" si="121"/>
        <v>180</v>
      </c>
      <c r="Y290" s="13">
        <v>150</v>
      </c>
      <c r="Z290" s="13">
        <v>600</v>
      </c>
      <c r="AA290" s="430">
        <f t="shared" si="123"/>
        <v>450</v>
      </c>
      <c r="AB290" s="430">
        <f t="shared" si="124"/>
        <v>180</v>
      </c>
      <c r="AC290" s="430" t="str">
        <f t="shared" si="125"/>
        <v>N/A</v>
      </c>
      <c r="AD290" s="430">
        <f t="shared" si="126"/>
        <v>78</v>
      </c>
      <c r="AE290" s="431">
        <f t="shared" si="127"/>
        <v>0.97060000000000002</v>
      </c>
      <c r="AF290" s="431"/>
      <c r="AG290" s="431">
        <f t="shared" si="128"/>
        <v>0.89455000000000007</v>
      </c>
      <c r="AH290" s="431">
        <f t="shared" si="129"/>
        <v>0.95269575000000006</v>
      </c>
      <c r="AI290" s="432">
        <f t="shared" si="130"/>
        <v>827.06132100000002</v>
      </c>
      <c r="AJ290" s="432">
        <f t="shared" si="131"/>
        <v>172.22924792896976</v>
      </c>
      <c r="AK290" s="432">
        <f t="shared" si="132"/>
        <v>188.3193968996375</v>
      </c>
      <c r="AL290" s="432">
        <f t="shared" si="133"/>
        <v>374.35178693165204</v>
      </c>
      <c r="AM290" s="250">
        <v>188</v>
      </c>
      <c r="AN290" s="432">
        <f t="shared" si="134"/>
        <v>203.04</v>
      </c>
      <c r="AO290" s="432">
        <f t="shared" si="135"/>
        <v>193.43534508000002</v>
      </c>
      <c r="AP290" s="432">
        <f t="shared" si="136"/>
        <v>644.78448360000004</v>
      </c>
      <c r="AQ290" s="255" t="s">
        <v>132</v>
      </c>
      <c r="AR290" s="13" t="s">
        <v>1280</v>
      </c>
      <c r="AS290" s="434" t="s">
        <v>1349</v>
      </c>
      <c r="AT290" s="429"/>
      <c r="AU290" s="241"/>
      <c r="AV290" s="243"/>
      <c r="AW290" s="72" t="s">
        <v>127</v>
      </c>
      <c r="AX290" s="243"/>
      <c r="AY290" s="103">
        <f t="shared" si="137"/>
        <v>0.55555555555555558</v>
      </c>
      <c r="AZ290" s="72"/>
      <c r="BA290" s="13" t="str">
        <f t="shared" si="138"/>
        <v>W50</v>
      </c>
      <c r="BB290" s="72" t="str">
        <f t="shared" si="139"/>
        <v>Clear</v>
      </c>
      <c r="BC290" s="32"/>
      <c r="BD290" s="241"/>
      <c r="BE290" s="241"/>
      <c r="BF290" s="71"/>
      <c r="BG290" s="241"/>
      <c r="BH290" s="241"/>
      <c r="BI290" s="71"/>
      <c r="BJ290" s="123"/>
      <c r="BK290" s="108"/>
      <c r="BL290" s="126"/>
      <c r="BM290" s="108"/>
      <c r="BN290" s="71"/>
      <c r="BO290" s="108"/>
      <c r="BP290" s="108"/>
      <c r="BQ290" s="115"/>
      <c r="BR290" s="113"/>
      <c r="BS290" s="71"/>
      <c r="BT290" s="13"/>
      <c r="BU290" s="79"/>
      <c r="BV290" s="29"/>
      <c r="BW290" s="86"/>
      <c r="BX290" s="79"/>
      <c r="BY290" s="79"/>
      <c r="BZ290" s="86"/>
      <c r="CA290" s="76"/>
    </row>
    <row r="291" spans="1:79" s="72" customFormat="1">
      <c r="A291" s="13" t="s">
        <v>466</v>
      </c>
      <c r="B291" s="13" t="s">
        <v>1239</v>
      </c>
      <c r="C291" s="13"/>
      <c r="D291" s="387"/>
      <c r="E291" s="13" t="s">
        <v>118</v>
      </c>
      <c r="F291" s="13" t="s">
        <v>119</v>
      </c>
      <c r="G291" s="13" t="s">
        <v>1350</v>
      </c>
      <c r="H291" s="13" t="s">
        <v>389</v>
      </c>
      <c r="I291" s="13" t="s">
        <v>139</v>
      </c>
      <c r="J291" s="13" t="s">
        <v>5</v>
      </c>
      <c r="K291" s="13" t="s">
        <v>140</v>
      </c>
      <c r="L291" s="13" t="s">
        <v>1351</v>
      </c>
      <c r="M291" s="13"/>
      <c r="N291" s="13" t="s">
        <v>142</v>
      </c>
      <c r="O291" s="247">
        <v>0.56000000000000005</v>
      </c>
      <c r="P291" s="13">
        <v>98</v>
      </c>
      <c r="Q291" s="13">
        <v>30</v>
      </c>
      <c r="R291" s="13" t="s">
        <v>127</v>
      </c>
      <c r="S291" s="430" t="str">
        <f t="shared" si="122"/>
        <v>N/A</v>
      </c>
      <c r="T291" s="247">
        <v>0.76</v>
      </c>
      <c r="U291" s="13">
        <v>160</v>
      </c>
      <c r="V291" s="13">
        <v>560</v>
      </c>
      <c r="W291" s="430">
        <f t="shared" si="120"/>
        <v>400</v>
      </c>
      <c r="X291" s="430">
        <f t="shared" si="121"/>
        <v>120</v>
      </c>
      <c r="Y291" s="13">
        <v>150</v>
      </c>
      <c r="Z291" s="13">
        <v>600</v>
      </c>
      <c r="AA291" s="430">
        <f t="shared" si="123"/>
        <v>450</v>
      </c>
      <c r="AB291" s="430">
        <f t="shared" si="124"/>
        <v>80</v>
      </c>
      <c r="AC291" s="430" t="str">
        <f t="shared" si="125"/>
        <v>N/A</v>
      </c>
      <c r="AD291" s="430">
        <f t="shared" si="126"/>
        <v>68</v>
      </c>
      <c r="AE291" s="431">
        <f t="shared" si="127"/>
        <v>1.1408</v>
      </c>
      <c r="AF291" s="431"/>
      <c r="AG291" s="431">
        <f t="shared" si="128"/>
        <v>1.0086857142857144</v>
      </c>
      <c r="AH291" s="431">
        <f t="shared" si="129"/>
        <v>1.0742502857142859</v>
      </c>
      <c r="AI291" s="432">
        <f t="shared" si="130"/>
        <v>846.030888</v>
      </c>
      <c r="AJ291" s="432">
        <f t="shared" si="131"/>
        <v>146.53375529440572</v>
      </c>
      <c r="AK291" s="432">
        <f t="shared" si="132"/>
        <v>160.22335784606256</v>
      </c>
      <c r="AL291" s="432">
        <f t="shared" si="133"/>
        <v>318.50091549426844</v>
      </c>
      <c r="AM291" s="250">
        <v>120</v>
      </c>
      <c r="AN291" s="432">
        <f t="shared" si="134"/>
        <v>117.6</v>
      </c>
      <c r="AO291" s="432">
        <f t="shared" si="135"/>
        <v>126.33183360000002</v>
      </c>
      <c r="AP291" s="432">
        <f t="shared" si="136"/>
        <v>421.10611200000011</v>
      </c>
      <c r="AQ291" s="255" t="s">
        <v>132</v>
      </c>
      <c r="AR291" s="13" t="s">
        <v>506</v>
      </c>
      <c r="AS291" s="434" t="s">
        <v>1352</v>
      </c>
      <c r="AT291" s="429"/>
      <c r="AU291" s="241"/>
      <c r="AV291" s="243"/>
      <c r="AW291" s="72" t="s">
        <v>127</v>
      </c>
      <c r="AX291" s="243"/>
      <c r="AY291" s="103">
        <f t="shared" si="137"/>
        <v>0.5714285714285714</v>
      </c>
      <c r="BA291" s="13" t="str">
        <f t="shared" si="138"/>
        <v>W50</v>
      </c>
      <c r="BB291" s="72" t="str">
        <f t="shared" si="139"/>
        <v>Clear</v>
      </c>
      <c r="BC291" s="32">
        <f>IF(Q291="","",((P291/100*O291)+T291))</f>
        <v>1.3088000000000002</v>
      </c>
      <c r="BD291" s="241">
        <f>IF(BC291="","",((PI()*((51/2)^2-(16.545/2)^2)/(BC291/10))/100))</f>
        <v>139.65678990738704</v>
      </c>
      <c r="BE291" s="241">
        <f>IF(BC291="","",(BD291-AK291))</f>
        <v>-20.566567938675519</v>
      </c>
      <c r="BF291" s="71">
        <f>IF(BC291="","",(BE291/AK291))</f>
        <v>-0.12836185819070908</v>
      </c>
      <c r="BG291" s="241">
        <f>IF(BF291="","",((PI()*((70/2)^2-(16.545/2)^2)/(BC291/10))/100))</f>
        <v>277.61754614598215</v>
      </c>
      <c r="BH291" s="241">
        <f>IF(BF291="","",(BG291-AL291))</f>
        <v>-40.883369348286294</v>
      </c>
      <c r="BI291" s="71">
        <f>IF(BG291="","",(BH291/AL291))</f>
        <v>-0.12836185819070906</v>
      </c>
      <c r="BJ291" s="123"/>
      <c r="BK291" s="108"/>
      <c r="BL291" s="126"/>
      <c r="BM291" s="108"/>
      <c r="BN291" s="71"/>
      <c r="BO291" s="108"/>
      <c r="BP291" s="108"/>
      <c r="BQ291" s="147">
        <v>21750</v>
      </c>
      <c r="BR291" s="124"/>
      <c r="BS291" s="71"/>
      <c r="BU291" s="78"/>
      <c r="BV291" s="32"/>
      <c r="BW291" s="127"/>
      <c r="BX291" s="78"/>
      <c r="BY291" s="78"/>
      <c r="BZ291" s="127"/>
      <c r="CA291" s="76"/>
    </row>
    <row r="292" spans="1:79" s="72" customFormat="1">
      <c r="A292" s="13" t="s">
        <v>466</v>
      </c>
      <c r="B292" s="13" t="s">
        <v>1353</v>
      </c>
      <c r="C292" s="13" t="s">
        <v>573</v>
      </c>
      <c r="D292" s="446" t="s">
        <v>1354</v>
      </c>
      <c r="E292" s="13" t="s">
        <v>118</v>
      </c>
      <c r="F292" s="13" t="s">
        <v>186</v>
      </c>
      <c r="G292" s="13" t="s">
        <v>1355</v>
      </c>
      <c r="H292" s="13" t="s">
        <v>121</v>
      </c>
      <c r="I292" s="13" t="s">
        <v>147</v>
      </c>
      <c r="J292" s="13" t="s">
        <v>5</v>
      </c>
      <c r="K292" s="13" t="s">
        <v>123</v>
      </c>
      <c r="L292" s="13" t="s">
        <v>1356</v>
      </c>
      <c r="M292" s="13" t="s">
        <v>125</v>
      </c>
      <c r="N292" s="13" t="s">
        <v>126</v>
      </c>
      <c r="O292" s="247">
        <v>0.3</v>
      </c>
      <c r="P292" s="13">
        <v>105</v>
      </c>
      <c r="Q292" s="13">
        <v>30</v>
      </c>
      <c r="R292" s="13" t="s">
        <v>127</v>
      </c>
      <c r="S292" s="430" t="str">
        <f t="shared" si="122"/>
        <v>N/A</v>
      </c>
      <c r="T292" s="247">
        <v>0.8</v>
      </c>
      <c r="U292" s="13">
        <v>200</v>
      </c>
      <c r="V292" s="13">
        <v>600</v>
      </c>
      <c r="W292" s="430">
        <f t="shared" si="120"/>
        <v>400</v>
      </c>
      <c r="X292" s="430">
        <f t="shared" si="121"/>
        <v>150</v>
      </c>
      <c r="Y292" s="13">
        <v>150</v>
      </c>
      <c r="Z292" s="13">
        <v>600</v>
      </c>
      <c r="AA292" s="430">
        <f t="shared" si="123"/>
        <v>450</v>
      </c>
      <c r="AB292" s="430">
        <f t="shared" si="124"/>
        <v>150</v>
      </c>
      <c r="AC292" s="430" t="str">
        <f t="shared" si="125"/>
        <v>N/A</v>
      </c>
      <c r="AD292" s="430">
        <f t="shared" si="126"/>
        <v>75</v>
      </c>
      <c r="AE292" s="431">
        <f t="shared" si="127"/>
        <v>1.0250000000000001</v>
      </c>
      <c r="AF292" s="431"/>
      <c r="AG292" s="431">
        <f t="shared" si="128"/>
        <v>0.94464285714285712</v>
      </c>
      <c r="AH292" s="431">
        <f t="shared" si="129"/>
        <v>1.0013214285714285</v>
      </c>
      <c r="AI292" s="432">
        <f t="shared" si="130"/>
        <v>867.53156000000013</v>
      </c>
      <c r="AJ292" s="432">
        <f t="shared" si="131"/>
        <v>163.08849564864195</v>
      </c>
      <c r="AK292" s="432">
        <f t="shared" si="132"/>
        <v>178.32468939589089</v>
      </c>
      <c r="AL292" s="432">
        <f t="shared" si="133"/>
        <v>354.48375063010872</v>
      </c>
      <c r="AM292" s="250">
        <v>178</v>
      </c>
      <c r="AN292" s="432">
        <f t="shared" si="134"/>
        <v>186.9</v>
      </c>
      <c r="AO292" s="432">
        <f t="shared" si="135"/>
        <v>187.146975</v>
      </c>
      <c r="AP292" s="432">
        <f t="shared" si="136"/>
        <v>623.82325000000003</v>
      </c>
      <c r="AQ292" s="255">
        <v>45130</v>
      </c>
      <c r="AR292" s="13" t="s">
        <v>571</v>
      </c>
      <c r="AS292" s="429" t="s">
        <v>1357</v>
      </c>
      <c r="AT292" s="429"/>
      <c r="AU292" s="253"/>
      <c r="AV292" s="268"/>
      <c r="AW292" s="77" t="s">
        <v>127</v>
      </c>
      <c r="AX292" s="268"/>
      <c r="AY292" s="102">
        <f t="shared" si="137"/>
        <v>0.5714285714285714</v>
      </c>
      <c r="AZ292" s="77"/>
      <c r="BA292" s="38" t="str">
        <f t="shared" si="138"/>
        <v>W22</v>
      </c>
      <c r="BB292" s="77" t="str">
        <f t="shared" si="139"/>
        <v>Clear</v>
      </c>
      <c r="BC292" s="264"/>
      <c r="BD292" s="253"/>
      <c r="BE292" s="253"/>
      <c r="BF292" s="100"/>
      <c r="BG292" s="253"/>
      <c r="BH292" s="253"/>
      <c r="BI292" s="100"/>
      <c r="BJ292" s="162"/>
      <c r="BK292" s="130"/>
      <c r="BL292" s="168"/>
      <c r="BM292" s="130"/>
      <c r="BN292" s="100"/>
      <c r="BO292" s="130"/>
      <c r="BP292" s="130"/>
      <c r="BQ292" s="159"/>
      <c r="BR292" s="159"/>
      <c r="BS292" s="100"/>
      <c r="BT292" s="77"/>
      <c r="BU292" s="282"/>
      <c r="BV292" s="264"/>
      <c r="BW292" s="169"/>
      <c r="BX292" s="282"/>
      <c r="BY292" s="282"/>
      <c r="BZ292" s="169"/>
      <c r="CA292" s="271"/>
    </row>
    <row r="293" spans="1:79" s="296" customFormat="1">
      <c r="A293" s="13" t="s">
        <v>466</v>
      </c>
      <c r="B293" s="387" t="s">
        <v>1353</v>
      </c>
      <c r="C293" s="13" t="s">
        <v>573</v>
      </c>
      <c r="D293" s="13" t="s">
        <v>1358</v>
      </c>
      <c r="E293" s="13" t="s">
        <v>118</v>
      </c>
      <c r="F293" s="13" t="s">
        <v>186</v>
      </c>
      <c r="G293" s="13" t="s">
        <v>1359</v>
      </c>
      <c r="H293" s="13" t="s">
        <v>121</v>
      </c>
      <c r="I293" s="13" t="s">
        <v>147</v>
      </c>
      <c r="J293" s="13" t="s">
        <v>5</v>
      </c>
      <c r="K293" s="13" t="s">
        <v>123</v>
      </c>
      <c r="L293" s="13" t="s">
        <v>1360</v>
      </c>
      <c r="M293" s="13" t="s">
        <v>125</v>
      </c>
      <c r="N293" s="13" t="s">
        <v>126</v>
      </c>
      <c r="O293" s="247">
        <v>0.22</v>
      </c>
      <c r="P293" s="13">
        <v>112</v>
      </c>
      <c r="Q293" s="13">
        <v>30</v>
      </c>
      <c r="R293" s="13" t="s">
        <v>127</v>
      </c>
      <c r="S293" s="430" t="str">
        <f t="shared" si="122"/>
        <v>N/A</v>
      </c>
      <c r="T293" s="247">
        <v>0.8</v>
      </c>
      <c r="U293" s="13">
        <v>200</v>
      </c>
      <c r="V293" s="13">
        <v>600</v>
      </c>
      <c r="W293" s="430">
        <f t="shared" si="120"/>
        <v>400</v>
      </c>
      <c r="X293" s="430">
        <f t="shared" si="121"/>
        <v>220</v>
      </c>
      <c r="Y293" s="13">
        <v>200</v>
      </c>
      <c r="Z293" s="13">
        <v>600</v>
      </c>
      <c r="AA293" s="430">
        <f t="shared" si="123"/>
        <v>400</v>
      </c>
      <c r="AB293" s="430">
        <f t="shared" si="124"/>
        <v>220</v>
      </c>
      <c r="AC293" s="430" t="str">
        <f t="shared" si="125"/>
        <v>N/A</v>
      </c>
      <c r="AD293" s="430">
        <f t="shared" si="126"/>
        <v>82</v>
      </c>
      <c r="AE293" s="431">
        <f t="shared" si="127"/>
        <v>0.98040000000000005</v>
      </c>
      <c r="AF293" s="431"/>
      <c r="AG293" s="431">
        <f t="shared" si="128"/>
        <v>0.91436071428571442</v>
      </c>
      <c r="AH293" s="431">
        <f t="shared" si="129"/>
        <v>0.9692223571428572</v>
      </c>
      <c r="AI293" s="432">
        <f t="shared" si="130"/>
        <v>862.32314400000007</v>
      </c>
      <c r="AJ293" s="432">
        <f t="shared" si="131"/>
        <v>170.50765813939009</v>
      </c>
      <c r="AK293" s="432">
        <f t="shared" si="132"/>
        <v>186.43697126763379</v>
      </c>
      <c r="AL293" s="432">
        <f t="shared" si="133"/>
        <v>370.60979640540745</v>
      </c>
      <c r="AM293" s="250">
        <v>186</v>
      </c>
      <c r="AN293" s="432">
        <f t="shared" si="134"/>
        <v>208.32</v>
      </c>
      <c r="AO293" s="432">
        <f t="shared" si="135"/>
        <v>201.90840144000001</v>
      </c>
      <c r="AP293" s="432">
        <f t="shared" si="136"/>
        <v>673.02800480000008</v>
      </c>
      <c r="AQ293" s="255">
        <v>45597</v>
      </c>
      <c r="AR293" s="13" t="s">
        <v>1361</v>
      </c>
      <c r="AS293" s="434" t="s">
        <v>1362</v>
      </c>
      <c r="AT293" s="429"/>
      <c r="AU293" s="257"/>
      <c r="AV293" s="259"/>
      <c r="AW293" s="38"/>
      <c r="AX293" s="259"/>
      <c r="AY293" s="102"/>
      <c r="AZ293" s="262"/>
      <c r="BA293" s="38"/>
      <c r="BB293" s="77"/>
      <c r="BC293" s="264"/>
      <c r="BD293" s="253"/>
      <c r="BE293" s="253"/>
      <c r="BF293" s="100"/>
      <c r="BG293" s="253"/>
      <c r="BH293" s="253"/>
      <c r="BI293" s="100"/>
      <c r="BJ293" s="143"/>
      <c r="BK293" s="139"/>
      <c r="BL293" s="191"/>
      <c r="BM293" s="139"/>
      <c r="BN293" s="162"/>
      <c r="BO293" s="101"/>
      <c r="BP293" s="105"/>
      <c r="BQ293" s="100"/>
      <c r="BR293" s="100"/>
      <c r="BS293" s="100"/>
      <c r="BT293" s="77"/>
      <c r="BU293" s="77"/>
      <c r="BV293" s="77"/>
      <c r="BW293" s="77"/>
      <c r="BX293" s="77"/>
      <c r="BY293" s="77"/>
      <c r="BZ293" s="77"/>
      <c r="CA293" s="77"/>
    </row>
    <row r="294" spans="1:79" s="72" customFormat="1">
      <c r="A294" s="13" t="s">
        <v>466</v>
      </c>
      <c r="B294" s="387" t="s">
        <v>1353</v>
      </c>
      <c r="C294" s="13" t="s">
        <v>573</v>
      </c>
      <c r="D294" s="13" t="s">
        <v>1363</v>
      </c>
      <c r="E294" s="13" t="s">
        <v>118</v>
      </c>
      <c r="F294" s="13" t="s">
        <v>186</v>
      </c>
      <c r="G294" s="13" t="s">
        <v>1364</v>
      </c>
      <c r="H294" s="13" t="s">
        <v>121</v>
      </c>
      <c r="I294" s="13" t="s">
        <v>147</v>
      </c>
      <c r="J294" s="13" t="s">
        <v>5</v>
      </c>
      <c r="K294" s="13" t="s">
        <v>123</v>
      </c>
      <c r="L294" s="13" t="s">
        <v>1365</v>
      </c>
      <c r="M294" s="13" t="s">
        <v>125</v>
      </c>
      <c r="N294" s="13" t="s">
        <v>126</v>
      </c>
      <c r="O294" s="247">
        <v>0.27</v>
      </c>
      <c r="P294" s="13">
        <v>83</v>
      </c>
      <c r="Q294" s="13">
        <v>20</v>
      </c>
      <c r="R294" s="13" t="s">
        <v>127</v>
      </c>
      <c r="S294" s="430" t="str">
        <f t="shared" si="122"/>
        <v>N/A</v>
      </c>
      <c r="T294" s="247">
        <v>0.8</v>
      </c>
      <c r="U294" s="13">
        <v>100</v>
      </c>
      <c r="V294" s="13">
        <v>500</v>
      </c>
      <c r="W294" s="430">
        <f t="shared" si="120"/>
        <v>400</v>
      </c>
      <c r="X294" s="430">
        <f t="shared" si="121"/>
        <v>130</v>
      </c>
      <c r="Y294" s="13">
        <v>100</v>
      </c>
      <c r="Z294" s="13">
        <v>500</v>
      </c>
      <c r="AA294" s="430">
        <f t="shared" si="123"/>
        <v>400</v>
      </c>
      <c r="AB294" s="430">
        <f t="shared" si="124"/>
        <v>130</v>
      </c>
      <c r="AC294" s="430" t="str">
        <f t="shared" si="125"/>
        <v>N/A</v>
      </c>
      <c r="AD294" s="430">
        <f t="shared" si="126"/>
        <v>63</v>
      </c>
      <c r="AE294" s="431">
        <f t="shared" si="127"/>
        <v>0.97010000000000007</v>
      </c>
      <c r="AF294" s="431"/>
      <c r="AG294" s="431">
        <f t="shared" si="128"/>
        <v>0.90554397590361468</v>
      </c>
      <c r="AH294" s="431">
        <f t="shared" si="129"/>
        <v>0.95987661445783157</v>
      </c>
      <c r="AI294" s="432">
        <f t="shared" si="130"/>
        <v>865.57840400000009</v>
      </c>
      <c r="AJ294" s="432">
        <f t="shared" si="131"/>
        <v>172.31801674039582</v>
      </c>
      <c r="AK294" s="432">
        <f t="shared" si="132"/>
        <v>188.41645874733342</v>
      </c>
      <c r="AL294" s="432">
        <f t="shared" si="133"/>
        <v>374.54473187904483</v>
      </c>
      <c r="AM294" s="250">
        <v>188</v>
      </c>
      <c r="AN294" s="432">
        <f t="shared" si="134"/>
        <v>156.04</v>
      </c>
      <c r="AO294" s="432">
        <f t="shared" si="135"/>
        <v>149.77914692000002</v>
      </c>
      <c r="AP294" s="432">
        <f t="shared" si="136"/>
        <v>748.89573460000008</v>
      </c>
      <c r="AQ294" s="255">
        <v>45130</v>
      </c>
      <c r="AR294" s="13" t="s">
        <v>753</v>
      </c>
      <c r="AS294" s="436" t="s">
        <v>1366</v>
      </c>
      <c r="AT294" s="429"/>
      <c r="AU294" s="250"/>
      <c r="AV294" s="243"/>
      <c r="AW294" s="72" t="s">
        <v>127</v>
      </c>
      <c r="AX294" s="243"/>
      <c r="AY294" s="103">
        <f>(V294/10)/P294</f>
        <v>0.60240963855421692</v>
      </c>
      <c r="BA294" s="13" t="str">
        <f>LEFT(G294,3)</f>
        <v>W22</v>
      </c>
      <c r="BB294" s="72" t="str">
        <f>IF(R294="n/a","Clear","S/B")</f>
        <v>Clear</v>
      </c>
      <c r="BC294" s="32"/>
      <c r="BD294" s="241"/>
      <c r="BE294" s="241"/>
      <c r="BF294" s="71"/>
      <c r="BG294" s="241"/>
      <c r="BH294" s="241"/>
      <c r="BI294" s="71"/>
      <c r="BJ294" s="123"/>
      <c r="BK294" s="123"/>
      <c r="BL294" s="126"/>
      <c r="BM294" s="108"/>
      <c r="BN294" s="71"/>
      <c r="BO294" s="108"/>
      <c r="BP294" s="108"/>
      <c r="BQ294" s="124"/>
      <c r="BR294" s="124"/>
      <c r="BS294" s="71"/>
      <c r="BU294" s="78"/>
      <c r="BV294" s="32"/>
      <c r="BW294" s="127"/>
      <c r="BX294" s="78"/>
      <c r="BY294" s="78"/>
      <c r="BZ294" s="127"/>
      <c r="CA294" s="76"/>
    </row>
    <row r="295" spans="1:79" s="72" customFormat="1">
      <c r="A295" s="13" t="s">
        <v>466</v>
      </c>
      <c r="B295" s="387" t="s">
        <v>1353</v>
      </c>
      <c r="C295" s="13" t="s">
        <v>573</v>
      </c>
      <c r="D295" s="13" t="s">
        <v>1363</v>
      </c>
      <c r="E295" s="13" t="s">
        <v>118</v>
      </c>
      <c r="F295" s="13" t="s">
        <v>119</v>
      </c>
      <c r="G295" s="13" t="s">
        <v>1367</v>
      </c>
      <c r="H295" s="13" t="s">
        <v>121</v>
      </c>
      <c r="I295" s="13" t="s">
        <v>147</v>
      </c>
      <c r="J295" s="13" t="s">
        <v>5</v>
      </c>
      <c r="K295" s="13" t="s">
        <v>123</v>
      </c>
      <c r="L295" s="13" t="s">
        <v>1368</v>
      </c>
      <c r="M295" s="13" t="s">
        <v>125</v>
      </c>
      <c r="N295" s="13" t="s">
        <v>126</v>
      </c>
      <c r="O295" s="247">
        <v>0.28000000000000003</v>
      </c>
      <c r="P295" s="13">
        <v>83</v>
      </c>
      <c r="Q295" s="13">
        <v>15</v>
      </c>
      <c r="R295" s="13" t="s">
        <v>127</v>
      </c>
      <c r="S295" s="430" t="str">
        <f t="shared" si="122"/>
        <v>N/A</v>
      </c>
      <c r="T295" s="247">
        <v>0.8</v>
      </c>
      <c r="U295" s="13">
        <v>150</v>
      </c>
      <c r="V295" s="13">
        <v>550</v>
      </c>
      <c r="W295" s="430">
        <f t="shared" si="120"/>
        <v>400</v>
      </c>
      <c r="X295" s="430">
        <f t="shared" si="121"/>
        <v>130</v>
      </c>
      <c r="Y295" s="13">
        <v>150</v>
      </c>
      <c r="Z295" s="13">
        <v>550</v>
      </c>
      <c r="AA295" s="430">
        <f t="shared" si="123"/>
        <v>400</v>
      </c>
      <c r="AB295" s="430">
        <f t="shared" si="124"/>
        <v>130</v>
      </c>
      <c r="AC295" s="430" t="str">
        <f t="shared" si="125"/>
        <v>N/A</v>
      </c>
      <c r="AD295" s="430">
        <f t="shared" si="126"/>
        <v>68</v>
      </c>
      <c r="AE295" s="431">
        <f t="shared" si="127"/>
        <v>0.99040000000000006</v>
      </c>
      <c r="AF295" s="431"/>
      <c r="AG295" s="431">
        <f t="shared" si="128"/>
        <v>0.91240481927710848</v>
      </c>
      <c r="AH295" s="431">
        <f t="shared" si="129"/>
        <v>0.96714910843373503</v>
      </c>
      <c r="AI295" s="432">
        <f t="shared" si="130"/>
        <v>866.22945600000003</v>
      </c>
      <c r="AJ295" s="432">
        <f t="shared" si="131"/>
        <v>168.78605415979203</v>
      </c>
      <c r="AK295" s="432">
        <f t="shared" si="132"/>
        <v>184.55453011993959</v>
      </c>
      <c r="AL295" s="432">
        <f t="shared" si="133"/>
        <v>366.86777503620908</v>
      </c>
      <c r="AM295" s="250">
        <v>185</v>
      </c>
      <c r="AN295" s="432">
        <f t="shared" si="134"/>
        <v>153.55000000000001</v>
      </c>
      <c r="AO295" s="432">
        <f t="shared" si="135"/>
        <v>148.50574560000001</v>
      </c>
      <c r="AP295" s="432">
        <f t="shared" si="136"/>
        <v>990.03830400000015</v>
      </c>
      <c r="AQ295" s="255">
        <v>45689</v>
      </c>
      <c r="AR295" s="13" t="s">
        <v>602</v>
      </c>
      <c r="AS295" s="429" t="s">
        <v>1369</v>
      </c>
      <c r="AT295" s="13"/>
      <c r="AU295" s="252"/>
      <c r="AV295" s="260"/>
      <c r="AX295" s="243"/>
      <c r="AY295" s="103"/>
      <c r="BA295" s="13"/>
      <c r="BC295" s="32"/>
      <c r="BD295" s="241"/>
      <c r="BE295" s="241"/>
      <c r="BF295" s="71"/>
      <c r="BG295" s="241"/>
      <c r="BH295" s="241"/>
      <c r="BI295" s="71"/>
      <c r="BJ295" s="114"/>
      <c r="BK295" s="111"/>
      <c r="BL295" s="112"/>
      <c r="BM295" s="111"/>
      <c r="BN295" s="123"/>
      <c r="BO295" s="83"/>
      <c r="BP295" s="88"/>
      <c r="BQ295" s="159"/>
      <c r="BR295" s="159"/>
      <c r="BS295" s="100"/>
      <c r="BU295" s="78"/>
      <c r="BV295" s="32"/>
      <c r="BW295" s="127"/>
      <c r="BX295" s="78"/>
      <c r="BY295" s="78"/>
      <c r="BZ295" s="127"/>
      <c r="CA295" s="76"/>
    </row>
    <row r="296" spans="1:79" s="262" customFormat="1">
      <c r="A296" s="13" t="s">
        <v>466</v>
      </c>
      <c r="B296" s="387" t="s">
        <v>1353</v>
      </c>
      <c r="C296" s="13" t="s">
        <v>573</v>
      </c>
      <c r="D296" s="13" t="s">
        <v>1370</v>
      </c>
      <c r="E296" s="13" t="s">
        <v>118</v>
      </c>
      <c r="F296" s="13" t="s">
        <v>119</v>
      </c>
      <c r="G296" s="13" t="s">
        <v>1371</v>
      </c>
      <c r="H296" s="13" t="s">
        <v>121</v>
      </c>
      <c r="I296" s="13" t="s">
        <v>147</v>
      </c>
      <c r="J296" s="13" t="s">
        <v>5</v>
      </c>
      <c r="K296" s="13" t="s">
        <v>123</v>
      </c>
      <c r="L296" s="13" t="s">
        <v>1372</v>
      </c>
      <c r="M296" s="13" t="s">
        <v>125</v>
      </c>
      <c r="N296" s="13" t="s">
        <v>126</v>
      </c>
      <c r="O296" s="247">
        <v>0.28000000000000003</v>
      </c>
      <c r="P296" s="13">
        <v>92</v>
      </c>
      <c r="Q296" s="13">
        <v>24</v>
      </c>
      <c r="R296" s="13" t="s">
        <v>127</v>
      </c>
      <c r="S296" s="430" t="str">
        <f t="shared" si="122"/>
        <v>N/A</v>
      </c>
      <c r="T296" s="247">
        <v>0.8</v>
      </c>
      <c r="U296" s="13">
        <v>150</v>
      </c>
      <c r="V296" s="13">
        <v>550</v>
      </c>
      <c r="W296" s="430">
        <f t="shared" si="120"/>
        <v>400</v>
      </c>
      <c r="X296" s="430">
        <f t="shared" si="121"/>
        <v>130</v>
      </c>
      <c r="Y296" s="13">
        <v>150</v>
      </c>
      <c r="Z296" s="13">
        <v>550</v>
      </c>
      <c r="AA296" s="430">
        <f t="shared" si="123"/>
        <v>400</v>
      </c>
      <c r="AB296" s="430">
        <f t="shared" si="124"/>
        <v>130</v>
      </c>
      <c r="AC296" s="430" t="str">
        <f t="shared" si="125"/>
        <v>N/A</v>
      </c>
      <c r="AD296" s="430">
        <f t="shared" si="126"/>
        <v>68</v>
      </c>
      <c r="AE296" s="431">
        <f t="shared" si="127"/>
        <v>0.99040000000000006</v>
      </c>
      <c r="AF296" s="431"/>
      <c r="AG296" s="431">
        <f t="shared" si="128"/>
        <v>0.92003478260869553</v>
      </c>
      <c r="AH296" s="431">
        <f t="shared" si="129"/>
        <v>0.97523686956521727</v>
      </c>
      <c r="AI296" s="432">
        <f t="shared" si="130"/>
        <v>866.22945600000003</v>
      </c>
      <c r="AJ296" s="432">
        <f t="shared" si="131"/>
        <v>168.78605415979203</v>
      </c>
      <c r="AK296" s="432">
        <f t="shared" si="132"/>
        <v>184.55453011993959</v>
      </c>
      <c r="AL296" s="432">
        <f t="shared" si="133"/>
        <v>366.86777503620908</v>
      </c>
      <c r="AM296" s="250">
        <v>185</v>
      </c>
      <c r="AN296" s="432">
        <f t="shared" si="134"/>
        <v>170.2</v>
      </c>
      <c r="AO296" s="432">
        <f t="shared" si="135"/>
        <v>165.98531519999997</v>
      </c>
      <c r="AP296" s="432">
        <f t="shared" si="136"/>
        <v>691.60547999999994</v>
      </c>
      <c r="AQ296" s="255">
        <v>45444</v>
      </c>
      <c r="AR296" s="13" t="s">
        <v>975</v>
      </c>
      <c r="AS296" s="434" t="s">
        <v>1373</v>
      </c>
      <c r="AT296" s="429" t="s">
        <v>1374</v>
      </c>
      <c r="AU296" s="252"/>
      <c r="AV296" s="260"/>
      <c r="AW296" s="13"/>
      <c r="AX296" s="260"/>
      <c r="AY296" s="103">
        <f>(V296/10)/P296</f>
        <v>0.59782608695652173</v>
      </c>
      <c r="AZ296" s="22"/>
      <c r="BA296" s="13"/>
      <c r="BB296" s="72"/>
      <c r="BC296" s="32"/>
      <c r="BD296" s="241"/>
      <c r="BE296" s="241"/>
      <c r="BF296" s="71"/>
      <c r="BG296" s="241"/>
      <c r="BH296" s="241"/>
      <c r="BI296" s="71"/>
      <c r="BJ296" s="114"/>
      <c r="BK296" s="88"/>
      <c r="BL296" s="128"/>
      <c r="BM296" s="88"/>
      <c r="BN296" s="80"/>
      <c r="BO296" s="88"/>
      <c r="BP296" s="88"/>
      <c r="BQ296" s="71"/>
      <c r="BR296" s="71"/>
      <c r="BS296" s="71"/>
      <c r="BT296" s="72"/>
      <c r="BU296" s="72"/>
      <c r="BV296" s="72"/>
      <c r="BW296" s="72"/>
      <c r="BX296" s="72"/>
      <c r="BY296" s="72"/>
      <c r="BZ296" s="72"/>
      <c r="CA296" s="72"/>
    </row>
    <row r="297" spans="1:79" s="38" customFormat="1">
      <c r="A297" s="13" t="s">
        <v>466</v>
      </c>
      <c r="B297" s="13" t="s">
        <v>1353</v>
      </c>
      <c r="C297" s="13" t="s">
        <v>573</v>
      </c>
      <c r="D297" s="13" t="s">
        <v>1375</v>
      </c>
      <c r="E297" s="13" t="s">
        <v>118</v>
      </c>
      <c r="F297" s="13" t="s">
        <v>119</v>
      </c>
      <c r="G297" s="13" t="s">
        <v>1376</v>
      </c>
      <c r="H297" s="13" t="s">
        <v>121</v>
      </c>
      <c r="I297" s="13" t="s">
        <v>147</v>
      </c>
      <c r="J297" s="13" t="s">
        <v>5</v>
      </c>
      <c r="K297" s="13" t="s">
        <v>123</v>
      </c>
      <c r="L297" s="13" t="s">
        <v>1377</v>
      </c>
      <c r="M297" s="13" t="s">
        <v>125</v>
      </c>
      <c r="N297" s="13" t="s">
        <v>126</v>
      </c>
      <c r="O297" s="247">
        <v>0.35</v>
      </c>
      <c r="P297" s="13">
        <v>105</v>
      </c>
      <c r="Q297" s="13">
        <v>30</v>
      </c>
      <c r="R297" s="13" t="s">
        <v>127</v>
      </c>
      <c r="S297" s="430" t="str">
        <f t="shared" si="122"/>
        <v>N/A</v>
      </c>
      <c r="T297" s="247">
        <v>0.8</v>
      </c>
      <c r="U297" s="13">
        <v>200</v>
      </c>
      <c r="V297" s="13">
        <v>600</v>
      </c>
      <c r="W297" s="430">
        <f t="shared" si="120"/>
        <v>400</v>
      </c>
      <c r="X297" s="430">
        <f t="shared" si="121"/>
        <v>150</v>
      </c>
      <c r="Y297" s="13">
        <v>200</v>
      </c>
      <c r="Z297" s="13">
        <v>600</v>
      </c>
      <c r="AA297" s="430">
        <f t="shared" si="123"/>
        <v>400</v>
      </c>
      <c r="AB297" s="430">
        <f t="shared" si="124"/>
        <v>150</v>
      </c>
      <c r="AC297" s="430" t="str">
        <f t="shared" si="125"/>
        <v>N/A</v>
      </c>
      <c r="AD297" s="430">
        <f t="shared" si="126"/>
        <v>75</v>
      </c>
      <c r="AE297" s="431">
        <f t="shared" si="127"/>
        <v>1.0625</v>
      </c>
      <c r="AF297" s="431"/>
      <c r="AG297" s="431">
        <f t="shared" si="128"/>
        <v>0.96875</v>
      </c>
      <c r="AH297" s="431">
        <f t="shared" si="129"/>
        <v>1.026875</v>
      </c>
      <c r="AI297" s="432">
        <f t="shared" si="130"/>
        <v>870.78682000000003</v>
      </c>
      <c r="AJ297" s="432">
        <f t="shared" si="131"/>
        <v>157.33243109633696</v>
      </c>
      <c r="AK297" s="432">
        <f t="shared" si="132"/>
        <v>172.03087682897711</v>
      </c>
      <c r="AL297" s="432">
        <f t="shared" si="133"/>
        <v>341.97255943139908</v>
      </c>
      <c r="AM297" s="250">
        <v>172</v>
      </c>
      <c r="AN297" s="432">
        <f t="shared" si="134"/>
        <v>180.6</v>
      </c>
      <c r="AO297" s="432">
        <f t="shared" si="135"/>
        <v>185.45362499999999</v>
      </c>
      <c r="AP297" s="432">
        <f t="shared" si="136"/>
        <v>618.17875000000004</v>
      </c>
      <c r="AQ297" s="255">
        <v>45597</v>
      </c>
      <c r="AR297" s="13" t="s">
        <v>1292</v>
      </c>
      <c r="AS297" s="429" t="s">
        <v>1378</v>
      </c>
      <c r="AT297" s="13"/>
      <c r="AU297" s="252"/>
      <c r="AV297" s="260"/>
      <c r="AW297" s="72"/>
      <c r="AX297" s="243"/>
      <c r="AY297" s="103"/>
      <c r="AZ297" s="72"/>
      <c r="BA297" s="13"/>
      <c r="BB297" s="72"/>
      <c r="BC297" s="32"/>
      <c r="BD297" s="241"/>
      <c r="BE297" s="241"/>
      <c r="BF297" s="71"/>
      <c r="BG297" s="241"/>
      <c r="BH297" s="241"/>
      <c r="BI297" s="71"/>
      <c r="BJ297" s="114"/>
      <c r="BK297" s="111"/>
      <c r="BL297" s="112"/>
      <c r="BM297" s="111"/>
      <c r="BN297" s="123"/>
      <c r="BO297" s="83"/>
      <c r="BP297" s="88"/>
      <c r="BQ297" s="71"/>
      <c r="BR297" s="71"/>
      <c r="BS297" s="71"/>
      <c r="BT297" s="72"/>
      <c r="BU297" s="72"/>
      <c r="BV297" s="72"/>
      <c r="BW297" s="72"/>
      <c r="BX297" s="72"/>
      <c r="BY297" s="72"/>
      <c r="BZ297" s="72"/>
      <c r="CA297" s="72"/>
    </row>
    <row r="298" spans="1:79" s="22" customFormat="1">
      <c r="A298" s="13" t="s">
        <v>466</v>
      </c>
      <c r="B298" s="387" t="s">
        <v>1353</v>
      </c>
      <c r="C298" s="13" t="s">
        <v>573</v>
      </c>
      <c r="D298" s="13" t="s">
        <v>1375</v>
      </c>
      <c r="E298" s="13" t="s">
        <v>118</v>
      </c>
      <c r="F298" s="13" t="s">
        <v>186</v>
      </c>
      <c r="G298" s="13" t="s">
        <v>1379</v>
      </c>
      <c r="H298" s="13" t="s">
        <v>121</v>
      </c>
      <c r="I298" s="13" t="s">
        <v>147</v>
      </c>
      <c r="J298" s="13" t="s">
        <v>5</v>
      </c>
      <c r="K298" s="13" t="s">
        <v>123</v>
      </c>
      <c r="L298" s="13" t="s">
        <v>1380</v>
      </c>
      <c r="M298" s="13" t="s">
        <v>125</v>
      </c>
      <c r="N298" s="13" t="s">
        <v>126</v>
      </c>
      <c r="O298" s="247">
        <v>0.51</v>
      </c>
      <c r="P298" s="13">
        <v>105</v>
      </c>
      <c r="Q298" s="13">
        <v>30</v>
      </c>
      <c r="R298" s="13" t="s">
        <v>127</v>
      </c>
      <c r="S298" s="430" t="str">
        <f t="shared" si="122"/>
        <v>N/A</v>
      </c>
      <c r="T298" s="247">
        <v>0.8</v>
      </c>
      <c r="U298" s="13">
        <v>200</v>
      </c>
      <c r="V298" s="13">
        <v>600</v>
      </c>
      <c r="W298" s="430">
        <f t="shared" si="120"/>
        <v>400</v>
      </c>
      <c r="X298" s="430">
        <f t="shared" si="121"/>
        <v>150</v>
      </c>
      <c r="Y298" s="13">
        <v>150</v>
      </c>
      <c r="Z298" s="13">
        <v>600</v>
      </c>
      <c r="AA298" s="430">
        <f t="shared" si="123"/>
        <v>450</v>
      </c>
      <c r="AB298" s="430">
        <f t="shared" si="124"/>
        <v>150</v>
      </c>
      <c r="AC298" s="430" t="str">
        <f t="shared" si="125"/>
        <v>N/A</v>
      </c>
      <c r="AD298" s="430">
        <f t="shared" si="126"/>
        <v>75</v>
      </c>
      <c r="AE298" s="431">
        <f t="shared" si="127"/>
        <v>1.1825000000000001</v>
      </c>
      <c r="AF298" s="431"/>
      <c r="AG298" s="431">
        <f t="shared" si="128"/>
        <v>1.0458928571428572</v>
      </c>
      <c r="AH298" s="431">
        <f t="shared" si="129"/>
        <v>1.1086464285714286</v>
      </c>
      <c r="AI298" s="432">
        <f t="shared" si="130"/>
        <v>881.20365200000003</v>
      </c>
      <c r="AJ298" s="432">
        <f t="shared" si="131"/>
        <v>141.36634929374887</v>
      </c>
      <c r="AK298" s="432">
        <f t="shared" si="132"/>
        <v>154.57319799643818</v>
      </c>
      <c r="AL298" s="432">
        <f t="shared" si="133"/>
        <v>307.26921301975597</v>
      </c>
      <c r="AM298" s="250">
        <v>155</v>
      </c>
      <c r="AN298" s="432">
        <f t="shared" si="134"/>
        <v>162.75</v>
      </c>
      <c r="AO298" s="432">
        <f t="shared" si="135"/>
        <v>180.43220625000001</v>
      </c>
      <c r="AP298" s="432">
        <f t="shared" si="136"/>
        <v>601.44068750000008</v>
      </c>
      <c r="AQ298" s="255">
        <v>44980</v>
      </c>
      <c r="AR298" s="13" t="s">
        <v>1381</v>
      </c>
      <c r="AS298" s="436" t="s">
        <v>1382</v>
      </c>
      <c r="AT298" s="429"/>
      <c r="AU298" s="252"/>
      <c r="AV298" s="260"/>
      <c r="AW298" s="72" t="s">
        <v>127</v>
      </c>
      <c r="AX298" s="243"/>
      <c r="AY298" s="103">
        <f>(V298/10)/P298</f>
        <v>0.5714285714285714</v>
      </c>
      <c r="AZ298" s="72"/>
      <c r="BA298" s="13" t="str">
        <f>LEFT(G298,3)</f>
        <v>W22</v>
      </c>
      <c r="BB298" s="72" t="str">
        <f>IF(R298="n/a","Clear","S/B")</f>
        <v>Clear</v>
      </c>
      <c r="BC298" s="73"/>
      <c r="BD298" s="252"/>
      <c r="BE298" s="252"/>
      <c r="BF298" s="80"/>
      <c r="BG298" s="252"/>
      <c r="BH298" s="252"/>
      <c r="BI298" s="80"/>
      <c r="BJ298" s="114"/>
      <c r="BK298" s="111">
        <v>20</v>
      </c>
      <c r="BL298" s="112">
        <f>AH298</f>
        <v>1.1086464285714286</v>
      </c>
      <c r="BM298" s="111">
        <f>BK298/AH298</f>
        <v>18.040016622586744</v>
      </c>
      <c r="BN298" s="123">
        <f>BK298-BM298</f>
        <v>1.9599833774132556</v>
      </c>
      <c r="BO298" s="111">
        <v>18.57</v>
      </c>
      <c r="BP298" s="137">
        <f>BO298-BM298</f>
        <v>0.52998337741325585</v>
      </c>
      <c r="BQ298" s="103"/>
      <c r="BR298" s="71"/>
      <c r="BS298" s="71"/>
      <c r="BT298" s="72">
        <f>P298-V298/10-120/10</f>
        <v>33</v>
      </c>
      <c r="BU298" s="78">
        <f>BT298-Q298</f>
        <v>3</v>
      </c>
      <c r="BV298" s="32">
        <f>T298+(O298/100*(P298-BT298))</f>
        <v>1.1672</v>
      </c>
      <c r="BW298" s="127">
        <f>(AE298-BV298)/AE298</f>
        <v>1.2938689217759061E-2</v>
      </c>
      <c r="BX298" s="78">
        <f>(PI()*((51/2)^2-(16.545/2)^2)/(BV298/10))/100</f>
        <v>156.59938882007211</v>
      </c>
      <c r="BY298" s="78">
        <f>BX298-AK298</f>
        <v>2.0261908236339252</v>
      </c>
      <c r="BZ298" s="127">
        <f>BY298/AK298</f>
        <v>1.3108293351610767E-2</v>
      </c>
      <c r="CA298" s="76"/>
    </row>
    <row r="299" spans="1:79" s="38" customFormat="1">
      <c r="A299" s="13" t="s">
        <v>466</v>
      </c>
      <c r="B299" s="13" t="s">
        <v>1353</v>
      </c>
      <c r="C299" s="13" t="s">
        <v>573</v>
      </c>
      <c r="D299" s="13" t="s">
        <v>1375</v>
      </c>
      <c r="E299" s="13" t="s">
        <v>118</v>
      </c>
      <c r="F299" s="13" t="s">
        <v>119</v>
      </c>
      <c r="G299" s="13" t="s">
        <v>1383</v>
      </c>
      <c r="H299" s="13" t="s">
        <v>121</v>
      </c>
      <c r="I299" s="13" t="s">
        <v>147</v>
      </c>
      <c r="J299" s="13" t="s">
        <v>5</v>
      </c>
      <c r="K299" s="13" t="s">
        <v>123</v>
      </c>
      <c r="L299" s="13" t="s">
        <v>1384</v>
      </c>
      <c r="M299" s="13" t="s">
        <v>125</v>
      </c>
      <c r="N299" s="13" t="s">
        <v>126</v>
      </c>
      <c r="O299" s="247">
        <v>0.53</v>
      </c>
      <c r="P299" s="13">
        <v>105</v>
      </c>
      <c r="Q299" s="13">
        <v>25</v>
      </c>
      <c r="R299" s="13" t="s">
        <v>127</v>
      </c>
      <c r="S299" s="430" t="str">
        <f t="shared" si="122"/>
        <v>N/A</v>
      </c>
      <c r="T299" s="247">
        <v>0.8</v>
      </c>
      <c r="U299" s="13">
        <v>200</v>
      </c>
      <c r="V299" s="13">
        <v>600</v>
      </c>
      <c r="W299" s="430">
        <f t="shared" si="120"/>
        <v>400</v>
      </c>
      <c r="X299" s="430">
        <f t="shared" si="121"/>
        <v>200</v>
      </c>
      <c r="Y299" s="13">
        <v>200</v>
      </c>
      <c r="Z299" s="13">
        <v>600</v>
      </c>
      <c r="AA299" s="430">
        <f t="shared" si="123"/>
        <v>400</v>
      </c>
      <c r="AB299" s="430">
        <f t="shared" si="124"/>
        <v>200</v>
      </c>
      <c r="AC299" s="430" t="str">
        <f t="shared" si="125"/>
        <v>N/A</v>
      </c>
      <c r="AD299" s="430">
        <f t="shared" si="126"/>
        <v>80</v>
      </c>
      <c r="AE299" s="431">
        <f t="shared" si="127"/>
        <v>1.224</v>
      </c>
      <c r="AF299" s="431"/>
      <c r="AG299" s="431">
        <f t="shared" si="128"/>
        <v>1.0624761904761906</v>
      </c>
      <c r="AH299" s="431">
        <f t="shared" si="129"/>
        <v>1.1262247619047618</v>
      </c>
      <c r="AI299" s="432">
        <f t="shared" si="130"/>
        <v>882.50575600000013</v>
      </c>
      <c r="AJ299" s="432">
        <f t="shared" si="131"/>
        <v>136.57329088223696</v>
      </c>
      <c r="AK299" s="432">
        <f t="shared" si="132"/>
        <v>149.33235835848708</v>
      </c>
      <c r="AL299" s="432">
        <f t="shared" si="133"/>
        <v>296.85118006197831</v>
      </c>
      <c r="AM299" s="250">
        <v>149</v>
      </c>
      <c r="AN299" s="432">
        <f t="shared" si="134"/>
        <v>156.44999999999999</v>
      </c>
      <c r="AO299" s="432">
        <f t="shared" si="135"/>
        <v>176.19786399999998</v>
      </c>
      <c r="AP299" s="432">
        <f t="shared" si="136"/>
        <v>704.79145599999993</v>
      </c>
      <c r="AQ299" s="255" t="s">
        <v>132</v>
      </c>
      <c r="AR299" s="13" t="s">
        <v>1385</v>
      </c>
      <c r="AS299" s="429" t="s">
        <v>1386</v>
      </c>
      <c r="AT299" s="429" t="s">
        <v>1387</v>
      </c>
      <c r="AU299" s="252"/>
      <c r="AV299" s="260"/>
      <c r="AW299" s="72"/>
      <c r="AX299" s="243"/>
      <c r="AY299" s="103">
        <f>(V299/10)/P299</f>
        <v>0.5714285714285714</v>
      </c>
      <c r="AZ299" s="72"/>
      <c r="BA299" s="13" t="str">
        <f>LEFT(G299,3)</f>
        <v>W22</v>
      </c>
      <c r="BB299" s="72"/>
      <c r="BC299" s="32"/>
      <c r="BD299" s="241"/>
      <c r="BE299" s="241"/>
      <c r="BF299" s="71"/>
      <c r="BG299" s="241"/>
      <c r="BH299" s="241"/>
      <c r="BI299" s="71"/>
      <c r="BJ299" s="114"/>
      <c r="BK299" s="111"/>
      <c r="BL299" s="112"/>
      <c r="BM299" s="111"/>
      <c r="BN299" s="123"/>
      <c r="BO299" s="83"/>
      <c r="BP299" s="88"/>
      <c r="BQ299" s="155"/>
      <c r="BR299" s="124"/>
      <c r="BS299" s="71"/>
      <c r="BT299" s="72"/>
      <c r="BU299" s="78"/>
      <c r="BV299" s="32"/>
      <c r="BW299" s="127"/>
      <c r="BX299" s="78"/>
      <c r="BY299" s="78"/>
      <c r="BZ299" s="127"/>
      <c r="CA299" s="76"/>
    </row>
    <row r="300" spans="1:79" s="38" customFormat="1">
      <c r="A300" s="13" t="s">
        <v>466</v>
      </c>
      <c r="B300" s="13" t="s">
        <v>1353</v>
      </c>
      <c r="C300" s="13" t="s">
        <v>573</v>
      </c>
      <c r="D300" s="13" t="s">
        <v>1388</v>
      </c>
      <c r="E300" s="13" t="s">
        <v>118</v>
      </c>
      <c r="F300" s="13" t="s">
        <v>119</v>
      </c>
      <c r="G300" s="13" t="s">
        <v>1389</v>
      </c>
      <c r="H300" s="13" t="s">
        <v>121</v>
      </c>
      <c r="I300" s="13" t="s">
        <v>147</v>
      </c>
      <c r="J300" s="13" t="s">
        <v>5</v>
      </c>
      <c r="K300" s="13" t="s">
        <v>123</v>
      </c>
      <c r="L300" s="13"/>
      <c r="M300" s="13" t="s">
        <v>125</v>
      </c>
      <c r="N300" s="13" t="s">
        <v>126</v>
      </c>
      <c r="O300" s="247">
        <v>0.27</v>
      </c>
      <c r="P300" s="13">
        <v>114</v>
      </c>
      <c r="Q300" s="13">
        <v>30</v>
      </c>
      <c r="R300" s="13" t="s">
        <v>127</v>
      </c>
      <c r="S300" s="430" t="str">
        <f t="shared" si="122"/>
        <v>N/A</v>
      </c>
      <c r="T300" s="247">
        <v>0.8</v>
      </c>
      <c r="U300" s="13">
        <v>200</v>
      </c>
      <c r="V300" s="13">
        <v>700</v>
      </c>
      <c r="W300" s="430">
        <f t="shared" si="120"/>
        <v>500</v>
      </c>
      <c r="X300" s="430">
        <f t="shared" si="121"/>
        <v>140</v>
      </c>
      <c r="Y300" s="13">
        <v>200</v>
      </c>
      <c r="Z300" s="13">
        <v>700</v>
      </c>
      <c r="AA300" s="430">
        <f t="shared" si="123"/>
        <v>500</v>
      </c>
      <c r="AB300" s="430">
        <f t="shared" si="124"/>
        <v>140</v>
      </c>
      <c r="AC300" s="430" t="str">
        <f t="shared" si="125"/>
        <v>N/A</v>
      </c>
      <c r="AD300" s="430">
        <f t="shared" si="126"/>
        <v>84</v>
      </c>
      <c r="AE300" s="431">
        <f t="shared" si="127"/>
        <v>1.0268000000000002</v>
      </c>
      <c r="AF300" s="431"/>
      <c r="AG300" s="431">
        <f t="shared" si="128"/>
        <v>0.94324210526315799</v>
      </c>
      <c r="AH300" s="431">
        <f t="shared" si="129"/>
        <v>0.99983663157894742</v>
      </c>
      <c r="AI300" s="432">
        <f t="shared" si="130"/>
        <v>865.57840400000009</v>
      </c>
      <c r="AJ300" s="432">
        <f t="shared" si="131"/>
        <v>162.80259840266655</v>
      </c>
      <c r="AK300" s="432">
        <f t="shared" si="132"/>
        <v>178.0120828114415</v>
      </c>
      <c r="AL300" s="432">
        <f t="shared" si="133"/>
        <v>353.86233384871576</v>
      </c>
      <c r="AM300" s="250">
        <v>178</v>
      </c>
      <c r="AN300" s="432">
        <f t="shared" si="134"/>
        <v>202.92</v>
      </c>
      <c r="AO300" s="432">
        <f t="shared" si="135"/>
        <v>202.88684928000001</v>
      </c>
      <c r="AP300" s="432">
        <f t="shared" si="136"/>
        <v>676.2894976</v>
      </c>
      <c r="AQ300" s="255"/>
      <c r="AR300" s="13" t="s">
        <v>1390</v>
      </c>
      <c r="AS300" s="429" t="s">
        <v>1391</v>
      </c>
      <c r="AT300" s="429"/>
      <c r="AU300" s="252"/>
      <c r="AV300" s="260"/>
      <c r="AW300" s="72"/>
      <c r="AX300" s="243"/>
      <c r="AY300" s="103"/>
      <c r="AZ300" s="72"/>
      <c r="BA300" s="13"/>
      <c r="BB300" s="72"/>
      <c r="BC300" s="32"/>
      <c r="BD300" s="241"/>
      <c r="BE300" s="241"/>
      <c r="BF300" s="71"/>
      <c r="BG300" s="241"/>
      <c r="BH300" s="241"/>
      <c r="BI300" s="71"/>
      <c r="BJ300" s="114"/>
      <c r="BK300" s="111"/>
      <c r="BL300" s="112"/>
      <c r="BM300" s="111"/>
      <c r="BN300" s="123"/>
      <c r="BO300" s="83"/>
      <c r="BP300" s="88"/>
      <c r="BQ300" s="155"/>
      <c r="BR300" s="124"/>
      <c r="BS300" s="71"/>
      <c r="BT300" s="72"/>
      <c r="BU300" s="78"/>
      <c r="BV300" s="32"/>
      <c r="BW300" s="127"/>
      <c r="BX300" s="78"/>
      <c r="BY300" s="78"/>
      <c r="BZ300" s="127"/>
      <c r="CA300" s="76"/>
    </row>
    <row r="301" spans="1:79" s="262" customFormat="1">
      <c r="A301" s="13" t="s">
        <v>466</v>
      </c>
      <c r="B301" s="13" t="s">
        <v>1353</v>
      </c>
      <c r="C301" s="13" t="s">
        <v>573</v>
      </c>
      <c r="D301" s="387" t="s">
        <v>1392</v>
      </c>
      <c r="E301" s="13" t="s">
        <v>118</v>
      </c>
      <c r="F301" s="13" t="s">
        <v>167</v>
      </c>
      <c r="G301" s="13" t="s">
        <v>1393</v>
      </c>
      <c r="H301" s="13" t="s">
        <v>121</v>
      </c>
      <c r="I301" s="13" t="s">
        <v>147</v>
      </c>
      <c r="J301" s="13" t="s">
        <v>5</v>
      </c>
      <c r="K301" s="13" t="s">
        <v>123</v>
      </c>
      <c r="L301" s="13" t="s">
        <v>1394</v>
      </c>
      <c r="M301" s="13" t="s">
        <v>125</v>
      </c>
      <c r="N301" s="13" t="s">
        <v>126</v>
      </c>
      <c r="O301" s="247">
        <v>0.25</v>
      </c>
      <c r="P301" s="13">
        <v>130</v>
      </c>
      <c r="Q301" s="13">
        <v>30</v>
      </c>
      <c r="R301" s="13" t="s">
        <v>127</v>
      </c>
      <c r="S301" s="430" t="str">
        <f t="shared" si="122"/>
        <v>N/A</v>
      </c>
      <c r="T301" s="247">
        <v>0.8</v>
      </c>
      <c r="U301" s="13">
        <v>200</v>
      </c>
      <c r="V301" s="13">
        <v>600</v>
      </c>
      <c r="W301" s="430">
        <f t="shared" si="120"/>
        <v>400</v>
      </c>
      <c r="X301" s="430">
        <f t="shared" si="121"/>
        <v>400</v>
      </c>
      <c r="Y301" s="13">
        <v>150</v>
      </c>
      <c r="Z301" s="13">
        <v>600</v>
      </c>
      <c r="AA301" s="430">
        <f t="shared" si="123"/>
        <v>450</v>
      </c>
      <c r="AB301" s="430">
        <f t="shared" si="124"/>
        <v>400</v>
      </c>
      <c r="AC301" s="430" t="str">
        <f t="shared" si="125"/>
        <v>N/A</v>
      </c>
      <c r="AD301" s="430">
        <f t="shared" si="126"/>
        <v>100</v>
      </c>
      <c r="AE301" s="431">
        <f t="shared" si="127"/>
        <v>1.05</v>
      </c>
      <c r="AF301" s="431"/>
      <c r="AG301" s="431">
        <f t="shared" si="128"/>
        <v>0.9538461538461539</v>
      </c>
      <c r="AH301" s="431">
        <f t="shared" si="129"/>
        <v>1.011076923076923</v>
      </c>
      <c r="AI301" s="432">
        <f t="shared" si="130"/>
        <v>864.27630000000011</v>
      </c>
      <c r="AJ301" s="432">
        <f t="shared" si="131"/>
        <v>159.20543622843621</v>
      </c>
      <c r="AK301" s="432">
        <f t="shared" si="132"/>
        <v>174.0788634578935</v>
      </c>
      <c r="AL301" s="432">
        <f t="shared" si="133"/>
        <v>346.04366132939185</v>
      </c>
      <c r="AM301" s="250">
        <v>120</v>
      </c>
      <c r="AN301" s="432">
        <f t="shared" si="134"/>
        <v>156</v>
      </c>
      <c r="AO301" s="432">
        <f t="shared" si="135"/>
        <v>157.72799999999998</v>
      </c>
      <c r="AP301" s="432">
        <f t="shared" si="136"/>
        <v>525.76</v>
      </c>
      <c r="AQ301" s="255">
        <v>44927</v>
      </c>
      <c r="AR301" s="13" t="s">
        <v>545</v>
      </c>
      <c r="AS301" s="434" t="s">
        <v>1395</v>
      </c>
      <c r="AT301" s="429" t="s">
        <v>1396</v>
      </c>
      <c r="AU301" s="241"/>
      <c r="AV301" s="243"/>
      <c r="AW301" s="72" t="s">
        <v>127</v>
      </c>
      <c r="AX301" s="243"/>
      <c r="AY301" s="103">
        <f>(V301/10)/P301</f>
        <v>0.46153846153846156</v>
      </c>
      <c r="AZ301" s="72"/>
      <c r="BA301" s="13" t="str">
        <f>LEFT(G301,3)</f>
        <v>W22</v>
      </c>
      <c r="BB301" s="72" t="str">
        <f>IF(R301="n/a","Clear","S/B")</f>
        <v>Clear</v>
      </c>
      <c r="BC301" s="32">
        <f>IF(Q301="","",((P301/100*O301)+T301))</f>
        <v>1.125</v>
      </c>
      <c r="BD301" s="241">
        <f>IF(BC301="","",((PI()*((51/2)^2-(16.545/2)^2)/(BC301/10))/100))</f>
        <v>162.47360589403394</v>
      </c>
      <c r="BE301" s="241">
        <f>IF(BC301="","",(BD301-AK301))</f>
        <v>-11.605257563859567</v>
      </c>
      <c r="BF301" s="71">
        <f>IF(BC301="","",(BE301/AK301))</f>
        <v>-6.6666666666666666E-2</v>
      </c>
      <c r="BG301" s="241">
        <f>IF(BF301="","",((PI()*((70/2)^2-(16.545/2)^2)/(BC301/10))/100))</f>
        <v>322.97408390743237</v>
      </c>
      <c r="BH301" s="241">
        <f>IF(BF301="","",(BG301-AL301))</f>
        <v>-23.06957742195948</v>
      </c>
      <c r="BI301" s="71">
        <f>IF(BG301="","",(BH301/AL301))</f>
        <v>-6.6666666666666735E-2</v>
      </c>
      <c r="BJ301" s="123"/>
      <c r="BK301" s="123"/>
      <c r="BL301" s="126"/>
      <c r="BM301" s="123"/>
      <c r="BN301" s="123"/>
      <c r="BO301" s="108"/>
      <c r="BP301" s="108"/>
      <c r="BQ301" s="83"/>
      <c r="BR301" s="103"/>
      <c r="BS301" s="103"/>
      <c r="BT301" s="13"/>
      <c r="BU301" s="79"/>
      <c r="BV301" s="29"/>
      <c r="BW301" s="86"/>
      <c r="BX301" s="79"/>
      <c r="BY301" s="79"/>
      <c r="BZ301" s="86"/>
      <c r="CA301" s="247"/>
    </row>
    <row r="302" spans="1:79" s="262" customFormat="1">
      <c r="A302" s="13" t="s">
        <v>466</v>
      </c>
      <c r="B302" s="387" t="s">
        <v>1353</v>
      </c>
      <c r="C302" s="13" t="s">
        <v>573</v>
      </c>
      <c r="D302" s="387" t="s">
        <v>1392</v>
      </c>
      <c r="E302" s="13" t="s">
        <v>118</v>
      </c>
      <c r="F302" s="13" t="s">
        <v>167</v>
      </c>
      <c r="G302" s="13" t="s">
        <v>1397</v>
      </c>
      <c r="H302" s="13" t="s">
        <v>121</v>
      </c>
      <c r="I302" s="13" t="s">
        <v>147</v>
      </c>
      <c r="J302" s="13" t="s">
        <v>5</v>
      </c>
      <c r="K302" s="13" t="s">
        <v>123</v>
      </c>
      <c r="L302" s="13" t="s">
        <v>1398</v>
      </c>
      <c r="M302" s="13" t="s">
        <v>125</v>
      </c>
      <c r="N302" s="13" t="s">
        <v>126</v>
      </c>
      <c r="O302" s="247">
        <v>0.44</v>
      </c>
      <c r="P302" s="13">
        <v>107</v>
      </c>
      <c r="Q302" s="13">
        <v>30</v>
      </c>
      <c r="R302" s="13" t="s">
        <v>127</v>
      </c>
      <c r="S302" s="430" t="str">
        <f t="shared" si="122"/>
        <v>N/A</v>
      </c>
      <c r="T302" s="247">
        <v>0.8</v>
      </c>
      <c r="U302" s="13">
        <v>200</v>
      </c>
      <c r="V302" s="13">
        <v>600</v>
      </c>
      <c r="W302" s="430">
        <f t="shared" si="120"/>
        <v>400</v>
      </c>
      <c r="X302" s="430">
        <f t="shared" si="121"/>
        <v>170</v>
      </c>
      <c r="Y302" s="13">
        <v>150</v>
      </c>
      <c r="Z302" s="13">
        <v>600</v>
      </c>
      <c r="AA302" s="430">
        <f t="shared" si="123"/>
        <v>450</v>
      </c>
      <c r="AB302" s="430">
        <f t="shared" si="124"/>
        <v>170</v>
      </c>
      <c r="AC302" s="430" t="str">
        <f t="shared" si="125"/>
        <v>N/A</v>
      </c>
      <c r="AD302" s="430">
        <f t="shared" si="126"/>
        <v>77</v>
      </c>
      <c r="AE302" s="431">
        <f t="shared" si="127"/>
        <v>1.1388</v>
      </c>
      <c r="AF302" s="431"/>
      <c r="AG302" s="431">
        <f t="shared" si="128"/>
        <v>1.0168953271028038</v>
      </c>
      <c r="AH302" s="431">
        <f t="shared" si="129"/>
        <v>1.0779090467289723</v>
      </c>
      <c r="AI302" s="432">
        <f t="shared" si="130"/>
        <v>876.64628800000003</v>
      </c>
      <c r="AJ302" s="432">
        <f t="shared" si="131"/>
        <v>146.79110295034951</v>
      </c>
      <c r="AK302" s="432">
        <f t="shared" si="132"/>
        <v>160.50474765611887</v>
      </c>
      <c r="AL302" s="432">
        <f t="shared" si="133"/>
        <v>319.06027783268479</v>
      </c>
      <c r="AM302" s="250">
        <v>161</v>
      </c>
      <c r="AN302" s="432">
        <f t="shared" si="134"/>
        <v>172.27</v>
      </c>
      <c r="AO302" s="432">
        <f t="shared" si="135"/>
        <v>185.69139148000005</v>
      </c>
      <c r="AP302" s="432">
        <f t="shared" si="136"/>
        <v>618.9713049333335</v>
      </c>
      <c r="AQ302" s="255">
        <v>45047</v>
      </c>
      <c r="AR302" s="13" t="s">
        <v>1035</v>
      </c>
      <c r="AS302" s="436" t="s">
        <v>1399</v>
      </c>
      <c r="AT302" s="429" t="s">
        <v>245</v>
      </c>
      <c r="AU302" s="241"/>
      <c r="AV302" s="243"/>
      <c r="AW302" s="72" t="s">
        <v>127</v>
      </c>
      <c r="AX302" s="243"/>
      <c r="AY302" s="71">
        <f>(V302/10)/P302</f>
        <v>0.56074766355140182</v>
      </c>
      <c r="AZ302" s="72"/>
      <c r="BA302" s="72" t="str">
        <f>LEFT(G302,3)</f>
        <v>W22</v>
      </c>
      <c r="BB302" s="72" t="e">
        <f>IF(#REF!="n/a","Clear","S/B")</f>
        <v>#REF!</v>
      </c>
      <c r="BC302" s="32"/>
      <c r="BD302" s="241"/>
      <c r="BE302" s="241"/>
      <c r="BF302" s="71"/>
      <c r="BG302" s="241"/>
      <c r="BH302" s="241"/>
      <c r="BI302" s="71"/>
      <c r="BJ302" s="123"/>
      <c r="BK302" s="123"/>
      <c r="BL302" s="126"/>
      <c r="BM302" s="108"/>
      <c r="BN302" s="71"/>
      <c r="BO302" s="108"/>
      <c r="BP302" s="108"/>
      <c r="BQ302" s="80"/>
      <c r="BR302" s="80"/>
      <c r="BS302" s="80"/>
      <c r="BT302" s="22"/>
      <c r="BU302" s="87"/>
      <c r="BV302" s="73"/>
      <c r="BW302" s="109"/>
      <c r="BX302" s="87"/>
      <c r="BY302" s="87"/>
      <c r="BZ302" s="109"/>
      <c r="CA302" s="76"/>
    </row>
    <row r="303" spans="1:79" s="262" customFormat="1">
      <c r="A303" s="13" t="s">
        <v>466</v>
      </c>
      <c r="B303" s="387" t="s">
        <v>1353</v>
      </c>
      <c r="C303" s="13" t="s">
        <v>573</v>
      </c>
      <c r="D303" s="387" t="s">
        <v>1392</v>
      </c>
      <c r="E303" s="13" t="s">
        <v>118</v>
      </c>
      <c r="F303" s="13" t="s">
        <v>186</v>
      </c>
      <c r="G303" s="13" t="s">
        <v>1400</v>
      </c>
      <c r="H303" s="13" t="s">
        <v>121</v>
      </c>
      <c r="I303" s="13" t="s">
        <v>147</v>
      </c>
      <c r="J303" s="13" t="s">
        <v>5</v>
      </c>
      <c r="K303" s="13" t="s">
        <v>123</v>
      </c>
      <c r="L303" s="13" t="s">
        <v>1401</v>
      </c>
      <c r="M303" s="13" t="s">
        <v>125</v>
      </c>
      <c r="N303" s="13" t="s">
        <v>126</v>
      </c>
      <c r="O303" s="247">
        <v>0.47</v>
      </c>
      <c r="P303" s="13">
        <v>106</v>
      </c>
      <c r="Q303" s="13">
        <v>30</v>
      </c>
      <c r="R303" s="13" t="s">
        <v>127</v>
      </c>
      <c r="S303" s="430" t="str">
        <f t="shared" si="122"/>
        <v>N/A</v>
      </c>
      <c r="T303" s="247">
        <v>0.8</v>
      </c>
      <c r="U303" s="13">
        <v>200</v>
      </c>
      <c r="V303" s="13">
        <v>600</v>
      </c>
      <c r="W303" s="430">
        <f t="shared" si="120"/>
        <v>400</v>
      </c>
      <c r="X303" s="430">
        <f t="shared" si="121"/>
        <v>160</v>
      </c>
      <c r="Y303" s="13">
        <v>150</v>
      </c>
      <c r="Z303" s="13">
        <v>600</v>
      </c>
      <c r="AA303" s="430">
        <f t="shared" si="123"/>
        <v>450</v>
      </c>
      <c r="AB303" s="430">
        <f t="shared" si="124"/>
        <v>160</v>
      </c>
      <c r="AC303" s="430" t="str">
        <f t="shared" si="125"/>
        <v>N/A</v>
      </c>
      <c r="AD303" s="430">
        <f t="shared" si="126"/>
        <v>76</v>
      </c>
      <c r="AE303" s="431">
        <f t="shared" si="127"/>
        <v>1.1572</v>
      </c>
      <c r="AF303" s="431"/>
      <c r="AG303" s="431">
        <f t="shared" si="128"/>
        <v>1.0291471698113206</v>
      </c>
      <c r="AH303" s="431">
        <f t="shared" si="129"/>
        <v>1.0908959999999999</v>
      </c>
      <c r="AI303" s="432">
        <f t="shared" si="130"/>
        <v>878.59944400000006</v>
      </c>
      <c r="AJ303" s="432">
        <f t="shared" si="131"/>
        <v>144.45705845131181</v>
      </c>
      <c r="AK303" s="432">
        <f t="shared" si="132"/>
        <v>157.95265004388884</v>
      </c>
      <c r="AL303" s="432">
        <f t="shared" si="133"/>
        <v>313.98707604205106</v>
      </c>
      <c r="AM303" s="250">
        <v>158</v>
      </c>
      <c r="AN303" s="432">
        <f t="shared" si="134"/>
        <v>167.48</v>
      </c>
      <c r="AO303" s="432">
        <f t="shared" si="135"/>
        <v>182.70326207999997</v>
      </c>
      <c r="AP303" s="432">
        <f t="shared" si="136"/>
        <v>609.01087359999997</v>
      </c>
      <c r="AQ303" s="255">
        <v>45047</v>
      </c>
      <c r="AR303" s="13" t="s">
        <v>1402</v>
      </c>
      <c r="AS303" s="436" t="s">
        <v>1403</v>
      </c>
      <c r="AT303" s="429" t="s">
        <v>240</v>
      </c>
      <c r="AU303" s="257"/>
      <c r="AV303" s="259"/>
      <c r="AW303" s="77" t="s">
        <v>127</v>
      </c>
      <c r="AX303" s="268"/>
      <c r="AY303" s="102">
        <f>(V303/10)/P303</f>
        <v>0.56603773584905659</v>
      </c>
      <c r="AZ303" s="77"/>
      <c r="BA303" s="38" t="str">
        <f>LEFT(G303,3)</f>
        <v>W22</v>
      </c>
      <c r="BB303" s="77" t="str">
        <f>IF(R303="n/a","Clear","S/B")</f>
        <v>Clear</v>
      </c>
      <c r="BC303" s="264"/>
      <c r="BD303" s="253"/>
      <c r="BE303" s="253"/>
      <c r="BF303" s="100"/>
      <c r="BG303" s="253"/>
      <c r="BH303" s="253"/>
      <c r="BI303" s="100"/>
      <c r="BJ303" s="139"/>
      <c r="BK303" s="139"/>
      <c r="BL303" s="191"/>
      <c r="BM303" s="101"/>
      <c r="BN303" s="106"/>
      <c r="BO303" s="101"/>
      <c r="BP303" s="101"/>
      <c r="BQ303" s="83"/>
      <c r="BR303" s="103"/>
      <c r="BS303" s="103"/>
      <c r="BT303" s="13"/>
      <c r="BU303" s="79"/>
      <c r="BV303" s="29"/>
      <c r="BW303" s="86"/>
      <c r="BX303" s="79"/>
      <c r="BY303" s="79"/>
      <c r="BZ303" s="86"/>
      <c r="CA303" s="247"/>
    </row>
    <row r="304" spans="1:79" s="72" customFormat="1">
      <c r="A304" s="13" t="s">
        <v>466</v>
      </c>
      <c r="B304" s="13" t="s">
        <v>1353</v>
      </c>
      <c r="C304" s="13" t="s">
        <v>573</v>
      </c>
      <c r="D304" s="387" t="s">
        <v>1392</v>
      </c>
      <c r="E304" s="13" t="s">
        <v>118</v>
      </c>
      <c r="F304" s="13" t="s">
        <v>119</v>
      </c>
      <c r="G304" s="13" t="s">
        <v>1404</v>
      </c>
      <c r="H304" s="13" t="s">
        <v>121</v>
      </c>
      <c r="I304" s="13" t="s">
        <v>147</v>
      </c>
      <c r="J304" s="13" t="s">
        <v>5</v>
      </c>
      <c r="K304" s="13" t="s">
        <v>123</v>
      </c>
      <c r="L304" s="13" t="s">
        <v>516</v>
      </c>
      <c r="M304" s="13"/>
      <c r="N304" s="13" t="s">
        <v>126</v>
      </c>
      <c r="O304" s="247"/>
      <c r="P304" s="13"/>
      <c r="Q304" s="13"/>
      <c r="R304" s="13"/>
      <c r="S304" s="430">
        <f t="shared" si="122"/>
        <v>0</v>
      </c>
      <c r="T304" s="247"/>
      <c r="U304" s="13"/>
      <c r="V304" s="13"/>
      <c r="W304" s="430">
        <f t="shared" si="120"/>
        <v>0</v>
      </c>
      <c r="X304" s="430">
        <f t="shared" si="121"/>
        <v>0</v>
      </c>
      <c r="Y304" s="13"/>
      <c r="Z304" s="13"/>
      <c r="AA304" s="430">
        <f t="shared" si="123"/>
        <v>0</v>
      </c>
      <c r="AB304" s="430">
        <f t="shared" si="124"/>
        <v>0</v>
      </c>
      <c r="AC304" s="430" t="str">
        <f t="shared" si="125"/>
        <v>N/A</v>
      </c>
      <c r="AD304" s="430">
        <f t="shared" si="126"/>
        <v>0</v>
      </c>
      <c r="AE304" s="431">
        <f t="shared" si="127"/>
        <v>0</v>
      </c>
      <c r="AF304" s="431"/>
      <c r="AG304" s="431" t="e">
        <f t="shared" si="128"/>
        <v>#DIV/0!</v>
      </c>
      <c r="AH304" s="431" t="e">
        <f t="shared" si="129"/>
        <v>#DIV/0!</v>
      </c>
      <c r="AI304" s="432">
        <f t="shared" si="130"/>
        <v>0</v>
      </c>
      <c r="AJ304" s="432" t="e">
        <f t="shared" si="131"/>
        <v>#DIV/0!</v>
      </c>
      <c r="AK304" s="432" t="e">
        <f t="shared" si="132"/>
        <v>#DIV/0!</v>
      </c>
      <c r="AL304" s="432" t="e">
        <f t="shared" si="133"/>
        <v>#DIV/0!</v>
      </c>
      <c r="AM304" s="250"/>
      <c r="AN304" s="432">
        <f t="shared" si="134"/>
        <v>0</v>
      </c>
      <c r="AO304" s="432" t="e">
        <f t="shared" si="135"/>
        <v>#DIV/0!</v>
      </c>
      <c r="AP304" s="432" t="e">
        <f t="shared" si="136"/>
        <v>#DIV/0!</v>
      </c>
      <c r="AQ304" s="255"/>
      <c r="AR304" s="13" t="s">
        <v>127</v>
      </c>
      <c r="AS304" s="429"/>
      <c r="AT304" s="13"/>
      <c r="AU304" s="252"/>
      <c r="AV304" s="260"/>
      <c r="AX304" s="243"/>
      <c r="AY304" s="103"/>
      <c r="BA304" s="13"/>
      <c r="BC304" s="32"/>
      <c r="BD304" s="241"/>
      <c r="BE304" s="241"/>
      <c r="BF304" s="71"/>
      <c r="BG304" s="241"/>
      <c r="BH304" s="241"/>
      <c r="BI304" s="71"/>
      <c r="BJ304" s="114"/>
      <c r="BK304" s="111"/>
      <c r="BL304" s="112"/>
      <c r="BM304" s="111"/>
      <c r="BN304" s="123"/>
      <c r="BO304" s="83"/>
      <c r="BP304" s="88"/>
      <c r="BQ304" s="124"/>
      <c r="BR304" s="124"/>
      <c r="BS304" s="71"/>
      <c r="BU304" s="78"/>
      <c r="BV304" s="32"/>
      <c r="BW304" s="127"/>
      <c r="BX304" s="78"/>
      <c r="BY304" s="78"/>
      <c r="BZ304" s="127"/>
      <c r="CA304" s="76"/>
    </row>
    <row r="305" spans="1:79" s="72" customFormat="1">
      <c r="A305" s="13" t="s">
        <v>466</v>
      </c>
      <c r="B305" s="387" t="s">
        <v>1353</v>
      </c>
      <c r="C305" s="13" t="s">
        <v>573</v>
      </c>
      <c r="D305" s="387" t="s">
        <v>1405</v>
      </c>
      <c r="E305" s="13" t="s">
        <v>118</v>
      </c>
      <c r="F305" s="13" t="s">
        <v>167</v>
      </c>
      <c r="G305" s="13" t="s">
        <v>1406</v>
      </c>
      <c r="H305" s="13" t="s">
        <v>389</v>
      </c>
      <c r="I305" s="13" t="s">
        <v>139</v>
      </c>
      <c r="J305" s="13" t="s">
        <v>5</v>
      </c>
      <c r="K305" s="13" t="s">
        <v>140</v>
      </c>
      <c r="L305" s="13" t="s">
        <v>1407</v>
      </c>
      <c r="M305" s="13"/>
      <c r="N305" s="13" t="s">
        <v>142</v>
      </c>
      <c r="O305" s="247">
        <v>0.63</v>
      </c>
      <c r="P305" s="13">
        <v>120</v>
      </c>
      <c r="Q305" s="13">
        <v>30</v>
      </c>
      <c r="R305" s="13" t="s">
        <v>127</v>
      </c>
      <c r="S305" s="430" t="str">
        <f t="shared" si="122"/>
        <v>N/A</v>
      </c>
      <c r="T305" s="247">
        <v>0.76</v>
      </c>
      <c r="U305" s="13">
        <v>234</v>
      </c>
      <c r="V305" s="13">
        <v>488</v>
      </c>
      <c r="W305" s="430">
        <f t="shared" si="120"/>
        <v>254</v>
      </c>
      <c r="X305" s="430">
        <f t="shared" si="121"/>
        <v>412</v>
      </c>
      <c r="Y305" s="13">
        <v>200</v>
      </c>
      <c r="Z305" s="13">
        <v>600</v>
      </c>
      <c r="AA305" s="430">
        <f t="shared" si="123"/>
        <v>400</v>
      </c>
      <c r="AB305" s="430">
        <f t="shared" si="124"/>
        <v>300</v>
      </c>
      <c r="AC305" s="430" t="str">
        <f t="shared" si="125"/>
        <v>N/A</v>
      </c>
      <c r="AD305" s="430">
        <f t="shared" si="126"/>
        <v>90</v>
      </c>
      <c r="AE305" s="431">
        <f t="shared" si="127"/>
        <v>1.327</v>
      </c>
      <c r="AF305" s="431"/>
      <c r="AG305" s="431">
        <f t="shared" si="128"/>
        <v>1.1143749999999999</v>
      </c>
      <c r="AH305" s="431">
        <f t="shared" si="129"/>
        <v>1.1868093749999999</v>
      </c>
      <c r="AI305" s="432">
        <f t="shared" si="130"/>
        <v>850.60974900000008</v>
      </c>
      <c r="AJ305" s="432">
        <f t="shared" si="131"/>
        <v>125.97265112272649</v>
      </c>
      <c r="AK305" s="432">
        <f t="shared" si="132"/>
        <v>137.74137651152085</v>
      </c>
      <c r="AL305" s="432">
        <f t="shared" si="133"/>
        <v>273.80998070524606</v>
      </c>
      <c r="AM305" s="250">
        <v>50</v>
      </c>
      <c r="AN305" s="432">
        <f t="shared" si="134"/>
        <v>60</v>
      </c>
      <c r="AO305" s="432">
        <f t="shared" si="135"/>
        <v>71.208562499999999</v>
      </c>
      <c r="AP305" s="432">
        <f t="shared" si="136"/>
        <v>237.361875</v>
      </c>
      <c r="AQ305" s="255">
        <v>44896</v>
      </c>
      <c r="AR305" s="13" t="s">
        <v>1408</v>
      </c>
      <c r="AS305" s="436" t="s">
        <v>1409</v>
      </c>
      <c r="AT305" s="429"/>
      <c r="AU305" s="241"/>
      <c r="AV305" s="243"/>
      <c r="AW305" s="72" t="s">
        <v>127</v>
      </c>
      <c r="AX305" s="243"/>
      <c r="AY305" s="71">
        <f>(V305/10)/P305</f>
        <v>0.40666666666666662</v>
      </c>
      <c r="BA305" s="72" t="str">
        <f>LEFT(G305,3)</f>
        <v>W50</v>
      </c>
      <c r="BB305" s="72" t="str">
        <f>IF(R305="n/a","Clear","S/B")</f>
        <v>Clear</v>
      </c>
      <c r="BC305" s="32">
        <f>IF(Q305="","",((P305/100*O305)+T305))</f>
        <v>1.516</v>
      </c>
      <c r="BD305" s="241">
        <f>IF(BC305="","",((PI()*((51/2)^2-(16.545/2)^2)/(BC305/10))/100))</f>
        <v>120.56913366146976</v>
      </c>
      <c r="BE305" s="241">
        <f>IF(BC305="","",(BD305-AK305))</f>
        <v>-17.172242850051092</v>
      </c>
      <c r="BF305" s="71">
        <f>IF(BC305="","",(BE305/AK305))</f>
        <v>-0.12467018469656999</v>
      </c>
      <c r="BG305" s="241">
        <f>IF(BF305="","",((PI()*((70/2)^2-(16.545/2)^2)/(BC305/10))/100))</f>
        <v>239.67403983895875</v>
      </c>
      <c r="BH305" s="241">
        <f>IF(BF305="","",(BG305-AL305))</f>
        <v>-34.135940866287314</v>
      </c>
      <c r="BI305" s="71">
        <f>IF(BG305="","",(BH305/AL305))</f>
        <v>-0.12467018469657007</v>
      </c>
      <c r="BJ305" s="123"/>
      <c r="BK305" s="108"/>
      <c r="BL305" s="126"/>
      <c r="BM305" s="108"/>
      <c r="BN305" s="71"/>
      <c r="BO305" s="108"/>
      <c r="BP305" s="108"/>
      <c r="BQ305" s="124"/>
      <c r="BR305" s="124"/>
      <c r="BS305" s="71"/>
      <c r="BU305" s="78"/>
      <c r="BV305" s="32"/>
      <c r="BW305" s="127"/>
      <c r="BX305" s="78"/>
      <c r="BY305" s="78"/>
      <c r="BZ305" s="127"/>
      <c r="CA305" s="76"/>
    </row>
    <row r="306" spans="1:79" s="72" customFormat="1">
      <c r="A306" s="13" t="s">
        <v>466</v>
      </c>
      <c r="B306" s="13" t="s">
        <v>1353</v>
      </c>
      <c r="C306" s="13" t="s">
        <v>573</v>
      </c>
      <c r="D306" s="387" t="s">
        <v>1405</v>
      </c>
      <c r="E306" s="13" t="s">
        <v>118</v>
      </c>
      <c r="F306" s="13" t="s">
        <v>119</v>
      </c>
      <c r="G306" s="13" t="s">
        <v>1410</v>
      </c>
      <c r="H306" s="13" t="s">
        <v>389</v>
      </c>
      <c r="I306" s="13" t="s">
        <v>139</v>
      </c>
      <c r="J306" s="13" t="s">
        <v>5</v>
      </c>
      <c r="K306" s="13" t="s">
        <v>140</v>
      </c>
      <c r="L306" s="13" t="s">
        <v>516</v>
      </c>
      <c r="M306" s="13"/>
      <c r="N306" s="13" t="s">
        <v>142</v>
      </c>
      <c r="O306" s="247"/>
      <c r="P306" s="13"/>
      <c r="Q306" s="13"/>
      <c r="R306" s="13"/>
      <c r="S306" s="430">
        <f t="shared" si="122"/>
        <v>0</v>
      </c>
      <c r="T306" s="247"/>
      <c r="U306" s="13"/>
      <c r="V306" s="13"/>
      <c r="W306" s="430">
        <f t="shared" si="120"/>
        <v>0</v>
      </c>
      <c r="X306" s="430">
        <f t="shared" si="121"/>
        <v>0</v>
      </c>
      <c r="Y306" s="13"/>
      <c r="Z306" s="13"/>
      <c r="AA306" s="430">
        <f t="shared" si="123"/>
        <v>0</v>
      </c>
      <c r="AB306" s="430">
        <f t="shared" si="124"/>
        <v>0</v>
      </c>
      <c r="AC306" s="430" t="str">
        <f t="shared" si="125"/>
        <v>N/A</v>
      </c>
      <c r="AD306" s="430">
        <f t="shared" si="126"/>
        <v>0</v>
      </c>
      <c r="AE306" s="431">
        <f t="shared" si="127"/>
        <v>0</v>
      </c>
      <c r="AF306" s="431"/>
      <c r="AG306" s="431" t="e">
        <f t="shared" si="128"/>
        <v>#DIV/0!</v>
      </c>
      <c r="AH306" s="431" t="e">
        <f t="shared" si="129"/>
        <v>#DIV/0!</v>
      </c>
      <c r="AI306" s="432">
        <f t="shared" si="130"/>
        <v>0</v>
      </c>
      <c r="AJ306" s="432" t="e">
        <f t="shared" si="131"/>
        <v>#DIV/0!</v>
      </c>
      <c r="AK306" s="432" t="e">
        <f t="shared" si="132"/>
        <v>#DIV/0!</v>
      </c>
      <c r="AL306" s="432" t="e">
        <f t="shared" si="133"/>
        <v>#DIV/0!</v>
      </c>
      <c r="AM306" s="250"/>
      <c r="AN306" s="432">
        <f t="shared" si="134"/>
        <v>0</v>
      </c>
      <c r="AO306" s="432" t="e">
        <f t="shared" si="135"/>
        <v>#DIV/0!</v>
      </c>
      <c r="AP306" s="432" t="e">
        <f t="shared" si="136"/>
        <v>#DIV/0!</v>
      </c>
      <c r="AQ306" s="255"/>
      <c r="AR306" s="13" t="s">
        <v>127</v>
      </c>
      <c r="AS306" s="434"/>
      <c r="AT306" s="429"/>
      <c r="AU306" s="241"/>
      <c r="AV306" s="243"/>
      <c r="AX306" s="243"/>
      <c r="AY306" s="71"/>
      <c r="BC306" s="32"/>
      <c r="BD306" s="241"/>
      <c r="BE306" s="241"/>
      <c r="BF306" s="71"/>
      <c r="BG306" s="241"/>
      <c r="BH306" s="241"/>
      <c r="BI306" s="71"/>
      <c r="BJ306" s="123"/>
      <c r="BK306" s="108"/>
      <c r="BL306" s="126"/>
      <c r="BM306" s="108"/>
      <c r="BN306" s="71"/>
      <c r="BO306" s="108"/>
      <c r="BP306" s="108"/>
      <c r="BQ306" s="124"/>
      <c r="BR306" s="124"/>
      <c r="BS306" s="71"/>
      <c r="BU306" s="78"/>
      <c r="BV306" s="32"/>
      <c r="BW306" s="127"/>
      <c r="BX306" s="78"/>
      <c r="BY306" s="78"/>
      <c r="BZ306" s="127"/>
      <c r="CA306" s="76"/>
    </row>
    <row r="307" spans="1:79" s="297" customFormat="1">
      <c r="A307" s="13" t="s">
        <v>466</v>
      </c>
      <c r="B307" s="13" t="s">
        <v>1353</v>
      </c>
      <c r="C307" s="13" t="s">
        <v>573</v>
      </c>
      <c r="D307" s="387" t="s">
        <v>1411</v>
      </c>
      <c r="E307" s="13" t="s">
        <v>118</v>
      </c>
      <c r="F307" s="13" t="s">
        <v>119</v>
      </c>
      <c r="G307" s="13" t="s">
        <v>1412</v>
      </c>
      <c r="H307" s="13" t="s">
        <v>121</v>
      </c>
      <c r="I307" s="13" t="s">
        <v>147</v>
      </c>
      <c r="J307" s="13" t="s">
        <v>5</v>
      </c>
      <c r="K307" s="13" t="s">
        <v>123</v>
      </c>
      <c r="L307" s="13" t="s">
        <v>516</v>
      </c>
      <c r="M307" s="13" t="s">
        <v>125</v>
      </c>
      <c r="N307" s="13" t="s">
        <v>126</v>
      </c>
      <c r="O307" s="247"/>
      <c r="P307" s="13"/>
      <c r="Q307" s="442" t="s">
        <v>1413</v>
      </c>
      <c r="R307" s="13"/>
      <c r="S307" s="430">
        <f t="shared" si="122"/>
        <v>0</v>
      </c>
      <c r="T307" s="247"/>
      <c r="U307" s="13"/>
      <c r="V307" s="13"/>
      <c r="W307" s="430">
        <f t="shared" si="120"/>
        <v>0</v>
      </c>
      <c r="X307" s="430" t="e">
        <f t="shared" si="121"/>
        <v>#VALUE!</v>
      </c>
      <c r="Y307" s="13"/>
      <c r="Z307" s="13"/>
      <c r="AA307" s="430">
        <f t="shared" si="123"/>
        <v>0</v>
      </c>
      <c r="AB307" s="430" t="e">
        <f t="shared" si="124"/>
        <v>#VALUE!</v>
      </c>
      <c r="AC307" s="430" t="str">
        <f t="shared" si="125"/>
        <v>N/A</v>
      </c>
      <c r="AD307" s="430" t="e">
        <f t="shared" si="126"/>
        <v>#VALUE!</v>
      </c>
      <c r="AE307" s="431" t="e">
        <f t="shared" si="127"/>
        <v>#VALUE!</v>
      </c>
      <c r="AF307" s="431"/>
      <c r="AG307" s="431" t="e">
        <f t="shared" si="128"/>
        <v>#VALUE!</v>
      </c>
      <c r="AH307" s="431" t="e">
        <f t="shared" si="129"/>
        <v>#VALUE!</v>
      </c>
      <c r="AI307" s="432">
        <f t="shared" si="130"/>
        <v>0</v>
      </c>
      <c r="AJ307" s="432" t="e">
        <f t="shared" si="131"/>
        <v>#VALUE!</v>
      </c>
      <c r="AK307" s="432" t="e">
        <f t="shared" si="132"/>
        <v>#VALUE!</v>
      </c>
      <c r="AL307" s="432" t="e">
        <f t="shared" si="133"/>
        <v>#VALUE!</v>
      </c>
      <c r="AM307" s="250"/>
      <c r="AN307" s="432">
        <f t="shared" si="134"/>
        <v>0</v>
      </c>
      <c r="AO307" s="432" t="e">
        <f t="shared" si="135"/>
        <v>#VALUE!</v>
      </c>
      <c r="AP307" s="432" t="e">
        <f t="shared" si="136"/>
        <v>#VALUE!</v>
      </c>
      <c r="AQ307" s="255"/>
      <c r="AR307" s="13" t="s">
        <v>516</v>
      </c>
      <c r="AS307" s="429"/>
      <c r="AT307" s="429" t="s">
        <v>831</v>
      </c>
      <c r="AU307" s="252"/>
      <c r="AV307" s="260"/>
      <c r="AW307" s="72"/>
      <c r="AX307" s="243"/>
      <c r="AY307" s="103"/>
      <c r="AZ307" s="72"/>
      <c r="BA307" s="13"/>
      <c r="BB307" s="72"/>
      <c r="BC307" s="32"/>
      <c r="BD307" s="241"/>
      <c r="BE307" s="241"/>
      <c r="BF307" s="71"/>
      <c r="BG307" s="241"/>
      <c r="BH307" s="241"/>
      <c r="BI307" s="71"/>
      <c r="BJ307" s="114"/>
      <c r="BK307" s="111"/>
      <c r="BL307" s="112"/>
      <c r="BM307" s="111"/>
      <c r="BN307" s="123"/>
      <c r="BO307" s="83"/>
      <c r="BP307" s="88"/>
      <c r="BQ307" s="115"/>
      <c r="BR307" s="113"/>
      <c r="BS307" s="80"/>
      <c r="BT307" s="22"/>
      <c r="BU307" s="87"/>
      <c r="BV307" s="73"/>
      <c r="BW307" s="109"/>
      <c r="BX307" s="87"/>
      <c r="BY307" s="87"/>
      <c r="BZ307" s="109"/>
      <c r="CA307" s="76"/>
    </row>
    <row r="308" spans="1:79" s="72" customFormat="1">
      <c r="A308" s="13" t="s">
        <v>466</v>
      </c>
      <c r="B308" s="387" t="s">
        <v>1353</v>
      </c>
      <c r="C308" s="13" t="s">
        <v>573</v>
      </c>
      <c r="D308" s="387" t="s">
        <v>1414</v>
      </c>
      <c r="E308" s="13" t="s">
        <v>118</v>
      </c>
      <c r="F308" s="13" t="s">
        <v>119</v>
      </c>
      <c r="G308" s="13" t="s">
        <v>1415</v>
      </c>
      <c r="H308" s="13" t="s">
        <v>389</v>
      </c>
      <c r="I308" s="13" t="s">
        <v>139</v>
      </c>
      <c r="J308" s="13" t="s">
        <v>5</v>
      </c>
      <c r="K308" s="13" t="s">
        <v>140</v>
      </c>
      <c r="L308" s="13"/>
      <c r="M308" s="13" t="s">
        <v>125</v>
      </c>
      <c r="N308" s="13" t="s">
        <v>142</v>
      </c>
      <c r="O308" s="247">
        <v>0.46</v>
      </c>
      <c r="P308" s="13">
        <v>105</v>
      </c>
      <c r="Q308" s="13">
        <v>30</v>
      </c>
      <c r="R308" s="13" t="s">
        <v>127</v>
      </c>
      <c r="S308" s="430" t="str">
        <f t="shared" si="122"/>
        <v>N/A</v>
      </c>
      <c r="T308" s="247">
        <v>0.76</v>
      </c>
      <c r="U308" s="13">
        <v>200</v>
      </c>
      <c r="V308" s="13">
        <v>600</v>
      </c>
      <c r="W308" s="430">
        <f t="shared" si="120"/>
        <v>400</v>
      </c>
      <c r="X308" s="430">
        <f t="shared" si="121"/>
        <v>150</v>
      </c>
      <c r="Y308" s="13">
        <v>200</v>
      </c>
      <c r="Z308" s="13">
        <v>600</v>
      </c>
      <c r="AA308" s="430">
        <f t="shared" si="123"/>
        <v>400</v>
      </c>
      <c r="AB308" s="430">
        <f t="shared" si="124"/>
        <v>150</v>
      </c>
      <c r="AC308" s="430" t="str">
        <f t="shared" si="125"/>
        <v>N/A</v>
      </c>
      <c r="AD308" s="430">
        <f t="shared" si="126"/>
        <v>75</v>
      </c>
      <c r="AE308" s="431">
        <f t="shared" si="127"/>
        <v>1.105</v>
      </c>
      <c r="AF308" s="431"/>
      <c r="AG308" s="431">
        <f t="shared" si="128"/>
        <v>0.98178571428571437</v>
      </c>
      <c r="AH308" s="431">
        <f t="shared" si="129"/>
        <v>1.0456017857142859</v>
      </c>
      <c r="AI308" s="432">
        <f t="shared" si="130"/>
        <v>839.48965799999996</v>
      </c>
      <c r="AJ308" s="432">
        <f t="shared" si="131"/>
        <v>151.28118374647786</v>
      </c>
      <c r="AK308" s="432">
        <f t="shared" si="132"/>
        <v>165.41430464324719</v>
      </c>
      <c r="AL308" s="432">
        <f t="shared" si="133"/>
        <v>328.81976868403757</v>
      </c>
      <c r="AM308" s="250">
        <v>165</v>
      </c>
      <c r="AN308" s="432">
        <f t="shared" si="134"/>
        <v>173.25</v>
      </c>
      <c r="AO308" s="432">
        <f t="shared" si="135"/>
        <v>181.15050937500001</v>
      </c>
      <c r="AP308" s="432">
        <f t="shared" si="136"/>
        <v>603.83503125000004</v>
      </c>
      <c r="AQ308" s="255" t="s">
        <v>132</v>
      </c>
      <c r="AR308" s="13" t="s">
        <v>1416</v>
      </c>
      <c r="AS308" s="434"/>
      <c r="AT308" s="429"/>
      <c r="AU308" s="241"/>
      <c r="AV308" s="243"/>
      <c r="AW308" s="13"/>
      <c r="AX308" s="260"/>
      <c r="AY308" s="103"/>
      <c r="AZ308" s="22"/>
      <c r="BA308" s="13"/>
      <c r="BC308" s="32"/>
      <c r="BD308" s="241"/>
      <c r="BE308" s="241"/>
      <c r="BF308" s="71"/>
      <c r="BG308" s="241"/>
      <c r="BH308" s="241"/>
      <c r="BI308" s="71"/>
      <c r="BJ308" s="123"/>
      <c r="BK308" s="108"/>
      <c r="BL308" s="126"/>
      <c r="BM308" s="108"/>
      <c r="BN308" s="71"/>
      <c r="BO308" s="108"/>
      <c r="BP308" s="108"/>
      <c r="BQ308" s="124"/>
      <c r="BR308" s="124"/>
      <c r="BS308" s="71"/>
      <c r="BU308" s="78"/>
      <c r="BV308" s="32"/>
      <c r="BW308" s="127"/>
      <c r="BX308" s="78"/>
      <c r="BY308" s="78"/>
      <c r="BZ308" s="127"/>
      <c r="CA308" s="76"/>
    </row>
    <row r="309" spans="1:79" s="77" customFormat="1">
      <c r="A309" s="13" t="s">
        <v>466</v>
      </c>
      <c r="B309" s="13" t="s">
        <v>1353</v>
      </c>
      <c r="C309" s="13" t="s">
        <v>573</v>
      </c>
      <c r="D309" s="387" t="s">
        <v>1417</v>
      </c>
      <c r="E309" s="13" t="s">
        <v>118</v>
      </c>
      <c r="F309" s="13" t="s">
        <v>119</v>
      </c>
      <c r="G309" s="13" t="s">
        <v>1418</v>
      </c>
      <c r="H309" s="13" t="s">
        <v>389</v>
      </c>
      <c r="I309" s="13" t="s">
        <v>139</v>
      </c>
      <c r="J309" s="13" t="s">
        <v>5</v>
      </c>
      <c r="K309" s="13" t="s">
        <v>140</v>
      </c>
      <c r="L309" s="13" t="s">
        <v>228</v>
      </c>
      <c r="M309" s="13" t="s">
        <v>125</v>
      </c>
      <c r="N309" s="13" t="s">
        <v>142</v>
      </c>
      <c r="O309" s="247">
        <v>0.44</v>
      </c>
      <c r="P309" s="13">
        <v>105</v>
      </c>
      <c r="Q309" s="13">
        <v>30</v>
      </c>
      <c r="R309" s="13" t="s">
        <v>127</v>
      </c>
      <c r="S309" s="430" t="str">
        <f t="shared" si="122"/>
        <v>N/A</v>
      </c>
      <c r="T309" s="247">
        <v>0.76</v>
      </c>
      <c r="U309" s="13">
        <v>200</v>
      </c>
      <c r="V309" s="13">
        <v>600</v>
      </c>
      <c r="W309" s="430">
        <f t="shared" si="120"/>
        <v>400</v>
      </c>
      <c r="X309" s="430">
        <f t="shared" si="121"/>
        <v>150</v>
      </c>
      <c r="Y309" s="13">
        <v>200</v>
      </c>
      <c r="Z309" s="13">
        <v>600</v>
      </c>
      <c r="AA309" s="430">
        <f t="shared" si="123"/>
        <v>400</v>
      </c>
      <c r="AB309" s="430">
        <f t="shared" si="124"/>
        <v>150</v>
      </c>
      <c r="AC309" s="430" t="str">
        <f t="shared" si="125"/>
        <v>N/A</v>
      </c>
      <c r="AD309" s="430">
        <f t="shared" si="126"/>
        <v>75</v>
      </c>
      <c r="AE309" s="431">
        <f t="shared" si="127"/>
        <v>1.0900000000000001</v>
      </c>
      <c r="AF309" s="431"/>
      <c r="AG309" s="431">
        <f t="shared" si="128"/>
        <v>0.9721428571428572</v>
      </c>
      <c r="AH309" s="431">
        <f t="shared" si="129"/>
        <v>1.0353321428571429</v>
      </c>
      <c r="AI309" s="432">
        <f t="shared" si="130"/>
        <v>838.18141200000002</v>
      </c>
      <c r="AJ309" s="432">
        <f t="shared" si="131"/>
        <v>153.36303489895229</v>
      </c>
      <c r="AK309" s="432">
        <f t="shared" si="132"/>
        <v>167.69064828512674</v>
      </c>
      <c r="AL309" s="432">
        <f t="shared" si="133"/>
        <v>333.34481137234997</v>
      </c>
      <c r="AM309" s="250">
        <v>168</v>
      </c>
      <c r="AN309" s="432">
        <f t="shared" si="134"/>
        <v>176.4</v>
      </c>
      <c r="AO309" s="432">
        <f t="shared" si="135"/>
        <v>182.63259000000002</v>
      </c>
      <c r="AP309" s="432">
        <f t="shared" si="136"/>
        <v>608.77530000000013</v>
      </c>
      <c r="AQ309" s="255" t="s">
        <v>132</v>
      </c>
      <c r="AR309" s="13" t="s">
        <v>1419</v>
      </c>
      <c r="AS309" s="429"/>
      <c r="AT309" s="13"/>
      <c r="AU309" s="252"/>
      <c r="AV309" s="260"/>
      <c r="AW309" s="72"/>
      <c r="AX309" s="243"/>
      <c r="AY309" s="103"/>
      <c r="AZ309" s="72"/>
      <c r="BA309" s="13"/>
      <c r="BB309" s="72"/>
      <c r="BC309" s="32"/>
      <c r="BD309" s="241"/>
      <c r="BE309" s="241"/>
      <c r="BF309" s="71"/>
      <c r="BG309" s="241"/>
      <c r="BH309" s="241"/>
      <c r="BI309" s="71"/>
      <c r="BJ309" s="114"/>
      <c r="BK309" s="111"/>
      <c r="BL309" s="112"/>
      <c r="BM309" s="111"/>
      <c r="BN309" s="123"/>
      <c r="BO309" s="83"/>
      <c r="BP309" s="88"/>
      <c r="BQ309" s="115"/>
      <c r="BR309" s="113"/>
      <c r="BS309" s="71"/>
      <c r="BT309" s="13"/>
      <c r="BU309" s="79"/>
      <c r="BV309" s="29"/>
      <c r="BW309" s="86"/>
      <c r="BX309" s="79"/>
      <c r="BY309" s="79"/>
      <c r="BZ309" s="86"/>
      <c r="CA309" s="76"/>
    </row>
    <row r="310" spans="1:79" s="72" customFormat="1">
      <c r="A310" s="13" t="s">
        <v>466</v>
      </c>
      <c r="B310" s="387" t="s">
        <v>1353</v>
      </c>
      <c r="C310" s="13" t="s">
        <v>573</v>
      </c>
      <c r="D310" s="387" t="s">
        <v>1420</v>
      </c>
      <c r="E310" s="13" t="s">
        <v>118</v>
      </c>
      <c r="F310" s="13" t="s">
        <v>167</v>
      </c>
      <c r="G310" s="13" t="s">
        <v>1421</v>
      </c>
      <c r="H310" s="13" t="s">
        <v>121</v>
      </c>
      <c r="I310" s="13" t="s">
        <v>147</v>
      </c>
      <c r="J310" s="13" t="s">
        <v>5</v>
      </c>
      <c r="K310" s="13" t="s">
        <v>123</v>
      </c>
      <c r="L310" s="13" t="s">
        <v>1422</v>
      </c>
      <c r="M310" s="13" t="s">
        <v>125</v>
      </c>
      <c r="N310" s="13" t="s">
        <v>126</v>
      </c>
      <c r="O310" s="247">
        <v>0.49</v>
      </c>
      <c r="P310" s="13">
        <v>120</v>
      </c>
      <c r="Q310" s="13">
        <v>30</v>
      </c>
      <c r="R310" s="13" t="s">
        <v>127</v>
      </c>
      <c r="S310" s="430" t="str">
        <f t="shared" si="122"/>
        <v>N/A</v>
      </c>
      <c r="T310" s="247">
        <v>0.8</v>
      </c>
      <c r="U310" s="13">
        <v>200</v>
      </c>
      <c r="V310" s="13">
        <v>600</v>
      </c>
      <c r="W310" s="430">
        <f t="shared" si="120"/>
        <v>400</v>
      </c>
      <c r="X310" s="430">
        <f t="shared" si="121"/>
        <v>300</v>
      </c>
      <c r="Y310" s="13">
        <v>150</v>
      </c>
      <c r="Z310" s="13">
        <v>650</v>
      </c>
      <c r="AA310" s="430">
        <f t="shared" si="123"/>
        <v>500</v>
      </c>
      <c r="AB310" s="430">
        <f t="shared" si="124"/>
        <v>250</v>
      </c>
      <c r="AC310" s="430" t="str">
        <f t="shared" si="125"/>
        <v>N/A</v>
      </c>
      <c r="AD310" s="430">
        <f t="shared" si="126"/>
        <v>90</v>
      </c>
      <c r="AE310" s="431">
        <f t="shared" si="127"/>
        <v>1.2410000000000001</v>
      </c>
      <c r="AF310" s="431"/>
      <c r="AG310" s="431">
        <f t="shared" si="128"/>
        <v>1.0756250000000001</v>
      </c>
      <c r="AH310" s="431">
        <f t="shared" si="129"/>
        <v>1.1401625</v>
      </c>
      <c r="AI310" s="432">
        <f t="shared" si="130"/>
        <v>879.90154800000005</v>
      </c>
      <c r="AJ310" s="432">
        <f t="shared" si="131"/>
        <v>134.70242388385014</v>
      </c>
      <c r="AK310" s="432">
        <f t="shared" si="132"/>
        <v>147.28670961385023</v>
      </c>
      <c r="AL310" s="432">
        <f t="shared" si="133"/>
        <v>292.78472554058129</v>
      </c>
      <c r="AM310" s="250">
        <v>120</v>
      </c>
      <c r="AN310" s="432">
        <f t="shared" si="134"/>
        <v>144</v>
      </c>
      <c r="AO310" s="432">
        <f t="shared" si="135"/>
        <v>164.18340000000001</v>
      </c>
      <c r="AP310" s="432">
        <f t="shared" si="136"/>
        <v>547.27800000000002</v>
      </c>
      <c r="AQ310" s="255">
        <v>44986</v>
      </c>
      <c r="AR310" s="13" t="s">
        <v>506</v>
      </c>
      <c r="AS310" s="436" t="s">
        <v>1423</v>
      </c>
      <c r="AT310" s="429" t="s">
        <v>1424</v>
      </c>
      <c r="AU310" s="241"/>
      <c r="AV310" s="243"/>
      <c r="AW310" s="72" t="s">
        <v>127</v>
      </c>
      <c r="AX310" s="243"/>
      <c r="AY310" s="103">
        <f>(V310/10)/P310</f>
        <v>0.5</v>
      </c>
      <c r="BA310" s="13" t="str">
        <f>LEFT(G310,3)</f>
        <v>W22</v>
      </c>
      <c r="BB310" s="72" t="str">
        <f>IF(R310="n/a","Clear","S/B")</f>
        <v>Clear</v>
      </c>
      <c r="BC310" s="32"/>
      <c r="BD310" s="241"/>
      <c r="BE310" s="241"/>
      <c r="BF310" s="71"/>
      <c r="BG310" s="241"/>
      <c r="BH310" s="241"/>
      <c r="BI310" s="71"/>
      <c r="BJ310" s="123"/>
      <c r="BK310" s="123"/>
      <c r="BL310" s="126"/>
      <c r="BM310" s="123"/>
      <c r="BN310" s="123"/>
      <c r="BO310" s="108"/>
      <c r="BP310" s="108"/>
      <c r="BQ310" s="115"/>
      <c r="BR310" s="113"/>
      <c r="BS310" s="80"/>
      <c r="BT310" s="22"/>
      <c r="BU310" s="87"/>
      <c r="BV310" s="73"/>
      <c r="BW310" s="109"/>
      <c r="BX310" s="87"/>
      <c r="BY310" s="87"/>
      <c r="BZ310" s="109"/>
      <c r="CA310" s="76"/>
    </row>
    <row r="311" spans="1:79" s="77" customFormat="1">
      <c r="A311" s="13" t="s">
        <v>466</v>
      </c>
      <c r="B311" s="387" t="s">
        <v>1353</v>
      </c>
      <c r="C311" s="13" t="s">
        <v>573</v>
      </c>
      <c r="D311" s="387" t="s">
        <v>1420</v>
      </c>
      <c r="E311" s="13" t="s">
        <v>118</v>
      </c>
      <c r="F311" s="13" t="s">
        <v>167</v>
      </c>
      <c r="G311" s="13" t="s">
        <v>1425</v>
      </c>
      <c r="H311" s="13" t="s">
        <v>121</v>
      </c>
      <c r="I311" s="13" t="s">
        <v>147</v>
      </c>
      <c r="J311" s="13" t="s">
        <v>5</v>
      </c>
      <c r="K311" s="13" t="s">
        <v>123</v>
      </c>
      <c r="L311" s="13" t="s">
        <v>1426</v>
      </c>
      <c r="M311" s="13" t="s">
        <v>125</v>
      </c>
      <c r="N311" s="13" t="s">
        <v>126</v>
      </c>
      <c r="O311" s="247">
        <v>0.51</v>
      </c>
      <c r="P311" s="13">
        <v>107</v>
      </c>
      <c r="Q311" s="13">
        <v>30</v>
      </c>
      <c r="R311" s="13" t="s">
        <v>127</v>
      </c>
      <c r="S311" s="430" t="str">
        <f t="shared" si="122"/>
        <v>N/A</v>
      </c>
      <c r="T311" s="247">
        <v>0.8</v>
      </c>
      <c r="U311" s="13">
        <v>238</v>
      </c>
      <c r="V311" s="13">
        <v>546</v>
      </c>
      <c r="W311" s="430">
        <f t="shared" si="120"/>
        <v>308</v>
      </c>
      <c r="X311" s="430">
        <f t="shared" si="121"/>
        <v>224</v>
      </c>
      <c r="Y311" s="13">
        <v>192</v>
      </c>
      <c r="Z311" s="13">
        <v>592</v>
      </c>
      <c r="AA311" s="430">
        <f t="shared" si="123"/>
        <v>400</v>
      </c>
      <c r="AB311" s="430">
        <f t="shared" si="124"/>
        <v>178</v>
      </c>
      <c r="AC311" s="430" t="str">
        <f t="shared" si="125"/>
        <v>N/A</v>
      </c>
      <c r="AD311" s="430">
        <f t="shared" si="126"/>
        <v>77</v>
      </c>
      <c r="AE311" s="431">
        <f t="shared" si="127"/>
        <v>1.1927000000000001</v>
      </c>
      <c r="AF311" s="431"/>
      <c r="AG311" s="431">
        <f t="shared" si="128"/>
        <v>1.0514014018691591</v>
      </c>
      <c r="AH311" s="431">
        <f t="shared" si="129"/>
        <v>1.1144854859813085</v>
      </c>
      <c r="AI311" s="432">
        <f t="shared" si="130"/>
        <v>881.20365200000003</v>
      </c>
      <c r="AJ311" s="432">
        <f t="shared" si="131"/>
        <v>140.15738076620946</v>
      </c>
      <c r="AK311" s="432">
        <f t="shared" si="132"/>
        <v>153.25128417103056</v>
      </c>
      <c r="AL311" s="432">
        <f t="shared" si="133"/>
        <v>304.64143908431407</v>
      </c>
      <c r="AM311" s="250">
        <v>50</v>
      </c>
      <c r="AN311" s="432">
        <f t="shared" si="134"/>
        <v>53.5</v>
      </c>
      <c r="AO311" s="432">
        <f t="shared" si="135"/>
        <v>59.624973500000003</v>
      </c>
      <c r="AP311" s="432">
        <f t="shared" si="136"/>
        <v>198.74991166666669</v>
      </c>
      <c r="AQ311" s="255">
        <v>44713</v>
      </c>
      <c r="AR311" s="13" t="s">
        <v>1427</v>
      </c>
      <c r="AS311" s="436" t="s">
        <v>1428</v>
      </c>
      <c r="AT311" s="429" t="s">
        <v>1046</v>
      </c>
      <c r="AU311" s="241"/>
      <c r="AV311" s="243"/>
      <c r="AW311" s="72" t="s">
        <v>127</v>
      </c>
      <c r="AX311" s="243"/>
      <c r="AY311" s="103">
        <f>(V311/10)/P311</f>
        <v>0.51028037383177571</v>
      </c>
      <c r="AZ311" s="72"/>
      <c r="BA311" s="13" t="str">
        <f>LEFT(G311,3)</f>
        <v>W22</v>
      </c>
      <c r="BB311" s="72" t="str">
        <f>IF(R311="n/a","Clear","S/B")</f>
        <v>Clear</v>
      </c>
      <c r="BC311" s="32">
        <f>IF(Q311="","",((P311/100*O311)+T311))</f>
        <v>1.3457000000000001</v>
      </c>
      <c r="BD311" s="241">
        <f>IF(BC311="","",((PI()*((51/2)^2-(16.545/2)^2)/(BC311/10))/100))</f>
        <v>135.82730670341689</v>
      </c>
      <c r="BE311" s="241">
        <f>IF(BC311="","",(BD311-AK311))</f>
        <v>-17.423977467613668</v>
      </c>
      <c r="BF311" s="71">
        <f>IF(BC311="","",(BE311/AK311))</f>
        <v>-0.11369547447425149</v>
      </c>
      <c r="BG311" s="241">
        <f>IF(BF311="","",((PI()*((70/2)^2-(16.545/2)^2)/(BC311/10))/100))</f>
        <v>270.00508612310426</v>
      </c>
      <c r="BH311" s="241">
        <f>IF(BF311="","",(BG311-AL311))</f>
        <v>-34.636352961209809</v>
      </c>
      <c r="BI311" s="71">
        <f>IF(BG311="","",(BH311/AL311))</f>
        <v>-0.11369547447425128</v>
      </c>
      <c r="BJ311" s="123">
        <v>20</v>
      </c>
      <c r="BK311" s="123"/>
      <c r="BL311" s="126"/>
      <c r="BM311" s="108"/>
      <c r="BN311" s="71"/>
      <c r="BO311" s="108"/>
      <c r="BP311" s="108"/>
      <c r="BQ311" s="115"/>
      <c r="BR311" s="115"/>
      <c r="BS311" s="80"/>
      <c r="BT311" s="22"/>
      <c r="BU311" s="87"/>
      <c r="BV311" s="73"/>
      <c r="BW311" s="109"/>
      <c r="BX311" s="87"/>
      <c r="BY311" s="87"/>
      <c r="BZ311" s="109"/>
      <c r="CA311" s="284"/>
    </row>
    <row r="312" spans="1:79" s="77" customFormat="1">
      <c r="A312" s="13" t="s">
        <v>466</v>
      </c>
      <c r="B312" s="387" t="s">
        <v>1353</v>
      </c>
      <c r="C312" s="13" t="s">
        <v>573</v>
      </c>
      <c r="D312" s="387" t="s">
        <v>1420</v>
      </c>
      <c r="E312" s="13" t="s">
        <v>118</v>
      </c>
      <c r="F312" s="13" t="s">
        <v>167</v>
      </c>
      <c r="G312" s="13" t="s">
        <v>1429</v>
      </c>
      <c r="H312" s="13" t="s">
        <v>121</v>
      </c>
      <c r="I312" s="13" t="s">
        <v>147</v>
      </c>
      <c r="J312" s="13" t="s">
        <v>5</v>
      </c>
      <c r="K312" s="13" t="s">
        <v>123</v>
      </c>
      <c r="L312" s="13" t="s">
        <v>1430</v>
      </c>
      <c r="M312" s="13" t="s">
        <v>125</v>
      </c>
      <c r="N312" s="13" t="s">
        <v>126</v>
      </c>
      <c r="O312" s="247">
        <v>0.51</v>
      </c>
      <c r="P312" s="13">
        <v>107</v>
      </c>
      <c r="Q312" s="13">
        <v>30</v>
      </c>
      <c r="R312" s="13" t="s">
        <v>127</v>
      </c>
      <c r="S312" s="430" t="str">
        <f t="shared" si="122"/>
        <v>N/A</v>
      </c>
      <c r="T312" s="247">
        <v>0.8</v>
      </c>
      <c r="U312" s="13">
        <v>238</v>
      </c>
      <c r="V312" s="13">
        <v>546</v>
      </c>
      <c r="W312" s="430">
        <f t="shared" si="120"/>
        <v>308</v>
      </c>
      <c r="X312" s="430">
        <f t="shared" si="121"/>
        <v>224</v>
      </c>
      <c r="Y312" s="13">
        <v>192</v>
      </c>
      <c r="Z312" s="13">
        <v>592</v>
      </c>
      <c r="AA312" s="430">
        <f t="shared" si="123"/>
        <v>400</v>
      </c>
      <c r="AB312" s="430">
        <f t="shared" si="124"/>
        <v>178</v>
      </c>
      <c r="AC312" s="430" t="str">
        <f t="shared" si="125"/>
        <v>N/A</v>
      </c>
      <c r="AD312" s="430">
        <f t="shared" si="126"/>
        <v>77</v>
      </c>
      <c r="AE312" s="431">
        <f t="shared" si="127"/>
        <v>1.1927000000000001</v>
      </c>
      <c r="AF312" s="431"/>
      <c r="AG312" s="431">
        <f t="shared" si="128"/>
        <v>1.0514014018691591</v>
      </c>
      <c r="AH312" s="431">
        <f t="shared" si="129"/>
        <v>1.1144854859813085</v>
      </c>
      <c r="AI312" s="432">
        <f t="shared" si="130"/>
        <v>881.20365200000003</v>
      </c>
      <c r="AJ312" s="432">
        <f t="shared" si="131"/>
        <v>140.15738076620946</v>
      </c>
      <c r="AK312" s="432">
        <f t="shared" si="132"/>
        <v>153.25128417103056</v>
      </c>
      <c r="AL312" s="432">
        <f t="shared" si="133"/>
        <v>304.64143908431407</v>
      </c>
      <c r="AM312" s="250">
        <v>153</v>
      </c>
      <c r="AN312" s="432">
        <f t="shared" si="134"/>
        <v>163.71</v>
      </c>
      <c r="AO312" s="432">
        <f t="shared" si="135"/>
        <v>182.45241891000001</v>
      </c>
      <c r="AP312" s="432">
        <f t="shared" si="136"/>
        <v>608.17472970000006</v>
      </c>
      <c r="AQ312" s="255" t="s">
        <v>170</v>
      </c>
      <c r="AR312" s="13" t="s">
        <v>1431</v>
      </c>
      <c r="AS312" s="436" t="s">
        <v>1432</v>
      </c>
      <c r="AT312" s="429" t="s">
        <v>1433</v>
      </c>
      <c r="AU312" s="241"/>
      <c r="AV312" s="243"/>
      <c r="AW312" s="72" t="s">
        <v>127</v>
      </c>
      <c r="AX312" s="243"/>
      <c r="AY312" s="103">
        <f>(V312/10)/P312</f>
        <v>0.51028037383177571</v>
      </c>
      <c r="AZ312" s="72"/>
      <c r="BA312" s="13" t="str">
        <f>LEFT(G312,3)</f>
        <v>W22</v>
      </c>
      <c r="BB312" s="72" t="str">
        <f>IF(R312="n/a","Clear","S/B")</f>
        <v>Clear</v>
      </c>
      <c r="BC312" s="32"/>
      <c r="BD312" s="241"/>
      <c r="BE312" s="241"/>
      <c r="BF312" s="71"/>
      <c r="BG312" s="241"/>
      <c r="BH312" s="241"/>
      <c r="BI312" s="71"/>
      <c r="BJ312" s="123"/>
      <c r="BK312" s="108"/>
      <c r="BL312" s="126"/>
      <c r="BM312" s="108"/>
      <c r="BN312" s="71"/>
      <c r="BO312" s="108"/>
      <c r="BP312" s="108"/>
      <c r="BQ312" s="151"/>
      <c r="BR312" s="115"/>
      <c r="BS312" s="80"/>
      <c r="BT312" s="22"/>
      <c r="BU312" s="87"/>
      <c r="BV312" s="73"/>
      <c r="BW312" s="109"/>
      <c r="BX312" s="87"/>
      <c r="BY312" s="87"/>
      <c r="BZ312" s="109"/>
      <c r="CA312" s="284"/>
    </row>
    <row r="313" spans="1:79" s="72" customFormat="1">
      <c r="A313" s="13" t="s">
        <v>466</v>
      </c>
      <c r="B313" s="387" t="s">
        <v>1353</v>
      </c>
      <c r="C313" s="13"/>
      <c r="D313" s="387"/>
      <c r="E313" s="13" t="s">
        <v>118</v>
      </c>
      <c r="F313" s="13" t="s">
        <v>119</v>
      </c>
      <c r="G313" s="13" t="s">
        <v>1434</v>
      </c>
      <c r="H313" s="13" t="s">
        <v>121</v>
      </c>
      <c r="I313" s="13" t="s">
        <v>147</v>
      </c>
      <c r="J313" s="13" t="s">
        <v>5</v>
      </c>
      <c r="K313" s="13" t="s">
        <v>123</v>
      </c>
      <c r="L313" s="13" t="s">
        <v>228</v>
      </c>
      <c r="M313" s="13" t="s">
        <v>125</v>
      </c>
      <c r="N313" s="13" t="s">
        <v>126</v>
      </c>
      <c r="O313" s="247">
        <v>0.32</v>
      </c>
      <c r="P313" s="13">
        <v>83</v>
      </c>
      <c r="Q313" s="13">
        <v>20</v>
      </c>
      <c r="R313" s="13" t="s">
        <v>127</v>
      </c>
      <c r="S313" s="430" t="str">
        <f t="shared" si="122"/>
        <v>N/A</v>
      </c>
      <c r="T313" s="247">
        <v>0.8</v>
      </c>
      <c r="U313" s="13">
        <v>100</v>
      </c>
      <c r="V313" s="13">
        <v>500</v>
      </c>
      <c r="W313" s="430">
        <f t="shared" si="120"/>
        <v>400</v>
      </c>
      <c r="X313" s="430">
        <f t="shared" si="121"/>
        <v>130</v>
      </c>
      <c r="Y313" s="13">
        <v>100</v>
      </c>
      <c r="Z313" s="13">
        <v>500</v>
      </c>
      <c r="AA313" s="430">
        <f t="shared" si="123"/>
        <v>400</v>
      </c>
      <c r="AB313" s="430">
        <f t="shared" si="124"/>
        <v>130</v>
      </c>
      <c r="AC313" s="430" t="str">
        <f t="shared" si="125"/>
        <v>N/A</v>
      </c>
      <c r="AD313" s="430">
        <f t="shared" si="126"/>
        <v>63</v>
      </c>
      <c r="AE313" s="431">
        <f t="shared" si="127"/>
        <v>1.0016</v>
      </c>
      <c r="AF313" s="431"/>
      <c r="AG313" s="431">
        <f t="shared" si="128"/>
        <v>0.92508915662650615</v>
      </c>
      <c r="AH313" s="431">
        <f t="shared" si="129"/>
        <v>0.98059450602409659</v>
      </c>
      <c r="AI313" s="432">
        <f t="shared" si="130"/>
        <v>868.833664</v>
      </c>
      <c r="AJ313" s="432">
        <f t="shared" si="131"/>
        <v>166.89867016758987</v>
      </c>
      <c r="AK313" s="432">
        <f t="shared" si="132"/>
        <v>182.49082131668146</v>
      </c>
      <c r="AL313" s="432">
        <f t="shared" si="133"/>
        <v>362.76541972430255</v>
      </c>
      <c r="AM313" s="250">
        <v>182</v>
      </c>
      <c r="AN313" s="432">
        <f t="shared" si="134"/>
        <v>151.06</v>
      </c>
      <c r="AO313" s="432">
        <f t="shared" si="135"/>
        <v>148.12860608000003</v>
      </c>
      <c r="AP313" s="432">
        <f t="shared" si="136"/>
        <v>740.64303040000004</v>
      </c>
      <c r="AQ313" s="255" t="s">
        <v>132</v>
      </c>
      <c r="AR313" s="13" t="s">
        <v>943</v>
      </c>
      <c r="AS313" s="434"/>
      <c r="AT313" s="429"/>
      <c r="AU313" s="252"/>
      <c r="AV313" s="260"/>
      <c r="AW313" s="13"/>
      <c r="AX313" s="260"/>
      <c r="AY313" s="103"/>
      <c r="AZ313" s="22"/>
      <c r="BA313" s="13"/>
      <c r="BC313" s="32"/>
      <c r="BD313" s="241"/>
      <c r="BE313" s="241"/>
      <c r="BF313" s="71"/>
      <c r="BG313" s="241"/>
      <c r="BH313" s="241"/>
      <c r="BI313" s="71"/>
      <c r="BJ313" s="114"/>
      <c r="BK313" s="111"/>
      <c r="BL313" s="112"/>
      <c r="BM313" s="111"/>
      <c r="BN313" s="123"/>
      <c r="BO313" s="83"/>
      <c r="BP313" s="88"/>
      <c r="BQ313" s="124"/>
      <c r="BR313" s="124"/>
      <c r="BS313" s="71"/>
      <c r="BU313" s="78"/>
      <c r="BV313" s="32"/>
      <c r="BW313" s="127"/>
      <c r="BX313" s="78"/>
      <c r="BY313" s="78"/>
      <c r="BZ313" s="127"/>
      <c r="CA313" s="76"/>
    </row>
    <row r="314" spans="1:79" s="262" customFormat="1">
      <c r="A314" s="13" t="s">
        <v>466</v>
      </c>
      <c r="B314" s="387" t="s">
        <v>1353</v>
      </c>
      <c r="C314" s="13" t="s">
        <v>573</v>
      </c>
      <c r="D314" s="387" t="s">
        <v>1435</v>
      </c>
      <c r="E314" s="13" t="s">
        <v>118</v>
      </c>
      <c r="F314" s="13" t="s">
        <v>119</v>
      </c>
      <c r="G314" s="13" t="s">
        <v>1436</v>
      </c>
      <c r="H314" s="13" t="s">
        <v>121</v>
      </c>
      <c r="I314" s="13" t="s">
        <v>147</v>
      </c>
      <c r="J314" s="13" t="s">
        <v>5</v>
      </c>
      <c r="K314" s="13" t="s">
        <v>123</v>
      </c>
      <c r="L314" s="13" t="s">
        <v>1437</v>
      </c>
      <c r="M314" s="13" t="s">
        <v>125</v>
      </c>
      <c r="N314" s="13" t="s">
        <v>126</v>
      </c>
      <c r="O314" s="247">
        <v>0.22</v>
      </c>
      <c r="P314" s="438">
        <v>118</v>
      </c>
      <c r="Q314" s="13">
        <v>30</v>
      </c>
      <c r="R314" s="13" t="s">
        <v>127</v>
      </c>
      <c r="S314" s="430" t="str">
        <f t="shared" si="122"/>
        <v>N/A</v>
      </c>
      <c r="T314" s="247">
        <v>0.8</v>
      </c>
      <c r="U314" s="13">
        <v>200</v>
      </c>
      <c r="V314" s="13">
        <v>600</v>
      </c>
      <c r="W314" s="430">
        <f t="shared" si="120"/>
        <v>400</v>
      </c>
      <c r="X314" s="430">
        <f t="shared" si="121"/>
        <v>280</v>
      </c>
      <c r="Y314" s="13">
        <v>200</v>
      </c>
      <c r="Z314" s="13">
        <v>600</v>
      </c>
      <c r="AA314" s="430">
        <f t="shared" si="123"/>
        <v>400</v>
      </c>
      <c r="AB314" s="430">
        <f t="shared" si="124"/>
        <v>280</v>
      </c>
      <c r="AC314" s="430" t="str">
        <f t="shared" si="125"/>
        <v>N/A</v>
      </c>
      <c r="AD314" s="430">
        <f t="shared" si="126"/>
        <v>88</v>
      </c>
      <c r="AE314" s="431">
        <f t="shared" si="127"/>
        <v>0.99360000000000004</v>
      </c>
      <c r="AF314" s="431"/>
      <c r="AG314" s="431">
        <f t="shared" si="128"/>
        <v>0.92141016949152554</v>
      </c>
      <c r="AH314" s="431">
        <f t="shared" si="129"/>
        <v>0.97669477966101703</v>
      </c>
      <c r="AI314" s="432">
        <f t="shared" si="130"/>
        <v>862.32314400000007</v>
      </c>
      <c r="AJ314" s="432">
        <f t="shared" si="131"/>
        <v>168.2424597824658</v>
      </c>
      <c r="AK314" s="432">
        <f t="shared" si="132"/>
        <v>183.96015160103477</v>
      </c>
      <c r="AL314" s="432">
        <f t="shared" si="133"/>
        <v>365.68623630823413</v>
      </c>
      <c r="AM314" s="250">
        <v>184</v>
      </c>
      <c r="AN314" s="432">
        <f t="shared" si="134"/>
        <v>217.12</v>
      </c>
      <c r="AO314" s="432">
        <f t="shared" si="135"/>
        <v>212.05997056000001</v>
      </c>
      <c r="AP314" s="432">
        <f t="shared" si="136"/>
        <v>706.86656853333341</v>
      </c>
      <c r="AQ314" s="255">
        <v>45597</v>
      </c>
      <c r="AR314" s="13" t="s">
        <v>1361</v>
      </c>
      <c r="AS314" s="434" t="s">
        <v>1438</v>
      </c>
      <c r="AT314" s="429" t="s">
        <v>245</v>
      </c>
      <c r="AU314" s="252"/>
      <c r="AV314" s="260"/>
      <c r="AW314" s="13"/>
      <c r="AX314" s="260"/>
      <c r="AY314" s="103"/>
      <c r="AZ314" s="22"/>
      <c r="BA314" s="13"/>
      <c r="BB314" s="72"/>
      <c r="BC314" s="32"/>
      <c r="BD314" s="241"/>
      <c r="BE314" s="241"/>
      <c r="BF314" s="71"/>
      <c r="BG314" s="241"/>
      <c r="BH314" s="241"/>
      <c r="BI314" s="71"/>
      <c r="BJ314" s="114"/>
      <c r="BK314" s="111"/>
      <c r="BL314" s="112"/>
      <c r="BM314" s="111"/>
      <c r="BN314" s="123"/>
      <c r="BO314" s="83"/>
      <c r="BP314" s="88"/>
      <c r="BQ314" s="124">
        <v>48294</v>
      </c>
      <c r="BR314" s="124">
        <v>34814</v>
      </c>
      <c r="BS314" s="71"/>
      <c r="BT314" s="72">
        <f>P314-V314/10-120/10</f>
        <v>46</v>
      </c>
      <c r="BU314" s="78">
        <f>BT314-Q314</f>
        <v>16</v>
      </c>
      <c r="BV314" s="32">
        <f>T314+(O314/100*(P314-BT314))</f>
        <v>0.95840000000000003</v>
      </c>
      <c r="BW314" s="127">
        <f>(AE314-BV314)/AE314</f>
        <v>3.5426731078904997E-2</v>
      </c>
      <c r="BX314" s="78">
        <f>(PI()*((51/2)^2-(16.545/2)^2)/(BV314/10))/100</f>
        <v>190.71661793696592</v>
      </c>
      <c r="BY314" s="78">
        <f>BX314-AK314</f>
        <v>6.756466335931151</v>
      </c>
      <c r="BZ314" s="127">
        <f>BY314/AK314</f>
        <v>3.6727879799666061E-2</v>
      </c>
      <c r="CA314" s="76"/>
    </row>
    <row r="315" spans="1:79" s="72" customFormat="1">
      <c r="A315" s="13" t="s">
        <v>466</v>
      </c>
      <c r="B315" s="387" t="s">
        <v>1353</v>
      </c>
      <c r="C315" s="13" t="s">
        <v>573</v>
      </c>
      <c r="D315" s="387" t="s">
        <v>1439</v>
      </c>
      <c r="E315" s="13" t="s">
        <v>118</v>
      </c>
      <c r="F315" s="13" t="s">
        <v>119</v>
      </c>
      <c r="G315" s="13" t="s">
        <v>1440</v>
      </c>
      <c r="H315" s="13" t="s">
        <v>121</v>
      </c>
      <c r="I315" s="13" t="s">
        <v>147</v>
      </c>
      <c r="J315" s="13" t="s">
        <v>5</v>
      </c>
      <c r="K315" s="13" t="s">
        <v>123</v>
      </c>
      <c r="L315" s="13" t="s">
        <v>1441</v>
      </c>
      <c r="M315" s="13" t="s">
        <v>125</v>
      </c>
      <c r="N315" s="13" t="s">
        <v>126</v>
      </c>
      <c r="O315" s="247">
        <v>0.31</v>
      </c>
      <c r="P315" s="13">
        <v>92</v>
      </c>
      <c r="Q315" s="13">
        <v>20</v>
      </c>
      <c r="R315" s="13" t="s">
        <v>127</v>
      </c>
      <c r="S315" s="430" t="str">
        <f t="shared" si="122"/>
        <v>N/A</v>
      </c>
      <c r="T315" s="247">
        <v>0.8</v>
      </c>
      <c r="U315" s="13">
        <v>150</v>
      </c>
      <c r="V315" s="13">
        <v>550</v>
      </c>
      <c r="W315" s="430">
        <f t="shared" si="120"/>
        <v>400</v>
      </c>
      <c r="X315" s="430">
        <f t="shared" si="121"/>
        <v>170</v>
      </c>
      <c r="Y315" s="13">
        <v>150</v>
      </c>
      <c r="Z315" s="13">
        <v>550</v>
      </c>
      <c r="AA315" s="430">
        <f t="shared" si="123"/>
        <v>400</v>
      </c>
      <c r="AB315" s="430">
        <f t="shared" si="124"/>
        <v>170</v>
      </c>
      <c r="AC315" s="430" t="str">
        <f t="shared" si="125"/>
        <v>N/A</v>
      </c>
      <c r="AD315" s="430">
        <f t="shared" si="126"/>
        <v>72</v>
      </c>
      <c r="AE315" s="431">
        <f t="shared" si="127"/>
        <v>1.0232000000000001</v>
      </c>
      <c r="AF315" s="431"/>
      <c r="AG315" s="431">
        <f t="shared" si="128"/>
        <v>0.93586086956521752</v>
      </c>
      <c r="AH315" s="431">
        <f t="shared" si="129"/>
        <v>0.99201252173913057</v>
      </c>
      <c r="AI315" s="432">
        <f t="shared" si="130"/>
        <v>868.18261199999995</v>
      </c>
      <c r="AJ315" s="432">
        <f t="shared" si="131"/>
        <v>163.37539878797696</v>
      </c>
      <c r="AK315" s="432">
        <f t="shared" si="132"/>
        <v>178.63839584713463</v>
      </c>
      <c r="AL315" s="432">
        <f t="shared" si="133"/>
        <v>355.10735378798034</v>
      </c>
      <c r="AM315" s="250">
        <v>179</v>
      </c>
      <c r="AN315" s="432">
        <f t="shared" si="134"/>
        <v>164.68</v>
      </c>
      <c r="AO315" s="432">
        <f t="shared" si="135"/>
        <v>163.36462208000003</v>
      </c>
      <c r="AP315" s="432">
        <f t="shared" si="136"/>
        <v>816.82311040000013</v>
      </c>
      <c r="AQ315" s="255">
        <v>45689</v>
      </c>
      <c r="AR315" s="13" t="s">
        <v>602</v>
      </c>
      <c r="AS315" s="429" t="s">
        <v>1442</v>
      </c>
      <c r="AT315" s="13"/>
      <c r="AU315" s="252"/>
      <c r="AV315" s="260"/>
      <c r="AX315" s="243"/>
      <c r="AY315" s="103"/>
      <c r="BA315" s="13"/>
      <c r="BC315" s="32"/>
      <c r="BD315" s="241"/>
      <c r="BE315" s="241"/>
      <c r="BF315" s="71"/>
      <c r="BG315" s="241"/>
      <c r="BH315" s="241"/>
      <c r="BI315" s="71"/>
      <c r="BJ315" s="114"/>
      <c r="BK315" s="111"/>
      <c r="BL315" s="112"/>
      <c r="BM315" s="111"/>
      <c r="BN315" s="123"/>
      <c r="BO315" s="83"/>
      <c r="BP315" s="88"/>
      <c r="BQ315" s="144"/>
      <c r="BR315" s="140"/>
      <c r="BS315" s="106"/>
      <c r="BT315" s="22"/>
      <c r="BU315" s="87"/>
      <c r="BV315" s="73"/>
      <c r="BW315" s="109"/>
      <c r="BX315" s="87"/>
      <c r="BY315" s="87"/>
      <c r="BZ315" s="109"/>
      <c r="CA315" s="284"/>
    </row>
    <row r="316" spans="1:79" s="72" customFormat="1">
      <c r="A316" s="13" t="s">
        <v>466</v>
      </c>
      <c r="B316" s="387" t="s">
        <v>1353</v>
      </c>
      <c r="C316" s="13" t="s">
        <v>573</v>
      </c>
      <c r="D316" s="387" t="s">
        <v>1443</v>
      </c>
      <c r="E316" s="13" t="s">
        <v>118</v>
      </c>
      <c r="F316" s="13" t="s">
        <v>119</v>
      </c>
      <c r="G316" s="13" t="s">
        <v>1444</v>
      </c>
      <c r="H316" s="13" t="s">
        <v>121</v>
      </c>
      <c r="I316" s="13" t="s">
        <v>147</v>
      </c>
      <c r="J316" s="13" t="s">
        <v>5</v>
      </c>
      <c r="K316" s="13" t="s">
        <v>123</v>
      </c>
      <c r="L316" s="13"/>
      <c r="M316" s="13" t="s">
        <v>125</v>
      </c>
      <c r="N316" s="13" t="s">
        <v>126</v>
      </c>
      <c r="O316" s="247">
        <v>0.31</v>
      </c>
      <c r="P316" s="13">
        <v>107</v>
      </c>
      <c r="Q316" s="13">
        <v>24</v>
      </c>
      <c r="R316" s="13" t="s">
        <v>127</v>
      </c>
      <c r="S316" s="430" t="str">
        <f t="shared" si="122"/>
        <v>N/A</v>
      </c>
      <c r="T316" s="247">
        <v>0.8</v>
      </c>
      <c r="U316" s="13">
        <v>200</v>
      </c>
      <c r="V316" s="13">
        <v>700</v>
      </c>
      <c r="W316" s="430">
        <f t="shared" si="120"/>
        <v>500</v>
      </c>
      <c r="X316" s="430">
        <f t="shared" si="121"/>
        <v>130</v>
      </c>
      <c r="Y316" s="13">
        <v>200</v>
      </c>
      <c r="Z316" s="13">
        <v>700</v>
      </c>
      <c r="AA316" s="430">
        <f t="shared" si="123"/>
        <v>500</v>
      </c>
      <c r="AB316" s="430">
        <f t="shared" si="124"/>
        <v>130</v>
      </c>
      <c r="AC316" s="430" t="str">
        <f t="shared" si="125"/>
        <v>N/A</v>
      </c>
      <c r="AD316" s="430">
        <f t="shared" si="126"/>
        <v>83</v>
      </c>
      <c r="AE316" s="431">
        <f t="shared" si="127"/>
        <v>1.0573000000000001</v>
      </c>
      <c r="AF316" s="431"/>
      <c r="AG316" s="431">
        <f t="shared" si="128"/>
        <v>0.95750607476635519</v>
      </c>
      <c r="AH316" s="431">
        <f t="shared" si="129"/>
        <v>1.0149564392523365</v>
      </c>
      <c r="AI316" s="432">
        <f t="shared" si="130"/>
        <v>868.18261199999995</v>
      </c>
      <c r="AJ316" s="432">
        <f t="shared" si="131"/>
        <v>158.10622154531163</v>
      </c>
      <c r="AK316" s="432">
        <f t="shared" si="132"/>
        <v>172.87695699497601</v>
      </c>
      <c r="AL316" s="432">
        <f t="shared" si="133"/>
        <v>343.65444471376281</v>
      </c>
      <c r="AM316" s="250">
        <v>173</v>
      </c>
      <c r="AN316" s="432">
        <f t="shared" si="134"/>
        <v>185.11</v>
      </c>
      <c r="AO316" s="432">
        <f t="shared" si="135"/>
        <v>187.87858647000002</v>
      </c>
      <c r="AP316" s="432">
        <f t="shared" si="136"/>
        <v>782.82744362500011</v>
      </c>
      <c r="AQ316" s="255"/>
      <c r="AR316" s="13"/>
      <c r="AS316" s="429" t="s">
        <v>1445</v>
      </c>
      <c r="AT316" s="13"/>
      <c r="AU316" s="252"/>
      <c r="AV316" s="260"/>
      <c r="AX316" s="243"/>
      <c r="AY316" s="103"/>
      <c r="BA316" s="13"/>
      <c r="BC316" s="32"/>
      <c r="BD316" s="241"/>
      <c r="BE316" s="241"/>
      <c r="BF316" s="71"/>
      <c r="BG316" s="241"/>
      <c r="BH316" s="241"/>
      <c r="BI316" s="71"/>
      <c r="BJ316" s="114"/>
      <c r="BK316" s="111"/>
      <c r="BL316" s="112"/>
      <c r="BM316" s="111"/>
      <c r="BN316" s="123"/>
      <c r="BO316" s="83"/>
      <c r="BP316" s="88"/>
      <c r="BQ316" s="144"/>
      <c r="BR316" s="140"/>
      <c r="BS316" s="106"/>
      <c r="BT316" s="22"/>
      <c r="BU316" s="87"/>
      <c r="BV316" s="73"/>
      <c r="BW316" s="109"/>
      <c r="BX316" s="87"/>
      <c r="BY316" s="87"/>
      <c r="BZ316" s="109"/>
      <c r="CA316" s="284"/>
    </row>
    <row r="317" spans="1:79" s="77" customFormat="1">
      <c r="A317" s="13" t="s">
        <v>466</v>
      </c>
      <c r="B317" s="387" t="s">
        <v>1353</v>
      </c>
      <c r="C317" s="13" t="s">
        <v>573</v>
      </c>
      <c r="D317" s="387" t="s">
        <v>1446</v>
      </c>
      <c r="E317" s="13" t="s">
        <v>118</v>
      </c>
      <c r="F317" s="13" t="s">
        <v>119</v>
      </c>
      <c r="G317" s="13" t="s">
        <v>1447</v>
      </c>
      <c r="H317" s="13" t="s">
        <v>121</v>
      </c>
      <c r="I317" s="13" t="s">
        <v>147</v>
      </c>
      <c r="J317" s="13" t="s">
        <v>5</v>
      </c>
      <c r="K317" s="13" t="s">
        <v>123</v>
      </c>
      <c r="L317" s="13" t="s">
        <v>1448</v>
      </c>
      <c r="M317" s="13" t="s">
        <v>125</v>
      </c>
      <c r="N317" s="13" t="s">
        <v>126</v>
      </c>
      <c r="O317" s="247">
        <v>0.32</v>
      </c>
      <c r="P317" s="13">
        <v>114</v>
      </c>
      <c r="Q317" s="13">
        <v>30</v>
      </c>
      <c r="R317" s="13" t="s">
        <v>127</v>
      </c>
      <c r="S317" s="430" t="str">
        <f t="shared" si="122"/>
        <v>N/A</v>
      </c>
      <c r="T317" s="247">
        <v>0.8</v>
      </c>
      <c r="U317" s="13">
        <v>250</v>
      </c>
      <c r="V317" s="13">
        <v>700</v>
      </c>
      <c r="W317" s="430">
        <f t="shared" si="120"/>
        <v>450</v>
      </c>
      <c r="X317" s="430">
        <f t="shared" si="121"/>
        <v>140</v>
      </c>
      <c r="Y317" s="13">
        <v>250</v>
      </c>
      <c r="Z317" s="13">
        <v>700</v>
      </c>
      <c r="AA317" s="430">
        <f t="shared" si="123"/>
        <v>450</v>
      </c>
      <c r="AB317" s="430">
        <f t="shared" si="124"/>
        <v>140</v>
      </c>
      <c r="AC317" s="430" t="str">
        <f t="shared" si="125"/>
        <v>N/A</v>
      </c>
      <c r="AD317" s="430">
        <f t="shared" si="126"/>
        <v>84</v>
      </c>
      <c r="AE317" s="431">
        <f t="shared" si="127"/>
        <v>1.0688</v>
      </c>
      <c r="AF317" s="431"/>
      <c r="AG317" s="431">
        <f t="shared" si="128"/>
        <v>0.9697684210526315</v>
      </c>
      <c r="AH317" s="431">
        <f t="shared" si="129"/>
        <v>1.0279545263157894</v>
      </c>
      <c r="AI317" s="432">
        <f t="shared" si="130"/>
        <v>868.833664</v>
      </c>
      <c r="AJ317" s="432">
        <f t="shared" si="131"/>
        <v>156.40504120495697</v>
      </c>
      <c r="AK317" s="432">
        <f t="shared" si="132"/>
        <v>171.01684752132124</v>
      </c>
      <c r="AL317" s="432">
        <f t="shared" si="133"/>
        <v>339.95681549013983</v>
      </c>
      <c r="AM317" s="250">
        <v>171</v>
      </c>
      <c r="AN317" s="432">
        <f t="shared" si="134"/>
        <v>194.94</v>
      </c>
      <c r="AO317" s="432">
        <f t="shared" si="135"/>
        <v>200.38945536</v>
      </c>
      <c r="AP317" s="432">
        <f t="shared" si="136"/>
        <v>667.9648512</v>
      </c>
      <c r="AQ317" s="255" t="s">
        <v>132</v>
      </c>
      <c r="AR317" s="13" t="s">
        <v>1419</v>
      </c>
      <c r="AS317" s="434" t="s">
        <v>1449</v>
      </c>
      <c r="AT317" s="429"/>
      <c r="AU317" s="252"/>
      <c r="AV317" s="260"/>
      <c r="AW317" s="13"/>
      <c r="AX317" s="260"/>
      <c r="AY317" s="103"/>
      <c r="AZ317" s="22"/>
      <c r="BA317" s="13"/>
      <c r="BB317" s="72"/>
      <c r="BC317" s="32"/>
      <c r="BD317" s="241"/>
      <c r="BE317" s="241"/>
      <c r="BF317" s="71"/>
      <c r="BG317" s="241"/>
      <c r="BH317" s="241"/>
      <c r="BI317" s="71"/>
      <c r="BJ317" s="114"/>
      <c r="BK317" s="111"/>
      <c r="BL317" s="112"/>
      <c r="BM317" s="111"/>
      <c r="BN317" s="123"/>
      <c r="BO317" s="83"/>
      <c r="BP317" s="88"/>
      <c r="BQ317" s="166"/>
      <c r="BR317" s="140"/>
      <c r="BS317" s="100"/>
      <c r="BT317" s="72"/>
      <c r="BU317" s="78"/>
      <c r="BV317" s="32"/>
      <c r="BW317" s="127"/>
      <c r="BX317" s="78"/>
      <c r="BY317" s="78"/>
      <c r="BZ317" s="127"/>
      <c r="CA317" s="76"/>
    </row>
    <row r="318" spans="1:79" s="77" customFormat="1">
      <c r="A318" s="13" t="s">
        <v>466</v>
      </c>
      <c r="B318" s="387" t="s">
        <v>1353</v>
      </c>
      <c r="C318" s="13" t="s">
        <v>573</v>
      </c>
      <c r="D318" s="387" t="s">
        <v>1450</v>
      </c>
      <c r="E318" s="13" t="s">
        <v>118</v>
      </c>
      <c r="F318" s="13" t="s">
        <v>119</v>
      </c>
      <c r="G318" s="13" t="s">
        <v>1451</v>
      </c>
      <c r="H318" s="13" t="s">
        <v>121</v>
      </c>
      <c r="I318" s="13" t="s">
        <v>147</v>
      </c>
      <c r="J318" s="13" t="s">
        <v>5</v>
      </c>
      <c r="K318" s="13" t="s">
        <v>123</v>
      </c>
      <c r="L318" s="13"/>
      <c r="M318" s="13" t="s">
        <v>125</v>
      </c>
      <c r="N318" s="13" t="s">
        <v>126</v>
      </c>
      <c r="O318" s="247">
        <v>0.24</v>
      </c>
      <c r="P318" s="13">
        <v>90</v>
      </c>
      <c r="Q318" s="13">
        <v>17</v>
      </c>
      <c r="R318" s="13" t="s">
        <v>127</v>
      </c>
      <c r="S318" s="430" t="str">
        <f t="shared" si="122"/>
        <v>N/A</v>
      </c>
      <c r="T318" s="247">
        <v>0.8</v>
      </c>
      <c r="U318" s="13">
        <v>100</v>
      </c>
      <c r="V318" s="13">
        <v>600</v>
      </c>
      <c r="W318" s="430">
        <f t="shared" si="120"/>
        <v>500</v>
      </c>
      <c r="X318" s="430">
        <f t="shared" si="121"/>
        <v>130</v>
      </c>
      <c r="Y318" s="13">
        <v>100</v>
      </c>
      <c r="Z318" s="13">
        <v>600</v>
      </c>
      <c r="AA318" s="430">
        <f t="shared" si="123"/>
        <v>500</v>
      </c>
      <c r="AB318" s="430">
        <f t="shared" si="124"/>
        <v>130</v>
      </c>
      <c r="AC318" s="430" t="str">
        <f t="shared" si="125"/>
        <v>N/A</v>
      </c>
      <c r="AD318" s="430">
        <f t="shared" si="126"/>
        <v>73</v>
      </c>
      <c r="AE318" s="431">
        <f t="shared" si="127"/>
        <v>0.97520000000000007</v>
      </c>
      <c r="AF318" s="431"/>
      <c r="AG318" s="431">
        <f t="shared" si="128"/>
        <v>0.90414666666666677</v>
      </c>
      <c r="AH318" s="431">
        <f t="shared" si="129"/>
        <v>0.95839546666666675</v>
      </c>
      <c r="AI318" s="432">
        <f t="shared" si="130"/>
        <v>863.62524800000006</v>
      </c>
      <c r="AJ318" s="432">
        <f t="shared" si="131"/>
        <v>171.41684581609724</v>
      </c>
      <c r="AK318" s="432">
        <f t="shared" si="132"/>
        <v>187.43109785765807</v>
      </c>
      <c r="AL318" s="432">
        <f t="shared" si="133"/>
        <v>372.58597661593666</v>
      </c>
      <c r="AM318" s="250">
        <v>187</v>
      </c>
      <c r="AN318" s="432">
        <f t="shared" si="134"/>
        <v>168.3</v>
      </c>
      <c r="AO318" s="432">
        <f t="shared" si="135"/>
        <v>161.29795704000003</v>
      </c>
      <c r="AP318" s="432">
        <f t="shared" si="136"/>
        <v>948.81151200000011</v>
      </c>
      <c r="AQ318" s="255"/>
      <c r="AR318" s="13"/>
      <c r="AS318" s="434"/>
      <c r="AT318" s="429"/>
      <c r="AU318" s="252"/>
      <c r="AV318" s="260"/>
      <c r="AW318" s="13"/>
      <c r="AX318" s="260"/>
      <c r="AY318" s="103"/>
      <c r="AZ318" s="22"/>
      <c r="BA318" s="13"/>
      <c r="BB318" s="72"/>
      <c r="BC318" s="32"/>
      <c r="BD318" s="241"/>
      <c r="BE318" s="241"/>
      <c r="BF318" s="71"/>
      <c r="BG318" s="241"/>
      <c r="BH318" s="241"/>
      <c r="BI318" s="71"/>
      <c r="BJ318" s="114"/>
      <c r="BK318" s="111"/>
      <c r="BL318" s="112"/>
      <c r="BM318" s="111"/>
      <c r="BN318" s="123"/>
      <c r="BO318" s="83"/>
      <c r="BP318" s="88"/>
      <c r="BQ318" s="166"/>
      <c r="BR318" s="140"/>
      <c r="BS318" s="100"/>
      <c r="BT318" s="72"/>
      <c r="BU318" s="78"/>
      <c r="BV318" s="32"/>
      <c r="BW318" s="127"/>
      <c r="BX318" s="78"/>
      <c r="BY318" s="78"/>
      <c r="BZ318" s="127"/>
      <c r="CA318" s="76"/>
    </row>
    <row r="319" spans="1:79" s="72" customFormat="1">
      <c r="A319" s="13" t="s">
        <v>466</v>
      </c>
      <c r="B319" s="387" t="s">
        <v>1353</v>
      </c>
      <c r="C319" s="13" t="s">
        <v>573</v>
      </c>
      <c r="D319" s="387" t="s">
        <v>1452</v>
      </c>
      <c r="E319" s="13" t="s">
        <v>118</v>
      </c>
      <c r="F319" s="13" t="s">
        <v>119</v>
      </c>
      <c r="G319" s="13" t="s">
        <v>1453</v>
      </c>
      <c r="H319" s="13" t="s">
        <v>121</v>
      </c>
      <c r="I319" s="13" t="s">
        <v>147</v>
      </c>
      <c r="J319" s="13" t="s">
        <v>5</v>
      </c>
      <c r="K319" s="13" t="s">
        <v>123</v>
      </c>
      <c r="L319" s="13" t="s">
        <v>1454</v>
      </c>
      <c r="M319" s="13" t="s">
        <v>125</v>
      </c>
      <c r="N319" s="13" t="s">
        <v>126</v>
      </c>
      <c r="O319" s="247">
        <v>0.55000000000000004</v>
      </c>
      <c r="P319" s="13">
        <v>90</v>
      </c>
      <c r="Q319" s="13">
        <v>20</v>
      </c>
      <c r="R319" s="13" t="s">
        <v>127</v>
      </c>
      <c r="S319" s="430" t="str">
        <f t="shared" si="122"/>
        <v>N/A</v>
      </c>
      <c r="T319" s="247">
        <v>0.8</v>
      </c>
      <c r="U319" s="13">
        <v>150</v>
      </c>
      <c r="V319" s="13">
        <v>550</v>
      </c>
      <c r="W319" s="430">
        <f t="shared" si="120"/>
        <v>400</v>
      </c>
      <c r="X319" s="430">
        <f t="shared" si="121"/>
        <v>150</v>
      </c>
      <c r="Y319" s="13">
        <v>150</v>
      </c>
      <c r="Z319" s="13">
        <v>550</v>
      </c>
      <c r="AA319" s="430">
        <f t="shared" si="123"/>
        <v>400</v>
      </c>
      <c r="AB319" s="430">
        <f t="shared" si="124"/>
        <v>150</v>
      </c>
      <c r="AC319" s="430" t="str">
        <f t="shared" si="125"/>
        <v>N/A</v>
      </c>
      <c r="AD319" s="430">
        <f t="shared" si="126"/>
        <v>70</v>
      </c>
      <c r="AE319" s="431">
        <f t="shared" si="127"/>
        <v>1.1850000000000001</v>
      </c>
      <c r="AF319" s="431"/>
      <c r="AG319" s="431">
        <f t="shared" si="128"/>
        <v>1.035277777777778</v>
      </c>
      <c r="AH319" s="431">
        <f t="shared" si="129"/>
        <v>1.0973944444444446</v>
      </c>
      <c r="AI319" s="432">
        <f t="shared" si="130"/>
        <v>883.80786000000012</v>
      </c>
      <c r="AJ319" s="432">
        <f t="shared" si="131"/>
        <v>141.0681080505131</v>
      </c>
      <c r="AK319" s="432">
        <f t="shared" si="132"/>
        <v>154.24709420319675</v>
      </c>
      <c r="AL319" s="432">
        <f t="shared" si="133"/>
        <v>306.62096573490419</v>
      </c>
      <c r="AM319" s="250">
        <v>154</v>
      </c>
      <c r="AN319" s="432">
        <f t="shared" si="134"/>
        <v>138.6</v>
      </c>
      <c r="AO319" s="432">
        <f t="shared" si="135"/>
        <v>152.09887000000001</v>
      </c>
      <c r="AP319" s="432">
        <f t="shared" si="136"/>
        <v>760.49434999999994</v>
      </c>
      <c r="AQ319" s="255">
        <v>45689</v>
      </c>
      <c r="AR319" s="13" t="s">
        <v>1419</v>
      </c>
      <c r="AS319" s="429" t="s">
        <v>1455</v>
      </c>
      <c r="AT319" s="13"/>
      <c r="AU319" s="252"/>
      <c r="AV319" s="260"/>
      <c r="AX319" s="243"/>
      <c r="AY319" s="103"/>
      <c r="BA319" s="13"/>
      <c r="BC319" s="32"/>
      <c r="BD319" s="241"/>
      <c r="BE319" s="241"/>
      <c r="BF319" s="71"/>
      <c r="BG319" s="241"/>
      <c r="BH319" s="241"/>
      <c r="BI319" s="71"/>
      <c r="BJ319" s="114"/>
      <c r="BK319" s="111"/>
      <c r="BL319" s="112"/>
      <c r="BM319" s="111"/>
      <c r="BN319" s="123"/>
      <c r="BO319" s="83"/>
      <c r="BP319" s="88"/>
      <c r="BQ319" s="142"/>
      <c r="BR319" s="71"/>
      <c r="BS319" s="71"/>
      <c r="BT319" s="13">
        <f>P319-V319/10-120/10</f>
        <v>23</v>
      </c>
      <c r="BU319" s="79">
        <f>BT319-Q319</f>
        <v>3</v>
      </c>
      <c r="BV319" s="29">
        <f>T319+(O319/100*(P319-BT319))</f>
        <v>1.1685000000000001</v>
      </c>
      <c r="BW319" s="86">
        <f>(AE319-BV319)/AE319</f>
        <v>1.3924050632911357E-2</v>
      </c>
      <c r="BX319" s="79">
        <f>(PI()*((51/2)^2-(16.545/2)^2)/(BV319/10))/100</f>
        <v>156.42516613674638</v>
      </c>
      <c r="BY319" s="79">
        <f>BX319-AK319</f>
        <v>2.1780719335496315</v>
      </c>
      <c r="BZ319" s="86">
        <f>BY319/AK319</f>
        <v>1.4120667522464688E-2</v>
      </c>
      <c r="CA319" s="76"/>
    </row>
    <row r="320" spans="1:79" s="72" customFormat="1">
      <c r="A320" s="13" t="s">
        <v>466</v>
      </c>
      <c r="B320" s="387" t="s">
        <v>1353</v>
      </c>
      <c r="C320" s="13" t="s">
        <v>573</v>
      </c>
      <c r="D320" s="387" t="s">
        <v>1452</v>
      </c>
      <c r="E320" s="13" t="s">
        <v>118</v>
      </c>
      <c r="F320" s="13" t="s">
        <v>119</v>
      </c>
      <c r="G320" s="13" t="s">
        <v>1456</v>
      </c>
      <c r="H320" s="13" t="s">
        <v>121</v>
      </c>
      <c r="I320" s="13" t="s">
        <v>147</v>
      </c>
      <c r="J320" s="13" t="s">
        <v>5</v>
      </c>
      <c r="K320" s="13" t="s">
        <v>123</v>
      </c>
      <c r="L320" s="13"/>
      <c r="M320" s="13" t="s">
        <v>125</v>
      </c>
      <c r="N320" s="13" t="s">
        <v>126</v>
      </c>
      <c r="O320" s="247">
        <v>0.47</v>
      </c>
      <c r="P320" s="13">
        <v>97</v>
      </c>
      <c r="Q320" s="13">
        <v>24</v>
      </c>
      <c r="R320" s="13" t="s">
        <v>127</v>
      </c>
      <c r="S320" s="430" t="str">
        <f t="shared" si="122"/>
        <v>N/A</v>
      </c>
      <c r="T320" s="247">
        <v>0.8</v>
      </c>
      <c r="U320" s="13">
        <v>150</v>
      </c>
      <c r="V320" s="13">
        <v>600</v>
      </c>
      <c r="W320" s="430">
        <f t="shared" si="120"/>
        <v>450</v>
      </c>
      <c r="X320" s="430">
        <f t="shared" si="121"/>
        <v>130</v>
      </c>
      <c r="Y320" s="13">
        <v>150</v>
      </c>
      <c r="Z320" s="13">
        <v>600</v>
      </c>
      <c r="AA320" s="430">
        <f t="shared" si="123"/>
        <v>450</v>
      </c>
      <c r="AB320" s="430">
        <f t="shared" si="124"/>
        <v>130</v>
      </c>
      <c r="AC320" s="430" t="str">
        <f t="shared" si="125"/>
        <v>N/A</v>
      </c>
      <c r="AD320" s="430">
        <f t="shared" si="126"/>
        <v>73</v>
      </c>
      <c r="AE320" s="431">
        <f t="shared" si="127"/>
        <v>1.1431</v>
      </c>
      <c r="AF320" s="431"/>
      <c r="AG320" s="431">
        <f t="shared" si="128"/>
        <v>1.0139953608247423</v>
      </c>
      <c r="AH320" s="431">
        <f t="shared" si="129"/>
        <v>1.0748350824742268</v>
      </c>
      <c r="AI320" s="432">
        <f t="shared" si="130"/>
        <v>878.59944400000006</v>
      </c>
      <c r="AJ320" s="432">
        <f t="shared" si="131"/>
        <v>146.2389187646383</v>
      </c>
      <c r="AK320" s="432">
        <f t="shared" si="132"/>
        <v>159.90097684436023</v>
      </c>
      <c r="AL320" s="432">
        <f t="shared" si="133"/>
        <v>317.86006858180519</v>
      </c>
      <c r="AM320" s="250">
        <v>160</v>
      </c>
      <c r="AN320" s="432">
        <f t="shared" si="134"/>
        <v>155.19999999999999</v>
      </c>
      <c r="AO320" s="432">
        <f t="shared" si="135"/>
        <v>166.81440479999998</v>
      </c>
      <c r="AP320" s="432">
        <f t="shared" si="136"/>
        <v>695.06001999999989</v>
      </c>
      <c r="AQ320" s="255"/>
      <c r="AR320" s="13"/>
      <c r="AS320" s="429"/>
      <c r="AT320" s="13"/>
      <c r="AU320" s="252"/>
      <c r="AV320" s="260"/>
      <c r="AX320" s="243"/>
      <c r="AY320" s="103"/>
      <c r="BA320" s="13"/>
      <c r="BC320" s="32"/>
      <c r="BD320" s="241"/>
      <c r="BE320" s="241"/>
      <c r="BF320" s="71"/>
      <c r="BG320" s="241"/>
      <c r="BH320" s="241"/>
      <c r="BI320" s="71"/>
      <c r="BJ320" s="114"/>
      <c r="BK320" s="111"/>
      <c r="BL320" s="112"/>
      <c r="BM320" s="111"/>
      <c r="BN320" s="123"/>
      <c r="BO320" s="83"/>
      <c r="BP320" s="88"/>
      <c r="BQ320" s="142"/>
      <c r="BR320" s="71"/>
      <c r="BS320" s="71"/>
      <c r="BT320" s="13"/>
      <c r="BU320" s="79"/>
      <c r="BV320" s="29"/>
      <c r="BW320" s="86"/>
      <c r="BX320" s="79"/>
      <c r="BY320" s="79"/>
      <c r="BZ320" s="86"/>
      <c r="CA320" s="76"/>
    </row>
    <row r="321" spans="1:79" s="72" customFormat="1">
      <c r="A321" s="13" t="s">
        <v>466</v>
      </c>
      <c r="B321" s="387" t="s">
        <v>1353</v>
      </c>
      <c r="C321" s="13" t="s">
        <v>357</v>
      </c>
      <c r="D321" s="387" t="s">
        <v>1457</v>
      </c>
      <c r="E321" s="13" t="s">
        <v>118</v>
      </c>
      <c r="F321" s="13" t="s">
        <v>119</v>
      </c>
      <c r="G321" s="13" t="s">
        <v>1458</v>
      </c>
      <c r="H321" s="13" t="s">
        <v>121</v>
      </c>
      <c r="I321" s="13" t="s">
        <v>147</v>
      </c>
      <c r="J321" s="13" t="s">
        <v>5</v>
      </c>
      <c r="K321" s="13" t="s">
        <v>123</v>
      </c>
      <c r="L321" s="13" t="s">
        <v>1459</v>
      </c>
      <c r="M321" s="13" t="s">
        <v>125</v>
      </c>
      <c r="N321" s="13" t="s">
        <v>126</v>
      </c>
      <c r="O321" s="247">
        <v>0.32</v>
      </c>
      <c r="P321" s="13">
        <v>101</v>
      </c>
      <c r="Q321" s="13">
        <v>30</v>
      </c>
      <c r="R321" s="13" t="s">
        <v>127</v>
      </c>
      <c r="S321" s="430" t="str">
        <f t="shared" si="122"/>
        <v>N/A</v>
      </c>
      <c r="T321" s="247">
        <v>0.8</v>
      </c>
      <c r="U321" s="13">
        <v>150</v>
      </c>
      <c r="V321" s="13">
        <v>550</v>
      </c>
      <c r="W321" s="430">
        <f t="shared" si="120"/>
        <v>400</v>
      </c>
      <c r="X321" s="430">
        <f t="shared" si="121"/>
        <v>160</v>
      </c>
      <c r="Y321" s="13">
        <v>150</v>
      </c>
      <c r="Z321" s="13">
        <v>550</v>
      </c>
      <c r="AA321" s="430">
        <f t="shared" si="123"/>
        <v>400</v>
      </c>
      <c r="AB321" s="430">
        <f t="shared" si="124"/>
        <v>160</v>
      </c>
      <c r="AC321" s="430" t="str">
        <f t="shared" si="125"/>
        <v>N/A</v>
      </c>
      <c r="AD321" s="430">
        <f t="shared" si="126"/>
        <v>71</v>
      </c>
      <c r="AE321" s="431">
        <f t="shared" si="127"/>
        <v>1.0272000000000001</v>
      </c>
      <c r="AF321" s="431"/>
      <c r="AG321" s="431">
        <f t="shared" si="128"/>
        <v>0.94734257425742574</v>
      </c>
      <c r="AH321" s="431">
        <f t="shared" si="129"/>
        <v>1.0041831287128713</v>
      </c>
      <c r="AI321" s="432">
        <f t="shared" si="130"/>
        <v>868.833664</v>
      </c>
      <c r="AJ321" s="432">
        <f t="shared" si="131"/>
        <v>162.73920175219823</v>
      </c>
      <c r="AK321" s="432">
        <f t="shared" si="132"/>
        <v>177.94276346455234</v>
      </c>
      <c r="AL321" s="432">
        <f t="shared" si="133"/>
        <v>353.7245369897405</v>
      </c>
      <c r="AM321" s="250">
        <v>178</v>
      </c>
      <c r="AN321" s="432">
        <f t="shared" si="134"/>
        <v>179.78</v>
      </c>
      <c r="AO321" s="432">
        <f t="shared" si="135"/>
        <v>180.53204288000001</v>
      </c>
      <c r="AP321" s="432">
        <f t="shared" si="136"/>
        <v>601.77347626666676</v>
      </c>
      <c r="AQ321" s="255">
        <v>45597</v>
      </c>
      <c r="AR321" s="13" t="s">
        <v>1361</v>
      </c>
      <c r="AS321" s="434" t="s">
        <v>1460</v>
      </c>
      <c r="AT321" s="429" t="s">
        <v>245</v>
      </c>
      <c r="AU321" s="252"/>
      <c r="AV321" s="260"/>
      <c r="AW321" s="13"/>
      <c r="AX321" s="260"/>
      <c r="AY321" s="103"/>
      <c r="AZ321" s="22"/>
      <c r="BA321" s="13"/>
      <c r="BC321" s="32"/>
      <c r="BD321" s="241"/>
      <c r="BE321" s="241"/>
      <c r="BF321" s="71"/>
      <c r="BG321" s="241"/>
      <c r="BH321" s="241"/>
      <c r="BI321" s="71"/>
      <c r="BJ321" s="114"/>
      <c r="BK321" s="111"/>
      <c r="BL321" s="112"/>
      <c r="BM321" s="111"/>
      <c r="BN321" s="123"/>
      <c r="BO321" s="83"/>
      <c r="BP321" s="88"/>
      <c r="BQ321" s="115"/>
      <c r="BR321" s="113"/>
      <c r="BS321" s="80"/>
      <c r="BT321" s="22"/>
      <c r="BU321" s="87"/>
      <c r="BV321" s="73"/>
      <c r="BW321" s="109"/>
      <c r="BX321" s="87"/>
      <c r="BY321" s="87"/>
      <c r="BZ321" s="109"/>
      <c r="CA321" s="76"/>
    </row>
    <row r="322" spans="1:79" s="22" customFormat="1">
      <c r="A322" s="13" t="s">
        <v>466</v>
      </c>
      <c r="B322" s="13" t="s">
        <v>1353</v>
      </c>
      <c r="C322" s="13" t="s">
        <v>357</v>
      </c>
      <c r="D322" s="387" t="s">
        <v>1457</v>
      </c>
      <c r="E322" s="13" t="s">
        <v>118</v>
      </c>
      <c r="F322" s="13" t="s">
        <v>167</v>
      </c>
      <c r="G322" s="13" t="s">
        <v>1461</v>
      </c>
      <c r="H322" s="13" t="s">
        <v>121</v>
      </c>
      <c r="I322" s="13" t="s">
        <v>147</v>
      </c>
      <c r="J322" s="13" t="s">
        <v>5</v>
      </c>
      <c r="K322" s="13" t="s">
        <v>123</v>
      </c>
      <c r="L322" s="13" t="s">
        <v>1462</v>
      </c>
      <c r="M322" s="13" t="s">
        <v>125</v>
      </c>
      <c r="N322" s="13" t="s">
        <v>126</v>
      </c>
      <c r="O322" s="247">
        <v>0.38</v>
      </c>
      <c r="P322" s="13">
        <v>94</v>
      </c>
      <c r="Q322" s="13">
        <v>25</v>
      </c>
      <c r="R322" s="13" t="s">
        <v>127</v>
      </c>
      <c r="S322" s="430" t="str">
        <f t="shared" si="122"/>
        <v>N/A</v>
      </c>
      <c r="T322" s="247">
        <v>0.8</v>
      </c>
      <c r="U322" s="13">
        <v>150</v>
      </c>
      <c r="V322" s="13">
        <v>550</v>
      </c>
      <c r="W322" s="430">
        <f t="shared" si="120"/>
        <v>400</v>
      </c>
      <c r="X322" s="430">
        <f t="shared" si="121"/>
        <v>140</v>
      </c>
      <c r="Y322" s="13">
        <v>150</v>
      </c>
      <c r="Z322" s="13">
        <v>550</v>
      </c>
      <c r="AA322" s="430">
        <f t="shared" si="123"/>
        <v>400</v>
      </c>
      <c r="AB322" s="430">
        <f t="shared" si="124"/>
        <v>140</v>
      </c>
      <c r="AC322" s="430" t="str">
        <f t="shared" si="125"/>
        <v>N/A</v>
      </c>
      <c r="AD322" s="430">
        <f t="shared" si="126"/>
        <v>69</v>
      </c>
      <c r="AE322" s="431">
        <f t="shared" si="127"/>
        <v>1.0622</v>
      </c>
      <c r="AF322" s="431"/>
      <c r="AG322" s="431">
        <f t="shared" si="128"/>
        <v>0.96596702127659584</v>
      </c>
      <c r="AH322" s="431">
        <f t="shared" si="129"/>
        <v>1.0239250425531916</v>
      </c>
      <c r="AI322" s="432">
        <f t="shared" si="130"/>
        <v>872.73997600000007</v>
      </c>
      <c r="AJ322" s="432">
        <f t="shared" si="131"/>
        <v>157.37686691758429</v>
      </c>
      <c r="AK322" s="432">
        <f t="shared" si="132"/>
        <v>172.07946397174558</v>
      </c>
      <c r="AL322" s="432">
        <f t="shared" si="133"/>
        <v>342.06914366019714</v>
      </c>
      <c r="AM322" s="250">
        <v>172</v>
      </c>
      <c r="AN322" s="432">
        <f t="shared" si="134"/>
        <v>161.68</v>
      </c>
      <c r="AO322" s="432">
        <f t="shared" si="135"/>
        <v>165.54820088000002</v>
      </c>
      <c r="AP322" s="432">
        <f t="shared" si="136"/>
        <v>662.1928035200001</v>
      </c>
      <c r="AQ322" s="255">
        <v>45292</v>
      </c>
      <c r="AR322" s="13" t="s">
        <v>1463</v>
      </c>
      <c r="AS322" s="429" t="s">
        <v>1464</v>
      </c>
      <c r="AT322" s="429" t="s">
        <v>1465</v>
      </c>
      <c r="AU322" s="241"/>
      <c r="AV322" s="243"/>
      <c r="AW322" s="72"/>
      <c r="AX322" s="243"/>
      <c r="AY322" s="71">
        <f>(V322/10)/P322</f>
        <v>0.58510638297872342</v>
      </c>
      <c r="AZ322" s="72"/>
      <c r="BA322" s="72" t="str">
        <f>LEFT(G322,3)</f>
        <v>W22</v>
      </c>
      <c r="BB322" s="72"/>
      <c r="BC322" s="32"/>
      <c r="BD322" s="241"/>
      <c r="BE322" s="241"/>
      <c r="BF322" s="71"/>
      <c r="BG322" s="241"/>
      <c r="BH322" s="241"/>
      <c r="BI322" s="71"/>
      <c r="BJ322" s="123"/>
      <c r="BK322" s="123"/>
      <c r="BL322" s="126"/>
      <c r="BM322" s="123"/>
      <c r="BN322" s="123"/>
      <c r="BO322" s="108"/>
      <c r="BP322" s="108"/>
      <c r="BQ322" s="108"/>
      <c r="BR322" s="71"/>
      <c r="BS322" s="71"/>
      <c r="BT322" s="72"/>
      <c r="BU322" s="78"/>
      <c r="BV322" s="32"/>
      <c r="BW322" s="127"/>
      <c r="BX322" s="78"/>
      <c r="BY322" s="78"/>
      <c r="BZ322" s="127"/>
      <c r="CA322" s="76"/>
    </row>
    <row r="323" spans="1:79" s="22" customFormat="1">
      <c r="A323" s="13" t="s">
        <v>466</v>
      </c>
      <c r="B323" s="13" t="s">
        <v>1353</v>
      </c>
      <c r="C323" s="13" t="s">
        <v>357</v>
      </c>
      <c r="D323" s="387" t="s">
        <v>1457</v>
      </c>
      <c r="E323" s="13" t="s">
        <v>118</v>
      </c>
      <c r="F323" s="13" t="s">
        <v>186</v>
      </c>
      <c r="G323" s="13" t="s">
        <v>1466</v>
      </c>
      <c r="H323" s="13" t="s">
        <v>121</v>
      </c>
      <c r="I323" s="13" t="s">
        <v>147</v>
      </c>
      <c r="J323" s="13" t="s">
        <v>5</v>
      </c>
      <c r="K323" s="13" t="s">
        <v>123</v>
      </c>
      <c r="L323" s="13" t="s">
        <v>1467</v>
      </c>
      <c r="M323" s="13" t="s">
        <v>125</v>
      </c>
      <c r="N323" s="13" t="s">
        <v>126</v>
      </c>
      <c r="O323" s="247">
        <v>0.4</v>
      </c>
      <c r="P323" s="13">
        <v>94</v>
      </c>
      <c r="Q323" s="13">
        <v>25</v>
      </c>
      <c r="R323" s="13" t="s">
        <v>127</v>
      </c>
      <c r="S323" s="430" t="str">
        <f t="shared" si="122"/>
        <v>N/A</v>
      </c>
      <c r="T323" s="247">
        <v>0.8</v>
      </c>
      <c r="U323" s="13">
        <v>150</v>
      </c>
      <c r="V323" s="13">
        <v>550</v>
      </c>
      <c r="W323" s="430">
        <f t="shared" si="120"/>
        <v>400</v>
      </c>
      <c r="X323" s="430">
        <f t="shared" si="121"/>
        <v>140</v>
      </c>
      <c r="Y323" s="13">
        <v>150</v>
      </c>
      <c r="Z323" s="13">
        <v>550</v>
      </c>
      <c r="AA323" s="430">
        <f t="shared" si="123"/>
        <v>400</v>
      </c>
      <c r="AB323" s="430">
        <f t="shared" si="124"/>
        <v>140</v>
      </c>
      <c r="AC323" s="430" t="str">
        <f t="shared" si="125"/>
        <v>N/A</v>
      </c>
      <c r="AD323" s="430">
        <f t="shared" si="126"/>
        <v>69</v>
      </c>
      <c r="AE323" s="431">
        <f t="shared" si="127"/>
        <v>1.0760000000000001</v>
      </c>
      <c r="AF323" s="431"/>
      <c r="AG323" s="431">
        <f t="shared" si="128"/>
        <v>0.97470212765957465</v>
      </c>
      <c r="AH323" s="431">
        <f t="shared" si="129"/>
        <v>1.0331842553191493</v>
      </c>
      <c r="AI323" s="432">
        <f t="shared" si="130"/>
        <v>874.04208000000006</v>
      </c>
      <c r="AJ323" s="432">
        <f t="shared" si="131"/>
        <v>155.35846472105766</v>
      </c>
      <c r="AK323" s="432">
        <f t="shared" si="132"/>
        <v>169.87249686876225</v>
      </c>
      <c r="AL323" s="432">
        <f t="shared" si="133"/>
        <v>337.6820115203173</v>
      </c>
      <c r="AM323" s="250">
        <v>170</v>
      </c>
      <c r="AN323" s="432">
        <f t="shared" si="134"/>
        <v>159.80000000000001</v>
      </c>
      <c r="AO323" s="432">
        <f t="shared" si="135"/>
        <v>165.10284400000006</v>
      </c>
      <c r="AP323" s="432">
        <f t="shared" si="136"/>
        <v>660.41137600000025</v>
      </c>
      <c r="AQ323" s="255">
        <v>45108</v>
      </c>
      <c r="AR323" s="13" t="s">
        <v>1175</v>
      </c>
      <c r="AS323" s="429" t="s">
        <v>1468</v>
      </c>
      <c r="AT323" s="429" t="s">
        <v>1469</v>
      </c>
      <c r="AU323" s="253"/>
      <c r="AV323" s="268"/>
      <c r="AW323" s="38"/>
      <c r="AX323" s="254"/>
      <c r="AY323" s="103">
        <f>(V323/10)/P323</f>
        <v>0.58510638297872342</v>
      </c>
      <c r="AZ323" s="38"/>
      <c r="BA323" s="38" t="str">
        <f>LEFT(G323,3)</f>
        <v>W22</v>
      </c>
      <c r="BB323" s="77"/>
      <c r="BC323" s="264"/>
      <c r="BD323" s="253"/>
      <c r="BE323" s="253"/>
      <c r="BF323" s="100"/>
      <c r="BG323" s="253"/>
      <c r="BH323" s="253"/>
      <c r="BI323" s="100"/>
      <c r="BJ323" s="143"/>
      <c r="BK323" s="139"/>
      <c r="BL323" s="191"/>
      <c r="BM323" s="139"/>
      <c r="BN323" s="162"/>
      <c r="BO323" s="101"/>
      <c r="BP323" s="130"/>
      <c r="BQ323" s="108"/>
      <c r="BR323" s="71"/>
      <c r="BS323" s="71"/>
      <c r="BT323" s="72">
        <f>P323-V323/10-120/10</f>
        <v>27</v>
      </c>
      <c r="BU323" s="78">
        <f>BT323-Q323</f>
        <v>2</v>
      </c>
      <c r="BV323" s="32">
        <f>T323+(O323/100*(P323-BT323))</f>
        <v>1.0680000000000001</v>
      </c>
      <c r="BW323" s="127">
        <f>(AE323-BV323)/AE323</f>
        <v>7.4349442379182213E-3</v>
      </c>
      <c r="BX323" s="78">
        <f>(PI()*((51/2)^2-(16.545/2)^2)/(BV323/10))/100</f>
        <v>171.14495002882788</v>
      </c>
      <c r="BY323" s="78">
        <f>BX323-AK323</f>
        <v>1.2724531600656235</v>
      </c>
      <c r="BZ323" s="127">
        <f>BY323/AK323</f>
        <v>7.4906367041197835E-3</v>
      </c>
      <c r="CA323" s="76"/>
    </row>
    <row r="324" spans="1:79" s="22" customFormat="1">
      <c r="A324" s="13" t="s">
        <v>466</v>
      </c>
      <c r="B324" s="13" t="s">
        <v>1353</v>
      </c>
      <c r="C324" s="13" t="s">
        <v>357</v>
      </c>
      <c r="D324" s="387" t="s">
        <v>1457</v>
      </c>
      <c r="E324" s="13" t="s">
        <v>118</v>
      </c>
      <c r="F324" s="13" t="s">
        <v>119</v>
      </c>
      <c r="G324" s="13" t="s">
        <v>1470</v>
      </c>
      <c r="H324" s="13" t="s">
        <v>121</v>
      </c>
      <c r="I324" s="13" t="s">
        <v>147</v>
      </c>
      <c r="J324" s="13" t="s">
        <v>5</v>
      </c>
      <c r="K324" s="13" t="s">
        <v>123</v>
      </c>
      <c r="L324" s="13" t="s">
        <v>228</v>
      </c>
      <c r="M324" s="13" t="s">
        <v>125</v>
      </c>
      <c r="N324" s="13" t="s">
        <v>126</v>
      </c>
      <c r="O324" s="247">
        <v>0.32</v>
      </c>
      <c r="P324" s="13">
        <v>101</v>
      </c>
      <c r="Q324" s="13">
        <v>23</v>
      </c>
      <c r="R324" s="13" t="s">
        <v>127</v>
      </c>
      <c r="S324" s="430" t="str">
        <f t="shared" si="122"/>
        <v>N/A</v>
      </c>
      <c r="T324" s="247">
        <v>0.8</v>
      </c>
      <c r="U324" s="13">
        <v>150</v>
      </c>
      <c r="V324" s="13">
        <v>650</v>
      </c>
      <c r="W324" s="430">
        <f t="shared" si="120"/>
        <v>500</v>
      </c>
      <c r="X324" s="430">
        <f t="shared" si="121"/>
        <v>130</v>
      </c>
      <c r="Y324" s="13">
        <v>150</v>
      </c>
      <c r="Z324" s="13">
        <v>650</v>
      </c>
      <c r="AA324" s="430">
        <f t="shared" si="123"/>
        <v>500</v>
      </c>
      <c r="AB324" s="430">
        <f t="shared" si="124"/>
        <v>130</v>
      </c>
      <c r="AC324" s="430" t="str">
        <f t="shared" si="125"/>
        <v>N/A</v>
      </c>
      <c r="AD324" s="430">
        <f t="shared" si="126"/>
        <v>78</v>
      </c>
      <c r="AE324" s="431">
        <f t="shared" si="127"/>
        <v>1.0496000000000001</v>
      </c>
      <c r="AF324" s="431"/>
      <c r="AG324" s="431">
        <f t="shared" si="128"/>
        <v>0.95321980198019796</v>
      </c>
      <c r="AH324" s="431">
        <f t="shared" si="129"/>
        <v>1.0104129900990098</v>
      </c>
      <c r="AI324" s="432">
        <f t="shared" si="130"/>
        <v>868.833664</v>
      </c>
      <c r="AJ324" s="432">
        <f t="shared" si="131"/>
        <v>159.26610903187691</v>
      </c>
      <c r="AK324" s="432">
        <f t="shared" si="132"/>
        <v>174.14520448817467</v>
      </c>
      <c r="AL324" s="432">
        <f t="shared" si="133"/>
        <v>346.17553772471553</v>
      </c>
      <c r="AM324" s="250">
        <v>174</v>
      </c>
      <c r="AN324" s="432">
        <f t="shared" si="134"/>
        <v>175.74</v>
      </c>
      <c r="AO324" s="432">
        <f t="shared" si="135"/>
        <v>177.56997887999998</v>
      </c>
      <c r="AP324" s="432">
        <f t="shared" si="136"/>
        <v>772.04338643478252</v>
      </c>
      <c r="AQ324" s="255" t="s">
        <v>132</v>
      </c>
      <c r="AR324" s="13" t="s">
        <v>1471</v>
      </c>
      <c r="AS324" s="429"/>
      <c r="AT324" s="429"/>
      <c r="AU324" s="253"/>
      <c r="AV324" s="268"/>
      <c r="AW324" s="38"/>
      <c r="AX324" s="254"/>
      <c r="AY324" s="103"/>
      <c r="AZ324" s="38"/>
      <c r="BA324" s="38"/>
      <c r="BB324" s="77"/>
      <c r="BC324" s="264"/>
      <c r="BD324" s="253"/>
      <c r="BE324" s="253"/>
      <c r="BF324" s="100"/>
      <c r="BG324" s="253"/>
      <c r="BH324" s="253"/>
      <c r="BI324" s="100"/>
      <c r="BJ324" s="143"/>
      <c r="BK324" s="139"/>
      <c r="BL324" s="191"/>
      <c r="BM324" s="139"/>
      <c r="BN324" s="162"/>
      <c r="BO324" s="101"/>
      <c r="BP324" s="130"/>
      <c r="BQ324" s="108"/>
      <c r="BR324" s="71"/>
      <c r="BS324" s="71"/>
      <c r="BT324" s="72"/>
      <c r="BU324" s="78"/>
      <c r="BV324" s="32"/>
      <c r="BW324" s="127"/>
      <c r="BX324" s="78"/>
      <c r="BY324" s="78"/>
      <c r="BZ324" s="127"/>
      <c r="CA324" s="76"/>
    </row>
    <row r="325" spans="1:79" s="22" customFormat="1">
      <c r="A325" s="13" t="s">
        <v>466</v>
      </c>
      <c r="B325" s="13" t="s">
        <v>1353</v>
      </c>
      <c r="C325" s="13" t="s">
        <v>357</v>
      </c>
      <c r="D325" s="387" t="s">
        <v>1472</v>
      </c>
      <c r="E325" s="13" t="s">
        <v>118</v>
      </c>
      <c r="F325" s="13" t="s">
        <v>119</v>
      </c>
      <c r="G325" s="13" t="s">
        <v>1473</v>
      </c>
      <c r="H325" s="13" t="s">
        <v>389</v>
      </c>
      <c r="I325" s="13" t="s">
        <v>139</v>
      </c>
      <c r="J325" s="13" t="s">
        <v>5</v>
      </c>
      <c r="K325" s="13" t="s">
        <v>123</v>
      </c>
      <c r="L325" s="13"/>
      <c r="M325" s="13"/>
      <c r="N325" s="13" t="s">
        <v>142</v>
      </c>
      <c r="O325" s="247">
        <v>0.47</v>
      </c>
      <c r="P325" s="13">
        <v>105</v>
      </c>
      <c r="Q325" s="13">
        <v>27</v>
      </c>
      <c r="R325" s="13" t="s">
        <v>127</v>
      </c>
      <c r="S325" s="430" t="str">
        <f t="shared" si="122"/>
        <v>N/A</v>
      </c>
      <c r="T325" s="247">
        <v>0.76</v>
      </c>
      <c r="U325" s="13">
        <v>250</v>
      </c>
      <c r="V325" s="13">
        <v>650</v>
      </c>
      <c r="W325" s="430">
        <f t="shared" si="120"/>
        <v>400</v>
      </c>
      <c r="X325" s="430">
        <f t="shared" si="121"/>
        <v>130</v>
      </c>
      <c r="Y325" s="13">
        <v>250</v>
      </c>
      <c r="Z325" s="13">
        <v>650</v>
      </c>
      <c r="AA325" s="430">
        <f t="shared" si="123"/>
        <v>400</v>
      </c>
      <c r="AB325" s="430">
        <f t="shared" si="124"/>
        <v>130</v>
      </c>
      <c r="AC325" s="430" t="str">
        <f t="shared" si="125"/>
        <v>N/A</v>
      </c>
      <c r="AD325" s="430">
        <f t="shared" si="126"/>
        <v>78</v>
      </c>
      <c r="AE325" s="431">
        <f t="shared" si="127"/>
        <v>1.1265999999999998</v>
      </c>
      <c r="AF325" s="431"/>
      <c r="AG325" s="431">
        <f t="shared" si="128"/>
        <v>0.99043428571428571</v>
      </c>
      <c r="AH325" s="431">
        <f t="shared" si="129"/>
        <v>1.0548125142857143</v>
      </c>
      <c r="AI325" s="432">
        <f t="shared" si="130"/>
        <v>840.14378099999999</v>
      </c>
      <c r="AJ325" s="432">
        <f t="shared" si="131"/>
        <v>148.3807101365685</v>
      </c>
      <c r="AK325" s="432">
        <f t="shared" si="132"/>
        <v>162.24286049244472</v>
      </c>
      <c r="AL325" s="432">
        <f t="shared" si="133"/>
        <v>322.51539534516377</v>
      </c>
      <c r="AM325" s="250">
        <v>162</v>
      </c>
      <c r="AN325" s="432">
        <f t="shared" si="134"/>
        <v>170.1</v>
      </c>
      <c r="AO325" s="432">
        <f t="shared" si="135"/>
        <v>179.42360868</v>
      </c>
      <c r="AP325" s="432">
        <f t="shared" si="136"/>
        <v>664.53188399999999</v>
      </c>
      <c r="AQ325" s="255"/>
      <c r="AR325" s="13"/>
      <c r="AS325" s="429"/>
      <c r="AT325" s="429"/>
      <c r="AU325" s="253"/>
      <c r="AV325" s="268"/>
      <c r="AW325" s="38"/>
      <c r="AX325" s="254"/>
      <c r="AY325" s="103"/>
      <c r="AZ325" s="38"/>
      <c r="BA325" s="38"/>
      <c r="BB325" s="77"/>
      <c r="BC325" s="264"/>
      <c r="BD325" s="253"/>
      <c r="BE325" s="253"/>
      <c r="BF325" s="100"/>
      <c r="BG325" s="253"/>
      <c r="BH325" s="253"/>
      <c r="BI325" s="100"/>
      <c r="BJ325" s="143"/>
      <c r="BK325" s="139"/>
      <c r="BL325" s="191"/>
      <c r="BM325" s="139"/>
      <c r="BN325" s="162"/>
      <c r="BO325" s="101"/>
      <c r="BP325" s="130"/>
      <c r="BQ325" s="108"/>
      <c r="BR325" s="71"/>
      <c r="BS325" s="71"/>
      <c r="BT325" s="72"/>
      <c r="BU325" s="78"/>
      <c r="BV325" s="32"/>
      <c r="BW325" s="127"/>
      <c r="BX325" s="78"/>
      <c r="BY325" s="78"/>
      <c r="BZ325" s="127"/>
      <c r="CA325" s="76"/>
    </row>
    <row r="326" spans="1:79" s="22" customFormat="1">
      <c r="A326" s="13" t="s">
        <v>466</v>
      </c>
      <c r="B326" s="13" t="s">
        <v>1353</v>
      </c>
      <c r="C326" s="13" t="s">
        <v>357</v>
      </c>
      <c r="D326" s="387" t="s">
        <v>1472</v>
      </c>
      <c r="E326" s="13" t="s">
        <v>118</v>
      </c>
      <c r="F326" s="13" t="s">
        <v>119</v>
      </c>
      <c r="G326" s="13" t="s">
        <v>1474</v>
      </c>
      <c r="H326" s="13" t="s">
        <v>389</v>
      </c>
      <c r="I326" s="13" t="s">
        <v>139</v>
      </c>
      <c r="J326" s="13" t="s">
        <v>5</v>
      </c>
      <c r="K326" s="13" t="s">
        <v>123</v>
      </c>
      <c r="L326" s="13"/>
      <c r="M326" s="13" t="s">
        <v>125</v>
      </c>
      <c r="N326" s="13" t="s">
        <v>142</v>
      </c>
      <c r="O326" s="247">
        <v>0.47</v>
      </c>
      <c r="P326" s="13">
        <v>105</v>
      </c>
      <c r="Q326" s="13">
        <v>27</v>
      </c>
      <c r="R326" s="13" t="s">
        <v>127</v>
      </c>
      <c r="S326" s="430" t="str">
        <f t="shared" si="122"/>
        <v>N/A</v>
      </c>
      <c r="T326" s="247">
        <v>0.76</v>
      </c>
      <c r="U326" s="13">
        <v>150</v>
      </c>
      <c r="V326" s="13">
        <v>650</v>
      </c>
      <c r="W326" s="430">
        <f t="shared" si="120"/>
        <v>500</v>
      </c>
      <c r="X326" s="430">
        <f t="shared" si="121"/>
        <v>130</v>
      </c>
      <c r="Y326" s="13">
        <v>150</v>
      </c>
      <c r="Z326" s="13">
        <v>650</v>
      </c>
      <c r="AA326" s="430">
        <f t="shared" si="123"/>
        <v>500</v>
      </c>
      <c r="AB326" s="430">
        <f t="shared" si="124"/>
        <v>130</v>
      </c>
      <c r="AC326" s="430" t="str">
        <f t="shared" si="125"/>
        <v>N/A</v>
      </c>
      <c r="AD326" s="430">
        <f t="shared" si="126"/>
        <v>78</v>
      </c>
      <c r="AE326" s="431">
        <f t="shared" si="127"/>
        <v>1.1265999999999998</v>
      </c>
      <c r="AF326" s="431"/>
      <c r="AG326" s="431">
        <f t="shared" si="128"/>
        <v>0.99043428571428571</v>
      </c>
      <c r="AH326" s="431">
        <f t="shared" si="129"/>
        <v>1.0548125142857143</v>
      </c>
      <c r="AI326" s="432">
        <f t="shared" si="130"/>
        <v>840.14378099999999</v>
      </c>
      <c r="AJ326" s="432">
        <f t="shared" si="131"/>
        <v>148.3807101365685</v>
      </c>
      <c r="AK326" s="432">
        <f t="shared" si="132"/>
        <v>162.24286049244472</v>
      </c>
      <c r="AL326" s="432">
        <f t="shared" si="133"/>
        <v>322.51539534516377</v>
      </c>
      <c r="AM326" s="250">
        <v>162</v>
      </c>
      <c r="AN326" s="432">
        <f t="shared" si="134"/>
        <v>170.1</v>
      </c>
      <c r="AO326" s="432">
        <f t="shared" si="135"/>
        <v>179.42360868</v>
      </c>
      <c r="AP326" s="432">
        <f t="shared" si="136"/>
        <v>664.53188399999999</v>
      </c>
      <c r="AQ326" s="255"/>
      <c r="AR326" s="13"/>
      <c r="AS326" s="429"/>
      <c r="AT326" s="429"/>
      <c r="AU326" s="253"/>
      <c r="AV326" s="268"/>
      <c r="AW326" s="38"/>
      <c r="AX326" s="254"/>
      <c r="AY326" s="103"/>
      <c r="AZ326" s="38"/>
      <c r="BA326" s="38"/>
      <c r="BB326" s="77"/>
      <c r="BC326" s="264"/>
      <c r="BD326" s="253"/>
      <c r="BE326" s="253"/>
      <c r="BF326" s="100"/>
      <c r="BG326" s="253"/>
      <c r="BH326" s="253"/>
      <c r="BI326" s="100"/>
      <c r="BJ326" s="143"/>
      <c r="BK326" s="139"/>
      <c r="BL326" s="191"/>
      <c r="BM326" s="139"/>
      <c r="BN326" s="162"/>
      <c r="BO326" s="101"/>
      <c r="BP326" s="130"/>
      <c r="BQ326" s="108"/>
      <c r="BR326" s="71"/>
      <c r="BS326" s="71"/>
      <c r="BT326" s="72"/>
      <c r="BU326" s="78"/>
      <c r="BV326" s="32"/>
      <c r="BW326" s="127"/>
      <c r="BX326" s="78"/>
      <c r="BY326" s="78"/>
      <c r="BZ326" s="127"/>
      <c r="CA326" s="76"/>
    </row>
    <row r="327" spans="1:79" s="22" customFormat="1">
      <c r="A327" s="13" t="s">
        <v>466</v>
      </c>
      <c r="B327" s="13" t="s">
        <v>1353</v>
      </c>
      <c r="C327" s="13" t="s">
        <v>357</v>
      </c>
      <c r="D327" s="387" t="s">
        <v>1475</v>
      </c>
      <c r="E327" s="13" t="s">
        <v>118</v>
      </c>
      <c r="F327" s="13" t="s">
        <v>119</v>
      </c>
      <c r="G327" s="13" t="s">
        <v>1476</v>
      </c>
      <c r="H327" s="13" t="s">
        <v>121</v>
      </c>
      <c r="I327" s="13" t="s">
        <v>147</v>
      </c>
      <c r="J327" s="13" t="s">
        <v>5</v>
      </c>
      <c r="K327" s="13" t="s">
        <v>123</v>
      </c>
      <c r="L327" s="13" t="s">
        <v>1477</v>
      </c>
      <c r="M327" s="13" t="s">
        <v>125</v>
      </c>
      <c r="N327" s="13" t="s">
        <v>126</v>
      </c>
      <c r="O327" s="247">
        <v>0.46</v>
      </c>
      <c r="P327" s="13">
        <v>105</v>
      </c>
      <c r="Q327" s="13">
        <v>27</v>
      </c>
      <c r="R327" s="13" t="s">
        <v>127</v>
      </c>
      <c r="S327" s="430" t="str">
        <f t="shared" si="122"/>
        <v>N/A</v>
      </c>
      <c r="T327" s="247">
        <v>0.8</v>
      </c>
      <c r="U327" s="13">
        <v>250</v>
      </c>
      <c r="V327" s="13">
        <v>650</v>
      </c>
      <c r="W327" s="430">
        <f t="shared" ref="W327:W390" si="140">V327-U327</f>
        <v>400</v>
      </c>
      <c r="X327" s="430">
        <f t="shared" ref="X327:X390" si="141">AD327*10-V327</f>
        <v>130</v>
      </c>
      <c r="Y327" s="13">
        <v>250</v>
      </c>
      <c r="Z327" s="13">
        <v>650</v>
      </c>
      <c r="AA327" s="430">
        <f t="shared" si="123"/>
        <v>400</v>
      </c>
      <c r="AB327" s="430">
        <f t="shared" si="124"/>
        <v>130</v>
      </c>
      <c r="AC327" s="430" t="str">
        <f t="shared" si="125"/>
        <v>N/A</v>
      </c>
      <c r="AD327" s="430">
        <f t="shared" si="126"/>
        <v>78</v>
      </c>
      <c r="AE327" s="431">
        <f t="shared" si="127"/>
        <v>1.1588000000000001</v>
      </c>
      <c r="AF327" s="431"/>
      <c r="AG327" s="431">
        <f t="shared" si="128"/>
        <v>1.0255314285714285</v>
      </c>
      <c r="AH327" s="431">
        <f t="shared" si="129"/>
        <v>1.0870633142857142</v>
      </c>
      <c r="AI327" s="432">
        <f t="shared" si="130"/>
        <v>877.94839200000001</v>
      </c>
      <c r="AJ327" s="432">
        <f t="shared" si="131"/>
        <v>144.25760100091301</v>
      </c>
      <c r="AK327" s="432">
        <f t="shared" si="132"/>
        <v>157.73455870796354</v>
      </c>
      <c r="AL327" s="432">
        <f t="shared" si="133"/>
        <v>313.55354193636646</v>
      </c>
      <c r="AM327" s="250">
        <v>158</v>
      </c>
      <c r="AN327" s="432">
        <f t="shared" si="134"/>
        <v>165.9</v>
      </c>
      <c r="AO327" s="432">
        <f t="shared" si="135"/>
        <v>180.34380383999999</v>
      </c>
      <c r="AP327" s="432">
        <f t="shared" si="136"/>
        <v>667.9400142222222</v>
      </c>
      <c r="AQ327" s="255" t="s">
        <v>132</v>
      </c>
      <c r="AR327" s="13" t="s">
        <v>1478</v>
      </c>
      <c r="AS327" s="447" t="s">
        <v>1479</v>
      </c>
      <c r="AT327" s="429"/>
      <c r="AU327" s="253"/>
      <c r="AV327" s="268"/>
      <c r="AW327" s="38"/>
      <c r="AX327" s="254"/>
      <c r="AY327" s="103"/>
      <c r="AZ327" s="38"/>
      <c r="BA327" s="38"/>
      <c r="BB327" s="77"/>
      <c r="BC327" s="264"/>
      <c r="BD327" s="253"/>
      <c r="BE327" s="253"/>
      <c r="BF327" s="100"/>
      <c r="BG327" s="253"/>
      <c r="BH327" s="253"/>
      <c r="BI327" s="100"/>
      <c r="BJ327" s="143"/>
      <c r="BK327" s="139"/>
      <c r="BL327" s="191"/>
      <c r="BM327" s="139"/>
      <c r="BN327" s="162"/>
      <c r="BO327" s="101"/>
      <c r="BP327" s="130"/>
      <c r="BQ327" s="108"/>
      <c r="BR327" s="71"/>
      <c r="BS327" s="71"/>
      <c r="BT327" s="72"/>
      <c r="BU327" s="78"/>
      <c r="BV327" s="32"/>
      <c r="BW327" s="127"/>
      <c r="BX327" s="78"/>
      <c r="BY327" s="78"/>
      <c r="BZ327" s="127"/>
      <c r="CA327" s="76"/>
    </row>
    <row r="328" spans="1:79" s="273" customFormat="1">
      <c r="A328" s="13" t="s">
        <v>466</v>
      </c>
      <c r="B328" s="13" t="s">
        <v>1353</v>
      </c>
      <c r="C328" s="13" t="s">
        <v>357</v>
      </c>
      <c r="D328" s="387" t="s">
        <v>1475</v>
      </c>
      <c r="E328" s="13" t="s">
        <v>118</v>
      </c>
      <c r="F328" s="13" t="s">
        <v>119</v>
      </c>
      <c r="G328" s="13" t="s">
        <v>1480</v>
      </c>
      <c r="H328" s="13" t="s">
        <v>121</v>
      </c>
      <c r="I328" s="13" t="s">
        <v>147</v>
      </c>
      <c r="J328" s="13" t="s">
        <v>5</v>
      </c>
      <c r="K328" s="13" t="s">
        <v>123</v>
      </c>
      <c r="L328" s="13" t="s">
        <v>1481</v>
      </c>
      <c r="M328" s="13" t="s">
        <v>125</v>
      </c>
      <c r="N328" s="13" t="s">
        <v>126</v>
      </c>
      <c r="O328" s="247">
        <v>0.25</v>
      </c>
      <c r="P328" s="13">
        <v>108</v>
      </c>
      <c r="Q328" s="13">
        <v>20</v>
      </c>
      <c r="R328" s="13" t="s">
        <v>127</v>
      </c>
      <c r="S328" s="430" t="str">
        <f t="shared" si="122"/>
        <v>N/A</v>
      </c>
      <c r="T328" s="247">
        <v>0.8</v>
      </c>
      <c r="U328" s="13">
        <v>200</v>
      </c>
      <c r="V328" s="13">
        <v>750</v>
      </c>
      <c r="W328" s="430">
        <f t="shared" si="140"/>
        <v>550</v>
      </c>
      <c r="X328" s="430">
        <f t="shared" si="141"/>
        <v>130</v>
      </c>
      <c r="Y328" s="13">
        <v>200</v>
      </c>
      <c r="Z328" s="13">
        <v>750</v>
      </c>
      <c r="AA328" s="430">
        <f t="shared" si="123"/>
        <v>550</v>
      </c>
      <c r="AB328" s="430">
        <f t="shared" si="124"/>
        <v>130</v>
      </c>
      <c r="AC328" s="430" t="str">
        <f t="shared" si="125"/>
        <v>N/A</v>
      </c>
      <c r="AD328" s="430">
        <f t="shared" si="126"/>
        <v>88</v>
      </c>
      <c r="AE328" s="431">
        <f t="shared" si="127"/>
        <v>1.02</v>
      </c>
      <c r="AF328" s="431"/>
      <c r="AG328" s="431">
        <f t="shared" si="128"/>
        <v>0.93037037037037029</v>
      </c>
      <c r="AH328" s="431">
        <f t="shared" si="129"/>
        <v>0.98619259259259251</v>
      </c>
      <c r="AI328" s="432">
        <f t="shared" si="130"/>
        <v>864.27630000000011</v>
      </c>
      <c r="AJ328" s="432">
        <f t="shared" si="131"/>
        <v>163.88794905868431</v>
      </c>
      <c r="AK328" s="432">
        <f t="shared" si="132"/>
        <v>179.19883003018447</v>
      </c>
      <c r="AL328" s="432">
        <f t="shared" si="133"/>
        <v>356.22141607437402</v>
      </c>
      <c r="AM328" s="250">
        <v>179</v>
      </c>
      <c r="AN328" s="432">
        <f t="shared" si="134"/>
        <v>193.32</v>
      </c>
      <c r="AO328" s="432">
        <f t="shared" si="135"/>
        <v>190.65075199999998</v>
      </c>
      <c r="AP328" s="432">
        <f t="shared" si="136"/>
        <v>953.25375999999983</v>
      </c>
      <c r="AQ328" s="255" t="s">
        <v>132</v>
      </c>
      <c r="AR328" s="13" t="s">
        <v>825</v>
      </c>
      <c r="AS328" s="436"/>
      <c r="AT328" s="429"/>
      <c r="AU328" s="274"/>
      <c r="AV328" s="276"/>
      <c r="AW328" s="14"/>
      <c r="AX328" s="276"/>
      <c r="AY328" s="185"/>
      <c r="AZ328" s="14"/>
      <c r="BA328" s="14"/>
      <c r="BB328" s="14"/>
      <c r="BC328" s="266"/>
      <c r="BD328" s="274"/>
      <c r="BE328" s="274"/>
      <c r="BF328" s="185"/>
      <c r="BG328" s="274"/>
      <c r="BH328" s="274"/>
      <c r="BI328" s="185"/>
      <c r="BJ328" s="186"/>
      <c r="BK328" s="186"/>
      <c r="BL328" s="188"/>
      <c r="BM328" s="187"/>
      <c r="BN328" s="185"/>
      <c r="BO328" s="187"/>
      <c r="BP328" s="187"/>
      <c r="BQ328" s="187"/>
      <c r="BR328" s="185"/>
      <c r="BS328" s="185"/>
      <c r="BT328" s="14"/>
      <c r="BU328" s="270"/>
      <c r="BV328" s="266"/>
      <c r="BW328" s="189"/>
      <c r="BX328" s="270"/>
      <c r="BY328" s="270"/>
      <c r="BZ328" s="189"/>
      <c r="CA328" s="272"/>
    </row>
    <row r="329" spans="1:79" s="273" customFormat="1">
      <c r="A329" s="13" t="s">
        <v>466</v>
      </c>
      <c r="B329" s="13" t="s">
        <v>1353</v>
      </c>
      <c r="C329" s="13" t="s">
        <v>357</v>
      </c>
      <c r="D329" s="387" t="s">
        <v>1475</v>
      </c>
      <c r="E329" s="13" t="s">
        <v>118</v>
      </c>
      <c r="F329" s="13" t="s">
        <v>119</v>
      </c>
      <c r="G329" s="13" t="s">
        <v>1482</v>
      </c>
      <c r="H329" s="13" t="s">
        <v>121</v>
      </c>
      <c r="I329" s="13" t="s">
        <v>147</v>
      </c>
      <c r="J329" s="13" t="s">
        <v>5</v>
      </c>
      <c r="K329" s="13" t="s">
        <v>123</v>
      </c>
      <c r="L329" s="13"/>
      <c r="M329" s="13" t="s">
        <v>125</v>
      </c>
      <c r="N329" s="13" t="s">
        <v>126</v>
      </c>
      <c r="O329" s="247">
        <v>0.46</v>
      </c>
      <c r="P329" s="13">
        <v>105</v>
      </c>
      <c r="Q329" s="13">
        <v>27</v>
      </c>
      <c r="R329" s="13" t="s">
        <v>127</v>
      </c>
      <c r="S329" s="430" t="str">
        <f t="shared" ref="S329:S392" si="142">IF(R329="n/a","N/A",P329-R329)</f>
        <v>N/A</v>
      </c>
      <c r="T329" s="247">
        <v>0.8</v>
      </c>
      <c r="U329" s="13">
        <v>150</v>
      </c>
      <c r="V329" s="13">
        <v>650</v>
      </c>
      <c r="W329" s="430">
        <f t="shared" si="140"/>
        <v>500</v>
      </c>
      <c r="X329" s="430">
        <f t="shared" si="141"/>
        <v>130</v>
      </c>
      <c r="Y329" s="13">
        <v>150</v>
      </c>
      <c r="Z329" s="13">
        <v>650</v>
      </c>
      <c r="AA329" s="430">
        <f t="shared" ref="AA329:AA392" si="143">Z329-Y329</f>
        <v>500</v>
      </c>
      <c r="AB329" s="430">
        <f t="shared" ref="AB329:AB392" si="144">AD329*10-Z329</f>
        <v>130</v>
      </c>
      <c r="AC329" s="430" t="str">
        <f t="shared" ref="AC329:AC392" si="145">IF(J329="clear","N/A",((Q329-R329)*10))</f>
        <v>N/A</v>
      </c>
      <c r="AD329" s="430">
        <f t="shared" ref="AD329:AD392" si="146">P329-Q329</f>
        <v>78</v>
      </c>
      <c r="AE329" s="431">
        <f t="shared" ref="AE329:AE392" si="147">T329+(O329/100*AD329)</f>
        <v>1.1588000000000001</v>
      </c>
      <c r="AF329" s="431"/>
      <c r="AG329" s="431">
        <f t="shared" ref="AG329:AG392" si="148">(((T329+(0.5*(AE329-T329)))*AD329)+(AE329*Q329))/P329</f>
        <v>1.0255314285714285</v>
      </c>
      <c r="AH329" s="431">
        <f t="shared" ref="AH329:AH392" si="149">IF(MID(G329,2,2)="10",(AG329/1000*$W$2),(IF(MID(G329,2,2)="11",(AG329/1000*$X$2),(IF(MID(G329,2,2)="12",(AG329/1000*$Y$2),(IF(MID(G329,2,2)="13",(AG329/1000*$Z$2),(IF(MID(G329,2,2)="20",(AG329/1000*$AA$2),(IF(MID(G329,2,2)="21",(AG329/1000*$AB$2),(IF(MID(G329,2,2)="22",(AG329/1000*$AC$2),(IF(MID(G329,2,2)="23",(AG329/1000*$AD$2),(IF(MID(G329,2,2)="50",(AG329/1000*$AE$2),(IF(MID(G329,2,2)="51",(AG329/1000*$AG$2),"?")))))))))))))))))))</f>
        <v>1.0870633142857142</v>
      </c>
      <c r="AI329" s="432">
        <f t="shared" ref="AI329:AI392" si="150">IF(MID(G329,2,2)="10",((T329+O329*(6.142)/100)*$W$2),(IF(MID(G329,2,2)="11",((T329+O329*(6.142)/100)*$X$2),(IF(MID(G329,2,2)="12",((T329+O329*(6.142)/100)*$Y$2),(IF(MID(G329,2,2)="13",((T329+O329*(6.142)/100)*$Z$2),(IF(MID(G329,2,2)="20",((T329+O329*(6.142)/100)*$AA$2),(IF(MID(G329,2,2)="21",((T329+O329*(6.142)/100)*$AB$2),(IF(MID(G329,2,2)="22",((T329+O329*(6.142)/100)*$AC$2),(IF(MID(G329,2,2)="23",((T329+O329*(6.142)/100)*$AD$2),(IF(MID(G329,2,2)="50",((T329+O329*(6.142)/100)*$AE$2),(IF(MID(G329,2,2)="51",((T329+O329*(6.142)/100)*$AG$2),"?")))))))))))))))))))</f>
        <v>877.94839200000001</v>
      </c>
      <c r="AJ329" s="432">
        <f t="shared" ref="AJ329:AJ392" si="151">(PI()*((49/2)^2-(16.51/2)^2)/(AE329/10))/100</f>
        <v>144.25760100091301</v>
      </c>
      <c r="AK329" s="432">
        <f t="shared" ref="AK329:AK392" si="152">(PI()*((51/2)^2-(16.545/2)^2)/(AE329/10))/100</f>
        <v>157.73455870796354</v>
      </c>
      <c r="AL329" s="432">
        <f t="shared" ref="AL329:AL392" si="153">(PI()*((70/2)^2-(16.545/2)^2)/(AE329/10))/100</f>
        <v>313.55354193636646</v>
      </c>
      <c r="AM329" s="250">
        <v>158</v>
      </c>
      <c r="AN329" s="432">
        <f t="shared" ref="AN329:AN392" si="154">AM329*P329/100</f>
        <v>165.9</v>
      </c>
      <c r="AO329" s="432">
        <f t="shared" ref="AO329:AO392" si="155">AN329*AH329</f>
        <v>180.34380383999999</v>
      </c>
      <c r="AP329" s="432">
        <f t="shared" ref="AP329:AP392" si="156">AO329/(Q329/100)</f>
        <v>667.9400142222222</v>
      </c>
      <c r="AQ329" s="255"/>
      <c r="AR329" s="13"/>
      <c r="AS329" s="436"/>
      <c r="AT329" s="429"/>
      <c r="AU329" s="274"/>
      <c r="AV329" s="276"/>
      <c r="AW329" s="14"/>
      <c r="AX329" s="276"/>
      <c r="AY329" s="185"/>
      <c r="AZ329" s="14"/>
      <c r="BA329" s="14"/>
      <c r="BB329" s="14"/>
      <c r="BC329" s="266"/>
      <c r="BD329" s="274"/>
      <c r="BE329" s="274"/>
      <c r="BF329" s="185"/>
      <c r="BG329" s="274"/>
      <c r="BH329" s="274"/>
      <c r="BI329" s="185"/>
      <c r="BJ329" s="186"/>
      <c r="BK329" s="186"/>
      <c r="BL329" s="188"/>
      <c r="BM329" s="187"/>
      <c r="BN329" s="185"/>
      <c r="BO329" s="187"/>
      <c r="BP329" s="187"/>
      <c r="BQ329" s="187"/>
      <c r="BR329" s="185"/>
      <c r="BS329" s="185"/>
      <c r="BT329" s="14"/>
      <c r="BU329" s="270"/>
      <c r="BV329" s="266"/>
      <c r="BW329" s="189"/>
      <c r="BX329" s="270"/>
      <c r="BY329" s="270"/>
      <c r="BZ329" s="189"/>
      <c r="CA329" s="272"/>
    </row>
    <row r="330" spans="1:79" s="72" customFormat="1">
      <c r="A330" s="13" t="s">
        <v>466</v>
      </c>
      <c r="B330" s="13" t="s">
        <v>1353</v>
      </c>
      <c r="C330" s="13"/>
      <c r="D330" s="387"/>
      <c r="E330" s="13" t="s">
        <v>118</v>
      </c>
      <c r="F330" s="13" t="s">
        <v>119</v>
      </c>
      <c r="G330" s="13" t="s">
        <v>1483</v>
      </c>
      <c r="H330" s="13" t="s">
        <v>121</v>
      </c>
      <c r="I330" s="13" t="s">
        <v>147</v>
      </c>
      <c r="J330" s="13" t="s">
        <v>5</v>
      </c>
      <c r="K330" s="13" t="s">
        <v>123</v>
      </c>
      <c r="L330" s="13" t="s">
        <v>1484</v>
      </c>
      <c r="M330" s="13" t="s">
        <v>125</v>
      </c>
      <c r="N330" s="13" t="s">
        <v>126</v>
      </c>
      <c r="O330" s="247">
        <v>0.19</v>
      </c>
      <c r="P330" s="13">
        <v>98</v>
      </c>
      <c r="Q330" s="13">
        <v>25</v>
      </c>
      <c r="R330" s="13" t="s">
        <v>127</v>
      </c>
      <c r="S330" s="430" t="str">
        <f t="shared" si="142"/>
        <v>N/A</v>
      </c>
      <c r="T330" s="247">
        <v>0.8</v>
      </c>
      <c r="U330" s="13">
        <v>150</v>
      </c>
      <c r="V330" s="13">
        <v>550</v>
      </c>
      <c r="W330" s="430">
        <f t="shared" si="140"/>
        <v>400</v>
      </c>
      <c r="X330" s="430">
        <f t="shared" si="141"/>
        <v>180</v>
      </c>
      <c r="Y330" s="13">
        <v>150</v>
      </c>
      <c r="Z330" s="13">
        <v>550</v>
      </c>
      <c r="AA330" s="430">
        <f t="shared" si="143"/>
        <v>400</v>
      </c>
      <c r="AB330" s="430">
        <f t="shared" si="144"/>
        <v>180</v>
      </c>
      <c r="AC330" s="430" t="str">
        <f t="shared" si="145"/>
        <v>N/A</v>
      </c>
      <c r="AD330" s="430">
        <f t="shared" si="146"/>
        <v>73</v>
      </c>
      <c r="AE330" s="431">
        <f t="shared" si="147"/>
        <v>0.93870000000000009</v>
      </c>
      <c r="AF330" s="431"/>
      <c r="AG330" s="431">
        <f t="shared" si="148"/>
        <v>0.8870413265306123</v>
      </c>
      <c r="AH330" s="431">
        <f t="shared" si="149"/>
        <v>0.94026380612244909</v>
      </c>
      <c r="AI330" s="432">
        <f t="shared" si="150"/>
        <v>860.36998800000003</v>
      </c>
      <c r="AJ330" s="432">
        <f t="shared" si="151"/>
        <v>178.08214343225526</v>
      </c>
      <c r="AK330" s="432">
        <f t="shared" si="152"/>
        <v>194.71908664193904</v>
      </c>
      <c r="AL330" s="432">
        <f t="shared" si="153"/>
        <v>387.07344667717211</v>
      </c>
      <c r="AM330" s="250">
        <v>195</v>
      </c>
      <c r="AN330" s="432">
        <f t="shared" si="154"/>
        <v>191.1</v>
      </c>
      <c r="AO330" s="432">
        <f t="shared" si="155"/>
        <v>179.68441335000003</v>
      </c>
      <c r="AP330" s="432">
        <f t="shared" si="156"/>
        <v>718.73765340000011</v>
      </c>
      <c r="AQ330" s="255">
        <v>45261</v>
      </c>
      <c r="AR330" s="13" t="s">
        <v>1012</v>
      </c>
      <c r="AS330" s="434" t="s">
        <v>1485</v>
      </c>
      <c r="AT330" s="429"/>
      <c r="AU330" s="241"/>
      <c r="AV330" s="243"/>
      <c r="AX330" s="243"/>
      <c r="AY330" s="103">
        <f>(V330/10)/P330</f>
        <v>0.56122448979591832</v>
      </c>
      <c r="BA330" s="13" t="str">
        <f>LEFT(G330,3)</f>
        <v>W22</v>
      </c>
      <c r="BC330" s="32"/>
      <c r="BD330" s="241"/>
      <c r="BE330" s="241"/>
      <c r="BF330" s="71"/>
      <c r="BG330" s="241"/>
      <c r="BH330" s="241"/>
      <c r="BI330" s="71"/>
      <c r="BJ330" s="123"/>
      <c r="BK330" s="123"/>
      <c r="BL330" s="126"/>
      <c r="BM330" s="123"/>
      <c r="BN330" s="123"/>
      <c r="BO330" s="108"/>
      <c r="BP330" s="108"/>
      <c r="BQ330" s="103"/>
      <c r="BR330" s="71"/>
      <c r="BS330" s="71"/>
      <c r="BT330" s="13">
        <f>P330-V330/10-120/10</f>
        <v>31</v>
      </c>
      <c r="BU330" s="79">
        <f>BT330-Q330</f>
        <v>6</v>
      </c>
      <c r="BV330" s="29">
        <f>T330+(O330/100*(P330-BT330))</f>
        <v>0.92730000000000001</v>
      </c>
      <c r="BW330" s="86">
        <f>(AE330-BV330)/AE330</f>
        <v>1.2144455097475313E-2</v>
      </c>
      <c r="BX330" s="79">
        <f>(PI()*((51/2)^2-(16.545/2)^2)/(BV330/10))/100</f>
        <v>197.11291559450896</v>
      </c>
      <c r="BY330" s="79">
        <f>BX330-AK330</f>
        <v>2.393828952569919</v>
      </c>
      <c r="BZ330" s="86">
        <f>BY330/AK330</f>
        <v>1.2293756065997953E-2</v>
      </c>
      <c r="CA330" s="76"/>
    </row>
    <row r="331" spans="1:79" s="72" customFormat="1">
      <c r="A331" s="13" t="s">
        <v>466</v>
      </c>
      <c r="B331" s="13" t="s">
        <v>1353</v>
      </c>
      <c r="C331" s="13"/>
      <c r="D331" s="387"/>
      <c r="E331" s="13" t="s">
        <v>118</v>
      </c>
      <c r="F331" s="13" t="s">
        <v>119</v>
      </c>
      <c r="G331" s="13" t="s">
        <v>1486</v>
      </c>
      <c r="H331" s="13" t="s">
        <v>121</v>
      </c>
      <c r="I331" s="13" t="s">
        <v>147</v>
      </c>
      <c r="J331" s="13" t="s">
        <v>5</v>
      </c>
      <c r="K331" s="13" t="s">
        <v>123</v>
      </c>
      <c r="L331" s="13" t="s">
        <v>1487</v>
      </c>
      <c r="M331" s="13" t="s">
        <v>125</v>
      </c>
      <c r="N331" s="13" t="s">
        <v>126</v>
      </c>
      <c r="O331" s="247">
        <v>0.26</v>
      </c>
      <c r="P331" s="13">
        <v>110</v>
      </c>
      <c r="Q331" s="13">
        <v>30</v>
      </c>
      <c r="R331" s="13" t="s">
        <v>127</v>
      </c>
      <c r="S331" s="430" t="str">
        <f t="shared" si="142"/>
        <v>N/A</v>
      </c>
      <c r="T331" s="247">
        <v>0.8</v>
      </c>
      <c r="U331" s="13">
        <v>200</v>
      </c>
      <c r="V331" s="13">
        <v>600</v>
      </c>
      <c r="W331" s="430">
        <f t="shared" si="140"/>
        <v>400</v>
      </c>
      <c r="X331" s="430">
        <f t="shared" si="141"/>
        <v>200</v>
      </c>
      <c r="Y331" s="13">
        <v>200</v>
      </c>
      <c r="Z331" s="13">
        <v>600</v>
      </c>
      <c r="AA331" s="430">
        <f t="shared" si="143"/>
        <v>400</v>
      </c>
      <c r="AB331" s="430">
        <f t="shared" si="144"/>
        <v>200</v>
      </c>
      <c r="AC331" s="430" t="str">
        <f t="shared" si="145"/>
        <v>N/A</v>
      </c>
      <c r="AD331" s="430">
        <f t="shared" si="146"/>
        <v>80</v>
      </c>
      <c r="AE331" s="431">
        <f t="shared" si="147"/>
        <v>1.008</v>
      </c>
      <c r="AF331" s="431"/>
      <c r="AG331" s="431">
        <f t="shared" si="148"/>
        <v>0.93236363636363639</v>
      </c>
      <c r="AH331" s="431">
        <f t="shared" si="149"/>
        <v>0.9883054545454546</v>
      </c>
      <c r="AI331" s="432">
        <f t="shared" si="150"/>
        <v>864.92735200000004</v>
      </c>
      <c r="AJ331" s="432">
        <f t="shared" si="151"/>
        <v>165.83899607128774</v>
      </c>
      <c r="AK331" s="432">
        <f t="shared" si="152"/>
        <v>181.33214943530572</v>
      </c>
      <c r="AL331" s="432">
        <f t="shared" si="153"/>
        <v>360.46214721811651</v>
      </c>
      <c r="AM331" s="250">
        <v>181</v>
      </c>
      <c r="AN331" s="432">
        <f t="shared" si="154"/>
        <v>199.1</v>
      </c>
      <c r="AO331" s="432">
        <f t="shared" si="155"/>
        <v>196.77161599999999</v>
      </c>
      <c r="AP331" s="432">
        <f t="shared" si="156"/>
        <v>655.90538666666669</v>
      </c>
      <c r="AQ331" s="255">
        <v>45536</v>
      </c>
      <c r="AR331" s="13" t="s">
        <v>1488</v>
      </c>
      <c r="AS331" s="429" t="s">
        <v>1489</v>
      </c>
      <c r="AT331" s="13"/>
      <c r="AU331" s="252"/>
      <c r="AV331" s="260"/>
      <c r="AX331" s="243"/>
      <c r="AY331" s="103"/>
      <c r="BA331" s="13"/>
      <c r="BC331" s="32"/>
      <c r="BD331" s="241"/>
      <c r="BE331" s="241"/>
      <c r="BF331" s="71"/>
      <c r="BG331" s="241"/>
      <c r="BH331" s="241"/>
      <c r="BI331" s="71"/>
      <c r="BJ331" s="114"/>
      <c r="BK331" s="111"/>
      <c r="BL331" s="112"/>
      <c r="BM331" s="111"/>
      <c r="BN331" s="123"/>
      <c r="BO331" s="83"/>
      <c r="BP331" s="88"/>
      <c r="BQ331" s="124"/>
      <c r="BR331" s="124"/>
      <c r="BS331" s="71"/>
      <c r="BU331" s="78"/>
      <c r="BV331" s="32"/>
      <c r="BW331" s="127"/>
      <c r="BX331" s="78"/>
      <c r="BY331" s="78"/>
      <c r="BZ331" s="127"/>
      <c r="CA331" s="76"/>
    </row>
    <row r="332" spans="1:79" s="262" customFormat="1">
      <c r="A332" s="13" t="s">
        <v>466</v>
      </c>
      <c r="B332" s="387" t="s">
        <v>1353</v>
      </c>
      <c r="C332" s="13"/>
      <c r="D332" s="387"/>
      <c r="E332" s="13" t="s">
        <v>118</v>
      </c>
      <c r="F332" s="13" t="s">
        <v>167</v>
      </c>
      <c r="G332" s="13" t="s">
        <v>1490</v>
      </c>
      <c r="H332" s="13" t="s">
        <v>121</v>
      </c>
      <c r="I332" s="13" t="s">
        <v>147</v>
      </c>
      <c r="J332" s="13" t="s">
        <v>5</v>
      </c>
      <c r="K332" s="13" t="s">
        <v>123</v>
      </c>
      <c r="L332" s="13" t="s">
        <v>1491</v>
      </c>
      <c r="M332" s="13" t="s">
        <v>125</v>
      </c>
      <c r="N332" s="13" t="s">
        <v>126</v>
      </c>
      <c r="O332" s="247">
        <v>0.28000000000000003</v>
      </c>
      <c r="P332" s="13">
        <v>92</v>
      </c>
      <c r="Q332" s="13">
        <v>25</v>
      </c>
      <c r="R332" s="13" t="s">
        <v>127</v>
      </c>
      <c r="S332" s="430" t="str">
        <f t="shared" si="142"/>
        <v>N/A</v>
      </c>
      <c r="T332" s="247">
        <v>0.8</v>
      </c>
      <c r="U332" s="13">
        <v>150</v>
      </c>
      <c r="V332" s="13">
        <v>550</v>
      </c>
      <c r="W332" s="430">
        <f t="shared" si="140"/>
        <v>400</v>
      </c>
      <c r="X332" s="430">
        <f t="shared" si="141"/>
        <v>120</v>
      </c>
      <c r="Y332" s="13">
        <v>150</v>
      </c>
      <c r="Z332" s="13">
        <v>550</v>
      </c>
      <c r="AA332" s="430">
        <f t="shared" si="143"/>
        <v>400</v>
      </c>
      <c r="AB332" s="430">
        <f t="shared" si="144"/>
        <v>120</v>
      </c>
      <c r="AC332" s="430" t="str">
        <f t="shared" si="145"/>
        <v>N/A</v>
      </c>
      <c r="AD332" s="430">
        <f t="shared" si="146"/>
        <v>67</v>
      </c>
      <c r="AE332" s="431">
        <f t="shared" si="147"/>
        <v>0.98760000000000003</v>
      </c>
      <c r="AF332" s="431"/>
      <c r="AG332" s="431">
        <f t="shared" si="148"/>
        <v>0.91928913043478266</v>
      </c>
      <c r="AH332" s="431">
        <f t="shared" si="149"/>
        <v>0.97444647826086961</v>
      </c>
      <c r="AI332" s="432">
        <f t="shared" si="150"/>
        <v>866.22945600000003</v>
      </c>
      <c r="AJ332" s="432">
        <f t="shared" si="151"/>
        <v>169.26458894274813</v>
      </c>
      <c r="AK332" s="432">
        <f t="shared" si="152"/>
        <v>185.07777099107753</v>
      </c>
      <c r="AL332" s="432">
        <f t="shared" si="153"/>
        <v>367.90790238544088</v>
      </c>
      <c r="AM332" s="250">
        <v>185</v>
      </c>
      <c r="AN332" s="432">
        <f t="shared" si="154"/>
        <v>170.2</v>
      </c>
      <c r="AO332" s="432">
        <f t="shared" si="155"/>
        <v>165.85079059999998</v>
      </c>
      <c r="AP332" s="432">
        <f t="shared" si="156"/>
        <v>663.40316239999993</v>
      </c>
      <c r="AQ332" s="255" t="s">
        <v>170</v>
      </c>
      <c r="AR332" s="13" t="s">
        <v>753</v>
      </c>
      <c r="AS332" s="436" t="s">
        <v>1492</v>
      </c>
      <c r="AT332" s="429" t="s">
        <v>1493</v>
      </c>
      <c r="AU332" s="241"/>
      <c r="AV332" s="243"/>
      <c r="AW332" s="72" t="s">
        <v>127</v>
      </c>
      <c r="AX332" s="243"/>
      <c r="AY332" s="71">
        <f t="shared" ref="AY332:AY360" si="157">(V332/10)/P332</f>
        <v>0.59782608695652173</v>
      </c>
      <c r="AZ332" s="72"/>
      <c r="BA332" s="72" t="str">
        <f t="shared" ref="BA332:BA378" si="158">LEFT(G332,3)</f>
        <v>W22</v>
      </c>
      <c r="BB332" s="72" t="str">
        <f>IF(R332="n/a","Clear","S/B")</f>
        <v>Clear</v>
      </c>
      <c r="BC332" s="32"/>
      <c r="BD332" s="241"/>
      <c r="BE332" s="241"/>
      <c r="BF332" s="71"/>
      <c r="BG332" s="241"/>
      <c r="BH332" s="241"/>
      <c r="BI332" s="71"/>
      <c r="BJ332" s="123"/>
      <c r="BK332" s="123"/>
      <c r="BL332" s="126"/>
      <c r="BM332" s="108"/>
      <c r="BN332" s="71"/>
      <c r="BO332" s="108"/>
      <c r="BP332" s="108"/>
      <c r="BQ332" s="83"/>
      <c r="BR332" s="71"/>
      <c r="BS332" s="71"/>
      <c r="BT332" s="13">
        <f>P332-V332/10-120/10</f>
        <v>25</v>
      </c>
      <c r="BU332" s="79">
        <f>BT332-Q332</f>
        <v>0</v>
      </c>
      <c r="BV332" s="29">
        <f>T332+(O332/100*(P332-BT332))</f>
        <v>0.98760000000000003</v>
      </c>
      <c r="BW332" s="86">
        <f>(AE332-BV332)/AE332</f>
        <v>0</v>
      </c>
      <c r="BX332" s="79">
        <f>(PI()*((51/2)^2-(16.545/2)^2)/(BV332/10))/100</f>
        <v>185.07777099107753</v>
      </c>
      <c r="BY332" s="79">
        <f>BX332-AK332</f>
        <v>0</v>
      </c>
      <c r="BZ332" s="86">
        <f>BY332/AK332</f>
        <v>0</v>
      </c>
      <c r="CA332" s="76"/>
    </row>
    <row r="333" spans="1:79" s="262" customFormat="1">
      <c r="A333" s="13" t="s">
        <v>466</v>
      </c>
      <c r="B333" s="13" t="s">
        <v>1353</v>
      </c>
      <c r="C333" s="13"/>
      <c r="D333" s="387"/>
      <c r="E333" s="13" t="s">
        <v>118</v>
      </c>
      <c r="F333" s="13" t="s">
        <v>119</v>
      </c>
      <c r="G333" s="13" t="s">
        <v>1494</v>
      </c>
      <c r="H333" s="13" t="s">
        <v>389</v>
      </c>
      <c r="I333" s="13" t="s">
        <v>139</v>
      </c>
      <c r="J333" s="13" t="s">
        <v>5</v>
      </c>
      <c r="K333" s="13" t="s">
        <v>140</v>
      </c>
      <c r="L333" s="13" t="s">
        <v>1495</v>
      </c>
      <c r="M333" s="13"/>
      <c r="N333" s="13" t="s">
        <v>142</v>
      </c>
      <c r="O333" s="247">
        <v>0.28999999999999998</v>
      </c>
      <c r="P333" s="13">
        <v>110</v>
      </c>
      <c r="Q333" s="13">
        <v>30</v>
      </c>
      <c r="R333" s="13" t="s">
        <v>127</v>
      </c>
      <c r="S333" s="430" t="str">
        <f t="shared" si="142"/>
        <v>N/A</v>
      </c>
      <c r="T333" s="247">
        <v>0.76</v>
      </c>
      <c r="U333" s="13">
        <v>200</v>
      </c>
      <c r="V333" s="13">
        <v>600</v>
      </c>
      <c r="W333" s="430">
        <f t="shared" si="140"/>
        <v>400</v>
      </c>
      <c r="X333" s="430">
        <f t="shared" si="141"/>
        <v>200</v>
      </c>
      <c r="Y333" s="13">
        <v>200</v>
      </c>
      <c r="Z333" s="13">
        <v>600</v>
      </c>
      <c r="AA333" s="430">
        <f t="shared" si="143"/>
        <v>400</v>
      </c>
      <c r="AB333" s="430">
        <f t="shared" si="144"/>
        <v>200</v>
      </c>
      <c r="AC333" s="430" t="str">
        <f t="shared" si="145"/>
        <v>N/A</v>
      </c>
      <c r="AD333" s="430">
        <f t="shared" si="146"/>
        <v>80</v>
      </c>
      <c r="AE333" s="431">
        <f t="shared" si="147"/>
        <v>0.99199999999999999</v>
      </c>
      <c r="AF333" s="431"/>
      <c r="AG333" s="431">
        <f t="shared" si="148"/>
        <v>0.90763636363636369</v>
      </c>
      <c r="AH333" s="431">
        <f t="shared" si="149"/>
        <v>0.96663272727272731</v>
      </c>
      <c r="AI333" s="432">
        <f t="shared" si="150"/>
        <v>828.36956700000007</v>
      </c>
      <c r="AJ333" s="432">
        <f t="shared" si="151"/>
        <v>168.51381858856658</v>
      </c>
      <c r="AK333" s="432">
        <f t="shared" si="152"/>
        <v>184.25686152297195</v>
      </c>
      <c r="AL333" s="432">
        <f t="shared" si="153"/>
        <v>366.27605281840874</v>
      </c>
      <c r="AM333" s="250">
        <v>184</v>
      </c>
      <c r="AN333" s="432">
        <f t="shared" si="154"/>
        <v>202.4</v>
      </c>
      <c r="AO333" s="432">
        <f t="shared" si="155"/>
        <v>195.64646400000001</v>
      </c>
      <c r="AP333" s="432">
        <f t="shared" si="156"/>
        <v>652.15488000000005</v>
      </c>
      <c r="AQ333" s="255" t="s">
        <v>132</v>
      </c>
      <c r="AR333" s="13" t="s">
        <v>647</v>
      </c>
      <c r="AS333" s="429" t="s">
        <v>1496</v>
      </c>
      <c r="AT333" s="13"/>
      <c r="AU333" s="252"/>
      <c r="AV333" s="260"/>
      <c r="AW333" s="72" t="s">
        <v>127</v>
      </c>
      <c r="AX333" s="243"/>
      <c r="AY333" s="103">
        <f t="shared" si="157"/>
        <v>0.54545454545454541</v>
      </c>
      <c r="AZ333" s="72"/>
      <c r="BA333" s="13" t="str">
        <f t="shared" si="158"/>
        <v>W50</v>
      </c>
      <c r="BB333" s="72" t="str">
        <f>IF(R333="n/a","Clear","S/B")</f>
        <v>Clear</v>
      </c>
      <c r="BC333" s="32"/>
      <c r="BD333" s="241"/>
      <c r="BE333" s="241"/>
      <c r="BF333" s="71"/>
      <c r="BG333" s="241"/>
      <c r="BH333" s="241"/>
      <c r="BI333" s="71"/>
      <c r="BJ333" s="114"/>
      <c r="BK333" s="111"/>
      <c r="BL333" s="112"/>
      <c r="BM333" s="111"/>
      <c r="BN333" s="123"/>
      <c r="BO333" s="83"/>
      <c r="BP333" s="88"/>
      <c r="BQ333" s="151"/>
      <c r="BR333" s="113"/>
      <c r="BS333" s="103"/>
      <c r="BT333" s="13">
        <f>P333-V333/10-120/10</f>
        <v>38</v>
      </c>
      <c r="BU333" s="79">
        <f>BT333-Q333</f>
        <v>8</v>
      </c>
      <c r="BV333" s="29">
        <f>T333+(O333/100*(P333-BT333))</f>
        <v>0.96879999999999999</v>
      </c>
      <c r="BW333" s="86"/>
      <c r="BX333" s="79">
        <f>(PI()*((51/2)^2-(16.545/2)^2)/(BV333/10))/100</f>
        <v>188.66928842979789</v>
      </c>
      <c r="BY333" s="79"/>
      <c r="BZ333" s="86"/>
      <c r="CA333" s="76"/>
    </row>
    <row r="334" spans="1:79" s="262" customFormat="1">
      <c r="A334" s="13" t="s">
        <v>466</v>
      </c>
      <c r="B334" s="13" t="s">
        <v>1353</v>
      </c>
      <c r="C334" s="13"/>
      <c r="D334" s="387"/>
      <c r="E334" s="13" t="s">
        <v>118</v>
      </c>
      <c r="F334" s="13" t="s">
        <v>119</v>
      </c>
      <c r="G334" s="13" t="s">
        <v>1497</v>
      </c>
      <c r="H334" s="13" t="s">
        <v>121</v>
      </c>
      <c r="I334" s="13" t="s">
        <v>147</v>
      </c>
      <c r="J334" s="13" t="s">
        <v>5</v>
      </c>
      <c r="K334" s="13" t="s">
        <v>123</v>
      </c>
      <c r="L334" s="13"/>
      <c r="M334" s="13" t="s">
        <v>125</v>
      </c>
      <c r="N334" s="13" t="s">
        <v>126</v>
      </c>
      <c r="O334" s="247">
        <v>0.4</v>
      </c>
      <c r="P334" s="250">
        <v>94</v>
      </c>
      <c r="Q334" s="13">
        <v>21</v>
      </c>
      <c r="R334" s="13" t="s">
        <v>127</v>
      </c>
      <c r="S334" s="430" t="str">
        <f t="shared" si="142"/>
        <v>N/A</v>
      </c>
      <c r="T334" s="247">
        <v>0.8</v>
      </c>
      <c r="U334" s="13">
        <v>200</v>
      </c>
      <c r="V334" s="13">
        <v>600</v>
      </c>
      <c r="W334" s="430">
        <f t="shared" si="140"/>
        <v>400</v>
      </c>
      <c r="X334" s="430">
        <f t="shared" si="141"/>
        <v>130</v>
      </c>
      <c r="Y334" s="13">
        <v>200</v>
      </c>
      <c r="Z334" s="13">
        <v>600</v>
      </c>
      <c r="AA334" s="430">
        <f t="shared" si="143"/>
        <v>400</v>
      </c>
      <c r="AB334" s="430">
        <f t="shared" si="144"/>
        <v>130</v>
      </c>
      <c r="AC334" s="430" t="str">
        <f t="shared" si="145"/>
        <v>N/A</v>
      </c>
      <c r="AD334" s="430">
        <f t="shared" si="146"/>
        <v>73</v>
      </c>
      <c r="AE334" s="431">
        <f t="shared" si="147"/>
        <v>1.0920000000000001</v>
      </c>
      <c r="AF334" s="431"/>
      <c r="AG334" s="431">
        <f t="shared" si="148"/>
        <v>0.97861702127659589</v>
      </c>
      <c r="AH334" s="431">
        <f t="shared" si="149"/>
        <v>1.0373340425531916</v>
      </c>
      <c r="AI334" s="432">
        <f t="shared" si="150"/>
        <v>874.04208000000006</v>
      </c>
      <c r="AJ334" s="432">
        <f t="shared" si="151"/>
        <v>153.0821502196502</v>
      </c>
      <c r="AK334" s="432">
        <f t="shared" si="152"/>
        <v>167.38352255566681</v>
      </c>
      <c r="AL334" s="432">
        <f t="shared" si="153"/>
        <v>332.73428973979986</v>
      </c>
      <c r="AM334" s="250">
        <v>167</v>
      </c>
      <c r="AN334" s="432">
        <f t="shared" si="154"/>
        <v>156.97999999999999</v>
      </c>
      <c r="AO334" s="432">
        <f t="shared" si="155"/>
        <v>162.840698</v>
      </c>
      <c r="AP334" s="432">
        <f t="shared" si="156"/>
        <v>775.43189523809531</v>
      </c>
      <c r="AQ334" s="255"/>
      <c r="AR334" s="13" t="s">
        <v>1498</v>
      </c>
      <c r="AS334" s="429" t="s">
        <v>1499</v>
      </c>
      <c r="AT334" s="13"/>
      <c r="AU334" s="252"/>
      <c r="AV334" s="260"/>
      <c r="AW334" s="72"/>
      <c r="AX334" s="243"/>
      <c r="AY334" s="103"/>
      <c r="AZ334" s="72"/>
      <c r="BA334" s="13"/>
      <c r="BB334" s="72"/>
      <c r="BC334" s="32"/>
      <c r="BD334" s="241"/>
      <c r="BE334" s="241"/>
      <c r="BF334" s="71"/>
      <c r="BG334" s="241"/>
      <c r="BH334" s="241"/>
      <c r="BI334" s="71"/>
      <c r="BJ334" s="114"/>
      <c r="BK334" s="111"/>
      <c r="BL334" s="112"/>
      <c r="BM334" s="111"/>
      <c r="BN334" s="123"/>
      <c r="BO334" s="83"/>
      <c r="BP334" s="88"/>
      <c r="BQ334" s="151"/>
      <c r="BR334" s="113"/>
      <c r="BS334" s="103"/>
      <c r="BT334" s="13"/>
      <c r="BU334" s="79"/>
      <c r="BV334" s="29"/>
      <c r="BW334" s="86"/>
      <c r="BX334" s="79"/>
      <c r="BY334" s="79"/>
      <c r="BZ334" s="86"/>
      <c r="CA334" s="76"/>
    </row>
    <row r="335" spans="1:79" s="262" customFormat="1" ht="39.75" customHeight="1">
      <c r="A335" s="13" t="s">
        <v>466</v>
      </c>
      <c r="B335" s="387" t="s">
        <v>1353</v>
      </c>
      <c r="C335" s="13"/>
      <c r="D335" s="387"/>
      <c r="E335" s="13" t="s">
        <v>118</v>
      </c>
      <c r="F335" s="13" t="s">
        <v>119</v>
      </c>
      <c r="G335" s="13" t="s">
        <v>1500</v>
      </c>
      <c r="H335" s="13" t="s">
        <v>121</v>
      </c>
      <c r="I335" s="13" t="s">
        <v>147</v>
      </c>
      <c r="J335" s="13" t="s">
        <v>5</v>
      </c>
      <c r="K335" s="13" t="s">
        <v>123</v>
      </c>
      <c r="L335" s="13" t="s">
        <v>1501</v>
      </c>
      <c r="M335" s="13" t="s">
        <v>125</v>
      </c>
      <c r="N335" s="13" t="s">
        <v>126</v>
      </c>
      <c r="O335" s="247">
        <v>0.4</v>
      </c>
      <c r="P335" s="13">
        <v>118</v>
      </c>
      <c r="Q335" s="13">
        <v>30</v>
      </c>
      <c r="R335" s="13" t="s">
        <v>127</v>
      </c>
      <c r="S335" s="430" t="str">
        <f t="shared" si="142"/>
        <v>N/A</v>
      </c>
      <c r="T335" s="247">
        <v>0.8</v>
      </c>
      <c r="U335" s="13">
        <v>200</v>
      </c>
      <c r="V335" s="13">
        <v>600</v>
      </c>
      <c r="W335" s="430">
        <f t="shared" si="140"/>
        <v>400</v>
      </c>
      <c r="X335" s="430">
        <f t="shared" si="141"/>
        <v>280</v>
      </c>
      <c r="Y335" s="13">
        <v>200</v>
      </c>
      <c r="Z335" s="13">
        <v>600</v>
      </c>
      <c r="AA335" s="430">
        <f t="shared" si="143"/>
        <v>400</v>
      </c>
      <c r="AB335" s="430">
        <f t="shared" si="144"/>
        <v>280</v>
      </c>
      <c r="AC335" s="430" t="str">
        <f t="shared" si="145"/>
        <v>N/A</v>
      </c>
      <c r="AD335" s="430">
        <f t="shared" si="146"/>
        <v>88</v>
      </c>
      <c r="AE335" s="431">
        <f t="shared" si="147"/>
        <v>1.1520000000000001</v>
      </c>
      <c r="AF335" s="431"/>
      <c r="AG335" s="431">
        <f t="shared" si="148"/>
        <v>1.0207457627118646</v>
      </c>
      <c r="AH335" s="431">
        <f t="shared" si="149"/>
        <v>1.0819905084745765</v>
      </c>
      <c r="AI335" s="432">
        <f t="shared" si="150"/>
        <v>874.04208000000006</v>
      </c>
      <c r="AJ335" s="432">
        <f t="shared" si="151"/>
        <v>145.10912156237674</v>
      </c>
      <c r="AK335" s="432">
        <f t="shared" si="152"/>
        <v>158.66563075589249</v>
      </c>
      <c r="AL335" s="432">
        <f t="shared" si="153"/>
        <v>315.40437881585194</v>
      </c>
      <c r="AM335" s="250">
        <v>159</v>
      </c>
      <c r="AN335" s="432">
        <f t="shared" si="154"/>
        <v>187.62</v>
      </c>
      <c r="AO335" s="432">
        <f t="shared" si="155"/>
        <v>203.00305920000005</v>
      </c>
      <c r="AP335" s="432">
        <f t="shared" si="156"/>
        <v>676.67686400000025</v>
      </c>
      <c r="AQ335" s="255">
        <v>45261</v>
      </c>
      <c r="AR335" s="13" t="s">
        <v>625</v>
      </c>
      <c r="AS335" s="429" t="s">
        <v>1502</v>
      </c>
      <c r="AT335" s="13"/>
      <c r="AU335" s="252"/>
      <c r="AV335" s="260"/>
      <c r="AW335" s="72"/>
      <c r="AX335" s="243"/>
      <c r="AY335" s="103">
        <f t="shared" si="157"/>
        <v>0.50847457627118642</v>
      </c>
      <c r="AZ335" s="72"/>
      <c r="BA335" s="13" t="str">
        <f t="shared" si="158"/>
        <v>W22</v>
      </c>
      <c r="BB335" s="72"/>
      <c r="BC335" s="32"/>
      <c r="BD335" s="241"/>
      <c r="BE335" s="241"/>
      <c r="BF335" s="71"/>
      <c r="BG335" s="241"/>
      <c r="BH335" s="241"/>
      <c r="BI335" s="71"/>
      <c r="BJ335" s="114"/>
      <c r="BK335" s="111"/>
      <c r="BL335" s="112"/>
      <c r="BM335" s="111"/>
      <c r="BN335" s="123"/>
      <c r="BO335" s="83"/>
      <c r="BP335" s="88"/>
      <c r="BQ335" s="108"/>
      <c r="BR335" s="71"/>
      <c r="BS335" s="71"/>
      <c r="BT335" s="72"/>
      <c r="BU335" s="78"/>
      <c r="BV335" s="32"/>
      <c r="BW335" s="127"/>
      <c r="BX335" s="78"/>
      <c r="BY335" s="78"/>
      <c r="BZ335" s="127"/>
      <c r="CA335" s="76"/>
    </row>
    <row r="336" spans="1:79" s="72" customFormat="1">
      <c r="A336" s="13" t="s">
        <v>466</v>
      </c>
      <c r="B336" s="387" t="s">
        <v>1353</v>
      </c>
      <c r="C336" s="13"/>
      <c r="D336" s="387"/>
      <c r="E336" s="13" t="s">
        <v>118</v>
      </c>
      <c r="F336" s="13" t="s">
        <v>167</v>
      </c>
      <c r="G336" s="13" t="s">
        <v>1503</v>
      </c>
      <c r="H336" s="13" t="s">
        <v>389</v>
      </c>
      <c r="I336" s="13" t="s">
        <v>139</v>
      </c>
      <c r="J336" s="13" t="s">
        <v>5</v>
      </c>
      <c r="K336" s="13" t="s">
        <v>140</v>
      </c>
      <c r="L336" s="13" t="s">
        <v>1504</v>
      </c>
      <c r="M336" s="13"/>
      <c r="N336" s="13" t="s">
        <v>142</v>
      </c>
      <c r="O336" s="247">
        <v>0.63</v>
      </c>
      <c r="P336" s="13">
        <v>91</v>
      </c>
      <c r="Q336" s="13">
        <v>25</v>
      </c>
      <c r="R336" s="13" t="s">
        <v>127</v>
      </c>
      <c r="S336" s="430" t="str">
        <f t="shared" si="142"/>
        <v>N/A</v>
      </c>
      <c r="T336" s="247">
        <v>0.76</v>
      </c>
      <c r="U336" s="13">
        <v>140</v>
      </c>
      <c r="V336" s="13">
        <v>540</v>
      </c>
      <c r="W336" s="430">
        <f t="shared" si="140"/>
        <v>400</v>
      </c>
      <c r="X336" s="430">
        <f t="shared" si="141"/>
        <v>120</v>
      </c>
      <c r="Y336" s="13">
        <v>140</v>
      </c>
      <c r="Z336" s="13">
        <v>540</v>
      </c>
      <c r="AA336" s="430">
        <f t="shared" si="143"/>
        <v>400</v>
      </c>
      <c r="AB336" s="430">
        <f t="shared" si="144"/>
        <v>120</v>
      </c>
      <c r="AC336" s="430" t="str">
        <f t="shared" si="145"/>
        <v>N/A</v>
      </c>
      <c r="AD336" s="430">
        <f t="shared" si="146"/>
        <v>66</v>
      </c>
      <c r="AE336" s="431">
        <f t="shared" si="147"/>
        <v>1.1758</v>
      </c>
      <c r="AF336" s="431"/>
      <c r="AG336" s="431">
        <f t="shared" si="148"/>
        <v>1.0250153846153847</v>
      </c>
      <c r="AH336" s="431">
        <f t="shared" si="149"/>
        <v>1.0916413846153847</v>
      </c>
      <c r="AI336" s="432">
        <f t="shared" si="150"/>
        <v>850.60974900000008</v>
      </c>
      <c r="AJ336" s="432">
        <f t="shared" si="151"/>
        <v>142.17188981107165</v>
      </c>
      <c r="AK336" s="432">
        <f t="shared" si="152"/>
        <v>155.45399441298537</v>
      </c>
      <c r="AL336" s="432">
        <f t="shared" si="153"/>
        <v>309.02010919872555</v>
      </c>
      <c r="AM336" s="250">
        <v>155</v>
      </c>
      <c r="AN336" s="432">
        <f t="shared" si="154"/>
        <v>141.05000000000001</v>
      </c>
      <c r="AO336" s="432">
        <f t="shared" si="155"/>
        <v>153.97601730000002</v>
      </c>
      <c r="AP336" s="432">
        <f t="shared" si="156"/>
        <v>615.90406920000009</v>
      </c>
      <c r="AQ336" s="255" t="s">
        <v>132</v>
      </c>
      <c r="AR336" s="13" t="s">
        <v>1035</v>
      </c>
      <c r="AS336" s="436" t="s">
        <v>1505</v>
      </c>
      <c r="AT336" s="429"/>
      <c r="AU336" s="202"/>
      <c r="AV336" s="222"/>
      <c r="AW336" s="205" t="s">
        <v>127</v>
      </c>
      <c r="AX336" s="222"/>
      <c r="AY336" s="207">
        <f t="shared" si="157"/>
        <v>0.59340659340659341</v>
      </c>
      <c r="AZ336" s="205"/>
      <c r="BA336" s="205" t="str">
        <f t="shared" si="158"/>
        <v>W50</v>
      </c>
      <c r="BB336" s="205" t="str">
        <f t="shared" ref="BB336:BB345" si="159">IF(R336="n/a","Clear","S/B")</f>
        <v>Clear</v>
      </c>
      <c r="BC336" s="206"/>
      <c r="BD336" s="202"/>
      <c r="BE336" s="202"/>
      <c r="BF336" s="207"/>
      <c r="BG336" s="202"/>
      <c r="BH336" s="202"/>
      <c r="BI336" s="207"/>
      <c r="BJ336" s="209"/>
      <c r="BK336" s="209"/>
      <c r="BL336" s="225"/>
      <c r="BM336" s="226"/>
      <c r="BN336" s="207"/>
      <c r="BO336" s="226"/>
      <c r="BP336" s="226"/>
      <c r="BQ336" s="346"/>
      <c r="BR336" s="346"/>
      <c r="BS336" s="227"/>
      <c r="BT336" s="261"/>
      <c r="BU336" s="347"/>
      <c r="BV336" s="265"/>
      <c r="BW336" s="348"/>
      <c r="BX336" s="347"/>
      <c r="BY336" s="347"/>
      <c r="BZ336" s="348"/>
      <c r="CA336" s="271"/>
    </row>
    <row r="337" spans="1:79" s="72" customFormat="1">
      <c r="A337" s="13" t="s">
        <v>1506</v>
      </c>
      <c r="B337" s="13" t="s">
        <v>1507</v>
      </c>
      <c r="C337" s="13" t="s">
        <v>1323</v>
      </c>
      <c r="D337" s="445" t="s">
        <v>1508</v>
      </c>
      <c r="E337" s="13" t="s">
        <v>118</v>
      </c>
      <c r="F337" s="13" t="s">
        <v>119</v>
      </c>
      <c r="G337" s="445" t="s">
        <v>1509</v>
      </c>
      <c r="H337" s="13" t="s">
        <v>146</v>
      </c>
      <c r="I337" s="13" t="s">
        <v>147</v>
      </c>
      <c r="J337" s="13" t="s">
        <v>5</v>
      </c>
      <c r="K337" s="13" t="s">
        <v>123</v>
      </c>
      <c r="L337" s="13" t="s">
        <v>1510</v>
      </c>
      <c r="M337" s="13" t="s">
        <v>125</v>
      </c>
      <c r="N337" s="13" t="s">
        <v>126</v>
      </c>
      <c r="O337" s="448">
        <v>0.39</v>
      </c>
      <c r="P337" s="13">
        <v>113</v>
      </c>
      <c r="Q337" s="13">
        <v>25</v>
      </c>
      <c r="R337" s="449" t="s">
        <v>127</v>
      </c>
      <c r="S337" s="430" t="str">
        <f t="shared" si="142"/>
        <v>N/A</v>
      </c>
      <c r="T337" s="247">
        <v>0.8</v>
      </c>
      <c r="U337" s="13">
        <v>355</v>
      </c>
      <c r="V337" s="13">
        <v>755</v>
      </c>
      <c r="W337" s="430">
        <f t="shared" si="140"/>
        <v>400</v>
      </c>
      <c r="X337" s="430">
        <f t="shared" si="141"/>
        <v>125</v>
      </c>
      <c r="Y337" s="13">
        <v>355</v>
      </c>
      <c r="Z337" s="13">
        <v>755</v>
      </c>
      <c r="AA337" s="430">
        <f t="shared" si="143"/>
        <v>400</v>
      </c>
      <c r="AB337" s="430">
        <f t="shared" si="144"/>
        <v>125</v>
      </c>
      <c r="AC337" s="430" t="str">
        <f t="shared" si="145"/>
        <v>N/A</v>
      </c>
      <c r="AD337" s="430">
        <f t="shared" si="146"/>
        <v>88</v>
      </c>
      <c r="AE337" s="431">
        <f t="shared" si="147"/>
        <v>1.1432</v>
      </c>
      <c r="AF337" s="431"/>
      <c r="AG337" s="431">
        <f t="shared" si="148"/>
        <v>1.0095646017699114</v>
      </c>
      <c r="AH337" s="431">
        <f t="shared" si="149"/>
        <v>1.0701384778761061</v>
      </c>
      <c r="AI337" s="432">
        <f t="shared" si="150"/>
        <v>873.39102800000012</v>
      </c>
      <c r="AJ337" s="432">
        <f t="shared" si="151"/>
        <v>146.22612669686671</v>
      </c>
      <c r="AK337" s="432">
        <f t="shared" si="152"/>
        <v>159.88698970502813</v>
      </c>
      <c r="AL337" s="432">
        <f t="shared" si="153"/>
        <v>317.83226416712864</v>
      </c>
      <c r="AM337" s="250">
        <v>160</v>
      </c>
      <c r="AN337" s="432">
        <f t="shared" si="154"/>
        <v>180.8</v>
      </c>
      <c r="AO337" s="432">
        <f t="shared" si="155"/>
        <v>193.4810368</v>
      </c>
      <c r="AP337" s="432">
        <f t="shared" si="156"/>
        <v>773.92414719999999</v>
      </c>
      <c r="AQ337" s="255">
        <v>44896</v>
      </c>
      <c r="AR337" s="255" t="s">
        <v>1511</v>
      </c>
      <c r="AS337" s="434"/>
      <c r="AT337" s="429"/>
      <c r="AU337" s="250"/>
      <c r="AV337" s="260"/>
      <c r="AW337" s="72" t="s">
        <v>127</v>
      </c>
      <c r="AX337" s="243"/>
      <c r="AY337" s="103">
        <f t="shared" si="157"/>
        <v>0.66814159292035402</v>
      </c>
      <c r="BA337" s="13" t="str">
        <f t="shared" si="158"/>
        <v>W22</v>
      </c>
      <c r="BB337" s="72" t="str">
        <f t="shared" si="159"/>
        <v>Clear</v>
      </c>
      <c r="BC337" s="32">
        <f>IF(Q337="","",((P337/100*O337)+T337))</f>
        <v>1.2406999999999999</v>
      </c>
      <c r="BD337" s="241">
        <f>IF(BC337="","",((PI()*((51/2)^2-(16.545/2)^2)/(BC337/10))/100))</f>
        <v>147.32232339065703</v>
      </c>
      <c r="BE337" s="241">
        <f>IF(BC337="","",(BD337-AK337))</f>
        <v>-12.564666314371095</v>
      </c>
      <c r="BF337" s="71">
        <f>IF(BC337="","",(BE337/AK337))</f>
        <v>-7.8584669944386107E-2</v>
      </c>
      <c r="BG337" s="241">
        <f>IF(BF337="","",((PI()*((70/2)^2-(16.545/2)^2)/(BC337/10))/100))</f>
        <v>292.85552058987787</v>
      </c>
      <c r="BH337" s="241">
        <f>IF(BF337="","",(BG337-AL337))</f>
        <v>-24.976743577250772</v>
      </c>
      <c r="BI337" s="71">
        <f>IF(BG337="","",(BH337/AL337))</f>
        <v>-7.8584669944386204E-2</v>
      </c>
      <c r="BJ337" s="114"/>
      <c r="BK337" s="111"/>
      <c r="BL337" s="112"/>
      <c r="BM337" s="111"/>
      <c r="BN337" s="123"/>
      <c r="BO337" s="83"/>
      <c r="BP337" s="83"/>
      <c r="BQ337" s="115"/>
      <c r="BR337" s="152">
        <v>2040</v>
      </c>
      <c r="BS337" s="80"/>
      <c r="BT337" s="22"/>
      <c r="BU337" s="87"/>
      <c r="BV337" s="73"/>
      <c r="BW337" s="109"/>
      <c r="BX337" s="87"/>
      <c r="BY337" s="87"/>
      <c r="BZ337" s="109"/>
      <c r="CA337" s="76"/>
    </row>
    <row r="338" spans="1:79" s="297" customFormat="1">
      <c r="A338" s="13" t="s">
        <v>1506</v>
      </c>
      <c r="B338" s="13" t="s">
        <v>1507</v>
      </c>
      <c r="C338" s="13" t="s">
        <v>1323</v>
      </c>
      <c r="D338" s="445" t="s">
        <v>1508</v>
      </c>
      <c r="E338" s="13" t="s">
        <v>118</v>
      </c>
      <c r="F338" s="13" t="s">
        <v>119</v>
      </c>
      <c r="G338" s="445" t="s">
        <v>1512</v>
      </c>
      <c r="H338" s="13" t="s">
        <v>146</v>
      </c>
      <c r="I338" s="13" t="s">
        <v>147</v>
      </c>
      <c r="J338" s="13" t="s">
        <v>5</v>
      </c>
      <c r="K338" s="13" t="s">
        <v>123</v>
      </c>
      <c r="L338" s="13" t="s">
        <v>1513</v>
      </c>
      <c r="M338" s="13" t="s">
        <v>125</v>
      </c>
      <c r="N338" s="13" t="s">
        <v>126</v>
      </c>
      <c r="O338" s="448">
        <v>0.41</v>
      </c>
      <c r="P338" s="13">
        <v>113</v>
      </c>
      <c r="Q338" s="13">
        <v>25</v>
      </c>
      <c r="R338" s="449" t="s">
        <v>127</v>
      </c>
      <c r="S338" s="430" t="str">
        <f t="shared" si="142"/>
        <v>N/A</v>
      </c>
      <c r="T338" s="247">
        <v>0.8</v>
      </c>
      <c r="U338" s="13">
        <v>355</v>
      </c>
      <c r="V338" s="13">
        <v>755</v>
      </c>
      <c r="W338" s="430">
        <f t="shared" si="140"/>
        <v>400</v>
      </c>
      <c r="X338" s="430">
        <f t="shared" si="141"/>
        <v>125</v>
      </c>
      <c r="Y338" s="13">
        <v>355</v>
      </c>
      <c r="Z338" s="13">
        <v>755</v>
      </c>
      <c r="AA338" s="430">
        <f t="shared" si="143"/>
        <v>400</v>
      </c>
      <c r="AB338" s="430">
        <f t="shared" si="144"/>
        <v>125</v>
      </c>
      <c r="AC338" s="430" t="str">
        <f t="shared" si="145"/>
        <v>N/A</v>
      </c>
      <c r="AD338" s="430">
        <f t="shared" si="146"/>
        <v>88</v>
      </c>
      <c r="AE338" s="431">
        <f t="shared" si="147"/>
        <v>1.1608000000000001</v>
      </c>
      <c r="AF338" s="431"/>
      <c r="AG338" s="431">
        <f t="shared" si="148"/>
        <v>1.0203115044247788</v>
      </c>
      <c r="AH338" s="431">
        <f t="shared" si="149"/>
        <v>1.0815301946902653</v>
      </c>
      <c r="AI338" s="432">
        <f t="shared" si="150"/>
        <v>874.69313200000011</v>
      </c>
      <c r="AJ338" s="432">
        <f t="shared" si="151"/>
        <v>144.00905241200726</v>
      </c>
      <c r="AK338" s="432">
        <f t="shared" si="152"/>
        <v>157.46278999895603</v>
      </c>
      <c r="AL338" s="432">
        <f t="shared" si="153"/>
        <v>313.01330495852983</v>
      </c>
      <c r="AM338" s="250">
        <v>313</v>
      </c>
      <c r="AN338" s="432">
        <f t="shared" si="154"/>
        <v>353.69</v>
      </c>
      <c r="AO338" s="432">
        <f t="shared" si="155"/>
        <v>382.52641455999992</v>
      </c>
      <c r="AP338" s="432">
        <f t="shared" si="156"/>
        <v>1530.1056582399997</v>
      </c>
      <c r="AQ338" s="255">
        <v>45039</v>
      </c>
      <c r="AR338" s="255" t="s">
        <v>1514</v>
      </c>
      <c r="AS338" s="434" t="s">
        <v>1515</v>
      </c>
      <c r="AT338" s="429" t="s">
        <v>1516</v>
      </c>
      <c r="AU338" s="250"/>
      <c r="AV338" s="255"/>
      <c r="AW338" s="72" t="s">
        <v>127</v>
      </c>
      <c r="AX338" s="243"/>
      <c r="AY338" s="103">
        <f t="shared" si="157"/>
        <v>0.66814159292035402</v>
      </c>
      <c r="AZ338" s="72"/>
      <c r="BA338" s="13" t="str">
        <f t="shared" si="158"/>
        <v>W22</v>
      </c>
      <c r="BB338" s="72" t="str">
        <f t="shared" si="159"/>
        <v>Clear</v>
      </c>
      <c r="BC338" s="73"/>
      <c r="BD338" s="252"/>
      <c r="BE338" s="252"/>
      <c r="BF338" s="80"/>
      <c r="BG338" s="252"/>
      <c r="BH338" s="252"/>
      <c r="BI338" s="80"/>
      <c r="BJ338" s="114"/>
      <c r="BK338" s="111"/>
      <c r="BL338" s="112"/>
      <c r="BM338" s="111"/>
      <c r="BN338" s="123"/>
      <c r="BO338" s="83"/>
      <c r="BP338" s="88"/>
      <c r="BQ338" s="124"/>
      <c r="BR338" s="124"/>
      <c r="BS338" s="71"/>
      <c r="BT338" s="72"/>
      <c r="BU338" s="78"/>
      <c r="BV338" s="32"/>
      <c r="BW338" s="127"/>
      <c r="BX338" s="78"/>
      <c r="BY338" s="78"/>
      <c r="BZ338" s="127"/>
      <c r="CA338" s="76"/>
    </row>
    <row r="339" spans="1:79" s="297" customFormat="1">
      <c r="A339" s="13" t="s">
        <v>1506</v>
      </c>
      <c r="B339" s="13" t="s">
        <v>1507</v>
      </c>
      <c r="C339" s="13" t="s">
        <v>1323</v>
      </c>
      <c r="D339" s="429" t="s">
        <v>1517</v>
      </c>
      <c r="E339" s="13" t="s">
        <v>118</v>
      </c>
      <c r="F339" s="13" t="s">
        <v>167</v>
      </c>
      <c r="G339" s="13" t="s">
        <v>1518</v>
      </c>
      <c r="H339" s="13" t="s">
        <v>146</v>
      </c>
      <c r="I339" s="13" t="s">
        <v>147</v>
      </c>
      <c r="J339" s="13" t="s">
        <v>5</v>
      </c>
      <c r="K339" s="13" t="s">
        <v>140</v>
      </c>
      <c r="L339" s="13" t="s">
        <v>1519</v>
      </c>
      <c r="M339" s="13" t="s">
        <v>125</v>
      </c>
      <c r="N339" s="13" t="s">
        <v>12</v>
      </c>
      <c r="O339" s="448">
        <v>0.43</v>
      </c>
      <c r="P339" s="13">
        <v>101</v>
      </c>
      <c r="Q339" s="13">
        <v>30</v>
      </c>
      <c r="R339" s="13" t="s">
        <v>127</v>
      </c>
      <c r="S339" s="430" t="str">
        <f t="shared" si="142"/>
        <v>N/A</v>
      </c>
      <c r="T339" s="247">
        <v>0.76</v>
      </c>
      <c r="U339" s="13">
        <v>315</v>
      </c>
      <c r="V339" s="13">
        <v>585</v>
      </c>
      <c r="W339" s="430">
        <f t="shared" si="140"/>
        <v>270</v>
      </c>
      <c r="X339" s="430">
        <f t="shared" si="141"/>
        <v>125</v>
      </c>
      <c r="Y339" s="13">
        <v>185</v>
      </c>
      <c r="Z339" s="13">
        <f>V339</f>
        <v>585</v>
      </c>
      <c r="AA339" s="430">
        <f t="shared" si="143"/>
        <v>400</v>
      </c>
      <c r="AB339" s="430">
        <f t="shared" si="144"/>
        <v>125</v>
      </c>
      <c r="AC339" s="430" t="str">
        <f t="shared" si="145"/>
        <v>N/A</v>
      </c>
      <c r="AD339" s="430">
        <f t="shared" si="146"/>
        <v>71</v>
      </c>
      <c r="AE339" s="431">
        <f t="shared" si="147"/>
        <v>1.0653000000000001</v>
      </c>
      <c r="AF339" s="431"/>
      <c r="AG339" s="431">
        <f t="shared" si="148"/>
        <v>0.9579915841584159</v>
      </c>
      <c r="AH339" s="431">
        <f t="shared" si="149"/>
        <v>1.0202610371287129</v>
      </c>
      <c r="AI339" s="432">
        <f t="shared" si="150"/>
        <v>837.527289</v>
      </c>
      <c r="AJ339" s="432">
        <f t="shared" si="151"/>
        <v>156.91890363264622</v>
      </c>
      <c r="AK339" s="432">
        <f t="shared" si="152"/>
        <v>171.57871644681137</v>
      </c>
      <c r="AL339" s="432">
        <f t="shared" si="153"/>
        <v>341.07372983747433</v>
      </c>
      <c r="AM339" s="250">
        <v>170</v>
      </c>
      <c r="AN339" s="432">
        <f t="shared" si="154"/>
        <v>171.7</v>
      </c>
      <c r="AO339" s="432">
        <f t="shared" si="155"/>
        <v>175.17882007499998</v>
      </c>
      <c r="AP339" s="432">
        <f t="shared" si="156"/>
        <v>583.92940024999996</v>
      </c>
      <c r="AQ339" s="255">
        <v>43831</v>
      </c>
      <c r="AR339" s="13" t="s">
        <v>1520</v>
      </c>
      <c r="AS339" s="429" t="s">
        <v>1521</v>
      </c>
      <c r="AT339" s="429" t="s">
        <v>1522</v>
      </c>
      <c r="AU339" s="241" t="s">
        <v>1523</v>
      </c>
      <c r="AV339" s="243" t="s">
        <v>1524</v>
      </c>
      <c r="AW339" s="72" t="s">
        <v>127</v>
      </c>
      <c r="AX339" s="243"/>
      <c r="AY339" s="103">
        <f t="shared" si="157"/>
        <v>0.57920792079207917</v>
      </c>
      <c r="AZ339" s="72"/>
      <c r="BA339" s="13" t="str">
        <f t="shared" si="158"/>
        <v>W20</v>
      </c>
      <c r="BB339" s="72" t="str">
        <f t="shared" si="159"/>
        <v>Clear</v>
      </c>
      <c r="BC339" s="32">
        <f t="shared" ref="BC339:BC345" si="160">IF(Q339="","",((P339/100*O339)+T339))</f>
        <v>1.1943000000000001</v>
      </c>
      <c r="BD339" s="241">
        <f t="shared" ref="BD339:BD345" si="161">IF(BC339="","",((PI()*((51/2)^2-(16.545/2)^2)/(BC339/10))/100))</f>
        <v>153.04597390168982</v>
      </c>
      <c r="BE339" s="241">
        <f t="shared" ref="BE339:BE345" si="162">IF(BC339="","",(BD339-AK339))</f>
        <v>-18.53274254512155</v>
      </c>
      <c r="BF339" s="71">
        <f t="shared" ref="BF339:BF345" si="163">IF(BC339="","",(BE339/AK339))</f>
        <v>-0.10801306204471239</v>
      </c>
      <c r="BG339" s="241">
        <f t="shared" ref="BG339:BG345" si="164">IF(BF339="","",((PI()*((70/2)^2-(16.545/2)^2)/(BC339/10))/100))</f>
        <v>304.23331189471776</v>
      </c>
      <c r="BH339" s="241">
        <f t="shared" ref="BH339:BH345" si="165">IF(BF339="","",(BG339-AL339))</f>
        <v>-36.840417942756574</v>
      </c>
      <c r="BI339" s="71">
        <f t="shared" ref="BI339:BI345" si="166">IF(BG339="","",(BH339/AL339))</f>
        <v>-0.10801306204471235</v>
      </c>
      <c r="BJ339" s="123"/>
      <c r="BK339" s="108"/>
      <c r="BL339" s="108"/>
      <c r="BM339" s="108"/>
      <c r="BN339" s="71"/>
      <c r="BO339" s="103"/>
      <c r="BP339" s="103"/>
      <c r="BQ339" s="155"/>
      <c r="BR339" s="124"/>
      <c r="BS339" s="71"/>
      <c r="BT339" s="72"/>
      <c r="BU339" s="78"/>
      <c r="BV339" s="32"/>
      <c r="BW339" s="127"/>
      <c r="BX339" s="78"/>
      <c r="BY339" s="78"/>
      <c r="BZ339" s="127"/>
      <c r="CA339" s="76"/>
    </row>
    <row r="340" spans="1:79" s="72" customFormat="1">
      <c r="A340" s="13" t="s">
        <v>1506</v>
      </c>
      <c r="B340" s="13" t="s">
        <v>1507</v>
      </c>
      <c r="C340" s="13" t="s">
        <v>1323</v>
      </c>
      <c r="D340" s="429" t="s">
        <v>1517</v>
      </c>
      <c r="E340" s="13" t="s">
        <v>118</v>
      </c>
      <c r="F340" s="13" t="s">
        <v>167</v>
      </c>
      <c r="G340" s="449" t="s">
        <v>1525</v>
      </c>
      <c r="H340" s="13" t="s">
        <v>146</v>
      </c>
      <c r="I340" s="13" t="s">
        <v>147</v>
      </c>
      <c r="J340" s="13" t="s">
        <v>5</v>
      </c>
      <c r="K340" s="13" t="s">
        <v>140</v>
      </c>
      <c r="L340" s="434" t="s">
        <v>1526</v>
      </c>
      <c r="M340" s="13" t="s">
        <v>125</v>
      </c>
      <c r="N340" s="13" t="s">
        <v>12</v>
      </c>
      <c r="O340" s="448">
        <v>0.45</v>
      </c>
      <c r="P340" s="13">
        <v>101</v>
      </c>
      <c r="Q340" s="438">
        <v>30</v>
      </c>
      <c r="R340" s="445" t="s">
        <v>127</v>
      </c>
      <c r="S340" s="430" t="str">
        <f t="shared" si="142"/>
        <v>N/A</v>
      </c>
      <c r="T340" s="247">
        <v>0.76</v>
      </c>
      <c r="U340" s="13">
        <v>315</v>
      </c>
      <c r="V340" s="13">
        <v>585</v>
      </c>
      <c r="W340" s="430">
        <f t="shared" si="140"/>
        <v>270</v>
      </c>
      <c r="X340" s="430">
        <f t="shared" si="141"/>
        <v>125</v>
      </c>
      <c r="Y340" s="13">
        <v>185</v>
      </c>
      <c r="Z340" s="13">
        <f>V340</f>
        <v>585</v>
      </c>
      <c r="AA340" s="430">
        <f t="shared" si="143"/>
        <v>400</v>
      </c>
      <c r="AB340" s="430">
        <f t="shared" si="144"/>
        <v>125</v>
      </c>
      <c r="AC340" s="430" t="str">
        <f t="shared" si="145"/>
        <v>N/A</v>
      </c>
      <c r="AD340" s="430">
        <f t="shared" si="146"/>
        <v>71</v>
      </c>
      <c r="AE340" s="431">
        <f t="shared" si="147"/>
        <v>1.0795000000000001</v>
      </c>
      <c r="AF340" s="431"/>
      <c r="AG340" s="431">
        <f t="shared" si="148"/>
        <v>0.967200495049505</v>
      </c>
      <c r="AH340" s="431">
        <f t="shared" si="149"/>
        <v>1.0300685272277228</v>
      </c>
      <c r="AI340" s="432">
        <f t="shared" si="150"/>
        <v>838.83553499999994</v>
      </c>
      <c r="AJ340" s="432">
        <f t="shared" si="151"/>
        <v>154.85475501607968</v>
      </c>
      <c r="AK340" s="432">
        <f t="shared" si="152"/>
        <v>169.32172916237903</v>
      </c>
      <c r="AL340" s="432">
        <f t="shared" si="153"/>
        <v>336.58716479468399</v>
      </c>
      <c r="AM340" s="250">
        <v>165</v>
      </c>
      <c r="AN340" s="432">
        <f t="shared" si="154"/>
        <v>166.65</v>
      </c>
      <c r="AO340" s="432">
        <f t="shared" si="155"/>
        <v>171.6609200625</v>
      </c>
      <c r="AP340" s="432">
        <f t="shared" si="156"/>
        <v>572.20306687499999</v>
      </c>
      <c r="AQ340" s="255" t="s">
        <v>132</v>
      </c>
      <c r="AR340" s="255" t="s">
        <v>1527</v>
      </c>
      <c r="AS340" s="434" t="s">
        <v>1528</v>
      </c>
      <c r="AT340" s="429" t="s">
        <v>1529</v>
      </c>
      <c r="AU340" s="258" t="s">
        <v>1530</v>
      </c>
      <c r="AV340" s="243"/>
      <c r="AW340" s="72" t="s">
        <v>127</v>
      </c>
      <c r="AX340" s="243"/>
      <c r="AY340" s="103">
        <f t="shared" si="157"/>
        <v>0.57920792079207917</v>
      </c>
      <c r="BA340" s="13" t="str">
        <f t="shared" si="158"/>
        <v>W20</v>
      </c>
      <c r="BB340" s="72" t="str">
        <f t="shared" si="159"/>
        <v>Clear</v>
      </c>
      <c r="BC340" s="32">
        <f t="shared" si="160"/>
        <v>1.2145000000000001</v>
      </c>
      <c r="BD340" s="241">
        <f t="shared" si="161"/>
        <v>150.50045832094537</v>
      </c>
      <c r="BE340" s="241">
        <f t="shared" si="162"/>
        <v>-18.821270841433659</v>
      </c>
      <c r="BF340" s="71">
        <f t="shared" si="163"/>
        <v>-0.11115685467270486</v>
      </c>
      <c r="BG340" s="241">
        <f t="shared" si="164"/>
        <v>299.1731942329036</v>
      </c>
      <c r="BH340" s="241">
        <f t="shared" si="165"/>
        <v>-37.413970561780388</v>
      </c>
      <c r="BI340" s="71">
        <f t="shared" si="166"/>
        <v>-0.11115685467270468</v>
      </c>
      <c r="BJ340" s="123"/>
      <c r="BK340" s="108"/>
      <c r="BL340" s="108"/>
      <c r="BM340" s="108"/>
      <c r="BN340" s="71"/>
      <c r="BO340" s="103"/>
      <c r="BP340" s="103"/>
      <c r="BQ340" s="115"/>
      <c r="BR340" s="113"/>
      <c r="BS340" s="80"/>
      <c r="BT340" s="22"/>
      <c r="BU340" s="87"/>
      <c r="BV340" s="73"/>
      <c r="BW340" s="109"/>
      <c r="BX340" s="87"/>
      <c r="BY340" s="87"/>
      <c r="BZ340" s="109"/>
      <c r="CA340" s="76"/>
    </row>
    <row r="341" spans="1:79" s="77" customFormat="1">
      <c r="A341" s="13" t="s">
        <v>1506</v>
      </c>
      <c r="B341" s="13" t="s">
        <v>1507</v>
      </c>
      <c r="C341" s="13" t="s">
        <v>1323</v>
      </c>
      <c r="D341" s="445" t="s">
        <v>1531</v>
      </c>
      <c r="E341" s="13" t="s">
        <v>118</v>
      </c>
      <c r="F341" s="13" t="s">
        <v>167</v>
      </c>
      <c r="G341" s="449" t="s">
        <v>1532</v>
      </c>
      <c r="H341" s="13" t="s">
        <v>146</v>
      </c>
      <c r="I341" s="13" t="s">
        <v>147</v>
      </c>
      <c r="J341" s="13" t="s">
        <v>274</v>
      </c>
      <c r="K341" s="13" t="s">
        <v>123</v>
      </c>
      <c r="L341" s="13" t="s">
        <v>1533</v>
      </c>
      <c r="M341" s="13" t="s">
        <v>125</v>
      </c>
      <c r="N341" s="13" t="s">
        <v>12</v>
      </c>
      <c r="O341" s="448">
        <v>0.4</v>
      </c>
      <c r="P341" s="13">
        <v>102</v>
      </c>
      <c r="Q341" s="438">
        <v>30</v>
      </c>
      <c r="R341" s="445">
        <v>14</v>
      </c>
      <c r="S341" s="430">
        <f t="shared" si="142"/>
        <v>88</v>
      </c>
      <c r="T341" s="247">
        <v>0.8</v>
      </c>
      <c r="U341" s="13">
        <v>325</v>
      </c>
      <c r="V341" s="13">
        <v>595</v>
      </c>
      <c r="W341" s="430">
        <f t="shared" si="140"/>
        <v>270</v>
      </c>
      <c r="X341" s="430">
        <f t="shared" si="141"/>
        <v>125</v>
      </c>
      <c r="Y341" s="13"/>
      <c r="Z341" s="13"/>
      <c r="AA341" s="430">
        <f t="shared" si="143"/>
        <v>0</v>
      </c>
      <c r="AB341" s="430">
        <f t="shared" si="144"/>
        <v>720</v>
      </c>
      <c r="AC341" s="430">
        <f t="shared" si="145"/>
        <v>160</v>
      </c>
      <c r="AD341" s="430">
        <f t="shared" si="146"/>
        <v>72</v>
      </c>
      <c r="AE341" s="431">
        <f t="shared" si="147"/>
        <v>1.0880000000000001</v>
      </c>
      <c r="AF341" s="431"/>
      <c r="AG341" s="431">
        <f t="shared" si="148"/>
        <v>0.98635294117647065</v>
      </c>
      <c r="AH341" s="431" t="e">
        <f t="shared" si="149"/>
        <v>#VALUE!</v>
      </c>
      <c r="AI341" s="432" t="e">
        <f t="shared" si="150"/>
        <v>#VALUE!</v>
      </c>
      <c r="AJ341" s="432">
        <f t="shared" si="151"/>
        <v>153.64495224251655</v>
      </c>
      <c r="AK341" s="432">
        <f t="shared" si="152"/>
        <v>167.99890315329793</v>
      </c>
      <c r="AL341" s="432">
        <f t="shared" si="153"/>
        <v>333.95757756972563</v>
      </c>
      <c r="AM341" s="250">
        <v>165</v>
      </c>
      <c r="AN341" s="432">
        <f t="shared" si="154"/>
        <v>168.3</v>
      </c>
      <c r="AO341" s="432" t="e">
        <f t="shared" si="155"/>
        <v>#VALUE!</v>
      </c>
      <c r="AP341" s="432" t="e">
        <f t="shared" si="156"/>
        <v>#VALUE!</v>
      </c>
      <c r="AQ341" s="255" t="s">
        <v>320</v>
      </c>
      <c r="AR341" s="255" t="s">
        <v>1520</v>
      </c>
      <c r="AS341" s="429" t="s">
        <v>1534</v>
      </c>
      <c r="AT341" s="435"/>
      <c r="AU341" s="258" t="s">
        <v>1535</v>
      </c>
      <c r="AV341" s="243"/>
      <c r="AW341" s="72" t="s">
        <v>127</v>
      </c>
      <c r="AX341" s="243"/>
      <c r="AY341" s="103">
        <f t="shared" si="157"/>
        <v>0.58333333333333337</v>
      </c>
      <c r="AZ341" s="72"/>
      <c r="BA341" s="13" t="str">
        <f t="shared" si="158"/>
        <v>W13</v>
      </c>
      <c r="BB341" s="72" t="str">
        <f t="shared" si="159"/>
        <v>S/B</v>
      </c>
      <c r="BC341" s="32">
        <f t="shared" si="160"/>
        <v>1.2080000000000002</v>
      </c>
      <c r="BD341" s="241">
        <f t="shared" si="161"/>
        <v>151.31027038972528</v>
      </c>
      <c r="BE341" s="241">
        <f t="shared" si="162"/>
        <v>-16.688632763572656</v>
      </c>
      <c r="BF341" s="71">
        <f t="shared" si="163"/>
        <v>-9.9337748344370938E-2</v>
      </c>
      <c r="BG341" s="241">
        <f t="shared" si="164"/>
        <v>300.78298377140845</v>
      </c>
      <c r="BH341" s="241">
        <f t="shared" si="165"/>
        <v>-33.174593798317176</v>
      </c>
      <c r="BI341" s="71">
        <f t="shared" si="166"/>
        <v>-9.9337748344371035E-2</v>
      </c>
      <c r="BJ341" s="158"/>
      <c r="BK341" s="158"/>
      <c r="BL341" s="83"/>
      <c r="BM341" s="141"/>
      <c r="BN341" s="71"/>
      <c r="BO341" s="141"/>
      <c r="BP341" s="141"/>
      <c r="BQ341" s="164"/>
      <c r="BR341" s="159"/>
      <c r="BS341" s="100"/>
      <c r="BT341" s="72"/>
      <c r="BU341" s="78"/>
      <c r="BV341" s="32"/>
      <c r="BW341" s="127"/>
      <c r="BX341" s="78"/>
      <c r="BY341" s="78"/>
      <c r="BZ341" s="127"/>
      <c r="CA341" s="76"/>
    </row>
    <row r="342" spans="1:79" s="77" customFormat="1">
      <c r="A342" s="13" t="s">
        <v>1506</v>
      </c>
      <c r="B342" s="13" t="s">
        <v>1507</v>
      </c>
      <c r="C342" s="13" t="s">
        <v>1323</v>
      </c>
      <c r="D342" s="445" t="s">
        <v>1531</v>
      </c>
      <c r="E342" s="13" t="s">
        <v>118</v>
      </c>
      <c r="F342" s="13" t="s">
        <v>167</v>
      </c>
      <c r="G342" s="449" t="s">
        <v>1536</v>
      </c>
      <c r="H342" s="13" t="s">
        <v>146</v>
      </c>
      <c r="I342" s="13" t="s">
        <v>147</v>
      </c>
      <c r="J342" s="13" t="s">
        <v>274</v>
      </c>
      <c r="K342" s="13" t="s">
        <v>123</v>
      </c>
      <c r="L342" s="434" t="s">
        <v>1537</v>
      </c>
      <c r="M342" s="13" t="s">
        <v>125</v>
      </c>
      <c r="N342" s="13" t="s">
        <v>12</v>
      </c>
      <c r="O342" s="448">
        <v>0.42</v>
      </c>
      <c r="P342" s="13">
        <v>102</v>
      </c>
      <c r="Q342" s="438">
        <v>30</v>
      </c>
      <c r="R342" s="445">
        <v>14</v>
      </c>
      <c r="S342" s="430">
        <f t="shared" si="142"/>
        <v>88</v>
      </c>
      <c r="T342" s="247">
        <v>0.8</v>
      </c>
      <c r="U342" s="13">
        <v>325</v>
      </c>
      <c r="V342" s="13">
        <v>595</v>
      </c>
      <c r="W342" s="430">
        <f t="shared" si="140"/>
        <v>270</v>
      </c>
      <c r="X342" s="430">
        <f t="shared" si="141"/>
        <v>125</v>
      </c>
      <c r="Y342" s="13"/>
      <c r="Z342" s="13"/>
      <c r="AA342" s="430">
        <f t="shared" si="143"/>
        <v>0</v>
      </c>
      <c r="AB342" s="430">
        <f t="shared" si="144"/>
        <v>720</v>
      </c>
      <c r="AC342" s="430">
        <f t="shared" si="145"/>
        <v>160</v>
      </c>
      <c r="AD342" s="430">
        <f t="shared" si="146"/>
        <v>72</v>
      </c>
      <c r="AE342" s="431">
        <f t="shared" si="147"/>
        <v>1.1024</v>
      </c>
      <c r="AF342" s="431"/>
      <c r="AG342" s="431">
        <f t="shared" si="148"/>
        <v>0.9956705882352942</v>
      </c>
      <c r="AH342" s="431" t="e">
        <f t="shared" si="149"/>
        <v>#VALUE!</v>
      </c>
      <c r="AI342" s="432" t="e">
        <f t="shared" si="150"/>
        <v>#VALUE!</v>
      </c>
      <c r="AJ342" s="432">
        <f t="shared" si="151"/>
        <v>151.63797899116295</v>
      </c>
      <c r="AK342" s="432">
        <f t="shared" si="152"/>
        <v>165.80443272023601</v>
      </c>
      <c r="AL342" s="432">
        <f t="shared" si="153"/>
        <v>329.59528700640556</v>
      </c>
      <c r="AM342" s="250">
        <v>165</v>
      </c>
      <c r="AN342" s="432">
        <f t="shared" si="154"/>
        <v>168.3</v>
      </c>
      <c r="AO342" s="432" t="e">
        <f t="shared" si="155"/>
        <v>#VALUE!</v>
      </c>
      <c r="AP342" s="432" t="e">
        <f t="shared" si="156"/>
        <v>#VALUE!</v>
      </c>
      <c r="AQ342" s="255" t="s">
        <v>320</v>
      </c>
      <c r="AR342" s="255" t="s">
        <v>1527</v>
      </c>
      <c r="AS342" s="434" t="s">
        <v>1538</v>
      </c>
      <c r="AT342" s="435" t="s">
        <v>1539</v>
      </c>
      <c r="AU342" s="258" t="s">
        <v>1535</v>
      </c>
      <c r="AV342" s="243"/>
      <c r="AW342" s="72" t="s">
        <v>127</v>
      </c>
      <c r="AX342" s="243"/>
      <c r="AY342" s="103">
        <f t="shared" si="157"/>
        <v>0.58333333333333337</v>
      </c>
      <c r="AZ342" s="72"/>
      <c r="BA342" s="13" t="str">
        <f t="shared" si="158"/>
        <v>W13</v>
      </c>
      <c r="BB342" s="72" t="str">
        <f t="shared" si="159"/>
        <v>S/B</v>
      </c>
      <c r="BC342" s="32">
        <f t="shared" si="160"/>
        <v>1.2284000000000002</v>
      </c>
      <c r="BD342" s="241">
        <f t="shared" si="161"/>
        <v>148.79746550861947</v>
      </c>
      <c r="BE342" s="241">
        <f t="shared" si="162"/>
        <v>-17.006967211616541</v>
      </c>
      <c r="BF342" s="71">
        <f t="shared" si="163"/>
        <v>-0.10257245197004244</v>
      </c>
      <c r="BG342" s="241">
        <f t="shared" si="164"/>
        <v>295.78789026038862</v>
      </c>
      <c r="BH342" s="241">
        <f t="shared" si="165"/>
        <v>-33.807396746016934</v>
      </c>
      <c r="BI342" s="71">
        <f t="shared" si="166"/>
        <v>-0.10257245197004258</v>
      </c>
      <c r="BJ342" s="158"/>
      <c r="BK342" s="158"/>
      <c r="BL342" s="83"/>
      <c r="BM342" s="141"/>
      <c r="BN342" s="71"/>
      <c r="BO342" s="141"/>
      <c r="BP342" s="141"/>
      <c r="BQ342" s="164"/>
      <c r="BR342" s="159"/>
      <c r="BS342" s="100"/>
      <c r="BT342" s="72"/>
      <c r="BU342" s="78"/>
      <c r="BV342" s="32"/>
      <c r="BW342" s="127"/>
      <c r="BX342" s="78"/>
      <c r="BY342" s="78"/>
      <c r="BZ342" s="127"/>
      <c r="CA342" s="76"/>
    </row>
    <row r="343" spans="1:79" s="72" customFormat="1">
      <c r="A343" s="13" t="s">
        <v>1506</v>
      </c>
      <c r="B343" s="13" t="s">
        <v>1507</v>
      </c>
      <c r="C343" s="13" t="s">
        <v>1323</v>
      </c>
      <c r="D343" s="450" t="s">
        <v>1540</v>
      </c>
      <c r="E343" s="13" t="s">
        <v>118</v>
      </c>
      <c r="F343" s="13" t="s">
        <v>167</v>
      </c>
      <c r="G343" s="449" t="s">
        <v>1541</v>
      </c>
      <c r="H343" s="13" t="s">
        <v>146</v>
      </c>
      <c r="I343" s="13" t="s">
        <v>147</v>
      </c>
      <c r="J343" s="13" t="s">
        <v>274</v>
      </c>
      <c r="K343" s="13" t="s">
        <v>123</v>
      </c>
      <c r="L343" s="13" t="s">
        <v>1542</v>
      </c>
      <c r="M343" s="13" t="s">
        <v>125</v>
      </c>
      <c r="N343" s="13" t="s">
        <v>12</v>
      </c>
      <c r="O343" s="448">
        <v>0.53</v>
      </c>
      <c r="P343" s="13">
        <v>100</v>
      </c>
      <c r="Q343" s="438">
        <v>30</v>
      </c>
      <c r="R343" s="445">
        <v>13</v>
      </c>
      <c r="S343" s="430">
        <f t="shared" si="142"/>
        <v>87</v>
      </c>
      <c r="T343" s="247">
        <v>0.8</v>
      </c>
      <c r="U343" s="13">
        <v>285</v>
      </c>
      <c r="V343" s="13">
        <v>555</v>
      </c>
      <c r="W343" s="430">
        <f t="shared" si="140"/>
        <v>270</v>
      </c>
      <c r="X343" s="430">
        <f t="shared" si="141"/>
        <v>145</v>
      </c>
      <c r="Y343" s="13"/>
      <c r="Z343" s="13"/>
      <c r="AA343" s="430">
        <f t="shared" si="143"/>
        <v>0</v>
      </c>
      <c r="AB343" s="430">
        <f t="shared" si="144"/>
        <v>700</v>
      </c>
      <c r="AC343" s="430">
        <f t="shared" si="145"/>
        <v>170</v>
      </c>
      <c r="AD343" s="430">
        <f t="shared" si="146"/>
        <v>70</v>
      </c>
      <c r="AE343" s="431">
        <f t="shared" si="147"/>
        <v>1.171</v>
      </c>
      <c r="AF343" s="431"/>
      <c r="AG343" s="431">
        <f t="shared" si="148"/>
        <v>1.04115</v>
      </c>
      <c r="AH343" s="431" t="e">
        <f t="shared" si="149"/>
        <v>#VALUE!</v>
      </c>
      <c r="AI343" s="432" t="e">
        <f t="shared" si="150"/>
        <v>#VALUE!</v>
      </c>
      <c r="AJ343" s="432">
        <f t="shared" si="151"/>
        <v>142.75466100756449</v>
      </c>
      <c r="AK343" s="432">
        <f t="shared" si="152"/>
        <v>156.09120976156117</v>
      </c>
      <c r="AL343" s="432">
        <f t="shared" si="153"/>
        <v>310.28680136281929</v>
      </c>
      <c r="AM343" s="250">
        <v>155</v>
      </c>
      <c r="AN343" s="432">
        <f t="shared" si="154"/>
        <v>155</v>
      </c>
      <c r="AO343" s="432" t="e">
        <f t="shared" si="155"/>
        <v>#VALUE!</v>
      </c>
      <c r="AP343" s="432" t="e">
        <f t="shared" si="156"/>
        <v>#VALUE!</v>
      </c>
      <c r="AQ343" s="255">
        <v>43831</v>
      </c>
      <c r="AR343" s="255" t="s">
        <v>1520</v>
      </c>
      <c r="AS343" s="434" t="s">
        <v>1543</v>
      </c>
      <c r="AT343" s="435"/>
      <c r="AU343" s="241" t="s">
        <v>1544</v>
      </c>
      <c r="AV343" s="243" t="s">
        <v>1545</v>
      </c>
      <c r="AW343" s="72" t="s">
        <v>127</v>
      </c>
      <c r="AX343" s="243"/>
      <c r="AY343" s="103">
        <f t="shared" si="157"/>
        <v>0.55500000000000005</v>
      </c>
      <c r="BA343" s="13" t="str">
        <f t="shared" si="158"/>
        <v>W13</v>
      </c>
      <c r="BB343" s="72" t="str">
        <f t="shared" si="159"/>
        <v>S/B</v>
      </c>
      <c r="BC343" s="32">
        <f t="shared" si="160"/>
        <v>1.33</v>
      </c>
      <c r="BD343" s="241">
        <f t="shared" si="161"/>
        <v>137.43068167728433</v>
      </c>
      <c r="BE343" s="241">
        <f t="shared" si="162"/>
        <v>-18.660528084276848</v>
      </c>
      <c r="BF343" s="71">
        <f t="shared" si="163"/>
        <v>-0.11954887218045104</v>
      </c>
      <c r="BG343" s="241">
        <f t="shared" si="164"/>
        <v>273.19236420741458</v>
      </c>
      <c r="BH343" s="241">
        <f t="shared" si="165"/>
        <v>-37.094437155404705</v>
      </c>
      <c r="BI343" s="71">
        <f t="shared" si="166"/>
        <v>-0.1195488721804511</v>
      </c>
      <c r="BJ343" s="158"/>
      <c r="BK343" s="158"/>
      <c r="BL343" s="83"/>
      <c r="BM343" s="141"/>
      <c r="BN343" s="71"/>
      <c r="BO343" s="141"/>
      <c r="BP343" s="141"/>
      <c r="BQ343" s="103"/>
      <c r="BR343" s="71"/>
      <c r="BS343" s="71"/>
      <c r="BU343" s="78"/>
      <c r="BV343" s="32"/>
      <c r="BW343" s="127"/>
      <c r="BX343" s="78"/>
      <c r="BY343" s="78"/>
      <c r="BZ343" s="127"/>
      <c r="CA343" s="76"/>
    </row>
    <row r="344" spans="1:79" s="72" customFormat="1">
      <c r="A344" s="13" t="s">
        <v>1506</v>
      </c>
      <c r="B344" s="13" t="s">
        <v>1507</v>
      </c>
      <c r="C344" s="13" t="s">
        <v>1323</v>
      </c>
      <c r="D344" s="450" t="s">
        <v>1540</v>
      </c>
      <c r="E344" s="13" t="s">
        <v>118</v>
      </c>
      <c r="F344" s="13" t="s">
        <v>167</v>
      </c>
      <c r="G344" s="449" t="s">
        <v>1546</v>
      </c>
      <c r="H344" s="13" t="s">
        <v>146</v>
      </c>
      <c r="I344" s="13" t="s">
        <v>147</v>
      </c>
      <c r="J344" s="13" t="s">
        <v>274</v>
      </c>
      <c r="K344" s="13" t="s">
        <v>123</v>
      </c>
      <c r="L344" s="13" t="s">
        <v>1547</v>
      </c>
      <c r="M344" s="13" t="s">
        <v>125</v>
      </c>
      <c r="N344" s="13" t="s">
        <v>12</v>
      </c>
      <c r="O344" s="448">
        <v>0.53</v>
      </c>
      <c r="P344" s="13">
        <v>104</v>
      </c>
      <c r="Q344" s="438">
        <v>30</v>
      </c>
      <c r="R344" s="445">
        <v>14</v>
      </c>
      <c r="S344" s="430">
        <f t="shared" si="142"/>
        <v>90</v>
      </c>
      <c r="T344" s="247">
        <v>0.8</v>
      </c>
      <c r="U344" s="13">
        <v>300</v>
      </c>
      <c r="V344" s="13">
        <v>620</v>
      </c>
      <c r="W344" s="430">
        <f t="shared" si="140"/>
        <v>320</v>
      </c>
      <c r="X344" s="430">
        <f t="shared" si="141"/>
        <v>120</v>
      </c>
      <c r="Y344" s="13"/>
      <c r="Z344" s="13"/>
      <c r="AA344" s="430">
        <f t="shared" si="143"/>
        <v>0</v>
      </c>
      <c r="AB344" s="430">
        <f t="shared" si="144"/>
        <v>740</v>
      </c>
      <c r="AC344" s="430">
        <f t="shared" si="145"/>
        <v>160</v>
      </c>
      <c r="AD344" s="430">
        <f t="shared" si="146"/>
        <v>74</v>
      </c>
      <c r="AE344" s="431">
        <f t="shared" si="147"/>
        <v>1.1922000000000001</v>
      </c>
      <c r="AF344" s="431"/>
      <c r="AG344" s="431">
        <f t="shared" si="148"/>
        <v>1.0526673076923079</v>
      </c>
      <c r="AH344" s="431" t="e">
        <f t="shared" si="149"/>
        <v>#VALUE!</v>
      </c>
      <c r="AI344" s="432" t="e">
        <f t="shared" si="150"/>
        <v>#VALUE!</v>
      </c>
      <c r="AJ344" s="432">
        <f t="shared" si="151"/>
        <v>140.21616175126491</v>
      </c>
      <c r="AK344" s="432">
        <f t="shared" si="152"/>
        <v>153.31555664384175</v>
      </c>
      <c r="AL344" s="432">
        <f t="shared" si="153"/>
        <v>304.76920348587601</v>
      </c>
      <c r="AM344" s="250">
        <v>150</v>
      </c>
      <c r="AN344" s="432">
        <f t="shared" si="154"/>
        <v>156</v>
      </c>
      <c r="AO344" s="432" t="e">
        <f t="shared" si="155"/>
        <v>#VALUE!</v>
      </c>
      <c r="AP344" s="432" t="e">
        <f t="shared" si="156"/>
        <v>#VALUE!</v>
      </c>
      <c r="AQ344" s="255">
        <v>44075</v>
      </c>
      <c r="AR344" s="255" t="s">
        <v>1548</v>
      </c>
      <c r="AS344" s="434" t="s">
        <v>1549</v>
      </c>
      <c r="AT344" s="435" t="s">
        <v>1550</v>
      </c>
      <c r="AU344" s="241" t="s">
        <v>1551</v>
      </c>
      <c r="AV344" s="243"/>
      <c r="AW344" s="72" t="s">
        <v>127</v>
      </c>
      <c r="AX344" s="243"/>
      <c r="AY344" s="103">
        <f t="shared" si="157"/>
        <v>0.59615384615384615</v>
      </c>
      <c r="BA344" s="13" t="str">
        <f t="shared" si="158"/>
        <v>W13</v>
      </c>
      <c r="BB344" s="72" t="str">
        <f t="shared" si="159"/>
        <v>S/B</v>
      </c>
      <c r="BC344" s="32">
        <f t="shared" si="160"/>
        <v>1.3512</v>
      </c>
      <c r="BD344" s="241">
        <f t="shared" si="161"/>
        <v>135.27442764267923</v>
      </c>
      <c r="BE344" s="241">
        <f t="shared" si="162"/>
        <v>-18.041129001162517</v>
      </c>
      <c r="BF344" s="71">
        <f t="shared" si="163"/>
        <v>-0.11767317939609215</v>
      </c>
      <c r="BG344" s="241">
        <f t="shared" si="164"/>
        <v>268.90604232967843</v>
      </c>
      <c r="BH344" s="241">
        <f t="shared" si="165"/>
        <v>-35.863161156197577</v>
      </c>
      <c r="BI344" s="71">
        <f t="shared" si="166"/>
        <v>-0.11767317939609208</v>
      </c>
      <c r="BJ344" s="158"/>
      <c r="BK344" s="158"/>
      <c r="BL344" s="83"/>
      <c r="BM344" s="141"/>
      <c r="BN344" s="71"/>
      <c r="BO344" s="141"/>
      <c r="BP344" s="141"/>
      <c r="BQ344" s="83"/>
      <c r="BR344" s="103"/>
      <c r="BS344" s="103"/>
      <c r="BT344" s="13">
        <f>P344-V344/10-120/10</f>
        <v>30</v>
      </c>
      <c r="BU344" s="79">
        <f>BT344-Q344</f>
        <v>0</v>
      </c>
      <c r="BV344" s="29">
        <f>T344+(O344/100*(P344-BT344))</f>
        <v>1.1922000000000001</v>
      </c>
      <c r="BW344" s="86"/>
      <c r="BX344" s="79">
        <f>(PI()*((51/2)^2-(16.545/2)^2)/(BV344/10))/100</f>
        <v>153.31555664384175</v>
      </c>
      <c r="BY344" s="79"/>
      <c r="BZ344" s="86"/>
      <c r="CA344" s="247"/>
    </row>
    <row r="345" spans="1:79" s="72" customFormat="1">
      <c r="A345" s="13" t="s">
        <v>1506</v>
      </c>
      <c r="B345" s="13" t="s">
        <v>1507</v>
      </c>
      <c r="C345" s="13" t="s">
        <v>1323</v>
      </c>
      <c r="D345" s="450" t="s">
        <v>1540</v>
      </c>
      <c r="E345" s="13" t="s">
        <v>118</v>
      </c>
      <c r="F345" s="13" t="s">
        <v>167</v>
      </c>
      <c r="G345" s="449" t="s">
        <v>1552</v>
      </c>
      <c r="H345" s="13" t="s">
        <v>146</v>
      </c>
      <c r="I345" s="13" t="s">
        <v>147</v>
      </c>
      <c r="J345" s="13" t="s">
        <v>274</v>
      </c>
      <c r="K345" s="13" t="s">
        <v>123</v>
      </c>
      <c r="L345" s="13" t="s">
        <v>1553</v>
      </c>
      <c r="M345" s="13" t="s">
        <v>125</v>
      </c>
      <c r="N345" s="13" t="s">
        <v>12</v>
      </c>
      <c r="O345" s="448">
        <v>0.55000000000000004</v>
      </c>
      <c r="P345" s="13">
        <v>100</v>
      </c>
      <c r="Q345" s="438">
        <v>30</v>
      </c>
      <c r="R345" s="445">
        <v>13</v>
      </c>
      <c r="S345" s="430">
        <f t="shared" si="142"/>
        <v>87</v>
      </c>
      <c r="T345" s="247">
        <v>0.8</v>
      </c>
      <c r="U345" s="13">
        <v>285</v>
      </c>
      <c r="V345" s="13">
        <v>555</v>
      </c>
      <c r="W345" s="430">
        <f t="shared" si="140"/>
        <v>270</v>
      </c>
      <c r="X345" s="430">
        <f t="shared" si="141"/>
        <v>145</v>
      </c>
      <c r="Y345" s="13"/>
      <c r="Z345" s="13"/>
      <c r="AA345" s="430">
        <f t="shared" si="143"/>
        <v>0</v>
      </c>
      <c r="AB345" s="430">
        <f t="shared" si="144"/>
        <v>700</v>
      </c>
      <c r="AC345" s="430">
        <f t="shared" si="145"/>
        <v>170</v>
      </c>
      <c r="AD345" s="430">
        <f t="shared" si="146"/>
        <v>70</v>
      </c>
      <c r="AE345" s="431">
        <f t="shared" si="147"/>
        <v>1.1850000000000001</v>
      </c>
      <c r="AF345" s="431"/>
      <c r="AG345" s="431">
        <f t="shared" si="148"/>
        <v>1.0502500000000001</v>
      </c>
      <c r="AH345" s="431" t="e">
        <f t="shared" si="149"/>
        <v>#VALUE!</v>
      </c>
      <c r="AI345" s="432" t="e">
        <f t="shared" si="150"/>
        <v>#VALUE!</v>
      </c>
      <c r="AJ345" s="432">
        <f t="shared" si="151"/>
        <v>141.0681080505131</v>
      </c>
      <c r="AK345" s="432">
        <f t="shared" si="152"/>
        <v>154.24709420319675</v>
      </c>
      <c r="AL345" s="432">
        <f t="shared" si="153"/>
        <v>306.62096573490419</v>
      </c>
      <c r="AM345" s="250">
        <v>150</v>
      </c>
      <c r="AN345" s="432">
        <f t="shared" si="154"/>
        <v>150</v>
      </c>
      <c r="AO345" s="432" t="e">
        <f t="shared" si="155"/>
        <v>#VALUE!</v>
      </c>
      <c r="AP345" s="432" t="e">
        <f t="shared" si="156"/>
        <v>#VALUE!</v>
      </c>
      <c r="AQ345" s="255" t="s">
        <v>320</v>
      </c>
      <c r="AR345" s="255" t="s">
        <v>1527</v>
      </c>
      <c r="AS345" s="434" t="s">
        <v>1554</v>
      </c>
      <c r="AT345" s="435" t="s">
        <v>1539</v>
      </c>
      <c r="AU345" s="258" t="s">
        <v>1535</v>
      </c>
      <c r="AV345" s="243"/>
      <c r="AW345" s="72" t="s">
        <v>127</v>
      </c>
      <c r="AX345" s="243"/>
      <c r="AY345" s="103">
        <f t="shared" si="157"/>
        <v>0.55500000000000005</v>
      </c>
      <c r="BA345" s="13" t="str">
        <f t="shared" si="158"/>
        <v>W13</v>
      </c>
      <c r="BB345" s="72" t="str">
        <f t="shared" si="159"/>
        <v>S/B</v>
      </c>
      <c r="BC345" s="32">
        <f t="shared" si="160"/>
        <v>1.35</v>
      </c>
      <c r="BD345" s="241">
        <f t="shared" si="161"/>
        <v>135.3946715783616</v>
      </c>
      <c r="BE345" s="241">
        <f t="shared" si="162"/>
        <v>-18.852422624835157</v>
      </c>
      <c r="BF345" s="71">
        <f t="shared" si="163"/>
        <v>-0.1222222222222222</v>
      </c>
      <c r="BG345" s="241">
        <f t="shared" si="164"/>
        <v>269.14506992286033</v>
      </c>
      <c r="BH345" s="241">
        <f t="shared" si="165"/>
        <v>-37.475895812043859</v>
      </c>
      <c r="BI345" s="71">
        <f t="shared" si="166"/>
        <v>-0.12222222222222227</v>
      </c>
      <c r="BJ345" s="158"/>
      <c r="BK345" s="158"/>
      <c r="BL345" s="83"/>
      <c r="BM345" s="141"/>
      <c r="BN345" s="71"/>
      <c r="BO345" s="141"/>
      <c r="BP345" s="141"/>
      <c r="BQ345" s="124"/>
      <c r="BR345" s="124"/>
      <c r="BS345" s="71"/>
      <c r="BU345" s="78"/>
      <c r="BV345" s="32"/>
      <c r="BW345" s="127"/>
      <c r="BX345" s="78"/>
      <c r="BY345" s="78"/>
      <c r="BZ345" s="127"/>
      <c r="CA345" s="76"/>
    </row>
    <row r="346" spans="1:79" s="262" customFormat="1">
      <c r="A346" s="13" t="s">
        <v>1506</v>
      </c>
      <c r="B346" s="13" t="s">
        <v>1507</v>
      </c>
      <c r="C346" s="13" t="s">
        <v>1323</v>
      </c>
      <c r="D346" s="445" t="s">
        <v>1555</v>
      </c>
      <c r="E346" s="13" t="s">
        <v>118</v>
      </c>
      <c r="F346" s="13" t="s">
        <v>186</v>
      </c>
      <c r="G346" s="445" t="s">
        <v>1556</v>
      </c>
      <c r="H346" s="13" t="s">
        <v>146</v>
      </c>
      <c r="I346" s="13" t="s">
        <v>122</v>
      </c>
      <c r="J346" s="13" t="s">
        <v>5</v>
      </c>
      <c r="K346" s="13" t="s">
        <v>123</v>
      </c>
      <c r="L346" s="13" t="s">
        <v>1557</v>
      </c>
      <c r="M346" s="13" t="s">
        <v>125</v>
      </c>
      <c r="N346" s="13" t="s">
        <v>126</v>
      </c>
      <c r="O346" s="448">
        <v>0.46</v>
      </c>
      <c r="P346" s="438">
        <v>122</v>
      </c>
      <c r="Q346" s="13">
        <v>30</v>
      </c>
      <c r="R346" s="449" t="s">
        <v>127</v>
      </c>
      <c r="S346" s="430" t="str">
        <f t="shared" si="142"/>
        <v>N/A</v>
      </c>
      <c r="T346" s="247">
        <v>0.8</v>
      </c>
      <c r="U346" s="13">
        <v>360</v>
      </c>
      <c r="V346" s="13">
        <v>650</v>
      </c>
      <c r="W346" s="430">
        <f t="shared" si="140"/>
        <v>290</v>
      </c>
      <c r="X346" s="430">
        <f t="shared" si="141"/>
        <v>270</v>
      </c>
      <c r="Y346" s="13">
        <v>305</v>
      </c>
      <c r="Z346" s="13">
        <v>705</v>
      </c>
      <c r="AA346" s="430">
        <f t="shared" si="143"/>
        <v>400</v>
      </c>
      <c r="AB346" s="430">
        <f t="shared" si="144"/>
        <v>215</v>
      </c>
      <c r="AC346" s="430" t="str">
        <f t="shared" si="145"/>
        <v>N/A</v>
      </c>
      <c r="AD346" s="430">
        <f t="shared" si="146"/>
        <v>92</v>
      </c>
      <c r="AE346" s="431">
        <f t="shared" si="147"/>
        <v>1.2232000000000001</v>
      </c>
      <c r="AF346" s="431"/>
      <c r="AG346" s="431">
        <f t="shared" si="148"/>
        <v>1.063632786885246</v>
      </c>
      <c r="AH346" s="431">
        <f t="shared" si="149"/>
        <v>1.1274507540983607</v>
      </c>
      <c r="AI346" s="432">
        <f t="shared" si="150"/>
        <v>877.94839200000001</v>
      </c>
      <c r="AJ346" s="432">
        <f t="shared" si="151"/>
        <v>136.66261285142087</v>
      </c>
      <c r="AK346" s="432">
        <f t="shared" si="152"/>
        <v>149.43002504152074</v>
      </c>
      <c r="AL346" s="432">
        <f t="shared" si="153"/>
        <v>297.0453273347461</v>
      </c>
      <c r="AM346" s="250">
        <v>295</v>
      </c>
      <c r="AN346" s="432">
        <f t="shared" si="154"/>
        <v>359.9</v>
      </c>
      <c r="AO346" s="432">
        <f t="shared" si="155"/>
        <v>405.76952640000002</v>
      </c>
      <c r="AP346" s="432">
        <f t="shared" si="156"/>
        <v>1352.5650880000001</v>
      </c>
      <c r="AQ346" s="255">
        <v>45383</v>
      </c>
      <c r="AR346" s="255" t="s">
        <v>1558</v>
      </c>
      <c r="AS346" s="434" t="s">
        <v>1559</v>
      </c>
      <c r="AT346" s="429"/>
      <c r="AU346" s="257"/>
      <c r="AV346" s="259"/>
      <c r="AW346" s="38"/>
      <c r="AX346" s="259"/>
      <c r="AY346" s="102">
        <f t="shared" si="157"/>
        <v>0.53278688524590168</v>
      </c>
      <c r="BA346" s="38" t="str">
        <f t="shared" si="158"/>
        <v>W22</v>
      </c>
      <c r="BC346" s="263"/>
      <c r="BD346" s="257"/>
      <c r="BE346" s="257"/>
      <c r="BF346" s="106"/>
      <c r="BG346" s="257"/>
      <c r="BH346" s="257"/>
      <c r="BI346" s="106"/>
      <c r="BJ346" s="143"/>
      <c r="BK346" s="143"/>
      <c r="BL346" s="170"/>
      <c r="BM346" s="143"/>
      <c r="BN346" s="143"/>
      <c r="BO346" s="105"/>
      <c r="BP346" s="105"/>
      <c r="BQ346" s="159"/>
      <c r="BR346" s="159"/>
      <c r="BS346" s="100"/>
      <c r="BT346" s="77"/>
      <c r="BU346" s="282"/>
      <c r="BV346" s="264"/>
      <c r="BW346" s="169"/>
      <c r="BX346" s="282"/>
      <c r="BY346" s="282"/>
      <c r="BZ346" s="169"/>
      <c r="CA346" s="271"/>
    </row>
    <row r="347" spans="1:79" s="72" customFormat="1">
      <c r="A347" s="13" t="s">
        <v>1506</v>
      </c>
      <c r="B347" s="13" t="s">
        <v>1507</v>
      </c>
      <c r="C347" s="13" t="s">
        <v>1323</v>
      </c>
      <c r="D347" s="445" t="s">
        <v>1555</v>
      </c>
      <c r="E347" s="13" t="s">
        <v>118</v>
      </c>
      <c r="F347" s="13" t="s">
        <v>167</v>
      </c>
      <c r="G347" s="445" t="s">
        <v>1560</v>
      </c>
      <c r="H347" s="13" t="s">
        <v>146</v>
      </c>
      <c r="I347" s="13" t="s">
        <v>147</v>
      </c>
      <c r="J347" s="13" t="s">
        <v>5</v>
      </c>
      <c r="K347" s="13" t="s">
        <v>123</v>
      </c>
      <c r="L347" s="13" t="s">
        <v>1561</v>
      </c>
      <c r="M347" s="13" t="s">
        <v>125</v>
      </c>
      <c r="N347" s="13" t="s">
        <v>126</v>
      </c>
      <c r="O347" s="448">
        <v>0.5</v>
      </c>
      <c r="P347" s="438">
        <v>119</v>
      </c>
      <c r="Q347" s="13">
        <v>30</v>
      </c>
      <c r="R347" s="449" t="s">
        <v>127</v>
      </c>
      <c r="S347" s="430" t="str">
        <f t="shared" si="142"/>
        <v>N/A</v>
      </c>
      <c r="T347" s="247">
        <v>0.8</v>
      </c>
      <c r="U347" s="13">
        <v>330</v>
      </c>
      <c r="V347" s="13">
        <v>620</v>
      </c>
      <c r="W347" s="430">
        <f t="shared" si="140"/>
        <v>290</v>
      </c>
      <c r="X347" s="430">
        <f t="shared" si="141"/>
        <v>270</v>
      </c>
      <c r="Y347" s="13">
        <v>275</v>
      </c>
      <c r="Z347" s="13">
        <v>675</v>
      </c>
      <c r="AA347" s="430">
        <f t="shared" si="143"/>
        <v>400</v>
      </c>
      <c r="AB347" s="430">
        <f t="shared" si="144"/>
        <v>215</v>
      </c>
      <c r="AC347" s="430" t="str">
        <f t="shared" si="145"/>
        <v>N/A</v>
      </c>
      <c r="AD347" s="430">
        <f t="shared" si="146"/>
        <v>89</v>
      </c>
      <c r="AE347" s="431">
        <f t="shared" si="147"/>
        <v>1.2450000000000001</v>
      </c>
      <c r="AF347" s="431"/>
      <c r="AG347" s="431">
        <f t="shared" si="148"/>
        <v>1.0785924369747899</v>
      </c>
      <c r="AH347" s="431">
        <f t="shared" si="149"/>
        <v>1.1433079831932773</v>
      </c>
      <c r="AI347" s="432">
        <f t="shared" si="150"/>
        <v>880.5526000000001</v>
      </c>
      <c r="AJ347" s="432">
        <f t="shared" si="151"/>
        <v>134.26964501193416</v>
      </c>
      <c r="AK347" s="432">
        <f t="shared" si="152"/>
        <v>146.81349930183788</v>
      </c>
      <c r="AL347" s="432">
        <f t="shared" si="153"/>
        <v>291.84405172358345</v>
      </c>
      <c r="AM347" s="250">
        <v>290</v>
      </c>
      <c r="AN347" s="432">
        <f t="shared" si="154"/>
        <v>345.1</v>
      </c>
      <c r="AO347" s="432">
        <f t="shared" si="155"/>
        <v>394.55558500000001</v>
      </c>
      <c r="AP347" s="432">
        <f t="shared" si="156"/>
        <v>1315.1852833333335</v>
      </c>
      <c r="AQ347" s="255">
        <v>45222</v>
      </c>
      <c r="AR347" s="255" t="s">
        <v>1562</v>
      </c>
      <c r="AS347" s="434" t="s">
        <v>1563</v>
      </c>
      <c r="AT347" s="429"/>
      <c r="AU347" s="241"/>
      <c r="AV347" s="243"/>
      <c r="AW347" s="72" t="s">
        <v>127</v>
      </c>
      <c r="AX347" s="243"/>
      <c r="AY347" s="71">
        <f t="shared" si="157"/>
        <v>0.52100840336134457</v>
      </c>
      <c r="BA347" s="72" t="str">
        <f t="shared" si="158"/>
        <v>W22</v>
      </c>
      <c r="BC347" s="32"/>
      <c r="BD347" s="241"/>
      <c r="BE347" s="241"/>
      <c r="BF347" s="71"/>
      <c r="BG347" s="241"/>
      <c r="BH347" s="241"/>
      <c r="BI347" s="71"/>
      <c r="BJ347" s="123"/>
      <c r="BK347" s="123"/>
      <c r="BL347" s="126"/>
      <c r="BM347" s="123"/>
      <c r="BN347" s="123"/>
      <c r="BO347" s="108"/>
      <c r="BP347" s="108"/>
      <c r="BQ347" s="108"/>
      <c r="BR347" s="71"/>
      <c r="BS347" s="71"/>
      <c r="BU347" s="78"/>
      <c r="BV347" s="32"/>
      <c r="BW347" s="127"/>
      <c r="BX347" s="78"/>
      <c r="BY347" s="78"/>
      <c r="BZ347" s="127"/>
      <c r="CA347" s="76"/>
    </row>
    <row r="348" spans="1:79" s="22" customFormat="1">
      <c r="A348" s="13" t="s">
        <v>1506</v>
      </c>
      <c r="B348" s="13" t="s">
        <v>1507</v>
      </c>
      <c r="C348" s="13" t="s">
        <v>1323</v>
      </c>
      <c r="D348" s="450" t="s">
        <v>1564</v>
      </c>
      <c r="E348" s="13" t="s">
        <v>118</v>
      </c>
      <c r="F348" s="13" t="s">
        <v>167</v>
      </c>
      <c r="G348" s="445" t="s">
        <v>1565</v>
      </c>
      <c r="H348" s="13" t="s">
        <v>146</v>
      </c>
      <c r="I348" s="13" t="s">
        <v>147</v>
      </c>
      <c r="J348" s="13" t="s">
        <v>5</v>
      </c>
      <c r="K348" s="13" t="s">
        <v>123</v>
      </c>
      <c r="L348" s="13" t="s">
        <v>1566</v>
      </c>
      <c r="M348" s="13" t="s">
        <v>125</v>
      </c>
      <c r="N348" s="13" t="s">
        <v>126</v>
      </c>
      <c r="O348" s="448">
        <v>0.57999999999999996</v>
      </c>
      <c r="P348" s="13">
        <v>113</v>
      </c>
      <c r="Q348" s="13">
        <v>28</v>
      </c>
      <c r="R348" s="449" t="s">
        <v>127</v>
      </c>
      <c r="S348" s="430" t="str">
        <f t="shared" si="142"/>
        <v>N/A</v>
      </c>
      <c r="T348" s="247">
        <v>0.8</v>
      </c>
      <c r="U348" s="13">
        <v>325</v>
      </c>
      <c r="V348" s="13">
        <v>725</v>
      </c>
      <c r="W348" s="430">
        <f t="shared" si="140"/>
        <v>400</v>
      </c>
      <c r="X348" s="430">
        <f t="shared" si="141"/>
        <v>125</v>
      </c>
      <c r="Y348" s="13">
        <v>325</v>
      </c>
      <c r="Z348" s="13">
        <v>725</v>
      </c>
      <c r="AA348" s="430">
        <f t="shared" si="143"/>
        <v>400</v>
      </c>
      <c r="AB348" s="430">
        <f t="shared" si="144"/>
        <v>125</v>
      </c>
      <c r="AC348" s="430" t="str">
        <f t="shared" si="145"/>
        <v>N/A</v>
      </c>
      <c r="AD348" s="430">
        <f t="shared" si="146"/>
        <v>85</v>
      </c>
      <c r="AE348" s="431">
        <f t="shared" si="147"/>
        <v>1.2930000000000001</v>
      </c>
      <c r="AF348" s="431"/>
      <c r="AG348" s="431">
        <f t="shared" si="148"/>
        <v>1.1075796460176992</v>
      </c>
      <c r="AH348" s="431">
        <f t="shared" si="149"/>
        <v>1.1740344247787611</v>
      </c>
      <c r="AI348" s="432">
        <f t="shared" si="150"/>
        <v>885.76101600000004</v>
      </c>
      <c r="AJ348" s="432">
        <f t="shared" si="151"/>
        <v>129.2851570300526</v>
      </c>
      <c r="AK348" s="432">
        <f t="shared" si="152"/>
        <v>141.36334619550513</v>
      </c>
      <c r="AL348" s="432">
        <f t="shared" si="153"/>
        <v>281.00993379416968</v>
      </c>
      <c r="AM348" s="250">
        <v>141</v>
      </c>
      <c r="AN348" s="432">
        <f t="shared" si="154"/>
        <v>159.33000000000001</v>
      </c>
      <c r="AO348" s="432">
        <f t="shared" si="155"/>
        <v>187.05890490000002</v>
      </c>
      <c r="AP348" s="432">
        <f t="shared" si="156"/>
        <v>668.06751750000001</v>
      </c>
      <c r="AQ348" s="255">
        <v>45039</v>
      </c>
      <c r="AR348" s="255" t="s">
        <v>1567</v>
      </c>
      <c r="AS348" s="434" t="s">
        <v>1568</v>
      </c>
      <c r="AT348" s="429" t="s">
        <v>1569</v>
      </c>
      <c r="AU348" s="241"/>
      <c r="AV348" s="243"/>
      <c r="AW348" s="72" t="s">
        <v>127</v>
      </c>
      <c r="AX348" s="243"/>
      <c r="AY348" s="103">
        <f t="shared" si="157"/>
        <v>0.6415929203539823</v>
      </c>
      <c r="AZ348" s="72"/>
      <c r="BA348" s="13" t="str">
        <f t="shared" si="158"/>
        <v>W22</v>
      </c>
      <c r="BB348" s="72" t="str">
        <f>IF(R348="n/a","Clear","S/B")</f>
        <v>Clear</v>
      </c>
      <c r="BC348" s="32"/>
      <c r="BD348" s="241"/>
      <c r="BE348" s="241"/>
      <c r="BF348" s="71"/>
      <c r="BG348" s="241"/>
      <c r="BH348" s="241"/>
      <c r="BI348" s="71"/>
      <c r="BJ348" s="123"/>
      <c r="BK348" s="123"/>
      <c r="BL348" s="126"/>
      <c r="BM348" s="123"/>
      <c r="BN348" s="123"/>
      <c r="BO348" s="108"/>
      <c r="BP348" s="108"/>
      <c r="BQ348" s="103"/>
      <c r="BR348" s="103"/>
      <c r="BS348" s="103"/>
      <c r="BT348" s="13"/>
      <c r="BU348" s="79"/>
      <c r="BV348" s="29"/>
      <c r="BW348" s="86"/>
      <c r="BX348" s="79"/>
      <c r="BY348" s="79"/>
      <c r="BZ348" s="86"/>
      <c r="CA348" s="247"/>
    </row>
    <row r="349" spans="1:79" s="22" customFormat="1">
      <c r="A349" s="13" t="s">
        <v>1506</v>
      </c>
      <c r="B349" s="13" t="s">
        <v>1507</v>
      </c>
      <c r="C349" s="13" t="s">
        <v>1323</v>
      </c>
      <c r="D349" s="450" t="s">
        <v>1564</v>
      </c>
      <c r="E349" s="13" t="s">
        <v>118</v>
      </c>
      <c r="F349" s="13" t="s">
        <v>186</v>
      </c>
      <c r="G349" s="445" t="s">
        <v>1570</v>
      </c>
      <c r="H349" s="13" t="s">
        <v>146</v>
      </c>
      <c r="I349" s="13" t="s">
        <v>147</v>
      </c>
      <c r="J349" s="13" t="s">
        <v>5</v>
      </c>
      <c r="K349" s="13" t="s">
        <v>123</v>
      </c>
      <c r="L349" s="13" t="s">
        <v>1571</v>
      </c>
      <c r="M349" s="13" t="s">
        <v>125</v>
      </c>
      <c r="N349" s="13" t="s">
        <v>126</v>
      </c>
      <c r="O349" s="448">
        <v>0.6</v>
      </c>
      <c r="P349" s="13">
        <v>113</v>
      </c>
      <c r="Q349" s="13">
        <v>28</v>
      </c>
      <c r="R349" s="449" t="s">
        <v>127</v>
      </c>
      <c r="S349" s="430" t="str">
        <f t="shared" si="142"/>
        <v>N/A</v>
      </c>
      <c r="T349" s="247">
        <v>0.8</v>
      </c>
      <c r="U349" s="13">
        <v>325</v>
      </c>
      <c r="V349" s="13">
        <v>725</v>
      </c>
      <c r="W349" s="430">
        <f t="shared" si="140"/>
        <v>400</v>
      </c>
      <c r="X349" s="430">
        <f t="shared" si="141"/>
        <v>125</v>
      </c>
      <c r="Y349" s="13">
        <v>325</v>
      </c>
      <c r="Z349" s="13">
        <v>725</v>
      </c>
      <c r="AA349" s="430">
        <f t="shared" si="143"/>
        <v>400</v>
      </c>
      <c r="AB349" s="430">
        <f t="shared" si="144"/>
        <v>125</v>
      </c>
      <c r="AC349" s="430" t="str">
        <f t="shared" si="145"/>
        <v>N/A</v>
      </c>
      <c r="AD349" s="430">
        <f t="shared" si="146"/>
        <v>85</v>
      </c>
      <c r="AE349" s="431">
        <f t="shared" si="147"/>
        <v>1.31</v>
      </c>
      <c r="AF349" s="431"/>
      <c r="AG349" s="431">
        <f t="shared" si="148"/>
        <v>1.1181858407079648</v>
      </c>
      <c r="AH349" s="431">
        <f t="shared" si="149"/>
        <v>1.1852769911504428</v>
      </c>
      <c r="AI349" s="432">
        <f t="shared" si="150"/>
        <v>887.06312000000003</v>
      </c>
      <c r="AJ349" s="432">
        <f t="shared" si="151"/>
        <v>127.60741071744887</v>
      </c>
      <c r="AK349" s="432">
        <f t="shared" si="152"/>
        <v>139.52886002350243</v>
      </c>
      <c r="AL349" s="432">
        <f t="shared" si="153"/>
        <v>277.36323999684083</v>
      </c>
      <c r="AM349" s="250">
        <v>275</v>
      </c>
      <c r="AN349" s="432">
        <f t="shared" si="154"/>
        <v>310.75</v>
      </c>
      <c r="AO349" s="432">
        <f t="shared" si="155"/>
        <v>368.32482500000009</v>
      </c>
      <c r="AP349" s="432">
        <f t="shared" si="156"/>
        <v>1315.4458035714288</v>
      </c>
      <c r="AQ349" s="255">
        <v>45100</v>
      </c>
      <c r="AR349" s="255" t="s">
        <v>1572</v>
      </c>
      <c r="AS349" s="434" t="s">
        <v>1573</v>
      </c>
      <c r="AT349" s="429" t="s">
        <v>1574</v>
      </c>
      <c r="AU349" s="249"/>
      <c r="AV349" s="254"/>
      <c r="AW349" s="38" t="s">
        <v>127</v>
      </c>
      <c r="AX349" s="254"/>
      <c r="AY349" s="103">
        <f t="shared" si="157"/>
        <v>0.6415929203539823</v>
      </c>
      <c r="AZ349" s="38"/>
      <c r="BA349" s="38" t="str">
        <f t="shared" si="158"/>
        <v>W22</v>
      </c>
      <c r="BB349" s="77"/>
      <c r="BC349" s="263"/>
      <c r="BD349" s="257"/>
      <c r="BE349" s="257"/>
      <c r="BF349" s="106"/>
      <c r="BG349" s="257"/>
      <c r="BH349" s="257"/>
      <c r="BI349" s="106"/>
      <c r="BJ349" s="143"/>
      <c r="BK349" s="139"/>
      <c r="BL349" s="191"/>
      <c r="BM349" s="139"/>
      <c r="BN349" s="162"/>
      <c r="BO349" s="101"/>
      <c r="BP349" s="105"/>
      <c r="BQ349" s="124"/>
      <c r="BR349" s="124"/>
      <c r="BS349" s="71"/>
      <c r="BT349" s="72"/>
      <c r="BU349" s="78"/>
      <c r="BV349" s="32"/>
      <c r="BW349" s="127"/>
      <c r="BX349" s="78"/>
      <c r="BY349" s="78"/>
      <c r="BZ349" s="127"/>
      <c r="CA349" s="76"/>
    </row>
    <row r="350" spans="1:79" s="22" customFormat="1">
      <c r="A350" s="13" t="s">
        <v>1506</v>
      </c>
      <c r="B350" s="13" t="s">
        <v>1507</v>
      </c>
      <c r="C350" s="13" t="s">
        <v>1323</v>
      </c>
      <c r="D350" s="445" t="s">
        <v>1575</v>
      </c>
      <c r="E350" s="13" t="s">
        <v>118</v>
      </c>
      <c r="F350" s="13" t="s">
        <v>186</v>
      </c>
      <c r="G350" s="445" t="s">
        <v>1576</v>
      </c>
      <c r="H350" s="13" t="s">
        <v>146</v>
      </c>
      <c r="I350" s="13" t="s">
        <v>147</v>
      </c>
      <c r="J350" s="13" t="s">
        <v>5</v>
      </c>
      <c r="K350" s="13" t="s">
        <v>123</v>
      </c>
      <c r="L350" s="13" t="s">
        <v>1577</v>
      </c>
      <c r="M350" s="13" t="s">
        <v>125</v>
      </c>
      <c r="N350" s="13" t="s">
        <v>126</v>
      </c>
      <c r="O350" s="448">
        <v>0.17</v>
      </c>
      <c r="P350" s="13">
        <v>119</v>
      </c>
      <c r="Q350" s="13">
        <v>20</v>
      </c>
      <c r="R350" s="449" t="s">
        <v>127</v>
      </c>
      <c r="S350" s="430" t="str">
        <f t="shared" si="142"/>
        <v>N/A</v>
      </c>
      <c r="T350" s="247">
        <v>0.8</v>
      </c>
      <c r="U350" s="13">
        <v>470</v>
      </c>
      <c r="V350" s="13">
        <v>870</v>
      </c>
      <c r="W350" s="430">
        <f t="shared" si="140"/>
        <v>400</v>
      </c>
      <c r="X350" s="430">
        <f t="shared" si="141"/>
        <v>120</v>
      </c>
      <c r="Y350" s="13">
        <v>470</v>
      </c>
      <c r="Z350" s="13">
        <v>870</v>
      </c>
      <c r="AA350" s="430">
        <f t="shared" si="143"/>
        <v>400</v>
      </c>
      <c r="AB350" s="430">
        <f t="shared" si="144"/>
        <v>120</v>
      </c>
      <c r="AC350" s="430" t="str">
        <f t="shared" si="145"/>
        <v>N/A</v>
      </c>
      <c r="AD350" s="430">
        <f t="shared" si="146"/>
        <v>99</v>
      </c>
      <c r="AE350" s="431">
        <f t="shared" si="147"/>
        <v>0.96830000000000005</v>
      </c>
      <c r="AF350" s="431"/>
      <c r="AG350" s="431">
        <f t="shared" si="148"/>
        <v>0.89829285714285712</v>
      </c>
      <c r="AH350" s="431">
        <f t="shared" si="149"/>
        <v>0.95219042857142855</v>
      </c>
      <c r="AI350" s="432">
        <f t="shared" si="150"/>
        <v>859.06788400000005</v>
      </c>
      <c r="AJ350" s="432">
        <f t="shared" si="151"/>
        <v>172.63834352975115</v>
      </c>
      <c r="AK350" s="432">
        <f t="shared" si="152"/>
        <v>188.7667113815844</v>
      </c>
      <c r="AL350" s="432">
        <f t="shared" si="153"/>
        <v>375.24098357519512</v>
      </c>
      <c r="AM350" s="250">
        <v>189</v>
      </c>
      <c r="AN350" s="432">
        <f t="shared" si="154"/>
        <v>224.91</v>
      </c>
      <c r="AO350" s="432">
        <f t="shared" si="155"/>
        <v>214.15714928999998</v>
      </c>
      <c r="AP350" s="432">
        <f t="shared" si="156"/>
        <v>1070.7857464499998</v>
      </c>
      <c r="AQ350" s="255">
        <v>44896</v>
      </c>
      <c r="AR350" s="255" t="s">
        <v>1578</v>
      </c>
      <c r="AS350" s="434" t="s">
        <v>1579</v>
      </c>
      <c r="AT350" s="429" t="s">
        <v>1580</v>
      </c>
      <c r="AU350" s="249"/>
      <c r="AV350" s="254"/>
      <c r="AW350" s="38" t="s">
        <v>127</v>
      </c>
      <c r="AX350" s="268"/>
      <c r="AY350" s="103">
        <f t="shared" si="157"/>
        <v>0.73109243697478987</v>
      </c>
      <c r="AZ350" s="77"/>
      <c r="BA350" s="38" t="str">
        <f t="shared" si="158"/>
        <v>W22</v>
      </c>
      <c r="BB350" s="77" t="str">
        <f t="shared" ref="BB350:BB374" si="167">IF(R350="n/a","Clear","S/B")</f>
        <v>Clear</v>
      </c>
      <c r="BC350" s="264">
        <f>IF(Q350="","",((P350/100*O350)+T350))</f>
        <v>1.0023</v>
      </c>
      <c r="BD350" s="253">
        <f>IF(BC350="","",((PI()*((51/2)^2-(16.545/2)^2)/(BC350/10))/100))</f>
        <v>182.36337087776931</v>
      </c>
      <c r="BE350" s="253">
        <f>IF(BC350="","",(BD350-AK350))</f>
        <v>-6.4033405038150875</v>
      </c>
      <c r="BF350" s="100">
        <f>IF(BC350="","",(BE350/AK350))</f>
        <v>-3.3921979447271239E-2</v>
      </c>
      <c r="BG350" s="253">
        <f>IF(BF350="","",((PI()*((70/2)^2-(16.545/2)^2)/(BC350/10))/100))</f>
        <v>362.51206664258353</v>
      </c>
      <c r="BH350" s="253">
        <f>IF(BF350="","",(BG350-AL350))</f>
        <v>-12.728916932611583</v>
      </c>
      <c r="BI350" s="100">
        <f>IF(BG350="","",(BH350/AL350))</f>
        <v>-3.3921979447271156E-2</v>
      </c>
      <c r="BJ350" s="162"/>
      <c r="BK350" s="162"/>
      <c r="BL350" s="168"/>
      <c r="BM350" s="162"/>
      <c r="BN350" s="162"/>
      <c r="BO350" s="130"/>
      <c r="BP350" s="130"/>
      <c r="BQ350" s="83"/>
      <c r="BR350" s="71"/>
      <c r="BS350" s="71"/>
      <c r="BT350" s="13">
        <f>P350-V350/10-120/10</f>
        <v>20</v>
      </c>
      <c r="BU350" s="79">
        <f>BT350-Q350</f>
        <v>0</v>
      </c>
      <c r="BV350" s="29">
        <f>T350+(O350/100*(P350-BT350))</f>
        <v>0.96830000000000005</v>
      </c>
      <c r="BW350" s="86">
        <f>(AE350-BV350)/AE350</f>
        <v>0</v>
      </c>
      <c r="BX350" s="79">
        <f>(PI()*((51/2)^2-(16.545/2)^2)/(BV350/10))/100</f>
        <v>188.7667113815844</v>
      </c>
      <c r="BY350" s="79">
        <f>BX350-AK350</f>
        <v>0</v>
      </c>
      <c r="BZ350" s="86">
        <f>BY350/AK350</f>
        <v>0</v>
      </c>
      <c r="CA350" s="76"/>
    </row>
    <row r="351" spans="1:79" s="22" customFormat="1">
      <c r="A351" s="13" t="s">
        <v>1506</v>
      </c>
      <c r="B351" s="13" t="s">
        <v>1507</v>
      </c>
      <c r="C351" s="13" t="s">
        <v>1323</v>
      </c>
      <c r="D351" s="445" t="s">
        <v>1575</v>
      </c>
      <c r="E351" s="13" t="s">
        <v>118</v>
      </c>
      <c r="F351" s="13" t="s">
        <v>186</v>
      </c>
      <c r="G351" s="445" t="s">
        <v>1581</v>
      </c>
      <c r="H351" s="13" t="s">
        <v>146</v>
      </c>
      <c r="I351" s="13" t="s">
        <v>122</v>
      </c>
      <c r="J351" s="13" t="s">
        <v>5</v>
      </c>
      <c r="K351" s="13" t="s">
        <v>123</v>
      </c>
      <c r="L351" s="13" t="s">
        <v>1582</v>
      </c>
      <c r="M351" s="13" t="s">
        <v>125</v>
      </c>
      <c r="N351" s="13" t="s">
        <v>126</v>
      </c>
      <c r="O351" s="448">
        <v>0.17</v>
      </c>
      <c r="P351" s="13">
        <v>119</v>
      </c>
      <c r="Q351" s="13">
        <v>20</v>
      </c>
      <c r="R351" s="449" t="s">
        <v>127</v>
      </c>
      <c r="S351" s="430" t="str">
        <f t="shared" si="142"/>
        <v>N/A</v>
      </c>
      <c r="T351" s="247">
        <v>0.8</v>
      </c>
      <c r="U351" s="13">
        <v>470</v>
      </c>
      <c r="V351" s="13">
        <v>870</v>
      </c>
      <c r="W351" s="430">
        <f t="shared" si="140"/>
        <v>400</v>
      </c>
      <c r="X351" s="430">
        <f t="shared" si="141"/>
        <v>120</v>
      </c>
      <c r="Y351" s="13">
        <v>470</v>
      </c>
      <c r="Z351" s="13">
        <v>870</v>
      </c>
      <c r="AA351" s="430">
        <f t="shared" si="143"/>
        <v>400</v>
      </c>
      <c r="AB351" s="430">
        <f t="shared" si="144"/>
        <v>120</v>
      </c>
      <c r="AC351" s="430" t="str">
        <f t="shared" si="145"/>
        <v>N/A</v>
      </c>
      <c r="AD351" s="430">
        <f t="shared" si="146"/>
        <v>99</v>
      </c>
      <c r="AE351" s="431">
        <f t="shared" si="147"/>
        <v>0.96830000000000005</v>
      </c>
      <c r="AF351" s="431"/>
      <c r="AG351" s="431">
        <f t="shared" si="148"/>
        <v>0.89829285714285712</v>
      </c>
      <c r="AH351" s="431">
        <f t="shared" si="149"/>
        <v>0.95219042857142855</v>
      </c>
      <c r="AI351" s="432">
        <f t="shared" si="150"/>
        <v>859.06788400000005</v>
      </c>
      <c r="AJ351" s="432">
        <f t="shared" si="151"/>
        <v>172.63834352975115</v>
      </c>
      <c r="AK351" s="432">
        <f t="shared" si="152"/>
        <v>188.7667113815844</v>
      </c>
      <c r="AL351" s="432">
        <f t="shared" si="153"/>
        <v>375.24098357519512</v>
      </c>
      <c r="AM351" s="250">
        <v>375</v>
      </c>
      <c r="AN351" s="432">
        <f t="shared" si="154"/>
        <v>446.25</v>
      </c>
      <c r="AO351" s="432">
        <f t="shared" si="155"/>
        <v>424.91497874999999</v>
      </c>
      <c r="AP351" s="432">
        <f t="shared" si="156"/>
        <v>2124.5748937499998</v>
      </c>
      <c r="AQ351" s="255">
        <v>45017</v>
      </c>
      <c r="AR351" s="255" t="s">
        <v>1583</v>
      </c>
      <c r="AS351" s="429" t="s">
        <v>1584</v>
      </c>
      <c r="AT351" s="434" t="s">
        <v>1585</v>
      </c>
      <c r="AU351" s="249"/>
      <c r="AV351" s="259"/>
      <c r="AW351" s="77" t="s">
        <v>127</v>
      </c>
      <c r="AX351" s="268"/>
      <c r="AY351" s="103">
        <f t="shared" si="157"/>
        <v>0.73109243697478987</v>
      </c>
      <c r="AZ351" s="77"/>
      <c r="BA351" s="38" t="str">
        <f t="shared" si="158"/>
        <v>W22</v>
      </c>
      <c r="BB351" s="77" t="str">
        <f t="shared" si="167"/>
        <v>Clear</v>
      </c>
      <c r="BC351" s="264"/>
      <c r="BD351" s="253"/>
      <c r="BE351" s="253"/>
      <c r="BF351" s="100"/>
      <c r="BG351" s="253"/>
      <c r="BH351" s="253"/>
      <c r="BI351" s="100"/>
      <c r="BJ351" s="143"/>
      <c r="BK351" s="139"/>
      <c r="BL351" s="191"/>
      <c r="BM351" s="139"/>
      <c r="BN351" s="162"/>
      <c r="BO351" s="101"/>
      <c r="BP351" s="101"/>
      <c r="BQ351" s="115"/>
      <c r="BR351" s="113"/>
      <c r="BS351" s="80"/>
      <c r="BU351" s="87"/>
      <c r="BV351" s="73"/>
      <c r="BW351" s="109"/>
      <c r="BX351" s="87"/>
      <c r="BY351" s="87"/>
      <c r="BZ351" s="109"/>
      <c r="CA351" s="76"/>
    </row>
    <row r="352" spans="1:79" s="22" customFormat="1">
      <c r="A352" s="13" t="s">
        <v>1506</v>
      </c>
      <c r="B352" s="13" t="s">
        <v>1507</v>
      </c>
      <c r="C352" s="13" t="s">
        <v>1323</v>
      </c>
      <c r="D352" s="445" t="s">
        <v>1586</v>
      </c>
      <c r="E352" s="13" t="s">
        <v>118</v>
      </c>
      <c r="F352" s="13" t="s">
        <v>186</v>
      </c>
      <c r="G352" s="445" t="s">
        <v>1587</v>
      </c>
      <c r="H352" s="13" t="s">
        <v>146</v>
      </c>
      <c r="I352" s="13" t="s">
        <v>147</v>
      </c>
      <c r="J352" s="13" t="s">
        <v>5</v>
      </c>
      <c r="K352" s="13" t="s">
        <v>123</v>
      </c>
      <c r="L352" s="13" t="s">
        <v>1588</v>
      </c>
      <c r="M352" s="13" t="s">
        <v>125</v>
      </c>
      <c r="N352" s="13" t="s">
        <v>126</v>
      </c>
      <c r="O352" s="448">
        <v>0.41</v>
      </c>
      <c r="P352" s="13">
        <v>119</v>
      </c>
      <c r="Q352" s="13">
        <v>28</v>
      </c>
      <c r="R352" s="449" t="s">
        <v>127</v>
      </c>
      <c r="S352" s="430" t="str">
        <f t="shared" si="142"/>
        <v>N/A</v>
      </c>
      <c r="T352" s="247">
        <v>0.8</v>
      </c>
      <c r="U352" s="13">
        <v>380</v>
      </c>
      <c r="V352" s="13">
        <v>790</v>
      </c>
      <c r="W352" s="430">
        <f t="shared" si="140"/>
        <v>410</v>
      </c>
      <c r="X352" s="430">
        <f t="shared" si="141"/>
        <v>120</v>
      </c>
      <c r="Y352" s="13">
        <v>380</v>
      </c>
      <c r="Z352" s="13">
        <v>790</v>
      </c>
      <c r="AA352" s="430">
        <f t="shared" si="143"/>
        <v>410</v>
      </c>
      <c r="AB352" s="430">
        <f t="shared" si="144"/>
        <v>120</v>
      </c>
      <c r="AC352" s="430" t="str">
        <f t="shared" si="145"/>
        <v>N/A</v>
      </c>
      <c r="AD352" s="430">
        <f t="shared" si="146"/>
        <v>91</v>
      </c>
      <c r="AE352" s="431">
        <f t="shared" si="147"/>
        <v>1.1731</v>
      </c>
      <c r="AF352" s="431"/>
      <c r="AG352" s="431">
        <f t="shared" si="148"/>
        <v>1.0304441176470589</v>
      </c>
      <c r="AH352" s="431">
        <f t="shared" si="149"/>
        <v>1.0922707647058825</v>
      </c>
      <c r="AI352" s="432">
        <f t="shared" si="150"/>
        <v>874.69313200000011</v>
      </c>
      <c r="AJ352" s="432">
        <f t="shared" si="151"/>
        <v>142.49911178915528</v>
      </c>
      <c r="AK352" s="432">
        <f t="shared" si="152"/>
        <v>155.81178640421803</v>
      </c>
      <c r="AL352" s="432">
        <f t="shared" si="153"/>
        <v>309.73134804864162</v>
      </c>
      <c r="AM352" s="250">
        <v>310</v>
      </c>
      <c r="AN352" s="432">
        <f t="shared" si="154"/>
        <v>368.9</v>
      </c>
      <c r="AO352" s="432">
        <f t="shared" si="155"/>
        <v>402.93868510000004</v>
      </c>
      <c r="AP352" s="432">
        <f t="shared" si="156"/>
        <v>1439.0667324999999</v>
      </c>
      <c r="AQ352" s="255">
        <v>45100</v>
      </c>
      <c r="AR352" s="255" t="s">
        <v>1589</v>
      </c>
      <c r="AS352" s="434" t="s">
        <v>1590</v>
      </c>
      <c r="AT352" s="429"/>
      <c r="AU352" s="249"/>
      <c r="AV352" s="254"/>
      <c r="AW352" s="72" t="s">
        <v>127</v>
      </c>
      <c r="AX352" s="243"/>
      <c r="AY352" s="103">
        <f t="shared" si="157"/>
        <v>0.66386554621848737</v>
      </c>
      <c r="AZ352" s="72"/>
      <c r="BA352" s="13" t="str">
        <f t="shared" si="158"/>
        <v>W22</v>
      </c>
      <c r="BB352" s="72" t="str">
        <f t="shared" si="167"/>
        <v>Clear</v>
      </c>
      <c r="BC352" s="263"/>
      <c r="BD352" s="257"/>
      <c r="BE352" s="257"/>
      <c r="BF352" s="106"/>
      <c r="BG352" s="257"/>
      <c r="BH352" s="257"/>
      <c r="BI352" s="106"/>
      <c r="BJ352" s="143"/>
      <c r="BK352" s="139"/>
      <c r="BL352" s="191"/>
      <c r="BM352" s="139"/>
      <c r="BN352" s="162"/>
      <c r="BO352" s="101"/>
      <c r="BP352" s="105"/>
      <c r="BQ352" s="124"/>
      <c r="BR352" s="124"/>
      <c r="BS352" s="71"/>
      <c r="BT352" s="72">
        <f>P352-V352/10-120/10</f>
        <v>28</v>
      </c>
      <c r="BU352" s="78"/>
      <c r="BV352" s="32">
        <f>T352+(O352/100*(P352-BT352))</f>
        <v>1.1731</v>
      </c>
      <c r="BW352" s="127"/>
      <c r="BX352" s="78">
        <f>(PI()*((51/2)^2-(16.545/2)^2)/(BV352/10))/100</f>
        <v>155.81178640421803</v>
      </c>
      <c r="BY352" s="78"/>
      <c r="BZ352" s="127"/>
      <c r="CA352" s="76"/>
    </row>
    <row r="353" spans="1:79" s="22" customFormat="1">
      <c r="A353" s="13" t="s">
        <v>1506</v>
      </c>
      <c r="B353" s="13" t="s">
        <v>1507</v>
      </c>
      <c r="C353" s="13" t="s">
        <v>1323</v>
      </c>
      <c r="D353" s="445" t="s">
        <v>1591</v>
      </c>
      <c r="E353" s="13" t="s">
        <v>118</v>
      </c>
      <c r="F353" s="13" t="s">
        <v>167</v>
      </c>
      <c r="G353" s="445" t="s">
        <v>1592</v>
      </c>
      <c r="H353" s="13" t="s">
        <v>146</v>
      </c>
      <c r="I353" s="13" t="s">
        <v>147</v>
      </c>
      <c r="J353" s="13" t="s">
        <v>5</v>
      </c>
      <c r="K353" s="13" t="s">
        <v>123</v>
      </c>
      <c r="L353" s="13" t="s">
        <v>1593</v>
      </c>
      <c r="M353" s="13" t="s">
        <v>125</v>
      </c>
      <c r="N353" s="13" t="s">
        <v>126</v>
      </c>
      <c r="O353" s="448">
        <v>0.12</v>
      </c>
      <c r="P353" s="13">
        <v>119</v>
      </c>
      <c r="Q353" s="13">
        <v>21</v>
      </c>
      <c r="R353" s="449" t="s">
        <v>127</v>
      </c>
      <c r="S353" s="430" t="str">
        <f t="shared" si="142"/>
        <v>N/A</v>
      </c>
      <c r="T353" s="247">
        <v>0.8</v>
      </c>
      <c r="U353" s="13">
        <v>455</v>
      </c>
      <c r="V353" s="13">
        <v>855</v>
      </c>
      <c r="W353" s="430">
        <f t="shared" si="140"/>
        <v>400</v>
      </c>
      <c r="X353" s="430">
        <f t="shared" si="141"/>
        <v>125</v>
      </c>
      <c r="Y353" s="13">
        <v>455</v>
      </c>
      <c r="Z353" s="13">
        <v>855</v>
      </c>
      <c r="AA353" s="430">
        <f t="shared" si="143"/>
        <v>400</v>
      </c>
      <c r="AB353" s="430">
        <f t="shared" si="144"/>
        <v>125</v>
      </c>
      <c r="AC353" s="430" t="str">
        <f t="shared" si="145"/>
        <v>N/A</v>
      </c>
      <c r="AD353" s="430">
        <f t="shared" si="146"/>
        <v>98</v>
      </c>
      <c r="AE353" s="431">
        <f t="shared" si="147"/>
        <v>0.91760000000000008</v>
      </c>
      <c r="AF353" s="431"/>
      <c r="AG353" s="431">
        <f t="shared" si="148"/>
        <v>0.86917647058823533</v>
      </c>
      <c r="AH353" s="431">
        <f t="shared" si="149"/>
        <v>0.92132705882352939</v>
      </c>
      <c r="AI353" s="432">
        <f t="shared" si="150"/>
        <v>855.81262400000003</v>
      </c>
      <c r="AJ353" s="432">
        <f t="shared" si="151"/>
        <v>182.1771011768287</v>
      </c>
      <c r="AK353" s="432">
        <f t="shared" si="152"/>
        <v>199.19660705186155</v>
      </c>
      <c r="AL353" s="432">
        <f t="shared" si="153"/>
        <v>395.97411115503644</v>
      </c>
      <c r="AM353" s="250">
        <v>150</v>
      </c>
      <c r="AN353" s="432">
        <f t="shared" si="154"/>
        <v>178.5</v>
      </c>
      <c r="AO353" s="432">
        <f t="shared" si="155"/>
        <v>164.45687999999998</v>
      </c>
      <c r="AP353" s="432">
        <f t="shared" si="156"/>
        <v>783.12799999999993</v>
      </c>
      <c r="AQ353" s="255" t="s">
        <v>170</v>
      </c>
      <c r="AR353" s="255" t="s">
        <v>1594</v>
      </c>
      <c r="AS353" s="434" t="s">
        <v>1595</v>
      </c>
      <c r="AT353" s="429"/>
      <c r="AU353" s="241"/>
      <c r="AV353" s="243"/>
      <c r="AW353" s="72" t="s">
        <v>127</v>
      </c>
      <c r="AX353" s="243"/>
      <c r="AY353" s="103">
        <f t="shared" si="157"/>
        <v>0.71848739495798319</v>
      </c>
      <c r="AZ353" s="72"/>
      <c r="BA353" s="13" t="str">
        <f t="shared" si="158"/>
        <v>W22</v>
      </c>
      <c r="BB353" s="72" t="str">
        <f t="shared" si="167"/>
        <v>Clear</v>
      </c>
      <c r="BC353" s="32">
        <f>IF(Q353="","",((P353/100*O353)+T353))</f>
        <v>0.94280000000000008</v>
      </c>
      <c r="BD353" s="241">
        <f>IF(BC353="","",((PI()*((51/2)^2-(16.545/2)^2)/(BC353/10))/100))</f>
        <v>193.87230232370402</v>
      </c>
      <c r="BE353" s="241">
        <f>IF(BC353="","",(BD353-AK353))</f>
        <v>-5.3243047281575286</v>
      </c>
      <c r="BF353" s="71">
        <f>IF(BC353="","",(BE353/AK353))</f>
        <v>-2.672889266016126E-2</v>
      </c>
      <c r="BG353" s="241">
        <f>IF(BF353="","",((PI()*((70/2)^2-(16.545/2)^2)/(BC353/10))/100))</f>
        <v>385.39016164177076</v>
      </c>
      <c r="BH353" s="241">
        <f>IF(BF353="","",(BG353-AL353))</f>
        <v>-10.583949513265679</v>
      </c>
      <c r="BI353" s="71">
        <f>IF(BG353="","",(BH353/AL353))</f>
        <v>-2.6728892660161124E-2</v>
      </c>
      <c r="BJ353" s="123"/>
      <c r="BK353" s="123"/>
      <c r="BL353" s="126"/>
      <c r="BM353" s="108"/>
      <c r="BN353" s="71"/>
      <c r="BO353" s="108"/>
      <c r="BP353" s="108"/>
      <c r="BQ353" s="115"/>
      <c r="BR353" s="113"/>
      <c r="BS353" s="71"/>
      <c r="BT353" s="72"/>
      <c r="BU353" s="78"/>
      <c r="BV353" s="32"/>
      <c r="BW353" s="127"/>
      <c r="BX353" s="78"/>
      <c r="BY353" s="78"/>
      <c r="BZ353" s="127"/>
      <c r="CA353" s="76"/>
    </row>
    <row r="354" spans="1:79" s="22" customFormat="1">
      <c r="A354" s="13" t="s">
        <v>1506</v>
      </c>
      <c r="B354" s="13" t="s">
        <v>1507</v>
      </c>
      <c r="C354" s="13" t="s">
        <v>1323</v>
      </c>
      <c r="D354" s="445" t="s">
        <v>1591</v>
      </c>
      <c r="E354" s="13" t="s">
        <v>118</v>
      </c>
      <c r="F354" s="13" t="s">
        <v>167</v>
      </c>
      <c r="G354" s="445" t="s">
        <v>1596</v>
      </c>
      <c r="H354" s="13" t="s">
        <v>146</v>
      </c>
      <c r="I354" s="13" t="s">
        <v>147</v>
      </c>
      <c r="J354" s="13" t="s">
        <v>5</v>
      </c>
      <c r="K354" s="13" t="s">
        <v>123</v>
      </c>
      <c r="L354" s="13" t="s">
        <v>1597</v>
      </c>
      <c r="M354" s="13" t="s">
        <v>125</v>
      </c>
      <c r="N354" s="13" t="s">
        <v>12</v>
      </c>
      <c r="O354" s="448">
        <v>0.17</v>
      </c>
      <c r="P354" s="13">
        <v>119</v>
      </c>
      <c r="Q354" s="13">
        <v>21</v>
      </c>
      <c r="R354" s="449" t="s">
        <v>127</v>
      </c>
      <c r="S354" s="430" t="str">
        <f t="shared" si="142"/>
        <v>N/A</v>
      </c>
      <c r="T354" s="247">
        <v>0.8</v>
      </c>
      <c r="U354" s="13">
        <v>485</v>
      </c>
      <c r="V354" s="13">
        <v>855</v>
      </c>
      <c r="W354" s="430">
        <f t="shared" si="140"/>
        <v>370</v>
      </c>
      <c r="X354" s="430">
        <f t="shared" si="141"/>
        <v>125</v>
      </c>
      <c r="Y354" s="13">
        <v>455</v>
      </c>
      <c r="Z354" s="13">
        <f>V354</f>
        <v>855</v>
      </c>
      <c r="AA354" s="430">
        <f t="shared" si="143"/>
        <v>400</v>
      </c>
      <c r="AB354" s="430">
        <f t="shared" si="144"/>
        <v>125</v>
      </c>
      <c r="AC354" s="430" t="str">
        <f t="shared" si="145"/>
        <v>N/A</v>
      </c>
      <c r="AD354" s="430">
        <f t="shared" si="146"/>
        <v>98</v>
      </c>
      <c r="AE354" s="431">
        <f t="shared" si="147"/>
        <v>0.96660000000000013</v>
      </c>
      <c r="AF354" s="431"/>
      <c r="AG354" s="431">
        <f t="shared" si="148"/>
        <v>0.89800000000000002</v>
      </c>
      <c r="AH354" s="431">
        <f t="shared" si="149"/>
        <v>0.95188000000000006</v>
      </c>
      <c r="AI354" s="432">
        <f t="shared" si="150"/>
        <v>859.06788400000005</v>
      </c>
      <c r="AJ354" s="432">
        <f t="shared" si="151"/>
        <v>172.94196983225535</v>
      </c>
      <c r="AK354" s="432">
        <f t="shared" si="152"/>
        <v>189.09870332173406</v>
      </c>
      <c r="AL354" s="432">
        <f t="shared" si="153"/>
        <v>375.90093564645292</v>
      </c>
      <c r="AM354" s="250">
        <v>189</v>
      </c>
      <c r="AN354" s="432">
        <f t="shared" si="154"/>
        <v>224.91</v>
      </c>
      <c r="AO354" s="432">
        <f t="shared" si="155"/>
        <v>214.08733080000002</v>
      </c>
      <c r="AP354" s="432">
        <f t="shared" si="156"/>
        <v>1019.4634800000001</v>
      </c>
      <c r="AQ354" s="255">
        <v>44501</v>
      </c>
      <c r="AR354" s="255" t="s">
        <v>1598</v>
      </c>
      <c r="AS354" s="434" t="s">
        <v>1599</v>
      </c>
      <c r="AT354" s="429" t="s">
        <v>1600</v>
      </c>
      <c r="AU354" s="241" t="s">
        <v>1601</v>
      </c>
      <c r="AV354" s="243"/>
      <c r="AW354" s="72" t="s">
        <v>127</v>
      </c>
      <c r="AX354" s="243"/>
      <c r="AY354" s="103">
        <f t="shared" si="157"/>
        <v>0.71848739495798319</v>
      </c>
      <c r="AZ354" s="72"/>
      <c r="BA354" s="13" t="str">
        <f t="shared" si="158"/>
        <v>W22</v>
      </c>
      <c r="BB354" s="72" t="str">
        <f t="shared" si="167"/>
        <v>Clear</v>
      </c>
      <c r="BC354" s="32">
        <f>IF(Q354="","",((P354/100*O354)+T354))</f>
        <v>1.0023</v>
      </c>
      <c r="BD354" s="241">
        <f>IF(BC354="","",((PI()*((51/2)^2-(16.545/2)^2)/(BC354/10))/100))</f>
        <v>182.36337087776931</v>
      </c>
      <c r="BE354" s="241">
        <f>IF(BC354="","",(BD354-AK354))</f>
        <v>-6.7353324439647508</v>
      </c>
      <c r="BF354" s="71">
        <f>IF(BC354="","",(BE354/AK354))</f>
        <v>-3.5618078419634651E-2</v>
      </c>
      <c r="BG354" s="241">
        <f>IF(BF354="","",((PI()*((70/2)^2-(16.545/2)^2)/(BC354/10))/100))</f>
        <v>362.51206664258353</v>
      </c>
      <c r="BH354" s="241">
        <f>IF(BF354="","",(BG354-AL354))</f>
        <v>-13.388869003869388</v>
      </c>
      <c r="BI354" s="71">
        <f>IF(BG354="","",(BH354/AL354))</f>
        <v>-3.5618078419634623E-2</v>
      </c>
      <c r="BJ354" s="123">
        <v>26.25</v>
      </c>
      <c r="BK354" s="123">
        <v>23.5</v>
      </c>
      <c r="BL354" s="126">
        <f>AH354</f>
        <v>0.95188000000000006</v>
      </c>
      <c r="BM354" s="123">
        <f>BK354/AH354</f>
        <v>24.68798588057318</v>
      </c>
      <c r="BN354" s="123">
        <f>BK354-BM354</f>
        <v>-1.18798588057318</v>
      </c>
      <c r="BO354" s="123"/>
      <c r="BP354" s="108"/>
      <c r="BQ354" s="124"/>
      <c r="BR354" s="124"/>
      <c r="BS354" s="71"/>
      <c r="BT354" s="72"/>
      <c r="BU354" s="78"/>
      <c r="BV354" s="32"/>
      <c r="BW354" s="127"/>
      <c r="BX354" s="78"/>
      <c r="BY354" s="78"/>
      <c r="BZ354" s="127"/>
      <c r="CA354" s="76"/>
    </row>
    <row r="355" spans="1:79" s="22" customFormat="1">
      <c r="A355" s="13" t="s">
        <v>1506</v>
      </c>
      <c r="B355" s="13" t="s">
        <v>1507</v>
      </c>
      <c r="C355" s="13" t="s">
        <v>1323</v>
      </c>
      <c r="D355" s="445" t="s">
        <v>1602</v>
      </c>
      <c r="E355" s="13" t="s">
        <v>118</v>
      </c>
      <c r="F355" s="13" t="s">
        <v>119</v>
      </c>
      <c r="G355" s="445" t="s">
        <v>1603</v>
      </c>
      <c r="H355" s="13" t="s">
        <v>146</v>
      </c>
      <c r="I355" s="13" t="s">
        <v>147</v>
      </c>
      <c r="J355" s="13" t="s">
        <v>5</v>
      </c>
      <c r="K355" s="13" t="s">
        <v>123</v>
      </c>
      <c r="L355" s="13"/>
      <c r="M355" s="13" t="s">
        <v>125</v>
      </c>
      <c r="N355" s="13" t="s">
        <v>126</v>
      </c>
      <c r="O355" s="448">
        <v>0.45</v>
      </c>
      <c r="P355" s="13">
        <v>107</v>
      </c>
      <c r="Q355" s="13">
        <v>30</v>
      </c>
      <c r="R355" s="449" t="s">
        <v>127</v>
      </c>
      <c r="S355" s="430" t="str">
        <f t="shared" si="142"/>
        <v>N/A</v>
      </c>
      <c r="T355" s="247">
        <v>0.8</v>
      </c>
      <c r="U355" s="13">
        <v>240</v>
      </c>
      <c r="V355" s="13">
        <v>640</v>
      </c>
      <c r="W355" s="430">
        <f t="shared" si="140"/>
        <v>400</v>
      </c>
      <c r="X355" s="430">
        <f t="shared" si="141"/>
        <v>130</v>
      </c>
      <c r="Y355" s="13">
        <v>240</v>
      </c>
      <c r="Z355" s="13">
        <v>640</v>
      </c>
      <c r="AA355" s="430">
        <f t="shared" si="143"/>
        <v>400</v>
      </c>
      <c r="AB355" s="430">
        <f t="shared" si="144"/>
        <v>130</v>
      </c>
      <c r="AC355" s="430" t="str">
        <f t="shared" si="145"/>
        <v>N/A</v>
      </c>
      <c r="AD355" s="430">
        <f t="shared" si="146"/>
        <v>77</v>
      </c>
      <c r="AE355" s="431">
        <f t="shared" si="147"/>
        <v>1.1465000000000001</v>
      </c>
      <c r="AF355" s="431"/>
      <c r="AG355" s="431">
        <f t="shared" si="148"/>
        <v>1.0218247663551403</v>
      </c>
      <c r="AH355" s="431">
        <f t="shared" si="149"/>
        <v>1.0831342523364487</v>
      </c>
      <c r="AI355" s="432">
        <f t="shared" si="150"/>
        <v>877.29733999999996</v>
      </c>
      <c r="AJ355" s="432">
        <f t="shared" si="151"/>
        <v>145.80524033131968</v>
      </c>
      <c r="AK355" s="432">
        <f t="shared" si="152"/>
        <v>159.426782931346</v>
      </c>
      <c r="AL355" s="432">
        <f t="shared" si="153"/>
        <v>316.91743950794722</v>
      </c>
      <c r="AM355" s="250">
        <v>315</v>
      </c>
      <c r="AN355" s="432">
        <f t="shared" si="154"/>
        <v>337.05</v>
      </c>
      <c r="AO355" s="432">
        <f t="shared" si="155"/>
        <v>365.07039975000004</v>
      </c>
      <c r="AP355" s="432">
        <f t="shared" si="156"/>
        <v>1216.9013325000001</v>
      </c>
      <c r="AQ355" s="255"/>
      <c r="AR355" s="255" t="s">
        <v>1604</v>
      </c>
      <c r="AS355" s="434"/>
      <c r="AT355" s="429"/>
      <c r="AU355" s="250"/>
      <c r="AV355" s="255"/>
      <c r="AW355" s="72"/>
      <c r="AX355" s="243"/>
      <c r="AY355" s="103"/>
      <c r="AZ355" s="72"/>
      <c r="BA355" s="13"/>
      <c r="BB355" s="72"/>
      <c r="BC355" s="73"/>
      <c r="BD355" s="252"/>
      <c r="BE355" s="252"/>
      <c r="BF355" s="80"/>
      <c r="BG355" s="252"/>
      <c r="BH355" s="252"/>
      <c r="BI355" s="80"/>
      <c r="BJ355" s="114"/>
      <c r="BK355" s="111"/>
      <c r="BL355" s="112"/>
      <c r="BM355" s="111"/>
      <c r="BN355" s="123"/>
      <c r="BO355" s="83"/>
      <c r="BP355" s="88"/>
      <c r="BQ355" s="124"/>
      <c r="BR355" s="124"/>
      <c r="BS355" s="71"/>
      <c r="BT355" s="72"/>
      <c r="BU355" s="78"/>
      <c r="BV355" s="32"/>
      <c r="BW355" s="127"/>
      <c r="BX355" s="78"/>
      <c r="BY355" s="78"/>
      <c r="BZ355" s="127"/>
      <c r="CA355" s="76"/>
    </row>
    <row r="356" spans="1:79" s="13" customFormat="1">
      <c r="A356" s="13" t="s">
        <v>1506</v>
      </c>
      <c r="B356" s="13" t="s">
        <v>1507</v>
      </c>
      <c r="C356" s="13" t="s">
        <v>1323</v>
      </c>
      <c r="D356" s="445" t="s">
        <v>1605</v>
      </c>
      <c r="E356" s="13" t="s">
        <v>118</v>
      </c>
      <c r="F356" s="13" t="s">
        <v>186</v>
      </c>
      <c r="G356" s="445" t="s">
        <v>1587</v>
      </c>
      <c r="H356" s="13" t="s">
        <v>146</v>
      </c>
      <c r="I356" s="13" t="s">
        <v>122</v>
      </c>
      <c r="J356" s="13" t="s">
        <v>5</v>
      </c>
      <c r="K356" s="13" t="s">
        <v>123</v>
      </c>
      <c r="L356" s="13" t="s">
        <v>1606</v>
      </c>
      <c r="M356" s="13" t="s">
        <v>125</v>
      </c>
      <c r="N356" s="13" t="s">
        <v>126</v>
      </c>
      <c r="O356" s="448">
        <v>0.41</v>
      </c>
      <c r="P356" s="13">
        <v>119</v>
      </c>
      <c r="Q356" s="13">
        <v>28</v>
      </c>
      <c r="R356" s="449" t="s">
        <v>127</v>
      </c>
      <c r="S356" s="430" t="str">
        <f t="shared" si="142"/>
        <v>N/A</v>
      </c>
      <c r="T356" s="247">
        <v>0.8</v>
      </c>
      <c r="U356" s="13">
        <v>380</v>
      </c>
      <c r="V356" s="13">
        <v>790</v>
      </c>
      <c r="W356" s="430">
        <f t="shared" si="140"/>
        <v>410</v>
      </c>
      <c r="X356" s="430">
        <f t="shared" si="141"/>
        <v>120</v>
      </c>
      <c r="Y356" s="13">
        <v>380</v>
      </c>
      <c r="Z356" s="13">
        <v>790</v>
      </c>
      <c r="AA356" s="430">
        <f t="shared" si="143"/>
        <v>410</v>
      </c>
      <c r="AB356" s="430">
        <f t="shared" si="144"/>
        <v>120</v>
      </c>
      <c r="AC356" s="430" t="str">
        <f t="shared" si="145"/>
        <v>N/A</v>
      </c>
      <c r="AD356" s="430">
        <f t="shared" si="146"/>
        <v>91</v>
      </c>
      <c r="AE356" s="431">
        <f t="shared" si="147"/>
        <v>1.1731</v>
      </c>
      <c r="AF356" s="431"/>
      <c r="AG356" s="431">
        <f t="shared" si="148"/>
        <v>1.0304441176470589</v>
      </c>
      <c r="AH356" s="431">
        <f t="shared" si="149"/>
        <v>1.0922707647058825</v>
      </c>
      <c r="AI356" s="432">
        <f t="shared" si="150"/>
        <v>874.69313200000011</v>
      </c>
      <c r="AJ356" s="432">
        <f t="shared" si="151"/>
        <v>142.49911178915528</v>
      </c>
      <c r="AK356" s="432">
        <f t="shared" si="152"/>
        <v>155.81178640421803</v>
      </c>
      <c r="AL356" s="432">
        <f t="shared" si="153"/>
        <v>309.73134804864162</v>
      </c>
      <c r="AM356" s="250">
        <v>310</v>
      </c>
      <c r="AN356" s="432">
        <f t="shared" si="154"/>
        <v>368.9</v>
      </c>
      <c r="AO356" s="432">
        <f t="shared" si="155"/>
        <v>402.93868510000004</v>
      </c>
      <c r="AP356" s="432">
        <f t="shared" si="156"/>
        <v>1439.0667324999999</v>
      </c>
      <c r="AQ356" s="255">
        <v>45100</v>
      </c>
      <c r="AR356" s="255" t="s">
        <v>1589</v>
      </c>
      <c r="AS356" s="434" t="s">
        <v>1590</v>
      </c>
      <c r="AT356" s="429"/>
      <c r="AU356" s="249"/>
      <c r="AV356" s="254"/>
      <c r="AW356" s="72" t="s">
        <v>127</v>
      </c>
      <c r="AX356" s="243"/>
      <c r="AY356" s="103">
        <f t="shared" si="157"/>
        <v>0.66386554621848737</v>
      </c>
      <c r="AZ356" s="72"/>
      <c r="BA356" s="13" t="str">
        <f t="shared" si="158"/>
        <v>W22</v>
      </c>
      <c r="BB356" s="72" t="str">
        <f t="shared" si="167"/>
        <v>Clear</v>
      </c>
      <c r="BC356" s="263"/>
      <c r="BD356" s="257"/>
      <c r="BE356" s="257"/>
      <c r="BF356" s="106"/>
      <c r="BG356" s="257"/>
      <c r="BH356" s="257"/>
      <c r="BI356" s="106"/>
      <c r="BJ356" s="143"/>
      <c r="BK356" s="139"/>
      <c r="BL356" s="191"/>
      <c r="BM356" s="139"/>
      <c r="BN356" s="162"/>
      <c r="BO356" s="101"/>
      <c r="BP356" s="105"/>
      <c r="BQ356" s="144"/>
      <c r="BR356" s="192"/>
      <c r="BS356" s="100"/>
      <c r="BU356" s="79"/>
      <c r="BV356" s="29"/>
      <c r="BW356" s="86"/>
      <c r="BX356" s="79"/>
      <c r="BY356" s="79"/>
      <c r="BZ356" s="86"/>
      <c r="CA356" s="76"/>
    </row>
    <row r="357" spans="1:79" s="13" customFormat="1">
      <c r="A357" s="13" t="s">
        <v>1506</v>
      </c>
      <c r="B357" s="13" t="s">
        <v>1507</v>
      </c>
      <c r="C357" s="13" t="s">
        <v>1323</v>
      </c>
      <c r="D357" s="445" t="s">
        <v>1607</v>
      </c>
      <c r="E357" s="13" t="s">
        <v>118</v>
      </c>
      <c r="F357" s="13" t="s">
        <v>167</v>
      </c>
      <c r="G357" s="445" t="s">
        <v>1608</v>
      </c>
      <c r="H357" s="13" t="s">
        <v>146</v>
      </c>
      <c r="I357" s="13" t="s">
        <v>147</v>
      </c>
      <c r="J357" s="13" t="s">
        <v>5</v>
      </c>
      <c r="K357" s="13" t="s">
        <v>123</v>
      </c>
      <c r="L357" s="13" t="s">
        <v>1609</v>
      </c>
      <c r="M357" s="13" t="s">
        <v>125</v>
      </c>
      <c r="N357" s="13" t="s">
        <v>126</v>
      </c>
      <c r="O357" s="448">
        <v>0.4</v>
      </c>
      <c r="P357" s="13">
        <v>113</v>
      </c>
      <c r="Q357" s="13">
        <v>28</v>
      </c>
      <c r="R357" s="449" t="s">
        <v>127</v>
      </c>
      <c r="S357" s="430" t="str">
        <f t="shared" si="142"/>
        <v>N/A</v>
      </c>
      <c r="T357" s="247">
        <v>0.8</v>
      </c>
      <c r="U357" s="13">
        <v>320</v>
      </c>
      <c r="V357" s="13">
        <v>730</v>
      </c>
      <c r="W357" s="430">
        <f t="shared" si="140"/>
        <v>410</v>
      </c>
      <c r="X357" s="430">
        <f t="shared" si="141"/>
        <v>120</v>
      </c>
      <c r="Y357" s="13">
        <v>320</v>
      </c>
      <c r="Z357" s="13">
        <v>730</v>
      </c>
      <c r="AA357" s="430">
        <f t="shared" si="143"/>
        <v>410</v>
      </c>
      <c r="AB357" s="430">
        <f t="shared" si="144"/>
        <v>120</v>
      </c>
      <c r="AC357" s="430" t="str">
        <f t="shared" si="145"/>
        <v>N/A</v>
      </c>
      <c r="AD357" s="430">
        <f t="shared" si="146"/>
        <v>85</v>
      </c>
      <c r="AE357" s="431">
        <f t="shared" si="147"/>
        <v>1.1400000000000001</v>
      </c>
      <c r="AF357" s="431"/>
      <c r="AG357" s="431">
        <f t="shared" si="148"/>
        <v>1.0121238938053099</v>
      </c>
      <c r="AH357" s="431">
        <f t="shared" si="149"/>
        <v>1.0728513274336284</v>
      </c>
      <c r="AI357" s="432">
        <f t="shared" si="150"/>
        <v>874.04208000000006</v>
      </c>
      <c r="AJ357" s="432">
        <f t="shared" si="151"/>
        <v>146.63658599987545</v>
      </c>
      <c r="AK357" s="432">
        <f t="shared" si="152"/>
        <v>160.33579529016504</v>
      </c>
      <c r="AL357" s="432">
        <f t="shared" si="153"/>
        <v>318.72442490865035</v>
      </c>
      <c r="AM357" s="250">
        <v>148</v>
      </c>
      <c r="AN357" s="432">
        <f t="shared" si="154"/>
        <v>167.24</v>
      </c>
      <c r="AO357" s="432">
        <f t="shared" si="155"/>
        <v>179.42365600000002</v>
      </c>
      <c r="AP357" s="432">
        <f t="shared" si="156"/>
        <v>640.7987714285714</v>
      </c>
      <c r="AQ357" s="255">
        <v>44986</v>
      </c>
      <c r="AR357" s="255" t="s">
        <v>1610</v>
      </c>
      <c r="AS357" s="434" t="s">
        <v>1611</v>
      </c>
      <c r="AT357" s="429" t="s">
        <v>1612</v>
      </c>
      <c r="AU357" s="241"/>
      <c r="AV357" s="243"/>
      <c r="AW357" s="72" t="s">
        <v>127</v>
      </c>
      <c r="AX357" s="243"/>
      <c r="AY357" s="103">
        <f t="shared" si="157"/>
        <v>0.64601769911504425</v>
      </c>
      <c r="AZ357" s="72"/>
      <c r="BA357" s="13" t="str">
        <f t="shared" si="158"/>
        <v>W22</v>
      </c>
      <c r="BB357" s="72" t="str">
        <f t="shared" si="167"/>
        <v>Clear</v>
      </c>
      <c r="BC357" s="32"/>
      <c r="BD357" s="241"/>
      <c r="BE357" s="241"/>
      <c r="BF357" s="71"/>
      <c r="BG357" s="241"/>
      <c r="BH357" s="241"/>
      <c r="BI357" s="71"/>
      <c r="BJ357" s="123"/>
      <c r="BK357" s="123"/>
      <c r="BL357" s="126"/>
      <c r="BM357" s="123"/>
      <c r="BN357" s="123"/>
      <c r="BO357" s="108"/>
      <c r="BP357" s="108"/>
      <c r="BQ357" s="103"/>
      <c r="BR357" s="71"/>
      <c r="BS357" s="71"/>
      <c r="BU357" s="79"/>
      <c r="BV357" s="29"/>
      <c r="BW357" s="86"/>
      <c r="BX357" s="79"/>
      <c r="BY357" s="79"/>
      <c r="BZ357" s="86"/>
      <c r="CA357" s="76"/>
    </row>
    <row r="358" spans="1:79" s="38" customFormat="1">
      <c r="A358" s="13" t="s">
        <v>1506</v>
      </c>
      <c r="B358" s="13" t="s">
        <v>1507</v>
      </c>
      <c r="C358" s="13" t="s">
        <v>1323</v>
      </c>
      <c r="D358" s="445" t="s">
        <v>1607</v>
      </c>
      <c r="E358" s="13" t="s">
        <v>118</v>
      </c>
      <c r="F358" s="13" t="s">
        <v>167</v>
      </c>
      <c r="G358" s="445" t="s">
        <v>1613</v>
      </c>
      <c r="H358" s="13" t="s">
        <v>146</v>
      </c>
      <c r="I358" s="13" t="s">
        <v>147</v>
      </c>
      <c r="J358" s="13" t="s">
        <v>5</v>
      </c>
      <c r="K358" s="13" t="s">
        <v>123</v>
      </c>
      <c r="L358" s="13" t="s">
        <v>1614</v>
      </c>
      <c r="M358" s="13" t="s">
        <v>125</v>
      </c>
      <c r="N358" s="13" t="s">
        <v>126</v>
      </c>
      <c r="O358" s="448">
        <v>0.4</v>
      </c>
      <c r="P358" s="13">
        <v>119</v>
      </c>
      <c r="Q358" s="13">
        <v>28</v>
      </c>
      <c r="R358" s="449" t="s">
        <v>127</v>
      </c>
      <c r="S358" s="430" t="str">
        <f t="shared" si="142"/>
        <v>N/A</v>
      </c>
      <c r="T358" s="247">
        <v>0.8</v>
      </c>
      <c r="U358" s="13">
        <v>380</v>
      </c>
      <c r="V358" s="13">
        <v>790</v>
      </c>
      <c r="W358" s="430">
        <f t="shared" si="140"/>
        <v>410</v>
      </c>
      <c r="X358" s="430">
        <f t="shared" si="141"/>
        <v>120</v>
      </c>
      <c r="Y358" s="13">
        <v>380</v>
      </c>
      <c r="Z358" s="13">
        <v>790</v>
      </c>
      <c r="AA358" s="430">
        <f t="shared" si="143"/>
        <v>410</v>
      </c>
      <c r="AB358" s="430">
        <f t="shared" si="144"/>
        <v>120</v>
      </c>
      <c r="AC358" s="430" t="str">
        <f t="shared" si="145"/>
        <v>N/A</v>
      </c>
      <c r="AD358" s="430">
        <f t="shared" si="146"/>
        <v>91</v>
      </c>
      <c r="AE358" s="431">
        <f t="shared" si="147"/>
        <v>1.1640000000000001</v>
      </c>
      <c r="AF358" s="431"/>
      <c r="AG358" s="431">
        <f t="shared" si="148"/>
        <v>1.0248235294117647</v>
      </c>
      <c r="AH358" s="431">
        <f t="shared" si="149"/>
        <v>1.0863129411764705</v>
      </c>
      <c r="AI358" s="432">
        <f t="shared" si="150"/>
        <v>874.04208000000006</v>
      </c>
      <c r="AJ358" s="432">
        <f t="shared" si="151"/>
        <v>143.61315123699143</v>
      </c>
      <c r="AK358" s="432">
        <f t="shared" si="152"/>
        <v>157.02990260376987</v>
      </c>
      <c r="AL358" s="432">
        <f t="shared" si="153"/>
        <v>312.15278728166788</v>
      </c>
      <c r="AM358" s="250">
        <v>145</v>
      </c>
      <c r="AN358" s="432">
        <f t="shared" si="154"/>
        <v>172.55</v>
      </c>
      <c r="AO358" s="432">
        <f t="shared" si="155"/>
        <v>187.443298</v>
      </c>
      <c r="AP358" s="432">
        <f t="shared" si="156"/>
        <v>669.44034999999997</v>
      </c>
      <c r="AQ358" s="255" t="s">
        <v>170</v>
      </c>
      <c r="AR358" s="255" t="s">
        <v>1615</v>
      </c>
      <c r="AS358" s="434" t="s">
        <v>1616</v>
      </c>
      <c r="AT358" s="429" t="s">
        <v>1617</v>
      </c>
      <c r="AU358" s="241"/>
      <c r="AV358" s="243"/>
      <c r="AW358" s="72" t="s">
        <v>127</v>
      </c>
      <c r="AX358" s="243"/>
      <c r="AY358" s="103">
        <f t="shared" si="157"/>
        <v>0.66386554621848737</v>
      </c>
      <c r="AZ358" s="72"/>
      <c r="BA358" s="13" t="str">
        <f t="shared" si="158"/>
        <v>W22</v>
      </c>
      <c r="BB358" s="72" t="str">
        <f t="shared" si="167"/>
        <v>Clear</v>
      </c>
      <c r="BC358" s="32"/>
      <c r="BD358" s="241"/>
      <c r="BE358" s="241"/>
      <c r="BF358" s="71"/>
      <c r="BG358" s="241"/>
      <c r="BH358" s="241"/>
      <c r="BI358" s="71"/>
      <c r="BJ358" s="123"/>
      <c r="BK358" s="123"/>
      <c r="BL358" s="126"/>
      <c r="BM358" s="123"/>
      <c r="BN358" s="123"/>
      <c r="BO358" s="108"/>
      <c r="BP358" s="108"/>
      <c r="BQ358" s="115"/>
      <c r="BR358" s="113"/>
      <c r="BS358" s="71"/>
      <c r="BT358" s="13"/>
      <c r="BU358" s="79"/>
      <c r="BV358" s="29"/>
      <c r="BW358" s="86"/>
      <c r="BX358" s="79"/>
      <c r="BY358" s="79"/>
      <c r="BZ358" s="86"/>
      <c r="CA358" s="76"/>
    </row>
    <row r="359" spans="1:79" s="22" customFormat="1">
      <c r="A359" s="13" t="s">
        <v>1506</v>
      </c>
      <c r="B359" s="13" t="s">
        <v>1507</v>
      </c>
      <c r="C359" s="13" t="s">
        <v>1323</v>
      </c>
      <c r="D359" s="445" t="s">
        <v>1607</v>
      </c>
      <c r="E359" s="13" t="s">
        <v>118</v>
      </c>
      <c r="F359" s="13" t="s">
        <v>167</v>
      </c>
      <c r="G359" s="445" t="s">
        <v>1618</v>
      </c>
      <c r="H359" s="13" t="s">
        <v>146</v>
      </c>
      <c r="I359" s="13" t="s">
        <v>147</v>
      </c>
      <c r="J359" s="13" t="s">
        <v>5</v>
      </c>
      <c r="K359" s="13" t="s">
        <v>123</v>
      </c>
      <c r="L359" s="13" t="s">
        <v>1619</v>
      </c>
      <c r="M359" s="13" t="s">
        <v>125</v>
      </c>
      <c r="N359" s="13" t="s">
        <v>126</v>
      </c>
      <c r="O359" s="448">
        <v>0.51</v>
      </c>
      <c r="P359" s="13">
        <v>113</v>
      </c>
      <c r="Q359" s="13">
        <v>28</v>
      </c>
      <c r="R359" s="449" t="s">
        <v>127</v>
      </c>
      <c r="S359" s="430" t="str">
        <f t="shared" si="142"/>
        <v>N/A</v>
      </c>
      <c r="T359" s="247">
        <v>0.8</v>
      </c>
      <c r="U359" s="13">
        <v>320</v>
      </c>
      <c r="V359" s="13">
        <v>730</v>
      </c>
      <c r="W359" s="430">
        <f t="shared" si="140"/>
        <v>410</v>
      </c>
      <c r="X359" s="430">
        <f t="shared" si="141"/>
        <v>120</v>
      </c>
      <c r="Y359" s="13">
        <v>320</v>
      </c>
      <c r="Z359" s="13">
        <v>730</v>
      </c>
      <c r="AA359" s="430">
        <f t="shared" si="143"/>
        <v>410</v>
      </c>
      <c r="AB359" s="430">
        <f t="shared" si="144"/>
        <v>120</v>
      </c>
      <c r="AC359" s="430" t="str">
        <f t="shared" si="145"/>
        <v>N/A</v>
      </c>
      <c r="AD359" s="430">
        <f t="shared" si="146"/>
        <v>85</v>
      </c>
      <c r="AE359" s="431">
        <f t="shared" si="147"/>
        <v>1.2335</v>
      </c>
      <c r="AF359" s="431"/>
      <c r="AG359" s="431">
        <f t="shared" si="148"/>
        <v>1.0704579646017698</v>
      </c>
      <c r="AH359" s="431">
        <f t="shared" si="149"/>
        <v>1.1346854424778758</v>
      </c>
      <c r="AI359" s="432">
        <f t="shared" si="150"/>
        <v>881.20365200000003</v>
      </c>
      <c r="AJ359" s="432">
        <f t="shared" si="151"/>
        <v>135.52144956615973</v>
      </c>
      <c r="AK359" s="432">
        <f t="shared" si="152"/>
        <v>148.18225101806905</v>
      </c>
      <c r="AL359" s="432">
        <f t="shared" si="153"/>
        <v>294.56493262737047</v>
      </c>
      <c r="AM359" s="250">
        <v>148</v>
      </c>
      <c r="AN359" s="432">
        <f t="shared" si="154"/>
        <v>167.24</v>
      </c>
      <c r="AO359" s="432">
        <f t="shared" si="155"/>
        <v>189.76479339999997</v>
      </c>
      <c r="AP359" s="432">
        <f t="shared" si="156"/>
        <v>677.73140499999988</v>
      </c>
      <c r="AQ359" s="255">
        <v>44986</v>
      </c>
      <c r="AR359" s="255" t="s">
        <v>1620</v>
      </c>
      <c r="AS359" s="434" t="s">
        <v>1621</v>
      </c>
      <c r="AT359" s="429" t="s">
        <v>1622</v>
      </c>
      <c r="AU359" s="241"/>
      <c r="AV359" s="243"/>
      <c r="AW359" s="72" t="s">
        <v>127</v>
      </c>
      <c r="AX359" s="243"/>
      <c r="AY359" s="103">
        <f t="shared" si="157"/>
        <v>0.64601769911504425</v>
      </c>
      <c r="AZ359" s="72"/>
      <c r="BA359" s="13" t="str">
        <f t="shared" si="158"/>
        <v>W22</v>
      </c>
      <c r="BB359" s="72" t="str">
        <f t="shared" si="167"/>
        <v>Clear</v>
      </c>
      <c r="BC359" s="32"/>
      <c r="BD359" s="241"/>
      <c r="BE359" s="241"/>
      <c r="BF359" s="71"/>
      <c r="BG359" s="241"/>
      <c r="BH359" s="241"/>
      <c r="BI359" s="71"/>
      <c r="BJ359" s="123"/>
      <c r="BK359" s="123"/>
      <c r="BL359" s="126"/>
      <c r="BM359" s="123"/>
      <c r="BN359" s="123"/>
      <c r="BO359" s="108"/>
      <c r="BP359" s="108"/>
      <c r="BQ359" s="103"/>
      <c r="BR359" s="71"/>
      <c r="BS359" s="71"/>
      <c r="BT359" s="13">
        <f>P359-V359/10-120/10</f>
        <v>28</v>
      </c>
      <c r="BU359" s="79">
        <f>BT359-Q359</f>
        <v>0</v>
      </c>
      <c r="BV359" s="29">
        <f>T359+(O359/100*(P359-BT359))</f>
        <v>1.2335</v>
      </c>
      <c r="BW359" s="86">
        <f>(AE359-BV359)/AE359</f>
        <v>0</v>
      </c>
      <c r="BX359" s="79">
        <f>(PI()*((51/2)^2-(16.545/2)^2)/(BV359/10))/100</f>
        <v>148.18225101806905</v>
      </c>
      <c r="BY359" s="79">
        <f>BX359-AK359</f>
        <v>0</v>
      </c>
      <c r="BZ359" s="86">
        <f>BY359/AK359</f>
        <v>0</v>
      </c>
      <c r="CA359" s="76"/>
    </row>
    <row r="360" spans="1:79" s="22" customFormat="1">
      <c r="A360" s="13" t="s">
        <v>1506</v>
      </c>
      <c r="B360" s="13" t="s">
        <v>1507</v>
      </c>
      <c r="C360" s="13" t="s">
        <v>1323</v>
      </c>
      <c r="D360" s="445" t="s">
        <v>1607</v>
      </c>
      <c r="E360" s="13" t="s">
        <v>118</v>
      </c>
      <c r="F360" s="13" t="s">
        <v>167</v>
      </c>
      <c r="G360" s="445" t="s">
        <v>1623</v>
      </c>
      <c r="H360" s="13" t="s">
        <v>146</v>
      </c>
      <c r="I360" s="13" t="s">
        <v>147</v>
      </c>
      <c r="J360" s="13" t="s">
        <v>5</v>
      </c>
      <c r="K360" s="13" t="s">
        <v>123</v>
      </c>
      <c r="L360" s="13" t="s">
        <v>1624</v>
      </c>
      <c r="M360" s="13" t="s">
        <v>125</v>
      </c>
      <c r="N360" s="13" t="s">
        <v>126</v>
      </c>
      <c r="O360" s="448">
        <v>0.51</v>
      </c>
      <c r="P360" s="13">
        <v>119</v>
      </c>
      <c r="Q360" s="13">
        <v>28</v>
      </c>
      <c r="R360" s="449" t="s">
        <v>127</v>
      </c>
      <c r="S360" s="430" t="str">
        <f t="shared" si="142"/>
        <v>N/A</v>
      </c>
      <c r="T360" s="247">
        <v>0.8</v>
      </c>
      <c r="U360" s="13">
        <v>380</v>
      </c>
      <c r="V360" s="13">
        <v>790</v>
      </c>
      <c r="W360" s="430">
        <f t="shared" si="140"/>
        <v>410</v>
      </c>
      <c r="X360" s="430">
        <f t="shared" si="141"/>
        <v>120</v>
      </c>
      <c r="Y360" s="13">
        <v>380</v>
      </c>
      <c r="Z360" s="13">
        <v>790</v>
      </c>
      <c r="AA360" s="430">
        <f t="shared" si="143"/>
        <v>410</v>
      </c>
      <c r="AB360" s="430">
        <f t="shared" si="144"/>
        <v>120</v>
      </c>
      <c r="AC360" s="430" t="str">
        <f t="shared" si="145"/>
        <v>N/A</v>
      </c>
      <c r="AD360" s="430">
        <f t="shared" si="146"/>
        <v>91</v>
      </c>
      <c r="AE360" s="431">
        <f t="shared" si="147"/>
        <v>1.2641</v>
      </c>
      <c r="AF360" s="431"/>
      <c r="AG360" s="431">
        <f t="shared" si="148"/>
        <v>1.0866500000000001</v>
      </c>
      <c r="AH360" s="431">
        <f t="shared" si="149"/>
        <v>1.1518490000000001</v>
      </c>
      <c r="AI360" s="432">
        <f t="shared" si="150"/>
        <v>881.20365200000003</v>
      </c>
      <c r="AJ360" s="432">
        <f t="shared" si="151"/>
        <v>132.24088920169135</v>
      </c>
      <c r="AK360" s="432">
        <f t="shared" si="152"/>
        <v>144.59521132093045</v>
      </c>
      <c r="AL360" s="432">
        <f t="shared" si="153"/>
        <v>287.43441531197016</v>
      </c>
      <c r="AM360" s="250">
        <v>145</v>
      </c>
      <c r="AN360" s="432">
        <f t="shared" si="154"/>
        <v>172.55</v>
      </c>
      <c r="AO360" s="432">
        <f t="shared" si="155"/>
        <v>198.75154495000004</v>
      </c>
      <c r="AP360" s="432">
        <f t="shared" si="156"/>
        <v>709.82694625000011</v>
      </c>
      <c r="AQ360" s="255" t="s">
        <v>170</v>
      </c>
      <c r="AR360" s="255" t="s">
        <v>1615</v>
      </c>
      <c r="AS360" s="434" t="s">
        <v>1625</v>
      </c>
      <c r="AT360" s="429" t="s">
        <v>1617</v>
      </c>
      <c r="AU360" s="241"/>
      <c r="AV360" s="243"/>
      <c r="AW360" s="72" t="s">
        <v>127</v>
      </c>
      <c r="AX360" s="243"/>
      <c r="AY360" s="103">
        <f t="shared" si="157"/>
        <v>0.66386554621848737</v>
      </c>
      <c r="AZ360" s="72"/>
      <c r="BA360" s="13" t="str">
        <f t="shared" si="158"/>
        <v>W22</v>
      </c>
      <c r="BB360" s="72" t="str">
        <f t="shared" si="167"/>
        <v>Clear</v>
      </c>
      <c r="BC360" s="32"/>
      <c r="BD360" s="241"/>
      <c r="BE360" s="241"/>
      <c r="BF360" s="71"/>
      <c r="BG360" s="241"/>
      <c r="BH360" s="241"/>
      <c r="BI360" s="71"/>
      <c r="BJ360" s="123"/>
      <c r="BK360" s="123"/>
      <c r="BL360" s="126"/>
      <c r="BM360" s="123"/>
      <c r="BN360" s="123"/>
      <c r="BO360" s="108"/>
      <c r="BP360" s="108"/>
      <c r="BQ360" s="123"/>
      <c r="BR360" s="155"/>
      <c r="BS360" s="71"/>
      <c r="BT360" s="72"/>
      <c r="BU360" s="78"/>
      <c r="BV360" s="32"/>
      <c r="BW360" s="127"/>
      <c r="BX360" s="78"/>
      <c r="BY360" s="78"/>
      <c r="BZ360" s="127"/>
      <c r="CA360" s="76"/>
    </row>
    <row r="361" spans="1:79" s="22" customFormat="1">
      <c r="A361" s="13" t="s">
        <v>1506</v>
      </c>
      <c r="B361" s="13" t="s">
        <v>1507</v>
      </c>
      <c r="C361" s="13" t="s">
        <v>1323</v>
      </c>
      <c r="D361" s="13" t="s">
        <v>1626</v>
      </c>
      <c r="E361" s="13" t="s">
        <v>118</v>
      </c>
      <c r="F361" s="13" t="s">
        <v>167</v>
      </c>
      <c r="G361" s="13" t="s">
        <v>1627</v>
      </c>
      <c r="H361" s="13" t="s">
        <v>146</v>
      </c>
      <c r="I361" s="13" t="s">
        <v>147</v>
      </c>
      <c r="J361" s="13" t="s">
        <v>5</v>
      </c>
      <c r="K361" s="13" t="s">
        <v>123</v>
      </c>
      <c r="L361" s="13" t="s">
        <v>1628</v>
      </c>
      <c r="M361" s="13" t="s">
        <v>125</v>
      </c>
      <c r="N361" s="13" t="s">
        <v>12</v>
      </c>
      <c r="O361" s="247">
        <v>0.4</v>
      </c>
      <c r="P361" s="13">
        <v>107</v>
      </c>
      <c r="Q361" s="13"/>
      <c r="R361" s="13" t="s">
        <v>127</v>
      </c>
      <c r="S361" s="430" t="str">
        <f t="shared" si="142"/>
        <v>N/A</v>
      </c>
      <c r="T361" s="247">
        <v>0.76</v>
      </c>
      <c r="U361" s="13"/>
      <c r="V361" s="13"/>
      <c r="W361" s="430">
        <f t="shared" si="140"/>
        <v>0</v>
      </c>
      <c r="X361" s="430">
        <f t="shared" si="141"/>
        <v>1070</v>
      </c>
      <c r="Y361" s="13"/>
      <c r="Z361" s="13"/>
      <c r="AA361" s="430">
        <f t="shared" si="143"/>
        <v>0</v>
      </c>
      <c r="AB361" s="430">
        <f t="shared" si="144"/>
        <v>1070</v>
      </c>
      <c r="AC361" s="430" t="str">
        <f t="shared" si="145"/>
        <v>N/A</v>
      </c>
      <c r="AD361" s="430">
        <f t="shared" si="146"/>
        <v>107</v>
      </c>
      <c r="AE361" s="431">
        <f t="shared" si="147"/>
        <v>1.1879999999999999</v>
      </c>
      <c r="AF361" s="431"/>
      <c r="AG361" s="431">
        <f t="shared" si="148"/>
        <v>0.97400000000000009</v>
      </c>
      <c r="AH361" s="431">
        <f t="shared" si="149"/>
        <v>0</v>
      </c>
      <c r="AI361" s="432">
        <f t="shared" si="150"/>
        <v>0</v>
      </c>
      <c r="AJ361" s="432">
        <f t="shared" si="151"/>
        <v>140.71187545442598</v>
      </c>
      <c r="AK361" s="432">
        <f t="shared" si="152"/>
        <v>153.8575813390473</v>
      </c>
      <c r="AL361" s="432">
        <f t="shared" si="153"/>
        <v>305.84667036688677</v>
      </c>
      <c r="AM361" s="250" t="s">
        <v>1629</v>
      </c>
      <c r="AN361" s="432" t="e">
        <f t="shared" si="154"/>
        <v>#VALUE!</v>
      </c>
      <c r="AO361" s="432" t="e">
        <f t="shared" si="155"/>
        <v>#VALUE!</v>
      </c>
      <c r="AP361" s="432" t="e">
        <f t="shared" si="156"/>
        <v>#VALUE!</v>
      </c>
      <c r="AQ361" s="255">
        <v>43344</v>
      </c>
      <c r="AR361" s="255" t="s">
        <v>238</v>
      </c>
      <c r="AS361" s="429" t="s">
        <v>1630</v>
      </c>
      <c r="AT361" s="435" t="s">
        <v>1631</v>
      </c>
      <c r="AU361" s="241"/>
      <c r="AV361" s="243"/>
      <c r="AW361" s="72" t="s">
        <v>127</v>
      </c>
      <c r="AX361" s="243"/>
      <c r="AY361" s="103"/>
      <c r="AZ361" s="72"/>
      <c r="BA361" s="13" t="str">
        <f t="shared" si="158"/>
        <v>W12</v>
      </c>
      <c r="BB361" s="72" t="str">
        <f t="shared" si="167"/>
        <v>Clear</v>
      </c>
      <c r="BC361" s="32" t="str">
        <f t="shared" ref="BC361:BC372" si="168">IF(Q361="","",((P361/100*O361)+T361))</f>
        <v/>
      </c>
      <c r="BD361" s="241" t="str">
        <f t="shared" ref="BD361:BD372" si="169">IF(BC361="","",((PI()*((51/2)^2-(16.545/2)^2)/(BC361/10))/100))</f>
        <v/>
      </c>
      <c r="BE361" s="241" t="str">
        <f t="shared" ref="BE361:BE372" si="170">IF(BC361="","",(BD361-AK361))</f>
        <v/>
      </c>
      <c r="BF361" s="71" t="str">
        <f t="shared" ref="BF361:BF372" si="171">IF(BC361="","",(BE361/AK361))</f>
        <v/>
      </c>
      <c r="BG361" s="241" t="str">
        <f t="shared" ref="BG361:BG372" si="172">IF(BF361="","",((PI()*((70/2)^2-(16.545/2)^2)/(BC361/10))/100))</f>
        <v/>
      </c>
      <c r="BH361" s="241" t="str">
        <f t="shared" ref="BH361:BH372" si="173">IF(BF361="","",(BG361-AL361))</f>
        <v/>
      </c>
      <c r="BI361" s="71" t="str">
        <f t="shared" ref="BI361:BI372" si="174">IF(BG361="","",(BH361/AL361))</f>
        <v/>
      </c>
      <c r="BJ361" s="111"/>
      <c r="BK361" s="111"/>
      <c r="BL361" s="83"/>
      <c r="BM361" s="83"/>
      <c r="BN361" s="71"/>
      <c r="BO361" s="83"/>
      <c r="BP361" s="83"/>
      <c r="BQ361" s="83"/>
      <c r="BR361" s="71"/>
      <c r="BS361" s="71"/>
      <c r="BT361" s="72">
        <f>P361-V361/10-120/10</f>
        <v>95</v>
      </c>
      <c r="BU361" s="78">
        <f>BT361-Q361</f>
        <v>95</v>
      </c>
      <c r="BV361" s="32">
        <f>T361+(O361/100*(P361-BT361))</f>
        <v>0.80800000000000005</v>
      </c>
      <c r="BW361" s="127">
        <f>(AE361-BV361)/AE361</f>
        <v>0.3198653198653198</v>
      </c>
      <c r="BX361" s="78">
        <f>(PI()*((51/2)^2-(16.545/2)^2)/(BV361/10))/100</f>
        <v>226.21634484008436</v>
      </c>
      <c r="BY361" s="78">
        <f>BX361-AK361</f>
        <v>72.35876350103706</v>
      </c>
      <c r="BZ361" s="127">
        <f>BY361/AK361</f>
        <v>0.47029702970297005</v>
      </c>
      <c r="CA361" s="76"/>
    </row>
    <row r="362" spans="1:79" s="22" customFormat="1">
      <c r="A362" s="13" t="s">
        <v>1506</v>
      </c>
      <c r="B362" s="13" t="s">
        <v>1507</v>
      </c>
      <c r="C362" s="13" t="s">
        <v>1323</v>
      </c>
      <c r="D362" s="13" t="s">
        <v>1632</v>
      </c>
      <c r="E362" s="13" t="s">
        <v>118</v>
      </c>
      <c r="F362" s="13" t="s">
        <v>167</v>
      </c>
      <c r="G362" s="13" t="s">
        <v>1633</v>
      </c>
      <c r="H362" s="13" t="s">
        <v>272</v>
      </c>
      <c r="I362" s="13" t="s">
        <v>139</v>
      </c>
      <c r="J362" s="13" t="s">
        <v>5</v>
      </c>
      <c r="K362" s="13" t="s">
        <v>140</v>
      </c>
      <c r="L362" s="13" t="s">
        <v>1634</v>
      </c>
      <c r="M362" s="13"/>
      <c r="N362" s="13" t="s">
        <v>142</v>
      </c>
      <c r="O362" s="247">
        <v>0.43</v>
      </c>
      <c r="P362" s="13">
        <v>108</v>
      </c>
      <c r="Q362" s="13">
        <v>30</v>
      </c>
      <c r="R362" s="13" t="s">
        <v>127</v>
      </c>
      <c r="S362" s="430" t="str">
        <f t="shared" si="142"/>
        <v>N/A</v>
      </c>
      <c r="T362" s="247">
        <v>0.76</v>
      </c>
      <c r="U362" s="13"/>
      <c r="V362" s="13"/>
      <c r="W362" s="430">
        <f t="shared" si="140"/>
        <v>0</v>
      </c>
      <c r="X362" s="430">
        <f t="shared" si="141"/>
        <v>780</v>
      </c>
      <c r="Y362" s="13"/>
      <c r="Z362" s="13"/>
      <c r="AA362" s="430">
        <f t="shared" si="143"/>
        <v>0</v>
      </c>
      <c r="AB362" s="430">
        <f t="shared" si="144"/>
        <v>780</v>
      </c>
      <c r="AC362" s="430" t="str">
        <f t="shared" si="145"/>
        <v>N/A</v>
      </c>
      <c r="AD362" s="430">
        <f t="shared" si="146"/>
        <v>78</v>
      </c>
      <c r="AE362" s="431">
        <f t="shared" si="147"/>
        <v>1.0953999999999999</v>
      </c>
      <c r="AF362" s="431"/>
      <c r="AG362" s="431">
        <f t="shared" si="148"/>
        <v>0.97428333333333317</v>
      </c>
      <c r="AH362" s="431">
        <f t="shared" si="149"/>
        <v>1.0376117499999999</v>
      </c>
      <c r="AI362" s="432">
        <f t="shared" si="150"/>
        <v>837.527289</v>
      </c>
      <c r="AJ362" s="432">
        <f t="shared" si="151"/>
        <v>152.60700021896844</v>
      </c>
      <c r="AK362" s="432">
        <f t="shared" si="152"/>
        <v>166.86398268284481</v>
      </c>
      <c r="AL362" s="432">
        <f t="shared" si="153"/>
        <v>331.7015194411735</v>
      </c>
      <c r="AM362" s="250">
        <v>100</v>
      </c>
      <c r="AN362" s="432">
        <f t="shared" si="154"/>
        <v>108</v>
      </c>
      <c r="AO362" s="432">
        <f t="shared" si="155"/>
        <v>112.06206899999999</v>
      </c>
      <c r="AP362" s="432">
        <f t="shared" si="156"/>
        <v>373.54023000000001</v>
      </c>
      <c r="AQ362" s="255">
        <v>43422</v>
      </c>
      <c r="AR362" s="255" t="s">
        <v>238</v>
      </c>
      <c r="AS362" s="429" t="s">
        <v>1635</v>
      </c>
      <c r="AT362" s="429"/>
      <c r="AU362" s="241"/>
      <c r="AV362" s="243"/>
      <c r="AW362" s="72" t="s">
        <v>127</v>
      </c>
      <c r="AX362" s="243"/>
      <c r="AY362" s="103"/>
      <c r="AZ362" s="72"/>
      <c r="BA362" s="13" t="str">
        <f t="shared" si="158"/>
        <v>W50</v>
      </c>
      <c r="BB362" s="72" t="str">
        <f t="shared" si="167"/>
        <v>Clear</v>
      </c>
      <c r="BC362" s="32">
        <f t="shared" si="168"/>
        <v>1.2244000000000002</v>
      </c>
      <c r="BD362" s="241">
        <f t="shared" si="169"/>
        <v>149.28357287715463</v>
      </c>
      <c r="BE362" s="241">
        <f t="shared" si="170"/>
        <v>-17.580409805690181</v>
      </c>
      <c r="BF362" s="71">
        <f t="shared" si="171"/>
        <v>-0.10535772623325748</v>
      </c>
      <c r="BG362" s="241">
        <f t="shared" si="172"/>
        <v>296.7542015647349</v>
      </c>
      <c r="BH362" s="241">
        <f t="shared" si="173"/>
        <v>-34.947317876438603</v>
      </c>
      <c r="BI362" s="71">
        <f t="shared" si="174"/>
        <v>-0.10535772623325722</v>
      </c>
      <c r="BJ362" s="111"/>
      <c r="BK362" s="83"/>
      <c r="BL362" s="83"/>
      <c r="BM362" s="83"/>
      <c r="BN362" s="71"/>
      <c r="BO362" s="103"/>
      <c r="BP362" s="103"/>
      <c r="BQ362" s="115"/>
      <c r="BR362" s="113"/>
      <c r="BS362" s="80"/>
      <c r="BU362" s="87"/>
      <c r="BV362" s="73"/>
      <c r="BW362" s="109"/>
      <c r="BX362" s="87"/>
      <c r="BY362" s="87"/>
      <c r="BZ362" s="109"/>
      <c r="CA362" s="76"/>
    </row>
    <row r="363" spans="1:79" s="262" customFormat="1">
      <c r="A363" s="13" t="s">
        <v>1506</v>
      </c>
      <c r="B363" s="13" t="s">
        <v>1507</v>
      </c>
      <c r="C363" s="13" t="s">
        <v>1323</v>
      </c>
      <c r="D363" s="450" t="s">
        <v>1636</v>
      </c>
      <c r="E363" s="13" t="s">
        <v>118</v>
      </c>
      <c r="F363" s="13" t="s">
        <v>167</v>
      </c>
      <c r="G363" s="449" t="s">
        <v>1637</v>
      </c>
      <c r="H363" s="13" t="s">
        <v>146</v>
      </c>
      <c r="I363" s="13" t="s">
        <v>147</v>
      </c>
      <c r="J363" s="13" t="s">
        <v>274</v>
      </c>
      <c r="K363" s="13" t="s">
        <v>123</v>
      </c>
      <c r="L363" s="13" t="s">
        <v>1638</v>
      </c>
      <c r="M363" s="13" t="s">
        <v>125</v>
      </c>
      <c r="N363" s="13" t="s">
        <v>12</v>
      </c>
      <c r="O363" s="448">
        <v>0.4</v>
      </c>
      <c r="P363" s="13">
        <v>105</v>
      </c>
      <c r="Q363" s="13">
        <v>25</v>
      </c>
      <c r="R363" s="445">
        <v>14</v>
      </c>
      <c r="S363" s="430">
        <f t="shared" si="142"/>
        <v>91</v>
      </c>
      <c r="T363" s="247">
        <v>0.8</v>
      </c>
      <c r="U363" s="13">
        <v>325</v>
      </c>
      <c r="V363" s="13">
        <v>675</v>
      </c>
      <c r="W363" s="430">
        <f t="shared" si="140"/>
        <v>350</v>
      </c>
      <c r="X363" s="430">
        <f t="shared" si="141"/>
        <v>125</v>
      </c>
      <c r="Y363" s="13"/>
      <c r="Z363" s="13"/>
      <c r="AA363" s="430">
        <f t="shared" si="143"/>
        <v>0</v>
      </c>
      <c r="AB363" s="430">
        <f t="shared" si="144"/>
        <v>800</v>
      </c>
      <c r="AC363" s="430">
        <f t="shared" si="145"/>
        <v>110</v>
      </c>
      <c r="AD363" s="430">
        <f t="shared" si="146"/>
        <v>80</v>
      </c>
      <c r="AE363" s="431">
        <f t="shared" si="147"/>
        <v>1.1200000000000001</v>
      </c>
      <c r="AF363" s="431"/>
      <c r="AG363" s="431">
        <f t="shared" si="148"/>
        <v>0.99809523809523826</v>
      </c>
      <c r="AH363" s="431" t="e">
        <f t="shared" si="149"/>
        <v>#VALUE!</v>
      </c>
      <c r="AI363" s="432" t="e">
        <f t="shared" si="150"/>
        <v>#VALUE!</v>
      </c>
      <c r="AJ363" s="432">
        <f t="shared" si="151"/>
        <v>149.25509646415895</v>
      </c>
      <c r="AK363" s="432">
        <f t="shared" si="152"/>
        <v>163.19893449177513</v>
      </c>
      <c r="AL363" s="432">
        <f t="shared" si="153"/>
        <v>324.41593249630483</v>
      </c>
      <c r="AM363" s="250">
        <v>160</v>
      </c>
      <c r="AN363" s="432">
        <f t="shared" si="154"/>
        <v>168</v>
      </c>
      <c r="AO363" s="432" t="e">
        <f t="shared" si="155"/>
        <v>#VALUE!</v>
      </c>
      <c r="AP363" s="432" t="e">
        <f t="shared" si="156"/>
        <v>#VALUE!</v>
      </c>
      <c r="AQ363" s="255" t="s">
        <v>320</v>
      </c>
      <c r="AR363" s="255" t="s">
        <v>1520</v>
      </c>
      <c r="AS363" s="429" t="s">
        <v>1639</v>
      </c>
      <c r="AT363" s="435" t="s">
        <v>1640</v>
      </c>
      <c r="AU363" s="258" t="s">
        <v>1535</v>
      </c>
      <c r="AV363" s="243"/>
      <c r="AW363" s="72" t="s">
        <v>127</v>
      </c>
      <c r="AX363" s="243"/>
      <c r="AY363" s="103">
        <f t="shared" ref="AY363:AY390" si="175">(V363/10)/P363</f>
        <v>0.6428571428571429</v>
      </c>
      <c r="AZ363" s="72"/>
      <c r="BA363" s="13" t="str">
        <f t="shared" si="158"/>
        <v>W13</v>
      </c>
      <c r="BB363" s="72" t="str">
        <f t="shared" si="167"/>
        <v>S/B</v>
      </c>
      <c r="BC363" s="32">
        <f t="shared" si="168"/>
        <v>1.2200000000000002</v>
      </c>
      <c r="BD363" s="241">
        <f t="shared" si="169"/>
        <v>149.821972648187</v>
      </c>
      <c r="BE363" s="241">
        <f t="shared" si="170"/>
        <v>-13.376961843588134</v>
      </c>
      <c r="BF363" s="71">
        <f t="shared" si="171"/>
        <v>-8.1967213114754148E-2</v>
      </c>
      <c r="BG363" s="241">
        <f t="shared" si="172"/>
        <v>297.82446261955852</v>
      </c>
      <c r="BH363" s="241">
        <f t="shared" si="173"/>
        <v>-26.591469876746316</v>
      </c>
      <c r="BI363" s="71">
        <f t="shared" si="174"/>
        <v>-8.1967213114754162E-2</v>
      </c>
      <c r="BJ363" s="158"/>
      <c r="BK363" s="158"/>
      <c r="BL363" s="83"/>
      <c r="BM363" s="141"/>
      <c r="BN363" s="71"/>
      <c r="BO363" s="141"/>
      <c r="BP363" s="141"/>
      <c r="BQ363" s="115"/>
      <c r="BR363" s="113"/>
      <c r="BS363" s="80"/>
      <c r="BT363" s="22"/>
      <c r="BU363" s="87"/>
      <c r="BV363" s="73"/>
      <c r="BW363" s="109"/>
      <c r="BX363" s="87"/>
      <c r="BY363" s="87"/>
      <c r="BZ363" s="109"/>
      <c r="CA363" s="76"/>
    </row>
    <row r="364" spans="1:79" s="22" customFormat="1">
      <c r="A364" s="13" t="s">
        <v>1506</v>
      </c>
      <c r="B364" s="13" t="s">
        <v>1507</v>
      </c>
      <c r="C364" s="13" t="s">
        <v>1323</v>
      </c>
      <c r="D364" s="450" t="s">
        <v>1636</v>
      </c>
      <c r="E364" s="13" t="s">
        <v>118</v>
      </c>
      <c r="F364" s="13" t="s">
        <v>167</v>
      </c>
      <c r="G364" s="13" t="s">
        <v>1641</v>
      </c>
      <c r="H364" s="13" t="s">
        <v>146</v>
      </c>
      <c r="I364" s="13" t="s">
        <v>147</v>
      </c>
      <c r="J364" s="13" t="s">
        <v>274</v>
      </c>
      <c r="K364" s="13" t="s">
        <v>123</v>
      </c>
      <c r="L364" s="429" t="s">
        <v>1642</v>
      </c>
      <c r="M364" s="13" t="s">
        <v>125</v>
      </c>
      <c r="N364" s="13" t="s">
        <v>12</v>
      </c>
      <c r="O364" s="448">
        <v>0.4</v>
      </c>
      <c r="P364" s="13">
        <v>105</v>
      </c>
      <c r="Q364" s="13">
        <v>25</v>
      </c>
      <c r="R364" s="445">
        <v>14</v>
      </c>
      <c r="S364" s="430">
        <f t="shared" si="142"/>
        <v>91</v>
      </c>
      <c r="T364" s="247">
        <v>0.8</v>
      </c>
      <c r="U364" s="13">
        <v>325</v>
      </c>
      <c r="V364" s="13">
        <v>675</v>
      </c>
      <c r="W364" s="430">
        <f t="shared" si="140"/>
        <v>350</v>
      </c>
      <c r="X364" s="430">
        <f t="shared" si="141"/>
        <v>125</v>
      </c>
      <c r="Y364" s="13"/>
      <c r="Z364" s="13"/>
      <c r="AA364" s="430">
        <f t="shared" si="143"/>
        <v>0</v>
      </c>
      <c r="AB364" s="430">
        <f t="shared" si="144"/>
        <v>800</v>
      </c>
      <c r="AC364" s="430">
        <f t="shared" si="145"/>
        <v>110</v>
      </c>
      <c r="AD364" s="430">
        <f t="shared" si="146"/>
        <v>80</v>
      </c>
      <c r="AE364" s="431">
        <f t="shared" si="147"/>
        <v>1.1200000000000001</v>
      </c>
      <c r="AF364" s="431"/>
      <c r="AG364" s="431">
        <f t="shared" si="148"/>
        <v>0.99809523809523826</v>
      </c>
      <c r="AH364" s="431">
        <f t="shared" si="149"/>
        <v>1.0579809523809525</v>
      </c>
      <c r="AI364" s="432">
        <f t="shared" si="150"/>
        <v>874.04208000000006</v>
      </c>
      <c r="AJ364" s="432">
        <f t="shared" si="151"/>
        <v>149.25509646415895</v>
      </c>
      <c r="AK364" s="432">
        <f t="shared" si="152"/>
        <v>163.19893449177513</v>
      </c>
      <c r="AL364" s="432">
        <f t="shared" si="153"/>
        <v>324.41593249630483</v>
      </c>
      <c r="AM364" s="250">
        <v>150</v>
      </c>
      <c r="AN364" s="432">
        <f t="shared" si="154"/>
        <v>157.5</v>
      </c>
      <c r="AO364" s="432">
        <f t="shared" si="155"/>
        <v>166.63200000000001</v>
      </c>
      <c r="AP364" s="432">
        <f t="shared" si="156"/>
        <v>666.52800000000002</v>
      </c>
      <c r="AQ364" s="255" t="s">
        <v>320</v>
      </c>
      <c r="AR364" s="13" t="s">
        <v>1643</v>
      </c>
      <c r="AS364" s="434" t="s">
        <v>1644</v>
      </c>
      <c r="AT364" s="435" t="s">
        <v>1645</v>
      </c>
      <c r="AU364" s="258" t="s">
        <v>1535</v>
      </c>
      <c r="AV364" s="243"/>
      <c r="AW364" s="72" t="s">
        <v>127</v>
      </c>
      <c r="AX364" s="243"/>
      <c r="AY364" s="103">
        <f t="shared" si="175"/>
        <v>0.6428571428571429</v>
      </c>
      <c r="AZ364" s="72"/>
      <c r="BA364" s="13" t="str">
        <f t="shared" si="158"/>
        <v>W23</v>
      </c>
      <c r="BB364" s="72" t="str">
        <f t="shared" si="167"/>
        <v>S/B</v>
      </c>
      <c r="BC364" s="32">
        <f t="shared" si="168"/>
        <v>1.2200000000000002</v>
      </c>
      <c r="BD364" s="241">
        <f t="shared" si="169"/>
        <v>149.821972648187</v>
      </c>
      <c r="BE364" s="241">
        <f t="shared" si="170"/>
        <v>-13.376961843588134</v>
      </c>
      <c r="BF364" s="71">
        <f t="shared" si="171"/>
        <v>-8.1967213114754148E-2</v>
      </c>
      <c r="BG364" s="241">
        <f t="shared" si="172"/>
        <v>297.82446261955852</v>
      </c>
      <c r="BH364" s="241">
        <f t="shared" si="173"/>
        <v>-26.591469876746316</v>
      </c>
      <c r="BI364" s="71">
        <f t="shared" si="174"/>
        <v>-8.1967213114754162E-2</v>
      </c>
      <c r="BJ364" s="158"/>
      <c r="BK364" s="141"/>
      <c r="BL364" s="83"/>
      <c r="BM364" s="141"/>
      <c r="BN364" s="71"/>
      <c r="BO364" s="141"/>
      <c r="BP364" s="141"/>
      <c r="BQ364" s="83"/>
      <c r="BR364" s="80"/>
      <c r="BS364" s="80"/>
      <c r="BT364" s="13">
        <f>P364-V364/10-120/10</f>
        <v>25.5</v>
      </c>
      <c r="BU364" s="79">
        <f>BT364-Q364</f>
        <v>0.5</v>
      </c>
      <c r="BV364" s="29">
        <f>T364+(O364/100*(P364-BT364))</f>
        <v>1.1180000000000001</v>
      </c>
      <c r="BW364" s="86">
        <f>(AE364-BV364)/AE364</f>
        <v>1.7857142857142872E-3</v>
      </c>
      <c r="BX364" s="79">
        <f>(PI()*((51/2)^2-(16.545/2)^2)/(BV364/10))/100</f>
        <v>163.4908824962327</v>
      </c>
      <c r="BY364" s="79">
        <f>BX364-AK364</f>
        <v>0.29194800445756641</v>
      </c>
      <c r="BZ364" s="86">
        <f>BY364/AK364</f>
        <v>1.7889087656530009E-3</v>
      </c>
      <c r="CA364" s="76"/>
    </row>
    <row r="365" spans="1:79" s="22" customFormat="1">
      <c r="A365" s="13" t="s">
        <v>1506</v>
      </c>
      <c r="B365" s="13" t="s">
        <v>1507</v>
      </c>
      <c r="C365" s="13" t="s">
        <v>1323</v>
      </c>
      <c r="D365" s="450" t="s">
        <v>1636</v>
      </c>
      <c r="E365" s="13" t="s">
        <v>118</v>
      </c>
      <c r="F365" s="13" t="s">
        <v>167</v>
      </c>
      <c r="G365" s="449" t="s">
        <v>1646</v>
      </c>
      <c r="H365" s="13" t="s">
        <v>146</v>
      </c>
      <c r="I365" s="13" t="s">
        <v>147</v>
      </c>
      <c r="J365" s="13" t="s">
        <v>274</v>
      </c>
      <c r="K365" s="13" t="s">
        <v>123</v>
      </c>
      <c r="L365" s="13" t="s">
        <v>1647</v>
      </c>
      <c r="M365" s="13" t="s">
        <v>125</v>
      </c>
      <c r="N365" s="13" t="s">
        <v>12</v>
      </c>
      <c r="O365" s="448">
        <v>0.42</v>
      </c>
      <c r="P365" s="13">
        <v>105</v>
      </c>
      <c r="Q365" s="13">
        <v>25</v>
      </c>
      <c r="R365" s="445">
        <v>14</v>
      </c>
      <c r="S365" s="430">
        <f t="shared" si="142"/>
        <v>91</v>
      </c>
      <c r="T365" s="247">
        <v>0.8</v>
      </c>
      <c r="U365" s="13">
        <v>325</v>
      </c>
      <c r="V365" s="13">
        <v>675</v>
      </c>
      <c r="W365" s="430">
        <f t="shared" si="140"/>
        <v>350</v>
      </c>
      <c r="X365" s="430">
        <f t="shared" si="141"/>
        <v>125</v>
      </c>
      <c r="Y365" s="13"/>
      <c r="Z365" s="13"/>
      <c r="AA365" s="430">
        <f t="shared" si="143"/>
        <v>0</v>
      </c>
      <c r="AB365" s="430">
        <f t="shared" si="144"/>
        <v>800</v>
      </c>
      <c r="AC365" s="430">
        <f t="shared" si="145"/>
        <v>110</v>
      </c>
      <c r="AD365" s="430">
        <f t="shared" si="146"/>
        <v>80</v>
      </c>
      <c r="AE365" s="431">
        <f t="shared" si="147"/>
        <v>1.1360000000000001</v>
      </c>
      <c r="AF365" s="431"/>
      <c r="AG365" s="431">
        <f t="shared" si="148"/>
        <v>1.0080000000000002</v>
      </c>
      <c r="AH365" s="431" t="e">
        <f t="shared" si="149"/>
        <v>#VALUE!</v>
      </c>
      <c r="AI365" s="432" t="e">
        <f t="shared" si="150"/>
        <v>#VALUE!</v>
      </c>
      <c r="AJ365" s="432">
        <f t="shared" si="151"/>
        <v>147.15291200691726</v>
      </c>
      <c r="AK365" s="432">
        <f t="shared" si="152"/>
        <v>160.90035794963748</v>
      </c>
      <c r="AL365" s="432">
        <f t="shared" si="153"/>
        <v>319.84669401044141</v>
      </c>
      <c r="AM365" s="250">
        <v>160</v>
      </c>
      <c r="AN365" s="432">
        <f t="shared" si="154"/>
        <v>168</v>
      </c>
      <c r="AO365" s="432" t="e">
        <f t="shared" si="155"/>
        <v>#VALUE!</v>
      </c>
      <c r="AP365" s="432" t="e">
        <f t="shared" si="156"/>
        <v>#VALUE!</v>
      </c>
      <c r="AQ365" s="255" t="s">
        <v>320</v>
      </c>
      <c r="AR365" s="255" t="s">
        <v>1527</v>
      </c>
      <c r="AS365" s="434" t="s">
        <v>1648</v>
      </c>
      <c r="AT365" s="435" t="s">
        <v>1539</v>
      </c>
      <c r="AU365" s="258" t="s">
        <v>1535</v>
      </c>
      <c r="AV365" s="243"/>
      <c r="AW365" s="72" t="s">
        <v>127</v>
      </c>
      <c r="AX365" s="243"/>
      <c r="AY365" s="103">
        <f t="shared" si="175"/>
        <v>0.6428571428571429</v>
      </c>
      <c r="AZ365" s="72"/>
      <c r="BA365" s="13" t="str">
        <f t="shared" si="158"/>
        <v>W13</v>
      </c>
      <c r="BB365" s="72" t="str">
        <f t="shared" si="167"/>
        <v>S/B</v>
      </c>
      <c r="BC365" s="32">
        <f t="shared" si="168"/>
        <v>1.2410000000000001</v>
      </c>
      <c r="BD365" s="241">
        <f t="shared" si="169"/>
        <v>147.28670961385023</v>
      </c>
      <c r="BE365" s="241">
        <f t="shared" si="170"/>
        <v>-13.613648335787246</v>
      </c>
      <c r="BF365" s="71">
        <f t="shared" si="171"/>
        <v>-8.4609186140209694E-2</v>
      </c>
      <c r="BG365" s="241">
        <f t="shared" si="172"/>
        <v>292.78472554058129</v>
      </c>
      <c r="BH365" s="241">
        <f t="shared" si="173"/>
        <v>-27.061968469860119</v>
      </c>
      <c r="BI365" s="71">
        <f t="shared" si="174"/>
        <v>-8.4609186140209652E-2</v>
      </c>
      <c r="BJ365" s="158"/>
      <c r="BK365" s="141"/>
      <c r="BL365" s="83"/>
      <c r="BM365" s="141"/>
      <c r="BN365" s="71"/>
      <c r="BO365" s="141"/>
      <c r="BP365" s="141"/>
      <c r="BQ365" s="166"/>
      <c r="BR365" s="156">
        <v>2784</v>
      </c>
      <c r="BS365" s="106"/>
      <c r="BT365" s="262"/>
      <c r="BU365" s="269"/>
      <c r="BV365" s="263"/>
      <c r="BW365" s="132"/>
      <c r="BX365" s="269"/>
      <c r="BY365" s="269"/>
      <c r="BZ365" s="132"/>
      <c r="CA365" s="271"/>
    </row>
    <row r="366" spans="1:79" s="22" customFormat="1">
      <c r="A366" s="13" t="s">
        <v>1506</v>
      </c>
      <c r="B366" s="13" t="s">
        <v>1507</v>
      </c>
      <c r="C366" s="13" t="s">
        <v>1323</v>
      </c>
      <c r="D366" s="429" t="s">
        <v>1649</v>
      </c>
      <c r="E366" s="13" t="s">
        <v>118</v>
      </c>
      <c r="F366" s="13" t="s">
        <v>167</v>
      </c>
      <c r="G366" s="13" t="s">
        <v>1650</v>
      </c>
      <c r="H366" s="13" t="s">
        <v>146</v>
      </c>
      <c r="I366" s="13" t="s">
        <v>147</v>
      </c>
      <c r="J366" s="13" t="s">
        <v>274</v>
      </c>
      <c r="K366" s="13" t="s">
        <v>123</v>
      </c>
      <c r="L366" s="13" t="s">
        <v>1651</v>
      </c>
      <c r="M366" s="13" t="s">
        <v>125</v>
      </c>
      <c r="N366" s="13" t="s">
        <v>12</v>
      </c>
      <c r="O366" s="247">
        <v>0.4</v>
      </c>
      <c r="P366" s="13">
        <v>107</v>
      </c>
      <c r="Q366" s="13">
        <v>25</v>
      </c>
      <c r="R366" s="13">
        <v>15</v>
      </c>
      <c r="S366" s="430">
        <f t="shared" si="142"/>
        <v>92</v>
      </c>
      <c r="T366" s="247">
        <v>0.8</v>
      </c>
      <c r="U366" s="13">
        <f>P366*10-725</f>
        <v>345</v>
      </c>
      <c r="V366" s="13">
        <f>P366*10-380</f>
        <v>690</v>
      </c>
      <c r="W366" s="430">
        <f t="shared" si="140"/>
        <v>345</v>
      </c>
      <c r="X366" s="430">
        <f t="shared" si="141"/>
        <v>130</v>
      </c>
      <c r="Y366" s="13"/>
      <c r="Z366" s="13"/>
      <c r="AA366" s="430">
        <f t="shared" si="143"/>
        <v>0</v>
      </c>
      <c r="AB366" s="430">
        <f t="shared" si="144"/>
        <v>820</v>
      </c>
      <c r="AC366" s="430">
        <f t="shared" si="145"/>
        <v>100</v>
      </c>
      <c r="AD366" s="430">
        <f t="shared" si="146"/>
        <v>82</v>
      </c>
      <c r="AE366" s="431">
        <f t="shared" si="147"/>
        <v>1.1280000000000001</v>
      </c>
      <c r="AF366" s="431"/>
      <c r="AG366" s="431">
        <f t="shared" si="148"/>
        <v>1.0023177570093458</v>
      </c>
      <c r="AH366" s="431" t="e">
        <f t="shared" si="149"/>
        <v>#VALUE!</v>
      </c>
      <c r="AI366" s="432" t="e">
        <f t="shared" si="150"/>
        <v>#VALUE!</v>
      </c>
      <c r="AJ366" s="432">
        <f t="shared" si="151"/>
        <v>148.19654968072518</v>
      </c>
      <c r="AK366" s="432">
        <f t="shared" si="152"/>
        <v>162.04149524006041</v>
      </c>
      <c r="AL366" s="432">
        <f t="shared" si="153"/>
        <v>322.115110280019</v>
      </c>
      <c r="AM366" s="250" t="s">
        <v>1629</v>
      </c>
      <c r="AN366" s="432" t="e">
        <f t="shared" si="154"/>
        <v>#VALUE!</v>
      </c>
      <c r="AO366" s="432" t="e">
        <f t="shared" si="155"/>
        <v>#VALUE!</v>
      </c>
      <c r="AP366" s="432" t="e">
        <f t="shared" si="156"/>
        <v>#VALUE!</v>
      </c>
      <c r="AQ366" s="255">
        <v>43344</v>
      </c>
      <c r="AR366" s="255" t="s">
        <v>238</v>
      </c>
      <c r="AS366" s="429" t="s">
        <v>1652</v>
      </c>
      <c r="AT366" s="429" t="s">
        <v>1653</v>
      </c>
      <c r="AU366" s="241" t="s">
        <v>1654</v>
      </c>
      <c r="AV366" s="243" t="s">
        <v>1655</v>
      </c>
      <c r="AW366" s="72" t="s">
        <v>127</v>
      </c>
      <c r="AX366" s="243"/>
      <c r="AY366" s="103">
        <f t="shared" si="175"/>
        <v>0.64485981308411211</v>
      </c>
      <c r="AZ366" s="72"/>
      <c r="BA366" s="13" t="str">
        <f t="shared" si="158"/>
        <v>W13</v>
      </c>
      <c r="BB366" s="72" t="str">
        <f t="shared" si="167"/>
        <v>S/B</v>
      </c>
      <c r="BC366" s="32">
        <f t="shared" si="168"/>
        <v>1.2280000000000002</v>
      </c>
      <c r="BD366" s="241">
        <f t="shared" si="169"/>
        <v>148.84593373842682</v>
      </c>
      <c r="BE366" s="241">
        <f t="shared" si="170"/>
        <v>-13.195561501633591</v>
      </c>
      <c r="BF366" s="71">
        <f t="shared" si="171"/>
        <v>-8.1433224755700376E-2</v>
      </c>
      <c r="BG366" s="241">
        <f t="shared" si="172"/>
        <v>295.88423810737896</v>
      </c>
      <c r="BH366" s="241">
        <f t="shared" si="173"/>
        <v>-26.230872172640034</v>
      </c>
      <c r="BI366" s="71">
        <f t="shared" si="174"/>
        <v>-8.1433224755700487E-2</v>
      </c>
      <c r="BJ366" s="158"/>
      <c r="BK366" s="141"/>
      <c r="BL366" s="83"/>
      <c r="BM366" s="141"/>
      <c r="BN366" s="71"/>
      <c r="BO366" s="141"/>
      <c r="BP366" s="141"/>
      <c r="BQ366" s="164"/>
      <c r="BR366" s="159"/>
      <c r="BS366" s="100"/>
      <c r="BT366" s="77"/>
      <c r="BU366" s="282"/>
      <c r="BV366" s="264"/>
      <c r="BW366" s="169"/>
      <c r="BX366" s="282"/>
      <c r="BY366" s="282"/>
      <c r="BZ366" s="169"/>
      <c r="CA366" s="271"/>
    </row>
    <row r="367" spans="1:79" s="22" customFormat="1">
      <c r="A367" s="13" t="s">
        <v>1506</v>
      </c>
      <c r="B367" s="13" t="s">
        <v>1507</v>
      </c>
      <c r="C367" s="13" t="s">
        <v>1323</v>
      </c>
      <c r="D367" s="450" t="s">
        <v>1656</v>
      </c>
      <c r="E367" s="13" t="s">
        <v>118</v>
      </c>
      <c r="F367" s="13" t="s">
        <v>167</v>
      </c>
      <c r="G367" s="445" t="s">
        <v>1657</v>
      </c>
      <c r="H367" s="13" t="s">
        <v>146</v>
      </c>
      <c r="I367" s="13" t="s">
        <v>147</v>
      </c>
      <c r="J367" s="13" t="s">
        <v>5</v>
      </c>
      <c r="K367" s="13" t="s">
        <v>123</v>
      </c>
      <c r="L367" s="13" t="s">
        <v>1658</v>
      </c>
      <c r="M367" s="13" t="s">
        <v>125</v>
      </c>
      <c r="N367" s="13" t="s">
        <v>126</v>
      </c>
      <c r="O367" s="448">
        <v>0.4</v>
      </c>
      <c r="P367" s="13">
        <v>108</v>
      </c>
      <c r="Q367" s="13">
        <v>25</v>
      </c>
      <c r="R367" s="449" t="s">
        <v>127</v>
      </c>
      <c r="S367" s="430" t="str">
        <f t="shared" si="142"/>
        <v>N/A</v>
      </c>
      <c r="T367" s="247">
        <v>0.8</v>
      </c>
      <c r="U367" s="13">
        <v>355</v>
      </c>
      <c r="V367" s="13">
        <v>705</v>
      </c>
      <c r="W367" s="430">
        <f t="shared" si="140"/>
        <v>350</v>
      </c>
      <c r="X367" s="430">
        <f t="shared" si="141"/>
        <v>125</v>
      </c>
      <c r="Y367" s="13">
        <v>305</v>
      </c>
      <c r="Z367" s="13">
        <f>V367</f>
        <v>705</v>
      </c>
      <c r="AA367" s="430">
        <f t="shared" si="143"/>
        <v>400</v>
      </c>
      <c r="AB367" s="430">
        <f t="shared" si="144"/>
        <v>125</v>
      </c>
      <c r="AC367" s="430" t="str">
        <f t="shared" si="145"/>
        <v>N/A</v>
      </c>
      <c r="AD367" s="430">
        <f t="shared" si="146"/>
        <v>83</v>
      </c>
      <c r="AE367" s="431">
        <f t="shared" si="147"/>
        <v>1.1320000000000001</v>
      </c>
      <c r="AF367" s="431"/>
      <c r="AG367" s="431">
        <f t="shared" si="148"/>
        <v>1.0044259259259261</v>
      </c>
      <c r="AH367" s="431">
        <f t="shared" si="149"/>
        <v>1.0646914814814816</v>
      </c>
      <c r="AI367" s="432">
        <f t="shared" si="150"/>
        <v>874.04208000000006</v>
      </c>
      <c r="AJ367" s="432">
        <f t="shared" si="151"/>
        <v>147.6728869610053</v>
      </c>
      <c r="AK367" s="432">
        <f t="shared" si="152"/>
        <v>161.46891045122629</v>
      </c>
      <c r="AL367" s="432">
        <f t="shared" si="153"/>
        <v>320.97689434263378</v>
      </c>
      <c r="AM367" s="250">
        <v>150</v>
      </c>
      <c r="AN367" s="432">
        <f t="shared" si="154"/>
        <v>162</v>
      </c>
      <c r="AO367" s="432">
        <f t="shared" si="155"/>
        <v>172.48002000000002</v>
      </c>
      <c r="AP367" s="432">
        <f t="shared" si="156"/>
        <v>689.9200800000001</v>
      </c>
      <c r="AQ367" s="255">
        <v>44348</v>
      </c>
      <c r="AR367" s="255" t="s">
        <v>1659</v>
      </c>
      <c r="AS367" s="434"/>
      <c r="AT367" s="429" t="s">
        <v>1660</v>
      </c>
      <c r="AU367" s="241"/>
      <c r="AV367" s="243"/>
      <c r="AW367" s="72" t="s">
        <v>127</v>
      </c>
      <c r="AX367" s="243"/>
      <c r="AY367" s="103">
        <f t="shared" si="175"/>
        <v>0.65277777777777779</v>
      </c>
      <c r="AZ367" s="72"/>
      <c r="BA367" s="13" t="str">
        <f t="shared" si="158"/>
        <v>W22</v>
      </c>
      <c r="BB367" s="72" t="str">
        <f t="shared" si="167"/>
        <v>Clear</v>
      </c>
      <c r="BC367" s="32">
        <f t="shared" si="168"/>
        <v>1.2320000000000002</v>
      </c>
      <c r="BD367" s="241">
        <f t="shared" si="169"/>
        <v>148.36266771979558</v>
      </c>
      <c r="BE367" s="241">
        <f t="shared" si="170"/>
        <v>-13.106242731430712</v>
      </c>
      <c r="BF367" s="71">
        <f t="shared" si="171"/>
        <v>-8.116883116883121E-2</v>
      </c>
      <c r="BG367" s="241">
        <f t="shared" si="172"/>
        <v>294.92357499664075</v>
      </c>
      <c r="BH367" s="241">
        <f t="shared" si="173"/>
        <v>-26.053319345993032</v>
      </c>
      <c r="BI367" s="71">
        <f t="shared" si="174"/>
        <v>-8.1168831168831265E-2</v>
      </c>
      <c r="BJ367" s="123"/>
      <c r="BK367" s="123"/>
      <c r="BL367" s="108"/>
      <c r="BM367" s="108"/>
      <c r="BN367" s="71"/>
      <c r="BO367" s="83"/>
      <c r="BP367" s="83"/>
      <c r="BQ367" s="151"/>
      <c r="BR367" s="113"/>
      <c r="BS367" s="80"/>
      <c r="BU367" s="87"/>
      <c r="BV367" s="73"/>
      <c r="BW367" s="109"/>
      <c r="BX367" s="87"/>
      <c r="BY367" s="87"/>
      <c r="BZ367" s="109"/>
      <c r="CA367" s="76"/>
    </row>
    <row r="368" spans="1:79" s="22" customFormat="1">
      <c r="A368" s="13" t="s">
        <v>1506</v>
      </c>
      <c r="B368" s="13" t="s">
        <v>1507</v>
      </c>
      <c r="C368" s="13" t="s">
        <v>1323</v>
      </c>
      <c r="D368" s="450" t="s">
        <v>1656</v>
      </c>
      <c r="E368" s="13" t="s">
        <v>118</v>
      </c>
      <c r="F368" s="13" t="s">
        <v>167</v>
      </c>
      <c r="G368" s="445" t="s">
        <v>1661</v>
      </c>
      <c r="H368" s="13" t="s">
        <v>146</v>
      </c>
      <c r="I368" s="13" t="s">
        <v>147</v>
      </c>
      <c r="J368" s="13" t="s">
        <v>5</v>
      </c>
      <c r="K368" s="13" t="s">
        <v>123</v>
      </c>
      <c r="L368" s="13" t="s">
        <v>1662</v>
      </c>
      <c r="M368" s="13" t="s">
        <v>125</v>
      </c>
      <c r="N368" s="13" t="s">
        <v>251</v>
      </c>
      <c r="O368" s="448">
        <v>0.4</v>
      </c>
      <c r="P368" s="13">
        <v>108</v>
      </c>
      <c r="Q368" s="13">
        <v>25</v>
      </c>
      <c r="R368" s="449" t="s">
        <v>127</v>
      </c>
      <c r="S368" s="430" t="str">
        <f t="shared" si="142"/>
        <v>N/A</v>
      </c>
      <c r="T368" s="247">
        <v>0.8</v>
      </c>
      <c r="U368" s="13">
        <v>335</v>
      </c>
      <c r="V368" s="13">
        <v>710</v>
      </c>
      <c r="W368" s="430">
        <f t="shared" si="140"/>
        <v>375</v>
      </c>
      <c r="X368" s="430">
        <f t="shared" si="141"/>
        <v>120</v>
      </c>
      <c r="Y368" s="13">
        <v>310</v>
      </c>
      <c r="Z368" s="13">
        <f>V368</f>
        <v>710</v>
      </c>
      <c r="AA368" s="430">
        <f t="shared" si="143"/>
        <v>400</v>
      </c>
      <c r="AB368" s="430">
        <f t="shared" si="144"/>
        <v>120</v>
      </c>
      <c r="AC368" s="430" t="str">
        <f t="shared" si="145"/>
        <v>N/A</v>
      </c>
      <c r="AD368" s="430">
        <f t="shared" si="146"/>
        <v>83</v>
      </c>
      <c r="AE368" s="431">
        <f t="shared" si="147"/>
        <v>1.1320000000000001</v>
      </c>
      <c r="AF368" s="431"/>
      <c r="AG368" s="431">
        <f t="shared" si="148"/>
        <v>1.0044259259259261</v>
      </c>
      <c r="AH368" s="431">
        <f t="shared" si="149"/>
        <v>1.0646914814814816</v>
      </c>
      <c r="AI368" s="432">
        <f t="shared" si="150"/>
        <v>874.04208000000006</v>
      </c>
      <c r="AJ368" s="432">
        <f t="shared" si="151"/>
        <v>147.6728869610053</v>
      </c>
      <c r="AK368" s="432">
        <f t="shared" si="152"/>
        <v>161.46891045122629</v>
      </c>
      <c r="AL368" s="432">
        <f t="shared" si="153"/>
        <v>320.97689434263378</v>
      </c>
      <c r="AM368" s="250">
        <v>321</v>
      </c>
      <c r="AN368" s="432">
        <f t="shared" si="154"/>
        <v>346.68</v>
      </c>
      <c r="AO368" s="432">
        <f t="shared" si="155"/>
        <v>369.10724280000005</v>
      </c>
      <c r="AP368" s="432">
        <f t="shared" si="156"/>
        <v>1476.4289712000002</v>
      </c>
      <c r="AQ368" s="255">
        <v>44409</v>
      </c>
      <c r="AR368" s="255" t="s">
        <v>1663</v>
      </c>
      <c r="AS368" s="434" t="s">
        <v>1664</v>
      </c>
      <c r="AT368" s="429" t="s">
        <v>1665</v>
      </c>
      <c r="AU368" s="241"/>
      <c r="AV368" s="243"/>
      <c r="AW368" s="72" t="s">
        <v>127</v>
      </c>
      <c r="AX368" s="243"/>
      <c r="AY368" s="103">
        <f t="shared" si="175"/>
        <v>0.65740740740740744</v>
      </c>
      <c r="AZ368" s="72"/>
      <c r="BA368" s="13" t="str">
        <f t="shared" si="158"/>
        <v>W22</v>
      </c>
      <c r="BB368" s="72" t="str">
        <f t="shared" si="167"/>
        <v>Clear</v>
      </c>
      <c r="BC368" s="32">
        <f t="shared" si="168"/>
        <v>1.2320000000000002</v>
      </c>
      <c r="BD368" s="241">
        <f t="shared" si="169"/>
        <v>148.36266771979558</v>
      </c>
      <c r="BE368" s="241">
        <f t="shared" si="170"/>
        <v>-13.106242731430712</v>
      </c>
      <c r="BF368" s="71">
        <f t="shared" si="171"/>
        <v>-8.116883116883121E-2</v>
      </c>
      <c r="BG368" s="241">
        <f t="shared" si="172"/>
        <v>294.92357499664075</v>
      </c>
      <c r="BH368" s="241">
        <f t="shared" si="173"/>
        <v>-26.053319345993032</v>
      </c>
      <c r="BI368" s="71">
        <f t="shared" si="174"/>
        <v>-8.1168831168831265E-2</v>
      </c>
      <c r="BJ368" s="123">
        <v>26.25</v>
      </c>
      <c r="BK368" s="123">
        <v>23.5</v>
      </c>
      <c r="BL368" s="126">
        <f>AH368</f>
        <v>1.0646914814814816</v>
      </c>
      <c r="BM368" s="123">
        <f>BK368/AH368</f>
        <v>22.072121744883841</v>
      </c>
      <c r="BN368" s="123">
        <f>BK368-BM368</f>
        <v>1.4278782551161591</v>
      </c>
      <c r="BO368" s="123">
        <v>22.73</v>
      </c>
      <c r="BP368" s="161">
        <f>BO368-BM368</f>
        <v>0.65787825511615949</v>
      </c>
      <c r="BQ368" s="124"/>
      <c r="BR368" s="124"/>
      <c r="BS368" s="71"/>
      <c r="BT368" s="72"/>
      <c r="BU368" s="78"/>
      <c r="BV368" s="32"/>
      <c r="BW368" s="127"/>
      <c r="BX368" s="78"/>
      <c r="BY368" s="78"/>
      <c r="BZ368" s="127"/>
      <c r="CA368" s="76"/>
    </row>
    <row r="369" spans="1:79" s="22" customFormat="1">
      <c r="A369" s="13" t="s">
        <v>1506</v>
      </c>
      <c r="B369" s="13" t="s">
        <v>1507</v>
      </c>
      <c r="C369" s="13" t="s">
        <v>1323</v>
      </c>
      <c r="D369" s="450" t="s">
        <v>1656</v>
      </c>
      <c r="E369" s="13" t="s">
        <v>118</v>
      </c>
      <c r="F369" s="13" t="s">
        <v>167</v>
      </c>
      <c r="G369" s="445" t="s">
        <v>1666</v>
      </c>
      <c r="H369" s="13" t="s">
        <v>146</v>
      </c>
      <c r="I369" s="13" t="s">
        <v>147</v>
      </c>
      <c r="J369" s="13" t="s">
        <v>5</v>
      </c>
      <c r="K369" s="13" t="s">
        <v>123</v>
      </c>
      <c r="L369" s="13" t="s">
        <v>1667</v>
      </c>
      <c r="M369" s="13" t="s">
        <v>125</v>
      </c>
      <c r="N369" s="13" t="s">
        <v>12</v>
      </c>
      <c r="O369" s="448">
        <v>0.4</v>
      </c>
      <c r="P369" s="13">
        <v>104</v>
      </c>
      <c r="Q369" s="13">
        <v>25</v>
      </c>
      <c r="R369" s="449" t="s">
        <v>1668</v>
      </c>
      <c r="S369" s="430" t="str">
        <f t="shared" si="142"/>
        <v>N/A</v>
      </c>
      <c r="T369" s="247">
        <v>0.8</v>
      </c>
      <c r="U369" s="13">
        <v>315</v>
      </c>
      <c r="V369" s="13">
        <v>665</v>
      </c>
      <c r="W369" s="430">
        <f t="shared" si="140"/>
        <v>350</v>
      </c>
      <c r="X369" s="430">
        <f t="shared" si="141"/>
        <v>125</v>
      </c>
      <c r="Y369" s="13"/>
      <c r="Z369" s="13"/>
      <c r="AA369" s="430">
        <f t="shared" si="143"/>
        <v>0</v>
      </c>
      <c r="AB369" s="430">
        <f t="shared" si="144"/>
        <v>790</v>
      </c>
      <c r="AC369" s="430" t="str">
        <f t="shared" si="145"/>
        <v>N/A</v>
      </c>
      <c r="AD369" s="430">
        <f t="shared" si="146"/>
        <v>79</v>
      </c>
      <c r="AE369" s="431">
        <f t="shared" si="147"/>
        <v>1.1160000000000001</v>
      </c>
      <c r="AF369" s="431"/>
      <c r="AG369" s="431">
        <f t="shared" si="148"/>
        <v>0.99598076923076928</v>
      </c>
      <c r="AH369" s="431">
        <f t="shared" si="149"/>
        <v>0</v>
      </c>
      <c r="AI369" s="432">
        <f t="shared" si="150"/>
        <v>0</v>
      </c>
      <c r="AJ369" s="432">
        <f t="shared" si="151"/>
        <v>149.79006096761472</v>
      </c>
      <c r="AK369" s="432">
        <f t="shared" si="152"/>
        <v>163.78387690930839</v>
      </c>
      <c r="AL369" s="432">
        <f t="shared" si="153"/>
        <v>325.5787136163633</v>
      </c>
      <c r="AM369" s="250">
        <v>160</v>
      </c>
      <c r="AN369" s="432">
        <f t="shared" si="154"/>
        <v>166.4</v>
      </c>
      <c r="AO369" s="432">
        <f t="shared" si="155"/>
        <v>0</v>
      </c>
      <c r="AP369" s="432">
        <f t="shared" si="156"/>
        <v>0</v>
      </c>
      <c r="AQ369" s="255">
        <v>43344</v>
      </c>
      <c r="AR369" s="255" t="s">
        <v>1669</v>
      </c>
      <c r="AS369" s="434" t="s">
        <v>1670</v>
      </c>
      <c r="AT369" s="429" t="s">
        <v>1671</v>
      </c>
      <c r="AU369" s="241">
        <v>2</v>
      </c>
      <c r="AV369" s="243" t="s">
        <v>331</v>
      </c>
      <c r="AW369" s="72" t="s">
        <v>127</v>
      </c>
      <c r="AX369" s="243"/>
      <c r="AY369" s="103">
        <f t="shared" si="175"/>
        <v>0.63942307692307687</v>
      </c>
      <c r="AZ369" s="72"/>
      <c r="BA369" s="13" t="str">
        <f t="shared" si="158"/>
        <v>W12</v>
      </c>
      <c r="BB369" s="72" t="str">
        <f t="shared" si="167"/>
        <v>Clear</v>
      </c>
      <c r="BC369" s="32">
        <f t="shared" si="168"/>
        <v>1.2160000000000002</v>
      </c>
      <c r="BD369" s="241">
        <f t="shared" si="169"/>
        <v>150.31480808452972</v>
      </c>
      <c r="BE369" s="241">
        <f t="shared" si="170"/>
        <v>-13.469068824778674</v>
      </c>
      <c r="BF369" s="71">
        <f t="shared" si="171"/>
        <v>-8.2236842105263303E-2</v>
      </c>
      <c r="BG369" s="241">
        <f t="shared" si="172"/>
        <v>298.80414835185974</v>
      </c>
      <c r="BH369" s="241">
        <f t="shared" si="173"/>
        <v>-26.774565264503565</v>
      </c>
      <c r="BI369" s="71">
        <f t="shared" si="174"/>
        <v>-8.2236842105263164E-2</v>
      </c>
      <c r="BJ369" s="111"/>
      <c r="BK369" s="83"/>
      <c r="BL369" s="83"/>
      <c r="BM369" s="83"/>
      <c r="BN369" s="71"/>
      <c r="BO369" s="83"/>
      <c r="BP369" s="83"/>
      <c r="BQ369" s="115"/>
      <c r="BR369" s="140"/>
      <c r="BS369" s="80"/>
      <c r="BU369" s="87"/>
      <c r="BV369" s="73"/>
      <c r="BW369" s="109"/>
      <c r="BX369" s="87"/>
      <c r="BY369" s="87"/>
      <c r="BZ369" s="109"/>
      <c r="CA369" s="76"/>
    </row>
    <row r="370" spans="1:79" s="22" customFormat="1">
      <c r="A370" s="13" t="s">
        <v>1506</v>
      </c>
      <c r="B370" s="13" t="s">
        <v>1507</v>
      </c>
      <c r="C370" s="13" t="s">
        <v>1323</v>
      </c>
      <c r="D370" s="450" t="s">
        <v>1656</v>
      </c>
      <c r="E370" s="13" t="s">
        <v>118</v>
      </c>
      <c r="F370" s="13" t="s">
        <v>167</v>
      </c>
      <c r="G370" s="445" t="s">
        <v>1672</v>
      </c>
      <c r="H370" s="13" t="s">
        <v>146</v>
      </c>
      <c r="I370" s="13" t="s">
        <v>147</v>
      </c>
      <c r="J370" s="13" t="s">
        <v>5</v>
      </c>
      <c r="K370" s="13" t="s">
        <v>123</v>
      </c>
      <c r="L370" s="13" t="s">
        <v>1673</v>
      </c>
      <c r="M370" s="13" t="s">
        <v>125</v>
      </c>
      <c r="N370" s="13" t="s">
        <v>12</v>
      </c>
      <c r="O370" s="448">
        <v>0.4</v>
      </c>
      <c r="P370" s="13">
        <v>108</v>
      </c>
      <c r="Q370" s="13">
        <v>25</v>
      </c>
      <c r="R370" s="449" t="s">
        <v>127</v>
      </c>
      <c r="S370" s="430" t="str">
        <f t="shared" si="142"/>
        <v>N/A</v>
      </c>
      <c r="T370" s="247">
        <v>0.8</v>
      </c>
      <c r="U370" s="13">
        <v>355</v>
      </c>
      <c r="V370" s="13">
        <v>705</v>
      </c>
      <c r="W370" s="430">
        <f t="shared" si="140"/>
        <v>350</v>
      </c>
      <c r="X370" s="430">
        <f t="shared" si="141"/>
        <v>125</v>
      </c>
      <c r="Y370" s="13"/>
      <c r="Z370" s="13"/>
      <c r="AA370" s="430">
        <f t="shared" si="143"/>
        <v>0</v>
      </c>
      <c r="AB370" s="430">
        <f t="shared" si="144"/>
        <v>830</v>
      </c>
      <c r="AC370" s="430" t="str">
        <f t="shared" si="145"/>
        <v>N/A</v>
      </c>
      <c r="AD370" s="430">
        <f t="shared" si="146"/>
        <v>83</v>
      </c>
      <c r="AE370" s="431">
        <f t="shared" si="147"/>
        <v>1.1320000000000001</v>
      </c>
      <c r="AF370" s="431"/>
      <c r="AG370" s="431">
        <f t="shared" si="148"/>
        <v>1.0044259259259261</v>
      </c>
      <c r="AH370" s="431">
        <f t="shared" si="149"/>
        <v>0</v>
      </c>
      <c r="AI370" s="432">
        <f t="shared" si="150"/>
        <v>0</v>
      </c>
      <c r="AJ370" s="432">
        <f t="shared" si="151"/>
        <v>147.6728869610053</v>
      </c>
      <c r="AK370" s="432">
        <f t="shared" si="152"/>
        <v>161.46891045122629</v>
      </c>
      <c r="AL370" s="432">
        <f t="shared" si="153"/>
        <v>320.97689434263378</v>
      </c>
      <c r="AM370" s="250">
        <v>160</v>
      </c>
      <c r="AN370" s="432">
        <f t="shared" si="154"/>
        <v>172.8</v>
      </c>
      <c r="AO370" s="432">
        <f t="shared" si="155"/>
        <v>0</v>
      </c>
      <c r="AP370" s="432">
        <f t="shared" si="156"/>
        <v>0</v>
      </c>
      <c r="AQ370" s="255">
        <v>44075</v>
      </c>
      <c r="AR370" s="255" t="s">
        <v>1674</v>
      </c>
      <c r="AS370" s="434"/>
      <c r="AT370" s="429" t="s">
        <v>1675</v>
      </c>
      <c r="AU370" s="241"/>
      <c r="AV370" s="243"/>
      <c r="AW370" s="72" t="s">
        <v>127</v>
      </c>
      <c r="AX370" s="243"/>
      <c r="AY370" s="103">
        <f t="shared" si="175"/>
        <v>0.65277777777777779</v>
      </c>
      <c r="AZ370" s="72"/>
      <c r="BA370" s="13" t="str">
        <f t="shared" si="158"/>
        <v>W12</v>
      </c>
      <c r="BB370" s="72" t="str">
        <f t="shared" si="167"/>
        <v>Clear</v>
      </c>
      <c r="BC370" s="32">
        <f t="shared" si="168"/>
        <v>1.2320000000000002</v>
      </c>
      <c r="BD370" s="241">
        <f t="shared" si="169"/>
        <v>148.36266771979558</v>
      </c>
      <c r="BE370" s="241">
        <f t="shared" si="170"/>
        <v>-13.106242731430712</v>
      </c>
      <c r="BF370" s="71">
        <f t="shared" si="171"/>
        <v>-8.116883116883121E-2</v>
      </c>
      <c r="BG370" s="241">
        <f t="shared" si="172"/>
        <v>294.92357499664075</v>
      </c>
      <c r="BH370" s="241">
        <f t="shared" si="173"/>
        <v>-26.053319345993032</v>
      </c>
      <c r="BI370" s="71">
        <f t="shared" si="174"/>
        <v>-8.1168831168831265E-2</v>
      </c>
      <c r="BJ370" s="111"/>
      <c r="BK370" s="111"/>
      <c r="BL370" s="83"/>
      <c r="BM370" s="83"/>
      <c r="BN370" s="71"/>
      <c r="BO370" s="83"/>
      <c r="BP370" s="83"/>
      <c r="BQ370" s="115"/>
      <c r="BR370" s="113"/>
      <c r="BS370" s="80"/>
      <c r="BU370" s="87"/>
      <c r="BV370" s="73"/>
      <c r="BW370" s="109"/>
      <c r="BX370" s="87"/>
      <c r="BY370" s="87"/>
      <c r="BZ370" s="109"/>
      <c r="CA370" s="284"/>
    </row>
    <row r="371" spans="1:79" s="22" customFormat="1">
      <c r="A371" s="13" t="s">
        <v>1506</v>
      </c>
      <c r="B371" s="13" t="s">
        <v>1507</v>
      </c>
      <c r="C371" s="13" t="s">
        <v>1323</v>
      </c>
      <c r="D371" s="450" t="s">
        <v>1656</v>
      </c>
      <c r="E371" s="13" t="s">
        <v>118</v>
      </c>
      <c r="F371" s="13" t="s">
        <v>167</v>
      </c>
      <c r="G371" s="445" t="s">
        <v>1676</v>
      </c>
      <c r="H371" s="13" t="s">
        <v>146</v>
      </c>
      <c r="I371" s="13" t="s">
        <v>147</v>
      </c>
      <c r="J371" s="13" t="s">
        <v>5</v>
      </c>
      <c r="K371" s="13" t="s">
        <v>123</v>
      </c>
      <c r="L371" s="13" t="s">
        <v>1677</v>
      </c>
      <c r="M371" s="13" t="s">
        <v>125</v>
      </c>
      <c r="N371" s="13" t="s">
        <v>12</v>
      </c>
      <c r="O371" s="448">
        <v>0.4</v>
      </c>
      <c r="P371" s="13">
        <v>106</v>
      </c>
      <c r="Q371" s="13">
        <v>25</v>
      </c>
      <c r="R371" s="449" t="s">
        <v>127</v>
      </c>
      <c r="S371" s="430" t="str">
        <f t="shared" si="142"/>
        <v>N/A</v>
      </c>
      <c r="T371" s="247">
        <v>0.8</v>
      </c>
      <c r="U371" s="13">
        <v>335</v>
      </c>
      <c r="V371" s="13">
        <v>685</v>
      </c>
      <c r="W371" s="430">
        <f t="shared" si="140"/>
        <v>350</v>
      </c>
      <c r="X371" s="430">
        <f t="shared" si="141"/>
        <v>125</v>
      </c>
      <c r="Y371" s="13"/>
      <c r="Z371" s="13"/>
      <c r="AA371" s="430">
        <f t="shared" si="143"/>
        <v>0</v>
      </c>
      <c r="AB371" s="430">
        <f t="shared" si="144"/>
        <v>810</v>
      </c>
      <c r="AC371" s="430" t="str">
        <f t="shared" si="145"/>
        <v>N/A</v>
      </c>
      <c r="AD371" s="430">
        <f t="shared" si="146"/>
        <v>81</v>
      </c>
      <c r="AE371" s="431">
        <f t="shared" si="147"/>
        <v>1.1240000000000001</v>
      </c>
      <c r="AF371" s="431"/>
      <c r="AG371" s="431">
        <f t="shared" si="148"/>
        <v>1.0002075471698115</v>
      </c>
      <c r="AH371" s="431">
        <f t="shared" si="149"/>
        <v>0</v>
      </c>
      <c r="AI371" s="432">
        <f t="shared" si="150"/>
        <v>0</v>
      </c>
      <c r="AJ371" s="432">
        <f t="shared" si="151"/>
        <v>148.72393953724023</v>
      </c>
      <c r="AK371" s="432">
        <f t="shared" si="152"/>
        <v>162.61815536546987</v>
      </c>
      <c r="AL371" s="432">
        <f t="shared" si="153"/>
        <v>323.26142739845324</v>
      </c>
      <c r="AM371" s="250">
        <v>160</v>
      </c>
      <c r="AN371" s="432">
        <f t="shared" si="154"/>
        <v>169.6</v>
      </c>
      <c r="AO371" s="432">
        <f t="shared" si="155"/>
        <v>0</v>
      </c>
      <c r="AP371" s="432">
        <f t="shared" si="156"/>
        <v>0</v>
      </c>
      <c r="AQ371" s="255">
        <v>44228</v>
      </c>
      <c r="AR371" s="255" t="s">
        <v>1678</v>
      </c>
      <c r="AS371" s="434" t="s">
        <v>1679</v>
      </c>
      <c r="AT371" s="435" t="s">
        <v>1680</v>
      </c>
      <c r="AU371" s="241">
        <v>12</v>
      </c>
      <c r="AV371" s="243"/>
      <c r="AW371" s="72" t="s">
        <v>127</v>
      </c>
      <c r="AX371" s="243"/>
      <c r="AY371" s="103">
        <f t="shared" si="175"/>
        <v>0.64622641509433965</v>
      </c>
      <c r="AZ371" s="72"/>
      <c r="BA371" s="13" t="str">
        <f t="shared" si="158"/>
        <v>W12</v>
      </c>
      <c r="BB371" s="72" t="str">
        <f t="shared" si="167"/>
        <v>Clear</v>
      </c>
      <c r="BC371" s="32">
        <f t="shared" si="168"/>
        <v>1.2240000000000002</v>
      </c>
      <c r="BD371" s="241">
        <f t="shared" si="169"/>
        <v>149.33235835848703</v>
      </c>
      <c r="BE371" s="241">
        <f t="shared" si="170"/>
        <v>-13.285797006982847</v>
      </c>
      <c r="BF371" s="71">
        <f t="shared" si="171"/>
        <v>-8.1699346405228843E-2</v>
      </c>
      <c r="BG371" s="241">
        <f t="shared" si="172"/>
        <v>296.85118006197825</v>
      </c>
      <c r="BH371" s="241">
        <f t="shared" si="173"/>
        <v>-26.410247336474981</v>
      </c>
      <c r="BI371" s="71">
        <f t="shared" si="174"/>
        <v>-8.1699346405228898E-2</v>
      </c>
      <c r="BJ371" s="111"/>
      <c r="BK371" s="111"/>
      <c r="BL371" s="83"/>
      <c r="BM371" s="83"/>
      <c r="BN371" s="71"/>
      <c r="BO371" s="83"/>
      <c r="BP371" s="83"/>
      <c r="BQ371" s="102"/>
      <c r="BR371" s="231"/>
      <c r="BS371" s="231"/>
      <c r="BT371" s="13">
        <f>P371-V371/10-120/10</f>
        <v>25.5</v>
      </c>
      <c r="BU371" s="79">
        <f>BT371-Q371</f>
        <v>0.5</v>
      </c>
      <c r="BV371" s="29">
        <f>T371+(O371/100*(P371-BT371))</f>
        <v>1.1220000000000001</v>
      </c>
      <c r="BW371" s="86">
        <f>(AE371-BV371)/AE371</f>
        <v>1.7793594306049836E-3</v>
      </c>
      <c r="BX371" s="79">
        <f>(PI()*((51/2)^2-(16.545/2)^2)/(BV371/10))/100</f>
        <v>162.9080273001677</v>
      </c>
      <c r="BY371" s="79">
        <f>BX371-AK371</f>
        <v>0.28987193469782824</v>
      </c>
      <c r="BZ371" s="86">
        <f>BY371/AK371</f>
        <v>1.7825311942960291E-3</v>
      </c>
      <c r="CA371" s="76"/>
    </row>
    <row r="372" spans="1:79" s="72" customFormat="1">
      <c r="A372" s="13" t="s">
        <v>1506</v>
      </c>
      <c r="B372" s="13" t="s">
        <v>1507</v>
      </c>
      <c r="C372" s="13" t="s">
        <v>1323</v>
      </c>
      <c r="D372" s="450" t="s">
        <v>1656</v>
      </c>
      <c r="E372" s="13" t="s">
        <v>118</v>
      </c>
      <c r="F372" s="13" t="s">
        <v>167</v>
      </c>
      <c r="G372" s="445" t="s">
        <v>1681</v>
      </c>
      <c r="H372" s="13" t="s">
        <v>146</v>
      </c>
      <c r="I372" s="13" t="s">
        <v>147</v>
      </c>
      <c r="J372" s="13" t="s">
        <v>5</v>
      </c>
      <c r="K372" s="13" t="s">
        <v>123</v>
      </c>
      <c r="L372" s="13" t="s">
        <v>1682</v>
      </c>
      <c r="M372" s="13" t="s">
        <v>125</v>
      </c>
      <c r="N372" s="13" t="s">
        <v>12</v>
      </c>
      <c r="O372" s="448">
        <v>0.4</v>
      </c>
      <c r="P372" s="13">
        <v>108</v>
      </c>
      <c r="Q372" s="13">
        <v>25</v>
      </c>
      <c r="R372" s="449" t="s">
        <v>127</v>
      </c>
      <c r="S372" s="430" t="str">
        <f t="shared" si="142"/>
        <v>N/A</v>
      </c>
      <c r="T372" s="247">
        <v>0.8</v>
      </c>
      <c r="U372" s="13">
        <v>335</v>
      </c>
      <c r="V372" s="13">
        <v>710</v>
      </c>
      <c r="W372" s="430">
        <f t="shared" si="140"/>
        <v>375</v>
      </c>
      <c r="X372" s="430">
        <f t="shared" si="141"/>
        <v>120</v>
      </c>
      <c r="Y372" s="13">
        <v>310</v>
      </c>
      <c r="Z372" s="13">
        <f>V372</f>
        <v>710</v>
      </c>
      <c r="AA372" s="430">
        <f t="shared" si="143"/>
        <v>400</v>
      </c>
      <c r="AB372" s="430">
        <f t="shared" si="144"/>
        <v>120</v>
      </c>
      <c r="AC372" s="430" t="str">
        <f t="shared" si="145"/>
        <v>N/A</v>
      </c>
      <c r="AD372" s="430">
        <f t="shared" si="146"/>
        <v>83</v>
      </c>
      <c r="AE372" s="431">
        <f t="shared" si="147"/>
        <v>1.1320000000000001</v>
      </c>
      <c r="AF372" s="431"/>
      <c r="AG372" s="431">
        <f t="shared" si="148"/>
        <v>1.0044259259259261</v>
      </c>
      <c r="AH372" s="431">
        <f t="shared" si="149"/>
        <v>0</v>
      </c>
      <c r="AI372" s="432">
        <f t="shared" si="150"/>
        <v>0</v>
      </c>
      <c r="AJ372" s="432">
        <f t="shared" si="151"/>
        <v>147.6728869610053</v>
      </c>
      <c r="AK372" s="432">
        <f t="shared" si="152"/>
        <v>161.46891045122629</v>
      </c>
      <c r="AL372" s="432">
        <f t="shared" si="153"/>
        <v>320.97689434263378</v>
      </c>
      <c r="AM372" s="250">
        <v>160</v>
      </c>
      <c r="AN372" s="432">
        <f t="shared" si="154"/>
        <v>172.8</v>
      </c>
      <c r="AO372" s="432">
        <f t="shared" si="155"/>
        <v>0</v>
      </c>
      <c r="AP372" s="432">
        <f t="shared" si="156"/>
        <v>0</v>
      </c>
      <c r="AQ372" s="255">
        <v>44409</v>
      </c>
      <c r="AR372" s="255" t="s">
        <v>1683</v>
      </c>
      <c r="AS372" s="434"/>
      <c r="AT372" s="429" t="s">
        <v>1684</v>
      </c>
      <c r="AU372" s="241"/>
      <c r="AV372" s="243"/>
      <c r="AW372" s="72" t="s">
        <v>127</v>
      </c>
      <c r="AX372" s="243"/>
      <c r="AY372" s="103">
        <f t="shared" si="175"/>
        <v>0.65740740740740744</v>
      </c>
      <c r="BA372" s="13" t="str">
        <f t="shared" si="158"/>
        <v>W12</v>
      </c>
      <c r="BB372" s="72" t="str">
        <f t="shared" si="167"/>
        <v>Clear</v>
      </c>
      <c r="BC372" s="32">
        <f t="shared" si="168"/>
        <v>1.2320000000000002</v>
      </c>
      <c r="BD372" s="241">
        <f t="shared" si="169"/>
        <v>148.36266771979558</v>
      </c>
      <c r="BE372" s="241">
        <f t="shared" si="170"/>
        <v>-13.106242731430712</v>
      </c>
      <c r="BF372" s="71">
        <f t="shared" si="171"/>
        <v>-8.116883116883121E-2</v>
      </c>
      <c r="BG372" s="241">
        <f t="shared" si="172"/>
        <v>294.92357499664075</v>
      </c>
      <c r="BH372" s="241">
        <f t="shared" si="173"/>
        <v>-26.053319345993032</v>
      </c>
      <c r="BI372" s="71">
        <f t="shared" si="174"/>
        <v>-8.1168831168831265E-2</v>
      </c>
      <c r="BJ372" s="111">
        <v>26.25</v>
      </c>
      <c r="BK372" s="111"/>
      <c r="BL372" s="112"/>
      <c r="BM372" s="83"/>
      <c r="BN372" s="123"/>
      <c r="BO372" s="83"/>
      <c r="BP372" s="83"/>
      <c r="BQ372" s="88"/>
      <c r="BR372" s="80"/>
      <c r="BS372" s="80"/>
      <c r="BT372" s="22"/>
      <c r="BU372" s="87"/>
      <c r="BV372" s="73"/>
      <c r="BW372" s="109"/>
      <c r="BX372" s="87"/>
      <c r="BY372" s="87"/>
      <c r="BZ372" s="109"/>
      <c r="CA372" s="76"/>
    </row>
    <row r="373" spans="1:79" s="22" customFormat="1">
      <c r="A373" s="13" t="s">
        <v>1506</v>
      </c>
      <c r="B373" s="13" t="s">
        <v>1507</v>
      </c>
      <c r="C373" s="13" t="s">
        <v>1323</v>
      </c>
      <c r="D373" s="450" t="s">
        <v>1656</v>
      </c>
      <c r="E373" s="13" t="s">
        <v>118</v>
      </c>
      <c r="F373" s="13" t="s">
        <v>186</v>
      </c>
      <c r="G373" s="445" t="s">
        <v>1685</v>
      </c>
      <c r="H373" s="13" t="s">
        <v>146</v>
      </c>
      <c r="I373" s="13" t="s">
        <v>147</v>
      </c>
      <c r="J373" s="13" t="s">
        <v>5</v>
      </c>
      <c r="K373" s="13" t="s">
        <v>123</v>
      </c>
      <c r="L373" s="13" t="s">
        <v>1686</v>
      </c>
      <c r="M373" s="13" t="s">
        <v>125</v>
      </c>
      <c r="N373" s="13" t="s">
        <v>126</v>
      </c>
      <c r="O373" s="448">
        <v>0.42</v>
      </c>
      <c r="P373" s="13">
        <v>108</v>
      </c>
      <c r="Q373" s="13">
        <v>25</v>
      </c>
      <c r="R373" s="449" t="s">
        <v>127</v>
      </c>
      <c r="S373" s="430" t="str">
        <f t="shared" si="142"/>
        <v>N/A</v>
      </c>
      <c r="T373" s="247">
        <v>0.8</v>
      </c>
      <c r="U373" s="13">
        <v>335</v>
      </c>
      <c r="V373" s="13">
        <v>710</v>
      </c>
      <c r="W373" s="430">
        <f t="shared" si="140"/>
        <v>375</v>
      </c>
      <c r="X373" s="430">
        <f t="shared" si="141"/>
        <v>120</v>
      </c>
      <c r="Y373" s="13">
        <v>320</v>
      </c>
      <c r="Z373" s="13">
        <v>720</v>
      </c>
      <c r="AA373" s="430">
        <f t="shared" si="143"/>
        <v>400</v>
      </c>
      <c r="AB373" s="430">
        <f t="shared" si="144"/>
        <v>110</v>
      </c>
      <c r="AC373" s="430" t="str">
        <f t="shared" si="145"/>
        <v>N/A</v>
      </c>
      <c r="AD373" s="430">
        <f t="shared" si="146"/>
        <v>83</v>
      </c>
      <c r="AE373" s="431">
        <f t="shared" si="147"/>
        <v>1.1486000000000001</v>
      </c>
      <c r="AF373" s="431"/>
      <c r="AG373" s="431">
        <f t="shared" si="148"/>
        <v>1.0146472222222223</v>
      </c>
      <c r="AH373" s="431">
        <f t="shared" si="149"/>
        <v>1.0755260555555555</v>
      </c>
      <c r="AI373" s="432">
        <f t="shared" si="150"/>
        <v>875.34418400000015</v>
      </c>
      <c r="AJ373" s="432">
        <f t="shared" si="151"/>
        <v>145.53866275453424</v>
      </c>
      <c r="AK373" s="432">
        <f t="shared" si="152"/>
        <v>159.13530091484256</v>
      </c>
      <c r="AL373" s="432">
        <f t="shared" si="153"/>
        <v>316.33801531939878</v>
      </c>
      <c r="AM373" s="250">
        <v>315</v>
      </c>
      <c r="AN373" s="432">
        <f t="shared" si="154"/>
        <v>340.2</v>
      </c>
      <c r="AO373" s="432">
        <f t="shared" si="155"/>
        <v>365.89396409999995</v>
      </c>
      <c r="AP373" s="432">
        <f t="shared" si="156"/>
        <v>1463.5758563999998</v>
      </c>
      <c r="AQ373" s="255">
        <v>45100</v>
      </c>
      <c r="AR373" s="255" t="s">
        <v>1687</v>
      </c>
      <c r="AS373" s="434" t="s">
        <v>1688</v>
      </c>
      <c r="AT373" s="429" t="s">
        <v>1689</v>
      </c>
      <c r="AU373" s="250"/>
      <c r="AV373" s="255"/>
      <c r="AW373" s="72" t="s">
        <v>127</v>
      </c>
      <c r="AX373" s="243"/>
      <c r="AY373" s="103">
        <f t="shared" si="175"/>
        <v>0.65740740740740744</v>
      </c>
      <c r="AZ373" s="72"/>
      <c r="BA373" s="13" t="str">
        <f t="shared" si="158"/>
        <v>W22</v>
      </c>
      <c r="BB373" s="72" t="str">
        <f t="shared" si="167"/>
        <v>Clear</v>
      </c>
      <c r="BC373" s="73"/>
      <c r="BD373" s="252"/>
      <c r="BE373" s="252"/>
      <c r="BF373" s="80"/>
      <c r="BG373" s="252"/>
      <c r="BH373" s="252"/>
      <c r="BI373" s="80"/>
      <c r="BJ373" s="114"/>
      <c r="BK373" s="111"/>
      <c r="BL373" s="112"/>
      <c r="BM373" s="111"/>
      <c r="BN373" s="123"/>
      <c r="BO373" s="83"/>
      <c r="BP373" s="88"/>
      <c r="BQ373" s="155"/>
      <c r="BR373" s="124"/>
      <c r="BS373" s="71"/>
      <c r="BT373" s="72"/>
      <c r="BU373" s="78"/>
      <c r="BV373" s="32"/>
      <c r="BW373" s="127"/>
      <c r="BX373" s="78"/>
      <c r="BY373" s="78"/>
      <c r="BZ373" s="127"/>
      <c r="CA373" s="76"/>
    </row>
    <row r="374" spans="1:79" s="22" customFormat="1">
      <c r="A374" s="13" t="s">
        <v>1506</v>
      </c>
      <c r="B374" s="13" t="s">
        <v>1507</v>
      </c>
      <c r="C374" s="13" t="s">
        <v>1323</v>
      </c>
      <c r="D374" s="450" t="s">
        <v>1656</v>
      </c>
      <c r="E374" s="13" t="s">
        <v>118</v>
      </c>
      <c r="F374" s="13" t="s">
        <v>167</v>
      </c>
      <c r="G374" s="445" t="s">
        <v>1690</v>
      </c>
      <c r="H374" s="13" t="s">
        <v>146</v>
      </c>
      <c r="I374" s="13" t="s">
        <v>147</v>
      </c>
      <c r="J374" s="13" t="s">
        <v>5</v>
      </c>
      <c r="K374" s="13" t="s">
        <v>123</v>
      </c>
      <c r="L374" s="13" t="s">
        <v>1691</v>
      </c>
      <c r="M374" s="13" t="s">
        <v>125</v>
      </c>
      <c r="N374" s="13" t="s">
        <v>12</v>
      </c>
      <c r="O374" s="448">
        <v>0.42</v>
      </c>
      <c r="P374" s="13">
        <v>104</v>
      </c>
      <c r="Q374" s="13">
        <v>25</v>
      </c>
      <c r="R374" s="449" t="s">
        <v>127</v>
      </c>
      <c r="S374" s="430" t="str">
        <f t="shared" si="142"/>
        <v>N/A</v>
      </c>
      <c r="T374" s="247">
        <v>0.8</v>
      </c>
      <c r="U374" s="13">
        <v>315</v>
      </c>
      <c r="V374" s="13">
        <v>665</v>
      </c>
      <c r="W374" s="430">
        <f t="shared" si="140"/>
        <v>350</v>
      </c>
      <c r="X374" s="430">
        <f t="shared" si="141"/>
        <v>125</v>
      </c>
      <c r="Y374" s="13"/>
      <c r="Z374" s="13"/>
      <c r="AA374" s="430">
        <f t="shared" si="143"/>
        <v>0</v>
      </c>
      <c r="AB374" s="430">
        <f t="shared" si="144"/>
        <v>790</v>
      </c>
      <c r="AC374" s="430" t="str">
        <f t="shared" si="145"/>
        <v>N/A</v>
      </c>
      <c r="AD374" s="430">
        <f t="shared" si="146"/>
        <v>79</v>
      </c>
      <c r="AE374" s="431">
        <f t="shared" si="147"/>
        <v>1.1318000000000001</v>
      </c>
      <c r="AF374" s="431"/>
      <c r="AG374" s="431">
        <f t="shared" si="148"/>
        <v>1.0057798076923077</v>
      </c>
      <c r="AH374" s="431">
        <f t="shared" si="149"/>
        <v>0</v>
      </c>
      <c r="AI374" s="432">
        <f t="shared" si="150"/>
        <v>0</v>
      </c>
      <c r="AJ374" s="432">
        <f t="shared" si="151"/>
        <v>147.6989821875402</v>
      </c>
      <c r="AK374" s="432">
        <f t="shared" si="152"/>
        <v>161.49744356846452</v>
      </c>
      <c r="AL374" s="432">
        <f t="shared" si="153"/>
        <v>321.03361406243278</v>
      </c>
      <c r="AM374" s="250">
        <v>160</v>
      </c>
      <c r="AN374" s="432">
        <f t="shared" si="154"/>
        <v>166.4</v>
      </c>
      <c r="AO374" s="432">
        <f t="shared" si="155"/>
        <v>0</v>
      </c>
      <c r="AP374" s="432">
        <f t="shared" si="156"/>
        <v>0</v>
      </c>
      <c r="AQ374" s="255">
        <v>43922</v>
      </c>
      <c r="AR374" s="255" t="s">
        <v>1692</v>
      </c>
      <c r="AS374" s="434" t="s">
        <v>1693</v>
      </c>
      <c r="AT374" s="429" t="s">
        <v>1694</v>
      </c>
      <c r="AU374" s="241">
        <v>12</v>
      </c>
      <c r="AV374" s="243" t="s">
        <v>1695</v>
      </c>
      <c r="AW374" s="72" t="s">
        <v>127</v>
      </c>
      <c r="AX374" s="243"/>
      <c r="AY374" s="103">
        <f t="shared" si="175"/>
        <v>0.63942307692307687</v>
      </c>
      <c r="AZ374" s="72"/>
      <c r="BA374" s="13" t="str">
        <f t="shared" si="158"/>
        <v>W12</v>
      </c>
      <c r="BB374" s="72" t="str">
        <f t="shared" si="167"/>
        <v>Clear</v>
      </c>
      <c r="BC374" s="32">
        <f>IF(Q374="","",((P374/100*O374)+T374))</f>
        <v>1.2368000000000001</v>
      </c>
      <c r="BD374" s="241">
        <f>IF(BC374="","",((PI()*((51/2)^2-(16.545/2)^2)/(BC374/10))/100))</f>
        <v>147.78687470147813</v>
      </c>
      <c r="BE374" s="241">
        <f>IF(BC374="","",(BD374-AK374))</f>
        <v>-13.710568866986392</v>
      </c>
      <c r="BF374" s="71">
        <f>IF(BC374="","",(BE374/AK374))</f>
        <v>-8.4896507115135814E-2</v>
      </c>
      <c r="BG374" s="241">
        <f>IF(BF374="","",((PI()*((70/2)^2-(16.545/2)^2)/(BC374/10))/100))</f>
        <v>293.7789815619837</v>
      </c>
      <c r="BH374" s="241">
        <f>IF(BF374="","",(BG374-AL374))</f>
        <v>-27.254632500449077</v>
      </c>
      <c r="BI374" s="71">
        <f>IF(BG374="","",(BH374/AL374))</f>
        <v>-8.4896507115135772E-2</v>
      </c>
      <c r="BJ374" s="111"/>
      <c r="BK374" s="111"/>
      <c r="BL374" s="83"/>
      <c r="BM374" s="83"/>
      <c r="BN374" s="71"/>
      <c r="BO374" s="83"/>
      <c r="BP374" s="83"/>
      <c r="BQ374" s="71"/>
      <c r="BR374" s="71"/>
      <c r="BS374" s="71"/>
      <c r="BT374" s="72"/>
      <c r="BU374" s="72"/>
      <c r="BV374" s="72"/>
      <c r="BW374" s="72"/>
      <c r="BX374" s="72"/>
      <c r="BY374" s="72"/>
      <c r="BZ374" s="72"/>
      <c r="CA374" s="72"/>
    </row>
    <row r="375" spans="1:79" s="72" customFormat="1">
      <c r="A375" s="13" t="s">
        <v>1506</v>
      </c>
      <c r="B375" s="13" t="s">
        <v>1507</v>
      </c>
      <c r="C375" s="13" t="s">
        <v>1696</v>
      </c>
      <c r="D375" s="445" t="s">
        <v>1697</v>
      </c>
      <c r="E375" s="13" t="s">
        <v>118</v>
      </c>
      <c r="F375" s="13" t="s">
        <v>186</v>
      </c>
      <c r="G375" s="445" t="s">
        <v>1698</v>
      </c>
      <c r="H375" s="13" t="s">
        <v>146</v>
      </c>
      <c r="I375" s="13" t="s">
        <v>147</v>
      </c>
      <c r="J375" s="13" t="s">
        <v>5</v>
      </c>
      <c r="K375" s="13" t="s">
        <v>123</v>
      </c>
      <c r="L375" s="13" t="s">
        <v>1699</v>
      </c>
      <c r="M375" s="13" t="s">
        <v>125</v>
      </c>
      <c r="N375" s="13" t="s">
        <v>126</v>
      </c>
      <c r="O375" s="448">
        <v>0.45</v>
      </c>
      <c r="P375" s="13">
        <v>111</v>
      </c>
      <c r="Q375" s="13">
        <v>30</v>
      </c>
      <c r="R375" s="449" t="s">
        <v>127</v>
      </c>
      <c r="S375" s="430" t="str">
        <f t="shared" si="142"/>
        <v>N/A</v>
      </c>
      <c r="T375" s="247">
        <v>0.8</v>
      </c>
      <c r="U375" s="13">
        <v>310</v>
      </c>
      <c r="V375" s="13">
        <v>620</v>
      </c>
      <c r="W375" s="430">
        <f t="shared" si="140"/>
        <v>310</v>
      </c>
      <c r="X375" s="430">
        <f t="shared" si="141"/>
        <v>190</v>
      </c>
      <c r="Y375" s="13">
        <v>265</v>
      </c>
      <c r="Z375" s="13">
        <v>665</v>
      </c>
      <c r="AA375" s="430">
        <f t="shared" si="143"/>
        <v>400</v>
      </c>
      <c r="AB375" s="430">
        <f t="shared" si="144"/>
        <v>145</v>
      </c>
      <c r="AC375" s="430" t="str">
        <f t="shared" si="145"/>
        <v>N/A</v>
      </c>
      <c r="AD375" s="430">
        <f t="shared" si="146"/>
        <v>81</v>
      </c>
      <c r="AE375" s="431">
        <f t="shared" si="147"/>
        <v>1.1645000000000001</v>
      </c>
      <c r="AF375" s="431"/>
      <c r="AG375" s="431">
        <f t="shared" si="148"/>
        <v>1.0315067567567568</v>
      </c>
      <c r="AH375" s="431">
        <f t="shared" si="149"/>
        <v>1.0933971621621623</v>
      </c>
      <c r="AI375" s="432">
        <f t="shared" si="150"/>
        <v>877.29733999999996</v>
      </c>
      <c r="AJ375" s="432">
        <f t="shared" si="151"/>
        <v>143.55148822658481</v>
      </c>
      <c r="AK375" s="432">
        <f t="shared" si="152"/>
        <v>156.96247885855573</v>
      </c>
      <c r="AL375" s="432">
        <f t="shared" si="153"/>
        <v>312.01875860529105</v>
      </c>
      <c r="AM375" s="250">
        <v>145</v>
      </c>
      <c r="AN375" s="432">
        <f t="shared" si="154"/>
        <v>160.94999999999999</v>
      </c>
      <c r="AO375" s="432">
        <f t="shared" si="155"/>
        <v>175.98227325000002</v>
      </c>
      <c r="AP375" s="432">
        <f t="shared" si="156"/>
        <v>586.60757750000005</v>
      </c>
      <c r="AQ375" s="255">
        <v>45352</v>
      </c>
      <c r="AR375" s="255" t="s">
        <v>1700</v>
      </c>
      <c r="AS375" s="429" t="s">
        <v>1701</v>
      </c>
      <c r="AT375" s="429"/>
      <c r="AU375" s="249"/>
      <c r="AV375" s="268"/>
      <c r="AW375" s="77"/>
      <c r="AX375" s="268"/>
      <c r="AY375" s="102">
        <f t="shared" si="175"/>
        <v>0.55855855855855852</v>
      </c>
      <c r="AZ375" s="77"/>
      <c r="BA375" s="38" t="str">
        <f t="shared" si="158"/>
        <v>W22</v>
      </c>
      <c r="BB375" s="77"/>
      <c r="BC375" s="264"/>
      <c r="BD375" s="253"/>
      <c r="BE375" s="253"/>
      <c r="BF375" s="100"/>
      <c r="BG375" s="253"/>
      <c r="BH375" s="253"/>
      <c r="BI375" s="100"/>
      <c r="BJ375" s="162"/>
      <c r="BK375" s="162"/>
      <c r="BL375" s="168"/>
      <c r="BM375" s="162"/>
      <c r="BN375" s="162"/>
      <c r="BO375" s="130"/>
      <c r="BP375" s="130"/>
      <c r="BQ375" s="124"/>
      <c r="BR375" s="159"/>
      <c r="BS375" s="71"/>
      <c r="BU375" s="78"/>
      <c r="BV375" s="32"/>
      <c r="BW375" s="127"/>
      <c r="BX375" s="78"/>
      <c r="BY375" s="78"/>
      <c r="BZ375" s="127"/>
      <c r="CA375" s="76"/>
    </row>
    <row r="376" spans="1:79" s="22" customFormat="1">
      <c r="A376" s="13" t="s">
        <v>1506</v>
      </c>
      <c r="B376" s="13" t="s">
        <v>1507</v>
      </c>
      <c r="C376" s="13" t="s">
        <v>1696</v>
      </c>
      <c r="D376" s="445" t="s">
        <v>1697</v>
      </c>
      <c r="E376" s="13" t="s">
        <v>118</v>
      </c>
      <c r="F376" s="13" t="s">
        <v>167</v>
      </c>
      <c r="G376" s="445" t="s">
        <v>1702</v>
      </c>
      <c r="H376" s="13" t="s">
        <v>146</v>
      </c>
      <c r="I376" s="13" t="s">
        <v>147</v>
      </c>
      <c r="J376" s="13" t="s">
        <v>5</v>
      </c>
      <c r="K376" s="13" t="s">
        <v>123</v>
      </c>
      <c r="L376" s="13" t="s">
        <v>1703</v>
      </c>
      <c r="M376" s="13" t="s">
        <v>125</v>
      </c>
      <c r="N376" s="13" t="s">
        <v>126</v>
      </c>
      <c r="O376" s="448">
        <v>0.49</v>
      </c>
      <c r="P376" s="13">
        <v>111</v>
      </c>
      <c r="Q376" s="13">
        <v>30</v>
      </c>
      <c r="R376" s="449" t="s">
        <v>127</v>
      </c>
      <c r="S376" s="430" t="str">
        <f t="shared" si="142"/>
        <v>N/A</v>
      </c>
      <c r="T376" s="247">
        <v>0.8</v>
      </c>
      <c r="U376" s="13">
        <v>275</v>
      </c>
      <c r="V376" s="13">
        <v>675</v>
      </c>
      <c r="W376" s="430">
        <f t="shared" si="140"/>
        <v>400</v>
      </c>
      <c r="X376" s="430">
        <f t="shared" si="141"/>
        <v>135</v>
      </c>
      <c r="Y376" s="13">
        <v>275</v>
      </c>
      <c r="Z376" s="13">
        <v>675</v>
      </c>
      <c r="AA376" s="430">
        <f t="shared" si="143"/>
        <v>400</v>
      </c>
      <c r="AB376" s="430">
        <f t="shared" si="144"/>
        <v>135</v>
      </c>
      <c r="AC376" s="430" t="str">
        <f t="shared" si="145"/>
        <v>N/A</v>
      </c>
      <c r="AD376" s="430">
        <f t="shared" si="146"/>
        <v>81</v>
      </c>
      <c r="AE376" s="431">
        <f t="shared" si="147"/>
        <v>1.1969000000000001</v>
      </c>
      <c r="AF376" s="431"/>
      <c r="AG376" s="431">
        <f t="shared" si="148"/>
        <v>1.0520851351351352</v>
      </c>
      <c r="AH376" s="431">
        <f t="shared" si="149"/>
        <v>1.1152102432432434</v>
      </c>
      <c r="AI376" s="432">
        <f t="shared" si="150"/>
        <v>879.90154800000005</v>
      </c>
      <c r="AJ376" s="432">
        <f t="shared" si="151"/>
        <v>139.66555939498539</v>
      </c>
      <c r="AK376" s="432">
        <f t="shared" si="152"/>
        <v>152.71351544054488</v>
      </c>
      <c r="AL376" s="432">
        <f t="shared" si="153"/>
        <v>303.57243244703938</v>
      </c>
      <c r="AM376" s="250">
        <v>300</v>
      </c>
      <c r="AN376" s="432">
        <f t="shared" si="154"/>
        <v>333</v>
      </c>
      <c r="AO376" s="432">
        <f t="shared" si="155"/>
        <v>371.36501100000004</v>
      </c>
      <c r="AP376" s="432">
        <f t="shared" si="156"/>
        <v>1237.8833700000002</v>
      </c>
      <c r="AQ376" s="255">
        <v>45658</v>
      </c>
      <c r="AR376" s="255" t="s">
        <v>1704</v>
      </c>
      <c r="AS376" s="429" t="s">
        <v>1705</v>
      </c>
      <c r="AT376" s="429"/>
      <c r="AU376" s="241"/>
      <c r="AV376" s="243"/>
      <c r="AW376" s="72"/>
      <c r="AX376" s="243"/>
      <c r="AY376" s="71">
        <f t="shared" si="175"/>
        <v>0.60810810810810811</v>
      </c>
      <c r="AZ376" s="72"/>
      <c r="BA376" s="72" t="str">
        <f t="shared" si="158"/>
        <v>W22</v>
      </c>
      <c r="BB376" s="72"/>
      <c r="BC376" s="32"/>
      <c r="BD376" s="241"/>
      <c r="BE376" s="241"/>
      <c r="BF376" s="71"/>
      <c r="BG376" s="241"/>
      <c r="BH376" s="241"/>
      <c r="BI376" s="71"/>
      <c r="BJ376" s="123"/>
      <c r="BK376" s="123"/>
      <c r="BL376" s="126"/>
      <c r="BM376" s="123"/>
      <c r="BN376" s="123"/>
      <c r="BO376" s="108"/>
      <c r="BP376" s="108"/>
      <c r="BQ376" s="115"/>
      <c r="BR376" s="113"/>
      <c r="BS376" s="71"/>
      <c r="BT376" s="72"/>
      <c r="BU376" s="78"/>
      <c r="BV376" s="32"/>
      <c r="BW376" s="127"/>
      <c r="BX376" s="78"/>
      <c r="BY376" s="78"/>
      <c r="BZ376" s="127"/>
      <c r="CA376" s="76"/>
    </row>
    <row r="377" spans="1:79" s="72" customFormat="1">
      <c r="A377" s="13" t="s">
        <v>1506</v>
      </c>
      <c r="B377" s="13" t="s">
        <v>1507</v>
      </c>
      <c r="C377" s="13" t="s">
        <v>1696</v>
      </c>
      <c r="D377" s="445" t="s">
        <v>1697</v>
      </c>
      <c r="E377" s="13" t="s">
        <v>118</v>
      </c>
      <c r="F377" s="13" t="s">
        <v>167</v>
      </c>
      <c r="G377" s="445" t="s">
        <v>1706</v>
      </c>
      <c r="H377" s="13" t="s">
        <v>146</v>
      </c>
      <c r="I377" s="13" t="s">
        <v>147</v>
      </c>
      <c r="J377" s="13" t="s">
        <v>5</v>
      </c>
      <c r="K377" s="13" t="s">
        <v>123</v>
      </c>
      <c r="L377" s="13" t="s">
        <v>1707</v>
      </c>
      <c r="M377" s="13" t="s">
        <v>125</v>
      </c>
      <c r="N377" s="13" t="s">
        <v>126</v>
      </c>
      <c r="O377" s="448">
        <v>0.51</v>
      </c>
      <c r="P377" s="13">
        <v>111</v>
      </c>
      <c r="Q377" s="13">
        <v>30</v>
      </c>
      <c r="R377" s="449" t="s">
        <v>127</v>
      </c>
      <c r="S377" s="430" t="str">
        <f t="shared" si="142"/>
        <v>N/A</v>
      </c>
      <c r="T377" s="247">
        <v>0.8</v>
      </c>
      <c r="U377" s="13">
        <v>310</v>
      </c>
      <c r="V377" s="13">
        <v>620</v>
      </c>
      <c r="W377" s="430">
        <f t="shared" si="140"/>
        <v>310</v>
      </c>
      <c r="X377" s="430">
        <f t="shared" si="141"/>
        <v>190</v>
      </c>
      <c r="Y377" s="13">
        <v>265</v>
      </c>
      <c r="Z377" s="13">
        <v>665</v>
      </c>
      <c r="AA377" s="430">
        <f t="shared" si="143"/>
        <v>400</v>
      </c>
      <c r="AB377" s="430">
        <f t="shared" si="144"/>
        <v>145</v>
      </c>
      <c r="AC377" s="430" t="str">
        <f t="shared" si="145"/>
        <v>N/A</v>
      </c>
      <c r="AD377" s="430">
        <f t="shared" si="146"/>
        <v>81</v>
      </c>
      <c r="AE377" s="431">
        <f t="shared" si="147"/>
        <v>1.2131000000000001</v>
      </c>
      <c r="AF377" s="431"/>
      <c r="AG377" s="431">
        <f t="shared" si="148"/>
        <v>1.0623743243243244</v>
      </c>
      <c r="AH377" s="431">
        <f t="shared" si="149"/>
        <v>1.1261167837837838</v>
      </c>
      <c r="AI377" s="432">
        <f t="shared" si="150"/>
        <v>881.20365200000003</v>
      </c>
      <c r="AJ377" s="432">
        <f t="shared" si="151"/>
        <v>137.80043528139313</v>
      </c>
      <c r="AK377" s="432">
        <f t="shared" si="152"/>
        <v>150.67414609742656</v>
      </c>
      <c r="AL377" s="432">
        <f t="shared" si="153"/>
        <v>299.51846046975641</v>
      </c>
      <c r="AM377" s="250">
        <v>145</v>
      </c>
      <c r="AN377" s="432">
        <f t="shared" si="154"/>
        <v>160.94999999999999</v>
      </c>
      <c r="AO377" s="432">
        <f t="shared" si="155"/>
        <v>181.24849634999998</v>
      </c>
      <c r="AP377" s="432">
        <f t="shared" si="156"/>
        <v>604.16165449999994</v>
      </c>
      <c r="AQ377" s="255">
        <v>45352</v>
      </c>
      <c r="AR377" s="255" t="s">
        <v>1700</v>
      </c>
      <c r="AS377" s="429" t="s">
        <v>1708</v>
      </c>
      <c r="AT377" s="429"/>
      <c r="AU377" s="241"/>
      <c r="AV377" s="243"/>
      <c r="AX377" s="243"/>
      <c r="AY377" s="71">
        <f t="shared" si="175"/>
        <v>0.55855855855855852</v>
      </c>
      <c r="BA377" s="72" t="str">
        <f t="shared" si="158"/>
        <v>W22</v>
      </c>
      <c r="BC377" s="32"/>
      <c r="BD377" s="241"/>
      <c r="BE377" s="241"/>
      <c r="BF377" s="71"/>
      <c r="BG377" s="241"/>
      <c r="BH377" s="241"/>
      <c r="BI377" s="71"/>
      <c r="BJ377" s="123"/>
      <c r="BK377" s="123"/>
      <c r="BL377" s="126"/>
      <c r="BM377" s="123"/>
      <c r="BN377" s="123"/>
      <c r="BO377" s="108"/>
      <c r="BP377" s="108"/>
      <c r="BQ377" s="108"/>
      <c r="BR377" s="71"/>
      <c r="BS377" s="71"/>
      <c r="BU377" s="78"/>
      <c r="BV377" s="32"/>
      <c r="BW377" s="127"/>
      <c r="BX377" s="78"/>
      <c r="BY377" s="78"/>
      <c r="BZ377" s="127"/>
      <c r="CA377" s="76"/>
    </row>
    <row r="378" spans="1:79" s="72" customFormat="1">
      <c r="A378" s="13" t="s">
        <v>1506</v>
      </c>
      <c r="B378" s="13" t="s">
        <v>1507</v>
      </c>
      <c r="C378" s="13" t="s">
        <v>1696</v>
      </c>
      <c r="D378" s="445" t="s">
        <v>1697</v>
      </c>
      <c r="E378" s="13" t="s">
        <v>118</v>
      </c>
      <c r="F378" s="13" t="s">
        <v>167</v>
      </c>
      <c r="G378" s="445" t="s">
        <v>1709</v>
      </c>
      <c r="H378" s="13" t="s">
        <v>146</v>
      </c>
      <c r="I378" s="13" t="s">
        <v>147</v>
      </c>
      <c r="J378" s="13" t="s">
        <v>5</v>
      </c>
      <c r="K378" s="13" t="s">
        <v>123</v>
      </c>
      <c r="L378" s="13" t="s">
        <v>1710</v>
      </c>
      <c r="M378" s="13" t="s">
        <v>125</v>
      </c>
      <c r="N378" s="13" t="s">
        <v>126</v>
      </c>
      <c r="O378" s="448">
        <v>0.56000000000000005</v>
      </c>
      <c r="P378" s="13">
        <v>111</v>
      </c>
      <c r="Q378" s="13">
        <v>30</v>
      </c>
      <c r="R378" s="449" t="s">
        <v>127</v>
      </c>
      <c r="S378" s="430" t="str">
        <f t="shared" si="142"/>
        <v>N/A</v>
      </c>
      <c r="T378" s="247">
        <v>0.8</v>
      </c>
      <c r="U378" s="13">
        <v>310</v>
      </c>
      <c r="V378" s="13">
        <v>620</v>
      </c>
      <c r="W378" s="430">
        <f t="shared" si="140"/>
        <v>310</v>
      </c>
      <c r="X378" s="430">
        <f t="shared" si="141"/>
        <v>190</v>
      </c>
      <c r="Y378" s="13">
        <v>265</v>
      </c>
      <c r="Z378" s="13">
        <v>665</v>
      </c>
      <c r="AA378" s="430">
        <f t="shared" si="143"/>
        <v>400</v>
      </c>
      <c r="AB378" s="430">
        <f t="shared" si="144"/>
        <v>145</v>
      </c>
      <c r="AC378" s="430" t="str">
        <f t="shared" si="145"/>
        <v>N/A</v>
      </c>
      <c r="AD378" s="430">
        <f t="shared" si="146"/>
        <v>81</v>
      </c>
      <c r="AE378" s="431">
        <f t="shared" si="147"/>
        <v>1.2536</v>
      </c>
      <c r="AF378" s="431"/>
      <c r="AG378" s="431">
        <f t="shared" si="148"/>
        <v>1.0880972972972975</v>
      </c>
      <c r="AH378" s="431">
        <f t="shared" si="149"/>
        <v>1.1533831351351354</v>
      </c>
      <c r="AI378" s="432">
        <f t="shared" si="150"/>
        <v>884.45891200000005</v>
      </c>
      <c r="AJ378" s="432">
        <f t="shared" si="151"/>
        <v>133.34852268654916</v>
      </c>
      <c r="AK378" s="432">
        <f t="shared" si="152"/>
        <v>145.80632309411948</v>
      </c>
      <c r="AL378" s="432">
        <f t="shared" si="153"/>
        <v>289.84193075611159</v>
      </c>
      <c r="AM378" s="250">
        <v>145</v>
      </c>
      <c r="AN378" s="432">
        <f t="shared" si="154"/>
        <v>160.94999999999999</v>
      </c>
      <c r="AO378" s="432">
        <f t="shared" si="155"/>
        <v>185.63701560000001</v>
      </c>
      <c r="AP378" s="432">
        <f t="shared" si="156"/>
        <v>618.79005200000006</v>
      </c>
      <c r="AQ378" s="255">
        <v>45352</v>
      </c>
      <c r="AR378" s="255" t="s">
        <v>1700</v>
      </c>
      <c r="AS378" s="429" t="s">
        <v>1711</v>
      </c>
      <c r="AT378" s="429"/>
      <c r="AU378" s="241"/>
      <c r="AV378" s="243"/>
      <c r="AX378" s="243"/>
      <c r="AY378" s="71">
        <f t="shared" si="175"/>
        <v>0.55855855855855852</v>
      </c>
      <c r="BA378" s="72" t="str">
        <f t="shared" si="158"/>
        <v>W22</v>
      </c>
      <c r="BC378" s="32"/>
      <c r="BD378" s="241"/>
      <c r="BE378" s="241"/>
      <c r="BF378" s="71"/>
      <c r="BG378" s="241"/>
      <c r="BH378" s="241"/>
      <c r="BI378" s="71"/>
      <c r="BJ378" s="123"/>
      <c r="BK378" s="123"/>
      <c r="BL378" s="126"/>
      <c r="BM378" s="123"/>
      <c r="BN378" s="123"/>
      <c r="BO378" s="108"/>
      <c r="BP378" s="108"/>
      <c r="BQ378" s="124"/>
      <c r="BR378" s="124"/>
      <c r="BS378" s="71"/>
      <c r="BU378" s="78"/>
      <c r="BV378" s="32"/>
      <c r="BW378" s="127"/>
      <c r="BX378" s="78"/>
      <c r="BY378" s="78"/>
      <c r="BZ378" s="127"/>
      <c r="CA378" s="76"/>
    </row>
    <row r="379" spans="1:79" s="262" customFormat="1">
      <c r="A379" s="13" t="s">
        <v>1506</v>
      </c>
      <c r="B379" s="13" t="s">
        <v>1507</v>
      </c>
      <c r="C379" s="13" t="s">
        <v>1696</v>
      </c>
      <c r="D379" s="445" t="s">
        <v>1712</v>
      </c>
      <c r="E379" s="13" t="s">
        <v>118</v>
      </c>
      <c r="F379" s="13" t="s">
        <v>186</v>
      </c>
      <c r="G379" s="445" t="s">
        <v>1713</v>
      </c>
      <c r="H379" s="13" t="s">
        <v>146</v>
      </c>
      <c r="I379" s="13" t="s">
        <v>147</v>
      </c>
      <c r="J379" s="13" t="s">
        <v>5</v>
      </c>
      <c r="K379" s="13" t="s">
        <v>123</v>
      </c>
      <c r="L379" s="13" t="s">
        <v>1714</v>
      </c>
      <c r="M379" s="13" t="s">
        <v>125</v>
      </c>
      <c r="N379" s="13" t="s">
        <v>126</v>
      </c>
      <c r="O379" s="448">
        <v>0.33</v>
      </c>
      <c r="P379" s="438">
        <v>122</v>
      </c>
      <c r="Q379" s="13">
        <v>30</v>
      </c>
      <c r="R379" s="449" t="s">
        <v>127</v>
      </c>
      <c r="S379" s="430" t="str">
        <f t="shared" si="142"/>
        <v>N/A</v>
      </c>
      <c r="T379" s="247">
        <v>0.8</v>
      </c>
      <c r="U379" s="13">
        <v>400</v>
      </c>
      <c r="V379" s="13">
        <v>730</v>
      </c>
      <c r="W379" s="430">
        <f t="shared" si="140"/>
        <v>330</v>
      </c>
      <c r="X379" s="430">
        <f t="shared" si="141"/>
        <v>190</v>
      </c>
      <c r="Y379" s="13">
        <v>365</v>
      </c>
      <c r="Z379" s="13">
        <v>765</v>
      </c>
      <c r="AA379" s="430">
        <f t="shared" si="143"/>
        <v>400</v>
      </c>
      <c r="AB379" s="430">
        <f t="shared" si="144"/>
        <v>155</v>
      </c>
      <c r="AC379" s="430" t="str">
        <f t="shared" si="145"/>
        <v>N/A</v>
      </c>
      <c r="AD379" s="430">
        <f t="shared" si="146"/>
        <v>92</v>
      </c>
      <c r="AE379" s="431">
        <f t="shared" si="147"/>
        <v>1.1036000000000001</v>
      </c>
      <c r="AF379" s="431"/>
      <c r="AG379" s="431">
        <f t="shared" si="148"/>
        <v>0.98912786885245907</v>
      </c>
      <c r="AH379" s="431">
        <f t="shared" si="149"/>
        <v>1.0484755409836064</v>
      </c>
      <c r="AI379" s="432">
        <f t="shared" si="150"/>
        <v>869.48471600000005</v>
      </c>
      <c r="AJ379" s="432">
        <f t="shared" si="151"/>
        <v>151.47309536050926</v>
      </c>
      <c r="AK379" s="432">
        <f t="shared" si="152"/>
        <v>165.62414518918823</v>
      </c>
      <c r="AL379" s="432">
        <f t="shared" si="153"/>
        <v>329.23690140980557</v>
      </c>
      <c r="AM379" s="250">
        <v>325</v>
      </c>
      <c r="AN379" s="432">
        <f t="shared" si="154"/>
        <v>396.5</v>
      </c>
      <c r="AO379" s="432">
        <f t="shared" si="155"/>
        <v>415.72055199999994</v>
      </c>
      <c r="AP379" s="432">
        <f t="shared" si="156"/>
        <v>1385.7351733333333</v>
      </c>
      <c r="AQ379" s="255">
        <v>45566</v>
      </c>
      <c r="AR379" s="255" t="s">
        <v>1715</v>
      </c>
      <c r="AS379" s="434"/>
      <c r="AT379" s="429"/>
      <c r="AU379" s="249"/>
      <c r="AV379" s="254"/>
      <c r="AW379" s="77"/>
      <c r="AX379" s="268"/>
      <c r="AY379" s="102">
        <f t="shared" si="175"/>
        <v>0.59836065573770492</v>
      </c>
      <c r="AZ379" s="77"/>
      <c r="BA379" s="38"/>
      <c r="BB379" s="77"/>
      <c r="BC379" s="263"/>
      <c r="BD379" s="257"/>
      <c r="BE379" s="257"/>
      <c r="BF379" s="106"/>
      <c r="BG379" s="257"/>
      <c r="BH379" s="257"/>
      <c r="BI379" s="106"/>
      <c r="BJ379" s="143"/>
      <c r="BK379" s="139"/>
      <c r="BL379" s="191"/>
      <c r="BM379" s="139"/>
      <c r="BN379" s="162"/>
      <c r="BO379" s="101"/>
      <c r="BP379" s="105"/>
      <c r="BQ379" s="124"/>
      <c r="BR379" s="124"/>
      <c r="BS379" s="71"/>
      <c r="BT379" s="72"/>
      <c r="BU379" s="78"/>
      <c r="BV379" s="32"/>
      <c r="BW379" s="127"/>
      <c r="BX379" s="78"/>
      <c r="BY379" s="78"/>
      <c r="BZ379" s="127"/>
      <c r="CA379" s="76"/>
    </row>
    <row r="380" spans="1:79" s="72" customFormat="1">
      <c r="A380" s="13" t="s">
        <v>1506</v>
      </c>
      <c r="B380" s="13" t="s">
        <v>1507</v>
      </c>
      <c r="C380" s="13" t="s">
        <v>1696</v>
      </c>
      <c r="D380" s="445" t="s">
        <v>1712</v>
      </c>
      <c r="E380" s="13" t="s">
        <v>118</v>
      </c>
      <c r="F380" s="13" t="s">
        <v>167</v>
      </c>
      <c r="G380" s="445" t="s">
        <v>1716</v>
      </c>
      <c r="H380" s="13" t="s">
        <v>146</v>
      </c>
      <c r="I380" s="13" t="s">
        <v>147</v>
      </c>
      <c r="J380" s="13" t="s">
        <v>5</v>
      </c>
      <c r="K380" s="13" t="s">
        <v>123</v>
      </c>
      <c r="L380" s="13" t="s">
        <v>1717</v>
      </c>
      <c r="M380" s="13" t="s">
        <v>125</v>
      </c>
      <c r="N380" s="13" t="s">
        <v>126</v>
      </c>
      <c r="O380" s="448">
        <v>0.33</v>
      </c>
      <c r="P380" s="438">
        <v>120</v>
      </c>
      <c r="Q380" s="13">
        <v>30</v>
      </c>
      <c r="R380" s="449" t="s">
        <v>127</v>
      </c>
      <c r="S380" s="430" t="str">
        <f t="shared" si="142"/>
        <v>N/A</v>
      </c>
      <c r="T380" s="247">
        <v>0.8</v>
      </c>
      <c r="U380" s="13">
        <v>410</v>
      </c>
      <c r="V380" s="13">
        <v>720</v>
      </c>
      <c r="W380" s="430">
        <f t="shared" si="140"/>
        <v>310</v>
      </c>
      <c r="X380" s="430">
        <f t="shared" si="141"/>
        <v>180</v>
      </c>
      <c r="Y380" s="13">
        <v>365</v>
      </c>
      <c r="Z380" s="13">
        <v>765</v>
      </c>
      <c r="AA380" s="430">
        <f t="shared" si="143"/>
        <v>400</v>
      </c>
      <c r="AB380" s="430">
        <f t="shared" si="144"/>
        <v>135</v>
      </c>
      <c r="AC380" s="430" t="str">
        <f t="shared" si="145"/>
        <v>N/A</v>
      </c>
      <c r="AD380" s="430">
        <f t="shared" si="146"/>
        <v>90</v>
      </c>
      <c r="AE380" s="431">
        <f t="shared" si="147"/>
        <v>1.097</v>
      </c>
      <c r="AF380" s="431"/>
      <c r="AG380" s="431">
        <f t="shared" si="148"/>
        <v>0.98562499999999997</v>
      </c>
      <c r="AH380" s="431">
        <f t="shared" si="149"/>
        <v>1.0447625</v>
      </c>
      <c r="AI380" s="432">
        <f t="shared" si="150"/>
        <v>869.48471600000005</v>
      </c>
      <c r="AJ380" s="432">
        <f t="shared" si="151"/>
        <v>152.38441936176667</v>
      </c>
      <c r="AK380" s="432">
        <f t="shared" si="152"/>
        <v>166.62060768531282</v>
      </c>
      <c r="AL380" s="432">
        <f t="shared" si="153"/>
        <v>331.2177250645957</v>
      </c>
      <c r="AM380" s="250">
        <v>330</v>
      </c>
      <c r="AN380" s="432">
        <f t="shared" si="154"/>
        <v>396</v>
      </c>
      <c r="AO380" s="432">
        <f t="shared" si="155"/>
        <v>413.72595000000001</v>
      </c>
      <c r="AP380" s="432">
        <f t="shared" si="156"/>
        <v>1379.0865000000001</v>
      </c>
      <c r="AQ380" s="255">
        <v>45383</v>
      </c>
      <c r="AR380" s="255" t="s">
        <v>1718</v>
      </c>
      <c r="AS380" s="434" t="s">
        <v>1719</v>
      </c>
      <c r="AT380" s="429"/>
      <c r="AU380" s="241"/>
      <c r="AV380" s="243"/>
      <c r="AX380" s="243"/>
      <c r="AY380" s="71">
        <f t="shared" si="175"/>
        <v>0.6</v>
      </c>
      <c r="BC380" s="32"/>
      <c r="BD380" s="241"/>
      <c r="BE380" s="241"/>
      <c r="BF380" s="71"/>
      <c r="BG380" s="241"/>
      <c r="BH380" s="241"/>
      <c r="BI380" s="71"/>
      <c r="BJ380" s="123"/>
      <c r="BK380" s="123"/>
      <c r="BL380" s="126"/>
      <c r="BM380" s="123"/>
      <c r="BN380" s="123"/>
      <c r="BO380" s="108"/>
      <c r="BP380" s="108"/>
      <c r="BQ380" s="115"/>
      <c r="BR380" s="113"/>
      <c r="BS380" s="80"/>
      <c r="BT380" s="22"/>
      <c r="BU380" s="87"/>
      <c r="BV380" s="73"/>
      <c r="BW380" s="109"/>
      <c r="BX380" s="87"/>
      <c r="BY380" s="87"/>
      <c r="BZ380" s="109"/>
      <c r="CA380" s="76"/>
    </row>
    <row r="381" spans="1:79" s="72" customFormat="1">
      <c r="A381" s="13" t="s">
        <v>1506</v>
      </c>
      <c r="B381" s="13" t="s">
        <v>1507</v>
      </c>
      <c r="C381" s="13" t="s">
        <v>1696</v>
      </c>
      <c r="D381" s="445" t="s">
        <v>1712</v>
      </c>
      <c r="E381" s="13" t="s">
        <v>118</v>
      </c>
      <c r="F381" s="13" t="s">
        <v>167</v>
      </c>
      <c r="G381" s="445" t="s">
        <v>1720</v>
      </c>
      <c r="H381" s="13" t="s">
        <v>146</v>
      </c>
      <c r="I381" s="13" t="s">
        <v>147</v>
      </c>
      <c r="J381" s="13" t="s">
        <v>5</v>
      </c>
      <c r="K381" s="13" t="s">
        <v>123</v>
      </c>
      <c r="L381" s="13" t="s">
        <v>1721</v>
      </c>
      <c r="M381" s="13" t="s">
        <v>125</v>
      </c>
      <c r="N381" s="13" t="s">
        <v>126</v>
      </c>
      <c r="O381" s="448">
        <v>0.33</v>
      </c>
      <c r="P381" s="13">
        <v>116</v>
      </c>
      <c r="Q381" s="13">
        <v>30</v>
      </c>
      <c r="R381" s="449" t="s">
        <v>127</v>
      </c>
      <c r="S381" s="430" t="str">
        <f t="shared" si="142"/>
        <v>N/A</v>
      </c>
      <c r="T381" s="247">
        <v>0.8</v>
      </c>
      <c r="U381" s="13">
        <v>370</v>
      </c>
      <c r="V381" s="13">
        <v>680</v>
      </c>
      <c r="W381" s="430">
        <f t="shared" si="140"/>
        <v>310</v>
      </c>
      <c r="X381" s="430">
        <f t="shared" si="141"/>
        <v>180</v>
      </c>
      <c r="Y381" s="13">
        <v>325</v>
      </c>
      <c r="Z381" s="13">
        <v>725</v>
      </c>
      <c r="AA381" s="430">
        <f t="shared" si="143"/>
        <v>400</v>
      </c>
      <c r="AB381" s="430">
        <f t="shared" si="144"/>
        <v>135</v>
      </c>
      <c r="AC381" s="430" t="str">
        <f t="shared" si="145"/>
        <v>N/A</v>
      </c>
      <c r="AD381" s="430">
        <f t="shared" si="146"/>
        <v>86</v>
      </c>
      <c r="AE381" s="431">
        <f t="shared" si="147"/>
        <v>1.0838000000000001</v>
      </c>
      <c r="AF381" s="431"/>
      <c r="AG381" s="431">
        <f t="shared" si="148"/>
        <v>0.97859827586206904</v>
      </c>
      <c r="AH381" s="431">
        <f t="shared" si="149"/>
        <v>1.0373141724137933</v>
      </c>
      <c r="AI381" s="432">
        <f t="shared" si="150"/>
        <v>869.48471600000005</v>
      </c>
      <c r="AJ381" s="432">
        <f t="shared" si="151"/>
        <v>154.24036541784281</v>
      </c>
      <c r="AK381" s="432">
        <f t="shared" si="152"/>
        <v>168.64994153052976</v>
      </c>
      <c r="AL381" s="432">
        <f t="shared" si="153"/>
        <v>335.25174792015264</v>
      </c>
      <c r="AM381" s="250">
        <v>155</v>
      </c>
      <c r="AN381" s="432">
        <f t="shared" si="154"/>
        <v>179.8</v>
      </c>
      <c r="AO381" s="432">
        <f t="shared" si="155"/>
        <v>186.50908820000004</v>
      </c>
      <c r="AP381" s="432">
        <f t="shared" si="156"/>
        <v>621.69696066666677</v>
      </c>
      <c r="AQ381" s="255">
        <v>45261</v>
      </c>
      <c r="AR381" s="255" t="s">
        <v>1722</v>
      </c>
      <c r="AS381" s="434" t="s">
        <v>1723</v>
      </c>
      <c r="AT381" s="429" t="s">
        <v>1724</v>
      </c>
      <c r="AU381" s="241"/>
      <c r="AV381" s="243"/>
      <c r="AX381" s="243"/>
      <c r="AY381" s="71">
        <f t="shared" si="175"/>
        <v>0.58620689655172409</v>
      </c>
      <c r="BA381" s="72" t="str">
        <f t="shared" ref="BA381:BA389" si="176">LEFT(G381,3)</f>
        <v>W22</v>
      </c>
      <c r="BC381" s="32"/>
      <c r="BD381" s="241"/>
      <c r="BE381" s="241"/>
      <c r="BF381" s="71"/>
      <c r="BG381" s="241"/>
      <c r="BH381" s="241"/>
      <c r="BI381" s="71"/>
      <c r="BJ381" s="123"/>
      <c r="BK381" s="123"/>
      <c r="BL381" s="126"/>
      <c r="BM381" s="123"/>
      <c r="BN381" s="123"/>
      <c r="BO381" s="108"/>
      <c r="BP381" s="108"/>
      <c r="BQ381" s="115"/>
      <c r="BR381" s="113"/>
      <c r="BS381" s="80"/>
      <c r="BT381" s="22"/>
      <c r="BU381" s="87"/>
      <c r="BV381" s="73"/>
      <c r="BW381" s="109"/>
      <c r="BX381" s="87"/>
      <c r="BY381" s="87"/>
      <c r="BZ381" s="109"/>
      <c r="CA381" s="76"/>
    </row>
    <row r="382" spans="1:79" s="72" customFormat="1">
      <c r="A382" s="13" t="s">
        <v>1506</v>
      </c>
      <c r="B382" s="13" t="s">
        <v>1507</v>
      </c>
      <c r="C382" s="13" t="s">
        <v>1696</v>
      </c>
      <c r="D382" s="445" t="s">
        <v>1712</v>
      </c>
      <c r="E382" s="13" t="s">
        <v>118</v>
      </c>
      <c r="F382" s="13" t="s">
        <v>167</v>
      </c>
      <c r="G382" s="445" t="s">
        <v>1725</v>
      </c>
      <c r="H382" s="13" t="s">
        <v>146</v>
      </c>
      <c r="I382" s="13" t="s">
        <v>147</v>
      </c>
      <c r="J382" s="13" t="s">
        <v>5</v>
      </c>
      <c r="K382" s="13" t="s">
        <v>123</v>
      </c>
      <c r="L382" s="13" t="s">
        <v>1726</v>
      </c>
      <c r="M382" s="13" t="s">
        <v>125</v>
      </c>
      <c r="N382" s="13" t="s">
        <v>126</v>
      </c>
      <c r="O382" s="448">
        <v>0.38</v>
      </c>
      <c r="P382" s="13">
        <v>116</v>
      </c>
      <c r="Q382" s="13">
        <v>30</v>
      </c>
      <c r="R382" s="449" t="s">
        <v>127</v>
      </c>
      <c r="S382" s="430" t="str">
        <f t="shared" si="142"/>
        <v>N/A</v>
      </c>
      <c r="T382" s="247">
        <v>0.8</v>
      </c>
      <c r="U382" s="13">
        <v>370</v>
      </c>
      <c r="V382" s="13">
        <v>680</v>
      </c>
      <c r="W382" s="430">
        <f t="shared" si="140"/>
        <v>310</v>
      </c>
      <c r="X382" s="430">
        <f t="shared" si="141"/>
        <v>180</v>
      </c>
      <c r="Y382" s="13">
        <v>325</v>
      </c>
      <c r="Z382" s="13">
        <v>725</v>
      </c>
      <c r="AA382" s="430">
        <f t="shared" si="143"/>
        <v>400</v>
      </c>
      <c r="AB382" s="430">
        <f t="shared" si="144"/>
        <v>135</v>
      </c>
      <c r="AC382" s="430" t="str">
        <f t="shared" si="145"/>
        <v>N/A</v>
      </c>
      <c r="AD382" s="430">
        <f t="shared" si="146"/>
        <v>86</v>
      </c>
      <c r="AE382" s="431">
        <f t="shared" si="147"/>
        <v>1.1268</v>
      </c>
      <c r="AF382" s="431"/>
      <c r="AG382" s="431">
        <f t="shared" si="148"/>
        <v>1.0056586206896552</v>
      </c>
      <c r="AH382" s="431">
        <f t="shared" si="149"/>
        <v>1.0659981379310346</v>
      </c>
      <c r="AI382" s="432">
        <f t="shared" si="150"/>
        <v>872.73997600000007</v>
      </c>
      <c r="AJ382" s="432">
        <f t="shared" si="151"/>
        <v>148.35437348230212</v>
      </c>
      <c r="AK382" s="432">
        <f t="shared" si="152"/>
        <v>162.21406339260577</v>
      </c>
      <c r="AL382" s="432">
        <f t="shared" si="153"/>
        <v>322.45815086604676</v>
      </c>
      <c r="AM382" s="250">
        <v>155</v>
      </c>
      <c r="AN382" s="432">
        <f t="shared" si="154"/>
        <v>179.8</v>
      </c>
      <c r="AO382" s="432">
        <f t="shared" si="155"/>
        <v>191.66646520000003</v>
      </c>
      <c r="AP382" s="432">
        <f t="shared" si="156"/>
        <v>638.8882173333335</v>
      </c>
      <c r="AQ382" s="255">
        <v>45261</v>
      </c>
      <c r="AR382" s="255" t="s">
        <v>1722</v>
      </c>
      <c r="AS382" s="434" t="s">
        <v>1727</v>
      </c>
      <c r="AT382" s="429"/>
      <c r="AU382" s="241"/>
      <c r="AV382" s="243"/>
      <c r="AX382" s="243"/>
      <c r="AY382" s="71">
        <f t="shared" si="175"/>
        <v>0.58620689655172409</v>
      </c>
      <c r="BA382" s="72" t="str">
        <f t="shared" si="176"/>
        <v>W22</v>
      </c>
      <c r="BC382" s="32"/>
      <c r="BD382" s="241"/>
      <c r="BE382" s="241"/>
      <c r="BF382" s="71"/>
      <c r="BG382" s="241"/>
      <c r="BH382" s="241"/>
      <c r="BI382" s="71"/>
      <c r="BJ382" s="123"/>
      <c r="BK382" s="123"/>
      <c r="BL382" s="126"/>
      <c r="BM382" s="123"/>
      <c r="BN382" s="123"/>
      <c r="BO382" s="108"/>
      <c r="BP382" s="108"/>
      <c r="BQ382" s="103"/>
      <c r="BR382" s="71"/>
      <c r="BS382" s="71"/>
      <c r="BU382" s="78"/>
      <c r="BV382" s="32"/>
      <c r="BW382" s="127"/>
      <c r="BX382" s="78"/>
      <c r="BY382" s="78"/>
      <c r="BZ382" s="127"/>
      <c r="CA382" s="76"/>
    </row>
    <row r="383" spans="1:79" s="13" customFormat="1">
      <c r="A383" s="13" t="s">
        <v>1506</v>
      </c>
      <c r="B383" s="13" t="s">
        <v>1507</v>
      </c>
      <c r="C383" s="13" t="s">
        <v>1696</v>
      </c>
      <c r="D383" s="445" t="s">
        <v>1712</v>
      </c>
      <c r="E383" s="13" t="s">
        <v>118</v>
      </c>
      <c r="F383" s="13" t="s">
        <v>167</v>
      </c>
      <c r="G383" s="445" t="s">
        <v>1728</v>
      </c>
      <c r="H383" s="13" t="s">
        <v>146</v>
      </c>
      <c r="I383" s="13" t="s">
        <v>147</v>
      </c>
      <c r="J383" s="13" t="s">
        <v>5</v>
      </c>
      <c r="K383" s="13" t="s">
        <v>123</v>
      </c>
      <c r="L383" s="13" t="s">
        <v>1729</v>
      </c>
      <c r="M383" s="13" t="s">
        <v>125</v>
      </c>
      <c r="N383" s="13" t="s">
        <v>126</v>
      </c>
      <c r="O383" s="448">
        <v>0.43</v>
      </c>
      <c r="P383" s="13">
        <v>115</v>
      </c>
      <c r="Q383" s="13">
        <v>30</v>
      </c>
      <c r="R383" s="449" t="s">
        <v>127</v>
      </c>
      <c r="S383" s="430" t="str">
        <f t="shared" si="142"/>
        <v>N/A</v>
      </c>
      <c r="T383" s="247">
        <v>0.8</v>
      </c>
      <c r="U383" s="13">
        <v>360</v>
      </c>
      <c r="V383" s="13">
        <v>670</v>
      </c>
      <c r="W383" s="430">
        <f t="shared" si="140"/>
        <v>310</v>
      </c>
      <c r="X383" s="430">
        <f t="shared" si="141"/>
        <v>180</v>
      </c>
      <c r="Y383" s="13">
        <v>315</v>
      </c>
      <c r="Z383" s="13">
        <v>715</v>
      </c>
      <c r="AA383" s="430">
        <f t="shared" si="143"/>
        <v>400</v>
      </c>
      <c r="AB383" s="430">
        <f t="shared" si="144"/>
        <v>135</v>
      </c>
      <c r="AC383" s="430" t="str">
        <f t="shared" si="145"/>
        <v>N/A</v>
      </c>
      <c r="AD383" s="430">
        <f t="shared" si="146"/>
        <v>85</v>
      </c>
      <c r="AE383" s="431">
        <f t="shared" si="147"/>
        <v>1.1655</v>
      </c>
      <c r="AF383" s="431"/>
      <c r="AG383" s="431">
        <f t="shared" si="148"/>
        <v>1.0304239130434782</v>
      </c>
      <c r="AH383" s="431">
        <f t="shared" si="149"/>
        <v>1.0922493478260868</v>
      </c>
      <c r="AI383" s="432">
        <f t="shared" si="150"/>
        <v>875.99523599999998</v>
      </c>
      <c r="AJ383" s="432">
        <f t="shared" si="151"/>
        <v>143.42832092651912</v>
      </c>
      <c r="AK383" s="432">
        <f t="shared" si="152"/>
        <v>156.82780491702115</v>
      </c>
      <c r="AL383" s="432">
        <f t="shared" si="153"/>
        <v>311.75104624269539</v>
      </c>
      <c r="AM383" s="250">
        <v>155</v>
      </c>
      <c r="AN383" s="432">
        <f t="shared" si="154"/>
        <v>178.25</v>
      </c>
      <c r="AO383" s="432">
        <f t="shared" si="155"/>
        <v>194.69344624999999</v>
      </c>
      <c r="AP383" s="432">
        <f t="shared" si="156"/>
        <v>648.97815416666663</v>
      </c>
      <c r="AQ383" s="255">
        <v>45261</v>
      </c>
      <c r="AR383" s="255" t="s">
        <v>1722</v>
      </c>
      <c r="AS383" s="434" t="s">
        <v>1730</v>
      </c>
      <c r="AT383" s="429"/>
      <c r="AU383" s="241"/>
      <c r="AV383" s="243"/>
      <c r="AW383" s="72"/>
      <c r="AX383" s="243"/>
      <c r="AY383" s="71">
        <f t="shared" si="175"/>
        <v>0.58260869565217388</v>
      </c>
      <c r="AZ383" s="72"/>
      <c r="BA383" s="72" t="str">
        <f t="shared" si="176"/>
        <v>W22</v>
      </c>
      <c r="BB383" s="72"/>
      <c r="BC383" s="32"/>
      <c r="BD383" s="241"/>
      <c r="BE383" s="241"/>
      <c r="BF383" s="71"/>
      <c r="BG383" s="241"/>
      <c r="BH383" s="241"/>
      <c r="BI383" s="71"/>
      <c r="BJ383" s="123"/>
      <c r="BK383" s="123"/>
      <c r="BL383" s="126"/>
      <c r="BM383" s="123"/>
      <c r="BN383" s="123"/>
      <c r="BO383" s="108"/>
      <c r="BP383" s="108"/>
      <c r="BQ383" s="115"/>
      <c r="BR383" s="113">
        <v>2208</v>
      </c>
      <c r="BS383" s="80"/>
      <c r="BT383" s="22"/>
      <c r="BU383" s="87"/>
      <c r="BV383" s="73"/>
      <c r="BW383" s="109"/>
      <c r="BX383" s="87"/>
      <c r="BY383" s="87"/>
      <c r="BZ383" s="109"/>
      <c r="CA383" s="76"/>
    </row>
    <row r="384" spans="1:79" s="22" customFormat="1">
      <c r="A384" s="13" t="s">
        <v>1506</v>
      </c>
      <c r="B384" s="13" t="s">
        <v>1507</v>
      </c>
      <c r="C384" s="13" t="s">
        <v>1696</v>
      </c>
      <c r="D384" s="450" t="s">
        <v>1731</v>
      </c>
      <c r="E384" s="13" t="s">
        <v>118</v>
      </c>
      <c r="F384" s="13" t="s">
        <v>167</v>
      </c>
      <c r="G384" s="449" t="s">
        <v>1732</v>
      </c>
      <c r="H384" s="13" t="s">
        <v>146</v>
      </c>
      <c r="I384" s="13" t="s">
        <v>147</v>
      </c>
      <c r="J384" s="13" t="s">
        <v>274</v>
      </c>
      <c r="K384" s="13" t="s">
        <v>123</v>
      </c>
      <c r="L384" s="13" t="s">
        <v>1733</v>
      </c>
      <c r="M384" s="13" t="s">
        <v>125</v>
      </c>
      <c r="N384" s="13" t="s">
        <v>12</v>
      </c>
      <c r="O384" s="448">
        <v>0.38</v>
      </c>
      <c r="P384" s="13">
        <v>104</v>
      </c>
      <c r="Q384" s="438">
        <v>30</v>
      </c>
      <c r="R384" s="445">
        <v>15</v>
      </c>
      <c r="S384" s="430">
        <f t="shared" si="142"/>
        <v>89</v>
      </c>
      <c r="T384" s="247">
        <v>0.8</v>
      </c>
      <c r="U384" s="13">
        <v>325</v>
      </c>
      <c r="V384" s="13">
        <v>585</v>
      </c>
      <c r="W384" s="430">
        <f t="shared" si="140"/>
        <v>260</v>
      </c>
      <c r="X384" s="430">
        <f t="shared" si="141"/>
        <v>155</v>
      </c>
      <c r="Y384" s="13"/>
      <c r="Z384" s="13"/>
      <c r="AA384" s="430">
        <f t="shared" si="143"/>
        <v>0</v>
      </c>
      <c r="AB384" s="430">
        <f t="shared" si="144"/>
        <v>740</v>
      </c>
      <c r="AC384" s="430">
        <f t="shared" si="145"/>
        <v>150</v>
      </c>
      <c r="AD384" s="430">
        <f t="shared" si="146"/>
        <v>74</v>
      </c>
      <c r="AE384" s="431">
        <f t="shared" si="147"/>
        <v>1.0811999999999999</v>
      </c>
      <c r="AF384" s="431"/>
      <c r="AG384" s="431">
        <f t="shared" si="148"/>
        <v>0.98115769230769234</v>
      </c>
      <c r="AH384" s="431" t="e">
        <f t="shared" si="149"/>
        <v>#VALUE!</v>
      </c>
      <c r="AI384" s="432" t="e">
        <f t="shared" si="150"/>
        <v>#VALUE!</v>
      </c>
      <c r="AJ384" s="432">
        <f t="shared" si="151"/>
        <v>154.61127269687205</v>
      </c>
      <c r="AK384" s="432">
        <f t="shared" si="152"/>
        <v>169.05550002847593</v>
      </c>
      <c r="AL384" s="432">
        <f t="shared" si="153"/>
        <v>336.05793969280569</v>
      </c>
      <c r="AM384" s="250">
        <v>165</v>
      </c>
      <c r="AN384" s="432">
        <f t="shared" si="154"/>
        <v>171.6</v>
      </c>
      <c r="AO384" s="432" t="e">
        <f t="shared" si="155"/>
        <v>#VALUE!</v>
      </c>
      <c r="AP384" s="432" t="e">
        <f t="shared" si="156"/>
        <v>#VALUE!</v>
      </c>
      <c r="AQ384" s="255" t="s">
        <v>320</v>
      </c>
      <c r="AR384" s="255" t="s">
        <v>1520</v>
      </c>
      <c r="AS384" s="434" t="s">
        <v>1734</v>
      </c>
      <c r="AT384" s="435"/>
      <c r="AU384" s="258" t="s">
        <v>1535</v>
      </c>
      <c r="AV384" s="243"/>
      <c r="AW384" s="72" t="s">
        <v>127</v>
      </c>
      <c r="AX384" s="243"/>
      <c r="AY384" s="103">
        <f t="shared" si="175"/>
        <v>0.5625</v>
      </c>
      <c r="AZ384" s="72"/>
      <c r="BA384" s="13" t="str">
        <f t="shared" si="176"/>
        <v>W13</v>
      </c>
      <c r="BB384" s="72" t="str">
        <f>IF(R384="n/a","Clear","S/B")</f>
        <v>S/B</v>
      </c>
      <c r="BC384" s="32">
        <f>IF(Q384="","",((P384/100*O384)+T384))</f>
        <v>1.1952</v>
      </c>
      <c r="BD384" s="241">
        <f>IF(BC384="","",((PI()*((51/2)^2-(16.545/2)^2)/(BC384/10))/100))</f>
        <v>152.93072843941448</v>
      </c>
      <c r="BE384" s="241">
        <f>IF(BC384="","",(BD384-AK384))</f>
        <v>-16.124771589061453</v>
      </c>
      <c r="BF384" s="71">
        <f>IF(BC384="","",(BE384/AK384))</f>
        <v>-9.5381526104417635E-2</v>
      </c>
      <c r="BG384" s="241">
        <f>IF(BF384="","",((PI()*((70/2)^2-(16.545/2)^2)/(BC384/10))/100))</f>
        <v>304.00422054539945</v>
      </c>
      <c r="BH384" s="241">
        <f>IF(BF384="","",(BG384-AL384))</f>
        <v>-32.053719147406241</v>
      </c>
      <c r="BI384" s="71">
        <f>IF(BG384="","",(BH384/AL384))</f>
        <v>-9.5381526104417899E-2</v>
      </c>
      <c r="BJ384" s="158"/>
      <c r="BK384" s="158"/>
      <c r="BL384" s="83"/>
      <c r="BM384" s="141"/>
      <c r="BN384" s="71"/>
      <c r="BO384" s="141"/>
      <c r="BP384" s="141"/>
      <c r="BQ384" s="108"/>
      <c r="BR384" s="71"/>
      <c r="BS384" s="71"/>
      <c r="BT384" s="72"/>
      <c r="BU384" s="78"/>
      <c r="BV384" s="32"/>
      <c r="BW384" s="127"/>
      <c r="BX384" s="78"/>
      <c r="BY384" s="78"/>
      <c r="BZ384" s="127"/>
      <c r="CA384" s="76"/>
    </row>
    <row r="385" spans="1:79" s="22" customFormat="1">
      <c r="A385" s="13" t="s">
        <v>1506</v>
      </c>
      <c r="B385" s="13" t="s">
        <v>1507</v>
      </c>
      <c r="C385" s="13" t="s">
        <v>1696</v>
      </c>
      <c r="D385" s="450" t="s">
        <v>1731</v>
      </c>
      <c r="E385" s="13" t="s">
        <v>118</v>
      </c>
      <c r="F385" s="13" t="s">
        <v>167</v>
      </c>
      <c r="G385" s="449" t="s">
        <v>1735</v>
      </c>
      <c r="H385" s="13" t="s">
        <v>146</v>
      </c>
      <c r="I385" s="13" t="s">
        <v>147</v>
      </c>
      <c r="J385" s="13" t="s">
        <v>274</v>
      </c>
      <c r="K385" s="13" t="s">
        <v>123</v>
      </c>
      <c r="L385" s="434" t="s">
        <v>1736</v>
      </c>
      <c r="M385" s="13" t="s">
        <v>125</v>
      </c>
      <c r="N385" s="13" t="s">
        <v>12</v>
      </c>
      <c r="O385" s="448">
        <v>0.4</v>
      </c>
      <c r="P385" s="13">
        <v>104</v>
      </c>
      <c r="Q385" s="438">
        <v>30</v>
      </c>
      <c r="R385" s="445">
        <v>15</v>
      </c>
      <c r="S385" s="430">
        <f t="shared" si="142"/>
        <v>89</v>
      </c>
      <c r="T385" s="247">
        <v>0.8</v>
      </c>
      <c r="U385" s="13">
        <v>325</v>
      </c>
      <c r="V385" s="13">
        <v>585</v>
      </c>
      <c r="W385" s="430">
        <f t="shared" si="140"/>
        <v>260</v>
      </c>
      <c r="X385" s="430">
        <f t="shared" si="141"/>
        <v>155</v>
      </c>
      <c r="Y385" s="13"/>
      <c r="Z385" s="13"/>
      <c r="AA385" s="430">
        <f t="shared" si="143"/>
        <v>0</v>
      </c>
      <c r="AB385" s="430">
        <f t="shared" si="144"/>
        <v>740</v>
      </c>
      <c r="AC385" s="430">
        <f t="shared" si="145"/>
        <v>150</v>
      </c>
      <c r="AD385" s="430">
        <f t="shared" si="146"/>
        <v>74</v>
      </c>
      <c r="AE385" s="431">
        <f t="shared" si="147"/>
        <v>1.0960000000000001</v>
      </c>
      <c r="AF385" s="431"/>
      <c r="AG385" s="431">
        <f t="shared" si="148"/>
        <v>0.99069230769230776</v>
      </c>
      <c r="AH385" s="431" t="e">
        <f t="shared" si="149"/>
        <v>#VALUE!</v>
      </c>
      <c r="AI385" s="432" t="e">
        <f t="shared" si="150"/>
        <v>#VALUE!</v>
      </c>
      <c r="AJ385" s="432">
        <f t="shared" si="151"/>
        <v>152.52345624074638</v>
      </c>
      <c r="AK385" s="432">
        <f t="shared" si="152"/>
        <v>166.77263378721548</v>
      </c>
      <c r="AL385" s="432">
        <f t="shared" si="153"/>
        <v>331.51993101812178</v>
      </c>
      <c r="AM385" s="250">
        <v>165</v>
      </c>
      <c r="AN385" s="432">
        <f t="shared" si="154"/>
        <v>171.6</v>
      </c>
      <c r="AO385" s="432" t="e">
        <f t="shared" si="155"/>
        <v>#VALUE!</v>
      </c>
      <c r="AP385" s="432" t="e">
        <f t="shared" si="156"/>
        <v>#VALUE!</v>
      </c>
      <c r="AQ385" s="255" t="s">
        <v>320</v>
      </c>
      <c r="AR385" s="255" t="s">
        <v>1527</v>
      </c>
      <c r="AS385" s="434" t="s">
        <v>1737</v>
      </c>
      <c r="AT385" s="435" t="s">
        <v>1539</v>
      </c>
      <c r="AU385" s="258" t="s">
        <v>1535</v>
      </c>
      <c r="AV385" s="243"/>
      <c r="AW385" s="72" t="s">
        <v>127</v>
      </c>
      <c r="AX385" s="243"/>
      <c r="AY385" s="103">
        <f t="shared" si="175"/>
        <v>0.5625</v>
      </c>
      <c r="AZ385" s="72"/>
      <c r="BA385" s="13" t="str">
        <f t="shared" si="176"/>
        <v>W13</v>
      </c>
      <c r="BB385" s="72" t="str">
        <f>IF(R385="n/a","Clear","S/B")</f>
        <v>S/B</v>
      </c>
      <c r="BC385" s="32">
        <f>IF(Q385="","",((P385/100*O385)+T385))</f>
        <v>1.2160000000000002</v>
      </c>
      <c r="BD385" s="241">
        <f>IF(BC385="","",((PI()*((51/2)^2-(16.545/2)^2)/(BC385/10))/100))</f>
        <v>150.31480808452972</v>
      </c>
      <c r="BE385" s="241">
        <f>IF(BC385="","",(BD385-AK385))</f>
        <v>-16.457825702685767</v>
      </c>
      <c r="BF385" s="71">
        <f>IF(BC385="","",(BE385/AK385))</f>
        <v>-9.8684210526315957E-2</v>
      </c>
      <c r="BG385" s="241">
        <f>IF(BF385="","",((PI()*((70/2)^2-(16.545/2)^2)/(BC385/10))/100))</f>
        <v>298.80414835185974</v>
      </c>
      <c r="BH385" s="241">
        <f>IF(BF385="","",(BG385-AL385))</f>
        <v>-32.715782666262044</v>
      </c>
      <c r="BI385" s="71">
        <f>IF(BG385="","",(BH385/AL385))</f>
        <v>-9.8684210526315874E-2</v>
      </c>
      <c r="BJ385" s="158"/>
      <c r="BK385" s="158"/>
      <c r="BL385" s="83"/>
      <c r="BM385" s="141"/>
      <c r="BN385" s="71"/>
      <c r="BO385" s="141"/>
      <c r="BP385" s="141"/>
      <c r="BQ385" s="141"/>
      <c r="BR385" s="71"/>
      <c r="BS385" s="71"/>
      <c r="BT385" s="13">
        <f>P385-V385/10-120/10</f>
        <v>33.5</v>
      </c>
      <c r="BU385" s="79">
        <f>BT385-Q385</f>
        <v>3.5</v>
      </c>
      <c r="BV385" s="29">
        <f>T385+(O385/100*(P385-BT385))</f>
        <v>1.0820000000000001</v>
      </c>
      <c r="BW385" s="86">
        <f>(AE385-BV385)/AE385</f>
        <v>1.2773722627737237E-2</v>
      </c>
      <c r="BX385" s="79">
        <f>(PI()*((51/2)^2-(16.545/2)^2)/(BV385/10))/100</f>
        <v>168.93050520405558</v>
      </c>
      <c r="BY385" s="79">
        <f>BX385-AK385</f>
        <v>2.157871416840095</v>
      </c>
      <c r="BZ385" s="86">
        <f>BY385/AK385</f>
        <v>1.2939001848428647E-2</v>
      </c>
      <c r="CA385" s="76"/>
    </row>
    <row r="386" spans="1:79" s="22" customFormat="1">
      <c r="A386" s="13" t="s">
        <v>1506</v>
      </c>
      <c r="B386" s="13" t="s">
        <v>1507</v>
      </c>
      <c r="C386" s="13" t="s">
        <v>1696</v>
      </c>
      <c r="D386" s="450" t="s">
        <v>1738</v>
      </c>
      <c r="E386" s="13" t="s">
        <v>118</v>
      </c>
      <c r="F386" s="13" t="s">
        <v>186</v>
      </c>
      <c r="G386" s="445" t="s">
        <v>1739</v>
      </c>
      <c r="H386" s="13" t="s">
        <v>146</v>
      </c>
      <c r="I386" s="13" t="s">
        <v>147</v>
      </c>
      <c r="J386" s="13" t="s">
        <v>5</v>
      </c>
      <c r="K386" s="13" t="s">
        <v>123</v>
      </c>
      <c r="L386" s="13" t="s">
        <v>1740</v>
      </c>
      <c r="M386" s="13" t="s">
        <v>125</v>
      </c>
      <c r="N386" s="13" t="s">
        <v>126</v>
      </c>
      <c r="O386" s="448">
        <v>0.52</v>
      </c>
      <c r="P386" s="438">
        <v>119</v>
      </c>
      <c r="Q386" s="13">
        <v>30</v>
      </c>
      <c r="R386" s="449" t="s">
        <v>127</v>
      </c>
      <c r="S386" s="430" t="str">
        <f t="shared" si="142"/>
        <v>N/A</v>
      </c>
      <c r="T386" s="247">
        <v>0.8</v>
      </c>
      <c r="U386" s="13">
        <v>365</v>
      </c>
      <c r="V386" s="13">
        <v>765</v>
      </c>
      <c r="W386" s="430">
        <f t="shared" si="140"/>
        <v>400</v>
      </c>
      <c r="X386" s="430">
        <f t="shared" si="141"/>
        <v>125</v>
      </c>
      <c r="Y386" s="13">
        <v>365</v>
      </c>
      <c r="Z386" s="13">
        <v>765</v>
      </c>
      <c r="AA386" s="430">
        <f t="shared" si="143"/>
        <v>400</v>
      </c>
      <c r="AB386" s="430">
        <f t="shared" si="144"/>
        <v>125</v>
      </c>
      <c r="AC386" s="430" t="str">
        <f t="shared" si="145"/>
        <v>N/A</v>
      </c>
      <c r="AD386" s="430">
        <f t="shared" si="146"/>
        <v>89</v>
      </c>
      <c r="AE386" s="431">
        <f t="shared" si="147"/>
        <v>1.2627999999999999</v>
      </c>
      <c r="AF386" s="431"/>
      <c r="AG386" s="431">
        <f t="shared" si="148"/>
        <v>1.0897361344537817</v>
      </c>
      <c r="AH386" s="431">
        <f t="shared" si="149"/>
        <v>1.1551203025210086</v>
      </c>
      <c r="AI386" s="432">
        <f t="shared" si="150"/>
        <v>881.85470400000008</v>
      </c>
      <c r="AJ386" s="432">
        <f t="shared" si="151"/>
        <v>132.37702568883279</v>
      </c>
      <c r="AK386" s="432">
        <f t="shared" si="152"/>
        <v>144.74406606809325</v>
      </c>
      <c r="AL386" s="432">
        <f t="shared" si="153"/>
        <v>287.73031706989349</v>
      </c>
      <c r="AM386" s="250">
        <v>285</v>
      </c>
      <c r="AN386" s="432">
        <f t="shared" si="154"/>
        <v>339.15</v>
      </c>
      <c r="AO386" s="432">
        <f t="shared" si="155"/>
        <v>391.75905060000002</v>
      </c>
      <c r="AP386" s="432">
        <f t="shared" si="156"/>
        <v>1305.8635020000002</v>
      </c>
      <c r="AQ386" s="255">
        <v>44986</v>
      </c>
      <c r="AR386" s="255" t="s">
        <v>1741</v>
      </c>
      <c r="AS386" s="434" t="s">
        <v>1742</v>
      </c>
      <c r="AT386" s="429"/>
      <c r="AU386" s="249"/>
      <c r="AV386" s="259"/>
      <c r="AW386" s="77" t="s">
        <v>127</v>
      </c>
      <c r="AX386" s="268"/>
      <c r="AY386" s="103">
        <f t="shared" si="175"/>
        <v>0.6428571428571429</v>
      </c>
      <c r="AZ386" s="77"/>
      <c r="BA386" s="38" t="str">
        <f t="shared" si="176"/>
        <v>W22</v>
      </c>
      <c r="BB386" s="77" t="str">
        <f>IF(R386="n/a","Clear","S/B")</f>
        <v>Clear</v>
      </c>
      <c r="BC386" s="264"/>
      <c r="BD386" s="253"/>
      <c r="BE386" s="253"/>
      <c r="BF386" s="100"/>
      <c r="BG386" s="253"/>
      <c r="BH386" s="253"/>
      <c r="BI386" s="100"/>
      <c r="BJ386" s="143"/>
      <c r="BK386" s="139"/>
      <c r="BL386" s="191"/>
      <c r="BM386" s="139"/>
      <c r="BN386" s="162"/>
      <c r="BO386" s="101"/>
      <c r="BP386" s="101"/>
      <c r="BQ386" s="115"/>
      <c r="BR386" s="113"/>
      <c r="BS386" s="80"/>
      <c r="BU386" s="87"/>
      <c r="BV386" s="73"/>
      <c r="BW386" s="109"/>
      <c r="BX386" s="87"/>
      <c r="BY386" s="87"/>
      <c r="BZ386" s="109"/>
      <c r="CA386" s="76"/>
    </row>
    <row r="387" spans="1:79" s="72" customFormat="1">
      <c r="A387" s="13" t="s">
        <v>1506</v>
      </c>
      <c r="B387" s="13" t="s">
        <v>1507</v>
      </c>
      <c r="C387" s="13" t="s">
        <v>1696</v>
      </c>
      <c r="D387" s="450" t="s">
        <v>1738</v>
      </c>
      <c r="E387" s="13" t="s">
        <v>118</v>
      </c>
      <c r="F387" s="13" t="s">
        <v>167</v>
      </c>
      <c r="G387" s="445" t="s">
        <v>1743</v>
      </c>
      <c r="H387" s="13" t="s">
        <v>146</v>
      </c>
      <c r="I387" s="13" t="s">
        <v>147</v>
      </c>
      <c r="J387" s="13" t="s">
        <v>5</v>
      </c>
      <c r="K387" s="13" t="s">
        <v>123</v>
      </c>
      <c r="L387" s="13" t="s">
        <v>1744</v>
      </c>
      <c r="M387" s="13" t="s">
        <v>125</v>
      </c>
      <c r="N387" s="13" t="s">
        <v>126</v>
      </c>
      <c r="O387" s="448">
        <v>0.54</v>
      </c>
      <c r="P387" s="13">
        <v>119</v>
      </c>
      <c r="Q387" s="13">
        <v>30</v>
      </c>
      <c r="R387" s="449" t="s">
        <v>127</v>
      </c>
      <c r="S387" s="430" t="str">
        <f t="shared" si="142"/>
        <v>N/A</v>
      </c>
      <c r="T387" s="247">
        <v>0.8</v>
      </c>
      <c r="U387" s="13">
        <v>365</v>
      </c>
      <c r="V387" s="13">
        <v>765</v>
      </c>
      <c r="W387" s="430">
        <f t="shared" si="140"/>
        <v>400</v>
      </c>
      <c r="X387" s="430">
        <f t="shared" si="141"/>
        <v>125</v>
      </c>
      <c r="Y387" s="13">
        <v>365</v>
      </c>
      <c r="Z387" s="13">
        <v>765</v>
      </c>
      <c r="AA387" s="430">
        <f t="shared" si="143"/>
        <v>400</v>
      </c>
      <c r="AB387" s="430">
        <f t="shared" si="144"/>
        <v>125</v>
      </c>
      <c r="AC387" s="430" t="str">
        <f t="shared" si="145"/>
        <v>N/A</v>
      </c>
      <c r="AD387" s="430">
        <f t="shared" si="146"/>
        <v>89</v>
      </c>
      <c r="AE387" s="431">
        <f t="shared" si="147"/>
        <v>1.2806000000000002</v>
      </c>
      <c r="AF387" s="431"/>
      <c r="AG387" s="431">
        <f t="shared" si="148"/>
        <v>1.1008798319327733</v>
      </c>
      <c r="AH387" s="431">
        <f t="shared" si="149"/>
        <v>1.1669326218487397</v>
      </c>
      <c r="AI387" s="432">
        <f t="shared" si="150"/>
        <v>883.15680800000007</v>
      </c>
      <c r="AJ387" s="432">
        <f t="shared" si="151"/>
        <v>130.53702017793069</v>
      </c>
      <c r="AK387" s="432">
        <f t="shared" si="152"/>
        <v>142.73216197937541</v>
      </c>
      <c r="AL387" s="432">
        <f t="shared" si="153"/>
        <v>283.73094205517839</v>
      </c>
      <c r="AM387" s="250">
        <v>134</v>
      </c>
      <c r="AN387" s="432">
        <f t="shared" si="154"/>
        <v>159.46</v>
      </c>
      <c r="AO387" s="432">
        <f t="shared" si="155"/>
        <v>186.07907588000003</v>
      </c>
      <c r="AP387" s="432">
        <f t="shared" si="156"/>
        <v>620.26358626666683</v>
      </c>
      <c r="AQ387" s="255" t="s">
        <v>170</v>
      </c>
      <c r="AR387" s="255" t="s">
        <v>1745</v>
      </c>
      <c r="AS387" s="429" t="s">
        <v>1746</v>
      </c>
      <c r="AT387" s="429" t="s">
        <v>1747</v>
      </c>
      <c r="AU387" s="241"/>
      <c r="AV387" s="243"/>
      <c r="AX387" s="243"/>
      <c r="AY387" s="103">
        <f t="shared" si="175"/>
        <v>0.6428571428571429</v>
      </c>
      <c r="BA387" s="13" t="str">
        <f t="shared" si="176"/>
        <v>W22</v>
      </c>
      <c r="BC387" s="32"/>
      <c r="BD387" s="241"/>
      <c r="BE387" s="241"/>
      <c r="BF387" s="71"/>
      <c r="BG387" s="241"/>
      <c r="BH387" s="241"/>
      <c r="BI387" s="71"/>
      <c r="BJ387" s="123"/>
      <c r="BK387" s="123"/>
      <c r="BL387" s="126"/>
      <c r="BM387" s="123"/>
      <c r="BN387" s="123"/>
      <c r="BO387" s="108"/>
      <c r="BP387" s="108"/>
      <c r="BQ387" s="159"/>
      <c r="BR387" s="159"/>
      <c r="BS387" s="100"/>
      <c r="BT387" s="77"/>
      <c r="BU387" s="282"/>
      <c r="BV387" s="264"/>
      <c r="BW387" s="169"/>
      <c r="BX387" s="282"/>
      <c r="BY387" s="282"/>
      <c r="BZ387" s="169"/>
      <c r="CA387" s="271"/>
    </row>
    <row r="388" spans="1:79" s="72" customFormat="1">
      <c r="A388" s="13" t="s">
        <v>1506</v>
      </c>
      <c r="B388" s="13" t="s">
        <v>1507</v>
      </c>
      <c r="C388" s="13" t="s">
        <v>1696</v>
      </c>
      <c r="D388" s="450" t="s">
        <v>1738</v>
      </c>
      <c r="E388" s="13" t="s">
        <v>118</v>
      </c>
      <c r="F388" s="13" t="s">
        <v>167</v>
      </c>
      <c r="G388" s="445" t="s">
        <v>1748</v>
      </c>
      <c r="H388" s="13" t="s">
        <v>146</v>
      </c>
      <c r="I388" s="13" t="s">
        <v>147</v>
      </c>
      <c r="J388" s="13" t="s">
        <v>5</v>
      </c>
      <c r="K388" s="13" t="s">
        <v>123</v>
      </c>
      <c r="L388" s="13" t="s">
        <v>1749</v>
      </c>
      <c r="M388" s="13" t="s">
        <v>125</v>
      </c>
      <c r="N388" s="13" t="s">
        <v>126</v>
      </c>
      <c r="O388" s="448">
        <v>0.63</v>
      </c>
      <c r="P388" s="13">
        <v>119</v>
      </c>
      <c r="Q388" s="13">
        <v>30</v>
      </c>
      <c r="R388" s="449" t="s">
        <v>127</v>
      </c>
      <c r="S388" s="430" t="str">
        <f t="shared" si="142"/>
        <v>N/A</v>
      </c>
      <c r="T388" s="247">
        <v>0.8</v>
      </c>
      <c r="U388" s="13">
        <v>365</v>
      </c>
      <c r="V388" s="13">
        <v>765</v>
      </c>
      <c r="W388" s="430">
        <f t="shared" si="140"/>
        <v>400</v>
      </c>
      <c r="X388" s="430">
        <f t="shared" si="141"/>
        <v>125</v>
      </c>
      <c r="Y388" s="13">
        <v>365</v>
      </c>
      <c r="Z388" s="13">
        <v>765</v>
      </c>
      <c r="AA388" s="430">
        <f t="shared" si="143"/>
        <v>400</v>
      </c>
      <c r="AB388" s="430">
        <f t="shared" si="144"/>
        <v>125</v>
      </c>
      <c r="AC388" s="430" t="str">
        <f t="shared" si="145"/>
        <v>N/A</v>
      </c>
      <c r="AD388" s="430">
        <f t="shared" si="146"/>
        <v>89</v>
      </c>
      <c r="AE388" s="431">
        <f t="shared" si="147"/>
        <v>1.3607</v>
      </c>
      <c r="AF388" s="431"/>
      <c r="AG388" s="431">
        <f t="shared" si="148"/>
        <v>1.1510264705882354</v>
      </c>
      <c r="AH388" s="431">
        <f t="shared" si="149"/>
        <v>1.2200880588235294</v>
      </c>
      <c r="AI388" s="432">
        <f t="shared" si="150"/>
        <v>889.01627600000006</v>
      </c>
      <c r="AJ388" s="432">
        <f t="shared" si="151"/>
        <v>122.85272877185128</v>
      </c>
      <c r="AK388" s="432">
        <f t="shared" si="152"/>
        <v>134.32998209067992</v>
      </c>
      <c r="AL388" s="432">
        <f t="shared" si="153"/>
        <v>267.02862085387039</v>
      </c>
      <c r="AM388" s="250">
        <v>134</v>
      </c>
      <c r="AN388" s="432">
        <f t="shared" si="154"/>
        <v>159.46</v>
      </c>
      <c r="AO388" s="432">
        <f t="shared" si="155"/>
        <v>194.55524186000002</v>
      </c>
      <c r="AP388" s="432">
        <f t="shared" si="156"/>
        <v>648.51747286666682</v>
      </c>
      <c r="AQ388" s="255">
        <v>44986</v>
      </c>
      <c r="AR388" s="255" t="s">
        <v>1620</v>
      </c>
      <c r="AS388" s="434" t="s">
        <v>1750</v>
      </c>
      <c r="AT388" s="429" t="s">
        <v>1751</v>
      </c>
      <c r="AU388" s="241"/>
      <c r="AV388" s="243"/>
      <c r="AW388" s="72" t="s">
        <v>127</v>
      </c>
      <c r="AX388" s="243"/>
      <c r="AY388" s="103">
        <f t="shared" si="175"/>
        <v>0.6428571428571429</v>
      </c>
      <c r="BA388" s="13" t="str">
        <f t="shared" si="176"/>
        <v>W22</v>
      </c>
      <c r="BB388" s="72" t="str">
        <f>IF(R388="n/a","Clear","S/B")</f>
        <v>Clear</v>
      </c>
      <c r="BC388" s="32"/>
      <c r="BD388" s="241"/>
      <c r="BE388" s="241"/>
      <c r="BF388" s="71"/>
      <c r="BG388" s="241"/>
      <c r="BH388" s="241"/>
      <c r="BI388" s="71"/>
      <c r="BJ388" s="123"/>
      <c r="BK388" s="123"/>
      <c r="BL388" s="126"/>
      <c r="BM388" s="123"/>
      <c r="BN388" s="123"/>
      <c r="BO388" s="108"/>
      <c r="BP388" s="108"/>
      <c r="BQ388" s="124"/>
      <c r="BR388" s="124"/>
      <c r="BS388" s="71"/>
      <c r="BU388" s="78"/>
      <c r="BV388" s="32"/>
      <c r="BW388" s="127"/>
      <c r="BX388" s="78"/>
      <c r="BY388" s="78"/>
      <c r="BZ388" s="127"/>
      <c r="CA388" s="76"/>
    </row>
    <row r="389" spans="1:79" s="72" customFormat="1">
      <c r="A389" s="13" t="s">
        <v>1506</v>
      </c>
      <c r="B389" s="13" t="s">
        <v>1507</v>
      </c>
      <c r="C389" s="13" t="s">
        <v>1696</v>
      </c>
      <c r="D389" s="13" t="s">
        <v>1752</v>
      </c>
      <c r="E389" s="13" t="s">
        <v>118</v>
      </c>
      <c r="F389" s="13" t="s">
        <v>119</v>
      </c>
      <c r="G389" s="449" t="s">
        <v>1753</v>
      </c>
      <c r="H389" s="13" t="s">
        <v>146</v>
      </c>
      <c r="I389" s="13" t="s">
        <v>147</v>
      </c>
      <c r="J389" s="13" t="s">
        <v>5</v>
      </c>
      <c r="K389" s="13" t="s">
        <v>123</v>
      </c>
      <c r="L389" s="434" t="s">
        <v>1754</v>
      </c>
      <c r="M389" s="13" t="s">
        <v>125</v>
      </c>
      <c r="N389" s="13" t="s">
        <v>126</v>
      </c>
      <c r="O389" s="448">
        <v>0.56999999999999995</v>
      </c>
      <c r="P389" s="13">
        <v>107</v>
      </c>
      <c r="Q389" s="438">
        <v>30</v>
      </c>
      <c r="R389" s="449" t="s">
        <v>127</v>
      </c>
      <c r="S389" s="430" t="str">
        <f t="shared" si="142"/>
        <v>N/A</v>
      </c>
      <c r="T389" s="247">
        <v>0.8</v>
      </c>
      <c r="U389" s="13">
        <v>360</v>
      </c>
      <c r="V389" s="13">
        <v>560</v>
      </c>
      <c r="W389" s="430">
        <f t="shared" si="140"/>
        <v>200</v>
      </c>
      <c r="X389" s="430">
        <f t="shared" si="141"/>
        <v>210</v>
      </c>
      <c r="Y389" s="13">
        <v>260</v>
      </c>
      <c r="Z389" s="13">
        <v>660</v>
      </c>
      <c r="AA389" s="430">
        <f t="shared" si="143"/>
        <v>400</v>
      </c>
      <c r="AB389" s="430">
        <f t="shared" si="144"/>
        <v>110</v>
      </c>
      <c r="AC389" s="430" t="str">
        <f t="shared" si="145"/>
        <v>N/A</v>
      </c>
      <c r="AD389" s="430">
        <f t="shared" si="146"/>
        <v>77</v>
      </c>
      <c r="AE389" s="431">
        <f t="shared" si="147"/>
        <v>1.2389000000000001</v>
      </c>
      <c r="AF389" s="431"/>
      <c r="AG389" s="431">
        <f t="shared" si="148"/>
        <v>1.0809780373831774</v>
      </c>
      <c r="AH389" s="431">
        <f t="shared" si="149"/>
        <v>1.1458367196261681</v>
      </c>
      <c r="AI389" s="432">
        <f t="shared" si="150"/>
        <v>885.10996399999999</v>
      </c>
      <c r="AJ389" s="432">
        <f t="shared" si="151"/>
        <v>134.93075150525306</v>
      </c>
      <c r="AK389" s="432">
        <f t="shared" si="152"/>
        <v>147.53636825473257</v>
      </c>
      <c r="AL389" s="432">
        <f t="shared" si="153"/>
        <v>293.28101089342272</v>
      </c>
      <c r="AM389" s="250">
        <v>140</v>
      </c>
      <c r="AN389" s="432">
        <f t="shared" si="154"/>
        <v>149.80000000000001</v>
      </c>
      <c r="AO389" s="432">
        <f t="shared" si="155"/>
        <v>171.6463406</v>
      </c>
      <c r="AP389" s="432">
        <f t="shared" si="156"/>
        <v>572.15446866666673</v>
      </c>
      <c r="AQ389" s="255">
        <v>44986</v>
      </c>
      <c r="AR389" s="255" t="s">
        <v>1755</v>
      </c>
      <c r="AS389" s="434" t="s">
        <v>1756</v>
      </c>
      <c r="AT389" s="435"/>
      <c r="AU389" s="298"/>
      <c r="AV389" s="243"/>
      <c r="AX389" s="243"/>
      <c r="AY389" s="103">
        <f t="shared" si="175"/>
        <v>0.52336448598130836</v>
      </c>
      <c r="BA389" s="13" t="str">
        <f t="shared" si="176"/>
        <v>W22</v>
      </c>
      <c r="BC389" s="32"/>
      <c r="BD389" s="241"/>
      <c r="BE389" s="241"/>
      <c r="BF389" s="71"/>
      <c r="BG389" s="241"/>
      <c r="BH389" s="241"/>
      <c r="BI389" s="71"/>
      <c r="BJ389" s="123"/>
      <c r="BK389" s="108"/>
      <c r="BL389" s="108"/>
      <c r="BM389" s="108"/>
      <c r="BN389" s="71"/>
      <c r="BO389" s="103"/>
      <c r="BP389" s="103"/>
      <c r="BQ389" s="151"/>
      <c r="BR389" s="192"/>
      <c r="BS389" s="100"/>
      <c r="BT389" s="38"/>
      <c r="BU389" s="288"/>
      <c r="BV389" s="248"/>
      <c r="BW389" s="173"/>
      <c r="BX389" s="288"/>
      <c r="BY389" s="288"/>
      <c r="BZ389" s="173"/>
      <c r="CA389" s="76"/>
    </row>
    <row r="390" spans="1:79" s="72" customFormat="1">
      <c r="A390" s="13" t="s">
        <v>1506</v>
      </c>
      <c r="B390" s="13" t="s">
        <v>1507</v>
      </c>
      <c r="C390" s="13" t="s">
        <v>1696</v>
      </c>
      <c r="D390" s="13" t="s">
        <v>1752</v>
      </c>
      <c r="E390" s="13" t="s">
        <v>118</v>
      </c>
      <c r="F390" s="13" t="s">
        <v>119</v>
      </c>
      <c r="G390" s="449" t="s">
        <v>1757</v>
      </c>
      <c r="H390" s="13" t="s">
        <v>146</v>
      </c>
      <c r="I390" s="13" t="s">
        <v>312</v>
      </c>
      <c r="J390" s="13" t="s">
        <v>5</v>
      </c>
      <c r="K390" s="13" t="s">
        <v>123</v>
      </c>
      <c r="L390" s="13" t="s">
        <v>1758</v>
      </c>
      <c r="M390" s="13" t="s">
        <v>125</v>
      </c>
      <c r="N390" s="13" t="s">
        <v>126</v>
      </c>
      <c r="O390" s="448">
        <v>0.6</v>
      </c>
      <c r="P390" s="13">
        <v>107</v>
      </c>
      <c r="Q390" s="438">
        <v>28</v>
      </c>
      <c r="R390" s="449" t="s">
        <v>127</v>
      </c>
      <c r="S390" s="430" t="str">
        <f t="shared" si="142"/>
        <v>N/A</v>
      </c>
      <c r="T390" s="247">
        <v>0.8</v>
      </c>
      <c r="U390" s="13">
        <v>260</v>
      </c>
      <c r="V390" s="13">
        <v>660</v>
      </c>
      <c r="W390" s="430">
        <f t="shared" si="140"/>
        <v>400</v>
      </c>
      <c r="X390" s="430">
        <f t="shared" si="141"/>
        <v>130</v>
      </c>
      <c r="Y390" s="13">
        <v>260</v>
      </c>
      <c r="Z390" s="13">
        <v>660</v>
      </c>
      <c r="AA390" s="430">
        <f t="shared" si="143"/>
        <v>400</v>
      </c>
      <c r="AB390" s="430">
        <f t="shared" si="144"/>
        <v>130</v>
      </c>
      <c r="AC390" s="430" t="str">
        <f t="shared" si="145"/>
        <v>N/A</v>
      </c>
      <c r="AD390" s="430">
        <f t="shared" si="146"/>
        <v>79</v>
      </c>
      <c r="AE390" s="431">
        <f t="shared" si="147"/>
        <v>1.274</v>
      </c>
      <c r="AF390" s="431"/>
      <c r="AG390" s="431">
        <f t="shared" si="148"/>
        <v>1.099018691588785</v>
      </c>
      <c r="AH390" s="431">
        <f t="shared" si="149"/>
        <v>1.1649598130841121</v>
      </c>
      <c r="AI390" s="432">
        <f t="shared" si="150"/>
        <v>887.06312000000003</v>
      </c>
      <c r="AJ390" s="432">
        <f t="shared" si="151"/>
        <v>131.21327161684303</v>
      </c>
      <c r="AK390" s="432">
        <f t="shared" si="152"/>
        <v>143.47159076200012</v>
      </c>
      <c r="AL390" s="432">
        <f t="shared" si="153"/>
        <v>285.20081977697129</v>
      </c>
      <c r="AM390" s="250">
        <v>140</v>
      </c>
      <c r="AN390" s="432">
        <f t="shared" si="154"/>
        <v>149.80000000000001</v>
      </c>
      <c r="AO390" s="432">
        <f t="shared" si="155"/>
        <v>174.51098000000002</v>
      </c>
      <c r="AP390" s="432">
        <f t="shared" si="156"/>
        <v>623.25350000000003</v>
      </c>
      <c r="AQ390" s="255">
        <v>44958</v>
      </c>
      <c r="AR390" s="255" t="s">
        <v>1759</v>
      </c>
      <c r="AS390" s="434" t="s">
        <v>1760</v>
      </c>
      <c r="AT390" s="435"/>
      <c r="AU390" s="298"/>
      <c r="AV390" s="243"/>
      <c r="AX390" s="243"/>
      <c r="AY390" s="103">
        <f t="shared" si="175"/>
        <v>0.61682242990654201</v>
      </c>
      <c r="BA390" s="13"/>
      <c r="BC390" s="32"/>
      <c r="BD390" s="241"/>
      <c r="BE390" s="241"/>
      <c r="BF390" s="71"/>
      <c r="BG390" s="241"/>
      <c r="BH390" s="241"/>
      <c r="BI390" s="71"/>
      <c r="BJ390" s="123"/>
      <c r="BK390" s="108"/>
      <c r="BL390" s="108"/>
      <c r="BM390" s="108"/>
      <c r="BN390" s="71"/>
      <c r="BO390" s="103"/>
      <c r="BP390" s="103"/>
      <c r="BQ390" s="159"/>
      <c r="BR390" s="159"/>
      <c r="BS390" s="100"/>
      <c r="BT390" s="77"/>
      <c r="BU390" s="282"/>
      <c r="BV390" s="264"/>
      <c r="BW390" s="169"/>
      <c r="BX390" s="282"/>
      <c r="BY390" s="282"/>
      <c r="BZ390" s="169"/>
      <c r="CA390" s="271"/>
    </row>
    <row r="391" spans="1:79" s="72" customFormat="1">
      <c r="A391" s="13" t="s">
        <v>1506</v>
      </c>
      <c r="B391" s="13" t="s">
        <v>1507</v>
      </c>
      <c r="C391" s="13" t="s">
        <v>1696</v>
      </c>
      <c r="D391" s="13" t="s">
        <v>1752</v>
      </c>
      <c r="E391" s="13" t="s">
        <v>118</v>
      </c>
      <c r="F391" s="13" t="s">
        <v>119</v>
      </c>
      <c r="G391" s="449" t="s">
        <v>1761</v>
      </c>
      <c r="H391" s="13" t="s">
        <v>146</v>
      </c>
      <c r="I391" s="13" t="s">
        <v>147</v>
      </c>
      <c r="J391" s="13" t="s">
        <v>5</v>
      </c>
      <c r="K391" s="13" t="s">
        <v>123</v>
      </c>
      <c r="L391" s="434" t="s">
        <v>1762</v>
      </c>
      <c r="M391" s="13" t="s">
        <v>125</v>
      </c>
      <c r="N391" s="13" t="s">
        <v>126</v>
      </c>
      <c r="O391" s="448">
        <v>0.63</v>
      </c>
      <c r="P391" s="13">
        <v>107</v>
      </c>
      <c r="Q391" s="438">
        <v>30</v>
      </c>
      <c r="R391" s="449" t="s">
        <v>127</v>
      </c>
      <c r="S391" s="430" t="str">
        <f t="shared" si="142"/>
        <v>N/A</v>
      </c>
      <c r="T391" s="247">
        <v>0.8</v>
      </c>
      <c r="U391" s="13">
        <v>360</v>
      </c>
      <c r="V391" s="13">
        <v>560</v>
      </c>
      <c r="W391" s="430">
        <f t="shared" ref="W391:W453" si="177">V391-U391</f>
        <v>200</v>
      </c>
      <c r="X391" s="430">
        <f t="shared" ref="X391:X453" si="178">AD391*10-V391</f>
        <v>210</v>
      </c>
      <c r="Y391" s="13">
        <v>260</v>
      </c>
      <c r="Z391" s="13">
        <v>660</v>
      </c>
      <c r="AA391" s="430">
        <f t="shared" si="143"/>
        <v>400</v>
      </c>
      <c r="AB391" s="430">
        <f t="shared" si="144"/>
        <v>110</v>
      </c>
      <c r="AC391" s="430" t="str">
        <f t="shared" si="145"/>
        <v>N/A</v>
      </c>
      <c r="AD391" s="430">
        <f t="shared" si="146"/>
        <v>77</v>
      </c>
      <c r="AE391" s="431">
        <f t="shared" si="147"/>
        <v>1.2850999999999999</v>
      </c>
      <c r="AF391" s="431"/>
      <c r="AG391" s="431">
        <f t="shared" si="148"/>
        <v>1.1105546728971962</v>
      </c>
      <c r="AH391" s="431">
        <f t="shared" si="149"/>
        <v>1.1771879532710281</v>
      </c>
      <c r="AI391" s="432">
        <f t="shared" si="150"/>
        <v>889.01627600000006</v>
      </c>
      <c r="AJ391" s="432">
        <f t="shared" si="151"/>
        <v>130.07992221605949</v>
      </c>
      <c r="AK391" s="432">
        <f t="shared" si="152"/>
        <v>142.23236061846407</v>
      </c>
      <c r="AL391" s="432">
        <f t="shared" si="153"/>
        <v>282.73740907000354</v>
      </c>
      <c r="AM391" s="250">
        <v>140</v>
      </c>
      <c r="AN391" s="432">
        <f t="shared" si="154"/>
        <v>149.80000000000001</v>
      </c>
      <c r="AO391" s="432">
        <f t="shared" si="155"/>
        <v>176.34275540000002</v>
      </c>
      <c r="AP391" s="432">
        <f t="shared" si="156"/>
        <v>587.80918466666674</v>
      </c>
      <c r="AQ391" s="255">
        <v>44986</v>
      </c>
      <c r="AR391" s="255" t="s">
        <v>1755</v>
      </c>
      <c r="AS391" s="434" t="s">
        <v>1763</v>
      </c>
      <c r="AT391" s="435"/>
      <c r="AU391" s="298"/>
      <c r="AV391" s="243"/>
      <c r="AX391" s="243"/>
      <c r="AY391" s="103">
        <f t="shared" ref="AY391:AY396" si="179">(V391/10)/P391</f>
        <v>0.52336448598130836</v>
      </c>
      <c r="BA391" s="13" t="str">
        <f t="shared" ref="BA391:BA396" si="180">LEFT(G391,3)</f>
        <v>W22</v>
      </c>
      <c r="BC391" s="32"/>
      <c r="BD391" s="241"/>
      <c r="BE391" s="241"/>
      <c r="BF391" s="71"/>
      <c r="BG391" s="241"/>
      <c r="BH391" s="241"/>
      <c r="BI391" s="71"/>
      <c r="BJ391" s="123"/>
      <c r="BK391" s="108"/>
      <c r="BL391" s="108"/>
      <c r="BM391" s="108"/>
      <c r="BN391" s="71"/>
      <c r="BO391" s="103"/>
      <c r="BP391" s="103"/>
      <c r="BQ391" s="155"/>
      <c r="BR391" s="124"/>
      <c r="BS391" s="71"/>
      <c r="BT391" s="72">
        <f>P391-V391/10-120/10</f>
        <v>39</v>
      </c>
      <c r="BU391" s="78"/>
      <c r="BV391" s="32">
        <f>T391+(O391/100*(P391-BT391))</f>
        <v>1.2284000000000002</v>
      </c>
      <c r="BW391" s="127">
        <f>(AE391-BV391)/AE391</f>
        <v>4.4121080071589568E-2</v>
      </c>
      <c r="BX391" s="78">
        <f>(PI()*((51/2)^2-(16.545/2)^2)/(BV391/10))/100</f>
        <v>148.79746550861947</v>
      </c>
      <c r="BY391" s="78">
        <f>BX391-AK391</f>
        <v>6.5651048901553963</v>
      </c>
      <c r="BZ391" s="127">
        <f>BY391/AK391</f>
        <v>4.6157603386518913E-2</v>
      </c>
      <c r="CA391" s="76"/>
    </row>
    <row r="392" spans="1:79" s="22" customFormat="1">
      <c r="A392" s="13" t="s">
        <v>1506</v>
      </c>
      <c r="B392" s="13" t="s">
        <v>1507</v>
      </c>
      <c r="C392" s="13" t="s">
        <v>1696</v>
      </c>
      <c r="D392" s="445" t="s">
        <v>1764</v>
      </c>
      <c r="E392" s="13" t="s">
        <v>118</v>
      </c>
      <c r="F392" s="13" t="s">
        <v>167</v>
      </c>
      <c r="G392" s="445" t="s">
        <v>1765</v>
      </c>
      <c r="H392" s="13" t="s">
        <v>146</v>
      </c>
      <c r="I392" s="13" t="s">
        <v>147</v>
      </c>
      <c r="J392" s="13" t="s">
        <v>5</v>
      </c>
      <c r="K392" s="13" t="s">
        <v>123</v>
      </c>
      <c r="L392" s="13" t="s">
        <v>1766</v>
      </c>
      <c r="M392" s="13" t="s">
        <v>125</v>
      </c>
      <c r="N392" s="13" t="s">
        <v>12</v>
      </c>
      <c r="O392" s="448">
        <v>0.49</v>
      </c>
      <c r="P392" s="13">
        <v>109</v>
      </c>
      <c r="Q392" s="13">
        <v>30</v>
      </c>
      <c r="R392" s="449" t="s">
        <v>127</v>
      </c>
      <c r="S392" s="430" t="str">
        <f t="shared" si="142"/>
        <v>N/A</v>
      </c>
      <c r="T392" s="247">
        <v>0.8</v>
      </c>
      <c r="U392" s="13">
        <v>315</v>
      </c>
      <c r="V392" s="13">
        <v>605</v>
      </c>
      <c r="W392" s="430">
        <f t="shared" si="177"/>
        <v>290</v>
      </c>
      <c r="X392" s="430">
        <f t="shared" si="178"/>
        <v>185</v>
      </c>
      <c r="Y392" s="13">
        <v>205</v>
      </c>
      <c r="Z392" s="13">
        <f>V392</f>
        <v>605</v>
      </c>
      <c r="AA392" s="430">
        <f t="shared" si="143"/>
        <v>400</v>
      </c>
      <c r="AB392" s="430">
        <f t="shared" si="144"/>
        <v>185</v>
      </c>
      <c r="AC392" s="430" t="str">
        <f t="shared" si="145"/>
        <v>N/A</v>
      </c>
      <c r="AD392" s="430">
        <f t="shared" si="146"/>
        <v>79</v>
      </c>
      <c r="AE392" s="431">
        <f t="shared" si="147"/>
        <v>1.1871</v>
      </c>
      <c r="AF392" s="431"/>
      <c r="AG392" s="431">
        <f t="shared" si="148"/>
        <v>1.0468206422018349</v>
      </c>
      <c r="AH392" s="431">
        <f t="shared" si="149"/>
        <v>1.1096298807339449</v>
      </c>
      <c r="AI392" s="432">
        <f t="shared" si="150"/>
        <v>879.90154800000005</v>
      </c>
      <c r="AJ392" s="432">
        <f t="shared" si="151"/>
        <v>140.81855617880382</v>
      </c>
      <c r="AK392" s="432">
        <f t="shared" si="152"/>
        <v>153.97422848183655</v>
      </c>
      <c r="AL392" s="432">
        <f t="shared" si="153"/>
        <v>306.07854805480702</v>
      </c>
      <c r="AM392" s="250">
        <v>154</v>
      </c>
      <c r="AN392" s="432">
        <f t="shared" si="154"/>
        <v>167.86</v>
      </c>
      <c r="AO392" s="432">
        <f t="shared" si="155"/>
        <v>186.26247178</v>
      </c>
      <c r="AP392" s="432">
        <f t="shared" si="156"/>
        <v>620.87490593333337</v>
      </c>
      <c r="AQ392" s="255" t="s">
        <v>320</v>
      </c>
      <c r="AR392" s="255" t="s">
        <v>1598</v>
      </c>
      <c r="AS392" s="434" t="s">
        <v>1767</v>
      </c>
      <c r="AT392" s="429"/>
      <c r="AU392" s="258"/>
      <c r="AV392" s="243"/>
      <c r="AW392" s="72" t="s">
        <v>127</v>
      </c>
      <c r="AX392" s="243"/>
      <c r="AY392" s="103">
        <f t="shared" si="179"/>
        <v>0.55504587155963303</v>
      </c>
      <c r="AZ392" s="72"/>
      <c r="BA392" s="13" t="str">
        <f t="shared" si="180"/>
        <v>W22</v>
      </c>
      <c r="BB392" s="72" t="str">
        <f>IF(R392="n/a","Clear","S/B")</f>
        <v>Clear</v>
      </c>
      <c r="BC392" s="32">
        <f>IF(Q392="","",((P392/100*O392)+T392))</f>
        <v>1.3341000000000001</v>
      </c>
      <c r="BD392" s="241">
        <f>IF(BC392="","",((PI()*((51/2)^2-(16.545/2)^2)/(BC392/10))/100))</f>
        <v>137.00832518610912</v>
      </c>
      <c r="BE392" s="241">
        <f>IF(BC392="","",(BD392-AK392))</f>
        <v>-16.965903295727429</v>
      </c>
      <c r="BF392" s="71">
        <f>IF(BC392="","",(BE392/AK392))</f>
        <v>-0.11018664268045869</v>
      </c>
      <c r="BG392" s="241">
        <f>IF(BF392="","",((PI()*((70/2)^2-(16.545/2)^2)/(BC392/10))/100))</f>
        <v>272.35278044813845</v>
      </c>
      <c r="BH392" s="241">
        <f>IF(BF392="","",(BG392-AL392))</f>
        <v>-33.725767606668569</v>
      </c>
      <c r="BI392" s="71">
        <f>IF(BG392="","",(BH392/AL392))</f>
        <v>-0.11018664268045851</v>
      </c>
      <c r="BJ392" s="123"/>
      <c r="BK392" s="123"/>
      <c r="BL392" s="108"/>
      <c r="BM392" s="108"/>
      <c r="BN392" s="71"/>
      <c r="BO392" s="83"/>
      <c r="BP392" s="83"/>
      <c r="BQ392" s="124"/>
      <c r="BR392" s="124"/>
      <c r="BS392" s="71"/>
      <c r="BT392" s="72"/>
      <c r="BU392" s="78"/>
      <c r="BV392" s="32"/>
      <c r="BW392" s="127"/>
      <c r="BX392" s="78"/>
      <c r="BY392" s="78"/>
      <c r="BZ392" s="127"/>
      <c r="CA392" s="76"/>
    </row>
    <row r="393" spans="1:79" s="22" customFormat="1">
      <c r="A393" s="13" t="s">
        <v>1506</v>
      </c>
      <c r="B393" s="13" t="s">
        <v>1507</v>
      </c>
      <c r="C393" s="13" t="s">
        <v>1696</v>
      </c>
      <c r="D393" s="445" t="s">
        <v>1768</v>
      </c>
      <c r="E393" s="13" t="s">
        <v>118</v>
      </c>
      <c r="F393" s="13" t="s">
        <v>186</v>
      </c>
      <c r="G393" s="445" t="s">
        <v>1769</v>
      </c>
      <c r="H393" s="13" t="s">
        <v>146</v>
      </c>
      <c r="I393" s="13" t="s">
        <v>147</v>
      </c>
      <c r="J393" s="13" t="s">
        <v>5</v>
      </c>
      <c r="K393" s="13" t="s">
        <v>123</v>
      </c>
      <c r="L393" s="13" t="s">
        <v>1770</v>
      </c>
      <c r="M393" s="13" t="s">
        <v>125</v>
      </c>
      <c r="N393" s="13" t="s">
        <v>126</v>
      </c>
      <c r="O393" s="448">
        <v>0.55000000000000004</v>
      </c>
      <c r="P393" s="13">
        <v>104</v>
      </c>
      <c r="Q393" s="13">
        <v>30</v>
      </c>
      <c r="R393" s="449" t="s">
        <v>127</v>
      </c>
      <c r="S393" s="430" t="str">
        <f t="shared" ref="S393:S455" si="181">IF(R393="n/a","N/A",P393-R393)</f>
        <v>N/A</v>
      </c>
      <c r="T393" s="247">
        <v>0.8</v>
      </c>
      <c r="U393" s="13">
        <v>280</v>
      </c>
      <c r="V393" s="13">
        <v>620</v>
      </c>
      <c r="W393" s="430">
        <f t="shared" si="177"/>
        <v>340</v>
      </c>
      <c r="X393" s="430">
        <f t="shared" si="178"/>
        <v>120</v>
      </c>
      <c r="Y393" s="13">
        <v>250</v>
      </c>
      <c r="Z393" s="13">
        <v>650</v>
      </c>
      <c r="AA393" s="430">
        <f t="shared" ref="AA393:AA456" si="182">Z393-Y393</f>
        <v>400</v>
      </c>
      <c r="AB393" s="430">
        <f t="shared" ref="AB393:AB456" si="183">AD393*10-Z393</f>
        <v>90</v>
      </c>
      <c r="AC393" s="430" t="str">
        <f t="shared" ref="AC393:AC456" si="184">IF(J393="clear","N/A",((Q393-R393)*10))</f>
        <v>N/A</v>
      </c>
      <c r="AD393" s="430">
        <f t="shared" ref="AD393:AD456" si="185">P393-Q393</f>
        <v>74</v>
      </c>
      <c r="AE393" s="431">
        <f t="shared" ref="AE393:AE456" si="186">T393+(O393/100*AD393)</f>
        <v>1.2070000000000001</v>
      </c>
      <c r="AF393" s="431"/>
      <c r="AG393" s="431">
        <f t="shared" ref="AG393:AG456" si="187">(((T393+(0.5*(AE393-T393)))*AD393)+(AE393*Q393))/P393</f>
        <v>1.0622019230769231</v>
      </c>
      <c r="AH393" s="431">
        <f t="shared" ref="AH393:AH456" si="188">IF(MID(G393,2,2)="10",(AG393/1000*$W$2),(IF(MID(G393,2,2)="11",(AG393/1000*$X$2),(IF(MID(G393,2,2)="12",(AG393/1000*$Y$2),(IF(MID(G393,2,2)="13",(AG393/1000*$Z$2),(IF(MID(G393,2,2)="20",(AG393/1000*$AA$2),(IF(MID(G393,2,2)="21",(AG393/1000*$AB$2),(IF(MID(G393,2,2)="22",(AG393/1000*$AC$2),(IF(MID(G393,2,2)="23",(AG393/1000*$AD$2),(IF(MID(G393,2,2)="50",(AG393/1000*$AE$2),(IF(MID(G393,2,2)="51",(AG393/1000*$AG$2),"?")))))))))))))))))))</f>
        <v>1.1259340384615384</v>
      </c>
      <c r="AI393" s="432">
        <f t="shared" ref="AI393:AI456" si="189">IF(MID(G393,2,2)="10",((T393+O393*(6.142)/100)*$W$2),(IF(MID(G393,2,2)="11",((T393+O393*(6.142)/100)*$X$2),(IF(MID(G393,2,2)="12",((T393+O393*(6.142)/100)*$Y$2),(IF(MID(G393,2,2)="13",((T393+O393*(6.142)/100)*$Z$2),(IF(MID(G393,2,2)="20",((T393+O393*(6.142)/100)*$AA$2),(IF(MID(G393,2,2)="21",((T393+O393*(6.142)/100)*$AB$2),(IF(MID(G393,2,2)="22",((T393+O393*(6.142)/100)*$AC$2),(IF(MID(G393,2,2)="23",((T393+O393*(6.142)/100)*$AD$2),(IF(MID(G393,2,2)="50",((T393+O393*(6.142)/100)*$AE$2),(IF(MID(G393,2,2)="51",((T393+O393*(6.142)/100)*$AG$2),"?")))))))))))))))))))</f>
        <v>883.80786000000012</v>
      </c>
      <c r="AJ393" s="432">
        <f t="shared" ref="AJ393:AJ456" si="190">(PI()*((49/2)^2-(16.51/2)^2)/(AE393/10))/100</f>
        <v>138.49685835945155</v>
      </c>
      <c r="AK393" s="432">
        <f t="shared" ref="AK393:AK456" si="191">(PI()*((51/2)^2-(16.545/2)^2)/(AE393/10))/100</f>
        <v>151.43563101142351</v>
      </c>
      <c r="AL393" s="432">
        <f t="shared" ref="AL393:AL456" si="192">(PI()*((70/2)^2-(16.545/2)^2)/(AE393/10))/100</f>
        <v>301.03218259806255</v>
      </c>
      <c r="AM393" s="250">
        <v>300</v>
      </c>
      <c r="AN393" s="432">
        <f t="shared" ref="AN393:AN456" si="193">AM393*P393/100</f>
        <v>312</v>
      </c>
      <c r="AO393" s="432">
        <f t="shared" ref="AO393:AO456" si="194">AN393*AH393</f>
        <v>351.29141999999996</v>
      </c>
      <c r="AP393" s="432">
        <f t="shared" ref="AP393:AP456" si="195">AO393/(Q393/100)</f>
        <v>1170.9713999999999</v>
      </c>
      <c r="AQ393" s="255">
        <v>45222</v>
      </c>
      <c r="AR393" s="255" t="s">
        <v>1771</v>
      </c>
      <c r="AS393" s="434" t="s">
        <v>1772</v>
      </c>
      <c r="AT393" s="429"/>
      <c r="AU393" s="257"/>
      <c r="AV393" s="259"/>
      <c r="AW393" s="38" t="s">
        <v>127</v>
      </c>
      <c r="AX393" s="259"/>
      <c r="AY393" s="103">
        <f t="shared" si="179"/>
        <v>0.59615384615384615</v>
      </c>
      <c r="AZ393" s="262"/>
      <c r="BA393" s="38" t="str">
        <f t="shared" si="180"/>
        <v>W22</v>
      </c>
      <c r="BB393" s="262"/>
      <c r="BC393" s="263"/>
      <c r="BD393" s="257"/>
      <c r="BE393" s="257"/>
      <c r="BF393" s="106"/>
      <c r="BG393" s="257"/>
      <c r="BH393" s="257"/>
      <c r="BI393" s="106"/>
      <c r="BJ393" s="143"/>
      <c r="BK393" s="143"/>
      <c r="BL393" s="170"/>
      <c r="BM393" s="143"/>
      <c r="BN393" s="143"/>
      <c r="BO393" s="105"/>
      <c r="BP393" s="105"/>
      <c r="BQ393" s="124"/>
      <c r="BR393" s="124"/>
      <c r="BS393" s="71"/>
      <c r="BT393" s="72"/>
      <c r="BU393" s="78"/>
      <c r="BV393" s="32"/>
      <c r="BW393" s="127"/>
      <c r="BX393" s="78"/>
      <c r="BY393" s="78"/>
      <c r="BZ393" s="127"/>
      <c r="CA393" s="76"/>
    </row>
    <row r="394" spans="1:79" s="22" customFormat="1">
      <c r="A394" s="13" t="s">
        <v>1506</v>
      </c>
      <c r="B394" s="13" t="s">
        <v>1507</v>
      </c>
      <c r="C394" s="13" t="s">
        <v>1696</v>
      </c>
      <c r="D394" s="445" t="s">
        <v>1768</v>
      </c>
      <c r="E394" s="13" t="s">
        <v>118</v>
      </c>
      <c r="F394" s="13" t="s">
        <v>167</v>
      </c>
      <c r="G394" s="445" t="s">
        <v>1773</v>
      </c>
      <c r="H394" s="13" t="s">
        <v>146</v>
      </c>
      <c r="I394" s="13" t="s">
        <v>147</v>
      </c>
      <c r="J394" s="13" t="s">
        <v>5</v>
      </c>
      <c r="K394" s="13" t="s">
        <v>123</v>
      </c>
      <c r="L394" s="13" t="s">
        <v>1774</v>
      </c>
      <c r="M394" s="13" t="s">
        <v>125</v>
      </c>
      <c r="N394" s="13" t="s">
        <v>126</v>
      </c>
      <c r="O394" s="448">
        <v>0.56999999999999995</v>
      </c>
      <c r="P394" s="13">
        <v>104</v>
      </c>
      <c r="Q394" s="13">
        <v>30</v>
      </c>
      <c r="R394" s="449" t="s">
        <v>127</v>
      </c>
      <c r="S394" s="430" t="str">
        <f t="shared" si="181"/>
        <v>N/A</v>
      </c>
      <c r="T394" s="247">
        <v>0.8</v>
      </c>
      <c r="U394" s="13">
        <v>280</v>
      </c>
      <c r="V394" s="13">
        <v>620</v>
      </c>
      <c r="W394" s="430">
        <f t="shared" si="177"/>
        <v>340</v>
      </c>
      <c r="X394" s="430">
        <f t="shared" si="178"/>
        <v>120</v>
      </c>
      <c r="Y394" s="13">
        <v>250</v>
      </c>
      <c r="Z394" s="13">
        <v>650</v>
      </c>
      <c r="AA394" s="430">
        <f t="shared" si="182"/>
        <v>400</v>
      </c>
      <c r="AB394" s="430">
        <f t="shared" si="183"/>
        <v>90</v>
      </c>
      <c r="AC394" s="430" t="str">
        <f t="shared" si="184"/>
        <v>N/A</v>
      </c>
      <c r="AD394" s="430">
        <f t="shared" si="185"/>
        <v>74</v>
      </c>
      <c r="AE394" s="431">
        <f t="shared" si="186"/>
        <v>1.2218</v>
      </c>
      <c r="AF394" s="431"/>
      <c r="AG394" s="431">
        <f t="shared" si="187"/>
        <v>1.0717365384615383</v>
      </c>
      <c r="AH394" s="431">
        <f t="shared" si="188"/>
        <v>1.1360407307692304</v>
      </c>
      <c r="AI394" s="432">
        <f t="shared" si="189"/>
        <v>885.10996399999999</v>
      </c>
      <c r="AJ394" s="432">
        <f t="shared" si="190"/>
        <v>136.81920775892783</v>
      </c>
      <c r="AK394" s="432">
        <f t="shared" si="191"/>
        <v>149.60124949319706</v>
      </c>
      <c r="AL394" s="432">
        <f t="shared" si="192"/>
        <v>297.38569683733954</v>
      </c>
      <c r="AM394" s="250">
        <v>140</v>
      </c>
      <c r="AN394" s="432">
        <f t="shared" si="193"/>
        <v>145.6</v>
      </c>
      <c r="AO394" s="432">
        <f t="shared" si="194"/>
        <v>165.40753039999993</v>
      </c>
      <c r="AP394" s="432">
        <f t="shared" si="195"/>
        <v>551.35843466666643</v>
      </c>
      <c r="AQ394" s="255">
        <v>45047</v>
      </c>
      <c r="AR394" s="255" t="s">
        <v>1775</v>
      </c>
      <c r="AS394" s="434" t="s">
        <v>1776</v>
      </c>
      <c r="AT394" s="429"/>
      <c r="AU394" s="241"/>
      <c r="AV394" s="243"/>
      <c r="AW394" s="72" t="s">
        <v>127</v>
      </c>
      <c r="AX394" s="243"/>
      <c r="AY394" s="103">
        <f t="shared" si="179"/>
        <v>0.59615384615384615</v>
      </c>
      <c r="AZ394" s="72"/>
      <c r="BA394" s="13" t="str">
        <f t="shared" si="180"/>
        <v>W22</v>
      </c>
      <c r="BB394" s="72" t="str">
        <f>IF(R394="n/a","Clear","S/B")</f>
        <v>Clear</v>
      </c>
      <c r="BC394" s="32"/>
      <c r="BD394" s="241"/>
      <c r="BE394" s="241"/>
      <c r="BF394" s="71"/>
      <c r="BG394" s="241"/>
      <c r="BH394" s="241"/>
      <c r="BI394" s="71"/>
      <c r="BJ394" s="123"/>
      <c r="BK394" s="123"/>
      <c r="BL394" s="126"/>
      <c r="BM394" s="123"/>
      <c r="BN394" s="123"/>
      <c r="BO394" s="108"/>
      <c r="BP394" s="108"/>
      <c r="BQ394" s="144"/>
      <c r="BR394" s="140"/>
      <c r="BS394" s="106"/>
      <c r="BT394" s="262"/>
      <c r="BU394" s="269"/>
      <c r="BV394" s="263"/>
      <c r="BW394" s="132"/>
      <c r="BX394" s="269"/>
      <c r="BY394" s="269"/>
      <c r="BZ394" s="132"/>
      <c r="CA394" s="271"/>
    </row>
    <row r="395" spans="1:79" s="22" customFormat="1">
      <c r="A395" s="13" t="s">
        <v>1506</v>
      </c>
      <c r="B395" s="13" t="s">
        <v>1507</v>
      </c>
      <c r="C395" s="13" t="s">
        <v>1696</v>
      </c>
      <c r="D395" s="445" t="s">
        <v>1768</v>
      </c>
      <c r="E395" s="13" t="s">
        <v>118</v>
      </c>
      <c r="F395" s="13" t="s">
        <v>167</v>
      </c>
      <c r="G395" s="445" t="s">
        <v>1777</v>
      </c>
      <c r="H395" s="13" t="s">
        <v>146</v>
      </c>
      <c r="I395" s="13" t="s">
        <v>147</v>
      </c>
      <c r="J395" s="13" t="s">
        <v>5</v>
      </c>
      <c r="K395" s="13" t="s">
        <v>123</v>
      </c>
      <c r="L395" s="13" t="s">
        <v>1778</v>
      </c>
      <c r="M395" s="13" t="s">
        <v>125</v>
      </c>
      <c r="N395" s="13" t="s">
        <v>126</v>
      </c>
      <c r="O395" s="448">
        <v>0.62</v>
      </c>
      <c r="P395" s="13">
        <v>104</v>
      </c>
      <c r="Q395" s="13">
        <v>30</v>
      </c>
      <c r="R395" s="449" t="s">
        <v>127</v>
      </c>
      <c r="S395" s="430" t="str">
        <f t="shared" si="181"/>
        <v>N/A</v>
      </c>
      <c r="T395" s="247">
        <v>0.8</v>
      </c>
      <c r="U395" s="13">
        <v>280</v>
      </c>
      <c r="V395" s="13">
        <v>620</v>
      </c>
      <c r="W395" s="430">
        <f t="shared" si="177"/>
        <v>340</v>
      </c>
      <c r="X395" s="430">
        <f t="shared" si="178"/>
        <v>120</v>
      </c>
      <c r="Y395" s="13">
        <v>250</v>
      </c>
      <c r="Z395" s="13">
        <v>650</v>
      </c>
      <c r="AA395" s="430">
        <f t="shared" si="182"/>
        <v>400</v>
      </c>
      <c r="AB395" s="430">
        <f t="shared" si="183"/>
        <v>90</v>
      </c>
      <c r="AC395" s="430" t="str">
        <f t="shared" si="184"/>
        <v>N/A</v>
      </c>
      <c r="AD395" s="430">
        <f t="shared" si="185"/>
        <v>74</v>
      </c>
      <c r="AE395" s="431">
        <f t="shared" si="186"/>
        <v>1.2587999999999999</v>
      </c>
      <c r="AF395" s="431"/>
      <c r="AG395" s="431">
        <f t="shared" si="187"/>
        <v>1.0955730769230767</v>
      </c>
      <c r="AH395" s="431">
        <f t="shared" si="188"/>
        <v>1.1613074615384613</v>
      </c>
      <c r="AI395" s="432">
        <f t="shared" si="189"/>
        <v>888.36522400000001</v>
      </c>
      <c r="AJ395" s="432">
        <f t="shared" si="190"/>
        <v>132.79767082924852</v>
      </c>
      <c r="AK395" s="432">
        <f t="shared" si="191"/>
        <v>145.20400908070241</v>
      </c>
      <c r="AL395" s="432">
        <f t="shared" si="192"/>
        <v>288.64461741012195</v>
      </c>
      <c r="AM395" s="250">
        <v>140</v>
      </c>
      <c r="AN395" s="432">
        <f t="shared" si="193"/>
        <v>145.6</v>
      </c>
      <c r="AO395" s="432">
        <f t="shared" si="194"/>
        <v>169.08636639999997</v>
      </c>
      <c r="AP395" s="432">
        <f t="shared" si="195"/>
        <v>563.62122133333332</v>
      </c>
      <c r="AQ395" s="255">
        <v>45047</v>
      </c>
      <c r="AR395" s="255" t="s">
        <v>1775</v>
      </c>
      <c r="AS395" s="434" t="s">
        <v>1779</v>
      </c>
      <c r="AT395" s="429"/>
      <c r="AU395" s="241"/>
      <c r="AV395" s="243"/>
      <c r="AW395" s="72" t="s">
        <v>127</v>
      </c>
      <c r="AX395" s="243"/>
      <c r="AY395" s="103">
        <f t="shared" si="179"/>
        <v>0.59615384615384615</v>
      </c>
      <c r="AZ395" s="72"/>
      <c r="BA395" s="13" t="str">
        <f t="shared" si="180"/>
        <v>W22</v>
      </c>
      <c r="BB395" s="72" t="str">
        <f>IF(R395="n/a","Clear","S/B")</f>
        <v>Clear</v>
      </c>
      <c r="BC395" s="32"/>
      <c r="BD395" s="241"/>
      <c r="BE395" s="241"/>
      <c r="BF395" s="71"/>
      <c r="BG395" s="241"/>
      <c r="BH395" s="241"/>
      <c r="BI395" s="71"/>
      <c r="BJ395" s="123"/>
      <c r="BK395" s="123"/>
      <c r="BL395" s="126"/>
      <c r="BM395" s="123"/>
      <c r="BN395" s="123"/>
      <c r="BO395" s="108"/>
      <c r="BP395" s="108"/>
      <c r="BQ395" s="108"/>
      <c r="BR395" s="71"/>
      <c r="BS395" s="71"/>
      <c r="BT395" s="72"/>
      <c r="BU395" s="78"/>
      <c r="BV395" s="32"/>
      <c r="BW395" s="127"/>
      <c r="BX395" s="78"/>
      <c r="BY395" s="78"/>
      <c r="BZ395" s="127"/>
      <c r="CA395" s="76"/>
    </row>
    <row r="396" spans="1:79" s="22" customFormat="1">
      <c r="A396" s="13" t="s">
        <v>1506</v>
      </c>
      <c r="B396" s="13" t="s">
        <v>1507</v>
      </c>
      <c r="C396" s="13" t="s">
        <v>1696</v>
      </c>
      <c r="D396" s="445" t="s">
        <v>1768</v>
      </c>
      <c r="E396" s="13" t="s">
        <v>118</v>
      </c>
      <c r="F396" s="13" t="s">
        <v>167</v>
      </c>
      <c r="G396" s="445" t="s">
        <v>1780</v>
      </c>
      <c r="H396" s="13" t="s">
        <v>146</v>
      </c>
      <c r="I396" s="13" t="s">
        <v>147</v>
      </c>
      <c r="J396" s="13" t="s">
        <v>5</v>
      </c>
      <c r="K396" s="13" t="s">
        <v>123</v>
      </c>
      <c r="L396" s="13" t="s">
        <v>1781</v>
      </c>
      <c r="M396" s="13" t="s">
        <v>125</v>
      </c>
      <c r="N396" s="13" t="s">
        <v>126</v>
      </c>
      <c r="O396" s="448">
        <v>0.67</v>
      </c>
      <c r="P396" s="13">
        <v>104</v>
      </c>
      <c r="Q396" s="13">
        <v>30</v>
      </c>
      <c r="R396" s="449" t="s">
        <v>127</v>
      </c>
      <c r="S396" s="430" t="str">
        <f t="shared" si="181"/>
        <v>N/A</v>
      </c>
      <c r="T396" s="247">
        <v>0.8</v>
      </c>
      <c r="U396" s="13">
        <v>280</v>
      </c>
      <c r="V396" s="13">
        <v>620</v>
      </c>
      <c r="W396" s="430">
        <f t="shared" si="177"/>
        <v>340</v>
      </c>
      <c r="X396" s="430">
        <f t="shared" si="178"/>
        <v>120</v>
      </c>
      <c r="Y396" s="13">
        <v>250</v>
      </c>
      <c r="Z396" s="13">
        <v>650</v>
      </c>
      <c r="AA396" s="430">
        <f t="shared" si="182"/>
        <v>400</v>
      </c>
      <c r="AB396" s="430">
        <f t="shared" si="183"/>
        <v>90</v>
      </c>
      <c r="AC396" s="430" t="str">
        <f t="shared" si="184"/>
        <v>N/A</v>
      </c>
      <c r="AD396" s="430">
        <f t="shared" si="185"/>
        <v>74</v>
      </c>
      <c r="AE396" s="431">
        <f t="shared" si="186"/>
        <v>1.2958000000000001</v>
      </c>
      <c r="AF396" s="431"/>
      <c r="AG396" s="431">
        <f t="shared" si="187"/>
        <v>1.1194096153846154</v>
      </c>
      <c r="AH396" s="431">
        <f t="shared" si="188"/>
        <v>1.1865741923076922</v>
      </c>
      <c r="AI396" s="432">
        <f t="shared" si="189"/>
        <v>891.62048400000003</v>
      </c>
      <c r="AJ396" s="432">
        <f t="shared" si="190"/>
        <v>129.00579413478781</v>
      </c>
      <c r="AK396" s="432">
        <f t="shared" si="191"/>
        <v>141.05788441950006</v>
      </c>
      <c r="AL396" s="432">
        <f t="shared" si="192"/>
        <v>280.40271986098276</v>
      </c>
      <c r="AM396" s="250">
        <v>140</v>
      </c>
      <c r="AN396" s="432">
        <f t="shared" si="193"/>
        <v>145.6</v>
      </c>
      <c r="AO396" s="432">
        <f t="shared" si="194"/>
        <v>172.76520239999999</v>
      </c>
      <c r="AP396" s="432">
        <f t="shared" si="195"/>
        <v>575.88400799999999</v>
      </c>
      <c r="AQ396" s="255">
        <v>45047</v>
      </c>
      <c r="AR396" s="255" t="s">
        <v>1775</v>
      </c>
      <c r="AS396" s="434" t="s">
        <v>1782</v>
      </c>
      <c r="AT396" s="429"/>
      <c r="AU396" s="241"/>
      <c r="AV396" s="243"/>
      <c r="AW396" s="72" t="s">
        <v>127</v>
      </c>
      <c r="AX396" s="243"/>
      <c r="AY396" s="103">
        <f t="shared" si="179"/>
        <v>0.59615384615384615</v>
      </c>
      <c r="AZ396" s="72"/>
      <c r="BA396" s="13" t="str">
        <f t="shared" si="180"/>
        <v>W22</v>
      </c>
      <c r="BB396" s="72" t="str">
        <f>IF(R396="n/a","Clear","S/B")</f>
        <v>Clear</v>
      </c>
      <c r="BC396" s="32"/>
      <c r="BD396" s="241"/>
      <c r="BE396" s="241"/>
      <c r="BF396" s="71"/>
      <c r="BG396" s="241"/>
      <c r="BH396" s="241"/>
      <c r="BI396" s="71"/>
      <c r="BJ396" s="123"/>
      <c r="BK396" s="123"/>
      <c r="BL396" s="126"/>
      <c r="BM396" s="123"/>
      <c r="BN396" s="123"/>
      <c r="BO396" s="108"/>
      <c r="BP396" s="108"/>
      <c r="BQ396" s="83"/>
      <c r="BR396" s="71"/>
      <c r="BS396" s="71"/>
      <c r="BT396" s="13">
        <f>P396-V396/10-120/10</f>
        <v>30</v>
      </c>
      <c r="BU396" s="79">
        <f>BT396-Q396</f>
        <v>0</v>
      </c>
      <c r="BV396" s="29">
        <f>T396+(O396/100*(P396-BT396))</f>
        <v>1.2958000000000001</v>
      </c>
      <c r="BW396" s="86">
        <f>(AE396-BV396)/AE396</f>
        <v>0</v>
      </c>
      <c r="BX396" s="79">
        <f>(PI()*((51/2)^2-(16.545/2)^2)/(BV396/10))/100</f>
        <v>141.05788441950006</v>
      </c>
      <c r="BY396" s="79">
        <f>BX396-AK396</f>
        <v>0</v>
      </c>
      <c r="BZ396" s="86">
        <f>BY396/AK396</f>
        <v>0</v>
      </c>
      <c r="CA396" s="76"/>
    </row>
    <row r="397" spans="1:79" s="22" customFormat="1">
      <c r="A397" s="13" t="s">
        <v>1506</v>
      </c>
      <c r="B397" s="13" t="s">
        <v>1507</v>
      </c>
      <c r="C397" s="13" t="s">
        <v>1696</v>
      </c>
      <c r="D397" s="13" t="s">
        <v>1783</v>
      </c>
      <c r="E397" s="13" t="s">
        <v>118</v>
      </c>
      <c r="F397" s="13" t="s">
        <v>119</v>
      </c>
      <c r="G397" s="449" t="s">
        <v>1784</v>
      </c>
      <c r="H397" s="13" t="s">
        <v>146</v>
      </c>
      <c r="I397" s="13" t="s">
        <v>147</v>
      </c>
      <c r="J397" s="13" t="s">
        <v>5</v>
      </c>
      <c r="K397" s="13" t="s">
        <v>123</v>
      </c>
      <c r="L397" s="434" t="s">
        <v>228</v>
      </c>
      <c r="M397" s="13" t="s">
        <v>125</v>
      </c>
      <c r="N397" s="13" t="s">
        <v>126</v>
      </c>
      <c r="O397" s="448">
        <v>0.55000000000000004</v>
      </c>
      <c r="P397" s="13">
        <v>115</v>
      </c>
      <c r="Q397" s="438">
        <v>30</v>
      </c>
      <c r="R397" s="449" t="s">
        <v>127</v>
      </c>
      <c r="S397" s="430" t="str">
        <f t="shared" si="181"/>
        <v>N/A</v>
      </c>
      <c r="T397" s="247">
        <v>0.8</v>
      </c>
      <c r="U397" s="13">
        <v>440</v>
      </c>
      <c r="V397" s="13">
        <v>680</v>
      </c>
      <c r="W397" s="430">
        <f t="shared" si="177"/>
        <v>240</v>
      </c>
      <c r="X397" s="430">
        <f t="shared" si="178"/>
        <v>170</v>
      </c>
      <c r="Y397" s="13">
        <v>360</v>
      </c>
      <c r="Z397" s="13">
        <v>760</v>
      </c>
      <c r="AA397" s="430">
        <f t="shared" si="182"/>
        <v>400</v>
      </c>
      <c r="AB397" s="430">
        <f t="shared" si="183"/>
        <v>90</v>
      </c>
      <c r="AC397" s="430" t="str">
        <f t="shared" si="184"/>
        <v>N/A</v>
      </c>
      <c r="AD397" s="430">
        <f t="shared" si="185"/>
        <v>85</v>
      </c>
      <c r="AE397" s="431">
        <f t="shared" si="186"/>
        <v>1.2675000000000001</v>
      </c>
      <c r="AF397" s="431"/>
      <c r="AG397" s="431">
        <f t="shared" si="187"/>
        <v>1.0947282608695652</v>
      </c>
      <c r="AH397" s="431">
        <f t="shared" si="188"/>
        <v>1.160411956521739</v>
      </c>
      <c r="AI397" s="432">
        <f t="shared" si="189"/>
        <v>883.80786000000012</v>
      </c>
      <c r="AJ397" s="432">
        <f t="shared" si="190"/>
        <v>131.8861601892371</v>
      </c>
      <c r="AK397" s="432">
        <f t="shared" si="191"/>
        <v>144.20734250949758</v>
      </c>
      <c r="AL397" s="432">
        <f t="shared" si="192"/>
        <v>286.66338808351992</v>
      </c>
      <c r="AM397" s="250">
        <v>285</v>
      </c>
      <c r="AN397" s="432">
        <f t="shared" si="193"/>
        <v>327.75</v>
      </c>
      <c r="AO397" s="432">
        <f t="shared" si="194"/>
        <v>380.32501874999997</v>
      </c>
      <c r="AP397" s="432">
        <f t="shared" si="195"/>
        <v>1267.7500625</v>
      </c>
      <c r="AQ397" s="255">
        <v>45839</v>
      </c>
      <c r="AR397" s="255" t="s">
        <v>1785</v>
      </c>
      <c r="AS397" s="434" t="s">
        <v>1786</v>
      </c>
      <c r="AT397" s="435"/>
      <c r="AU397" s="298"/>
      <c r="AV397" s="243"/>
      <c r="AW397" s="72"/>
      <c r="AX397" s="243"/>
      <c r="AY397" s="103"/>
      <c r="AZ397" s="72"/>
      <c r="BA397" s="13"/>
      <c r="BB397" s="72"/>
      <c r="BC397" s="32"/>
      <c r="BD397" s="241"/>
      <c r="BE397" s="241"/>
      <c r="BF397" s="71"/>
      <c r="BG397" s="241"/>
      <c r="BH397" s="241"/>
      <c r="BI397" s="71"/>
      <c r="BJ397" s="123"/>
      <c r="BK397" s="349"/>
      <c r="BL397" s="349"/>
      <c r="BM397" s="349"/>
      <c r="BN397" s="66"/>
      <c r="BO397" s="350"/>
      <c r="BP397" s="350"/>
      <c r="BQ397" s="351"/>
      <c r="BR397" s="351"/>
      <c r="BS397" s="71"/>
      <c r="BT397" s="72"/>
      <c r="BU397" s="78"/>
      <c r="BV397" s="32"/>
      <c r="BW397" s="104"/>
      <c r="BX397" s="78"/>
      <c r="BY397" s="78"/>
      <c r="BZ397" s="104"/>
      <c r="CA397" s="76"/>
    </row>
    <row r="398" spans="1:79" s="22" customFormat="1">
      <c r="A398" s="13" t="s">
        <v>1506</v>
      </c>
      <c r="B398" s="13" t="s">
        <v>1507</v>
      </c>
      <c r="C398" s="13" t="s">
        <v>1696</v>
      </c>
      <c r="D398" s="445" t="s">
        <v>1787</v>
      </c>
      <c r="E398" s="13" t="s">
        <v>118</v>
      </c>
      <c r="F398" s="13" t="s">
        <v>167</v>
      </c>
      <c r="G398" s="449" t="s">
        <v>1788</v>
      </c>
      <c r="H398" s="13" t="s">
        <v>146</v>
      </c>
      <c r="I398" s="13" t="s">
        <v>147</v>
      </c>
      <c r="J398" s="13" t="s">
        <v>5</v>
      </c>
      <c r="K398" s="13" t="s">
        <v>123</v>
      </c>
      <c r="L398" s="13" t="s">
        <v>1789</v>
      </c>
      <c r="M398" s="13" t="s">
        <v>1302</v>
      </c>
      <c r="N398" s="13" t="s">
        <v>12</v>
      </c>
      <c r="O398" s="448">
        <v>0.43</v>
      </c>
      <c r="P398" s="13">
        <v>109</v>
      </c>
      <c r="Q398" s="438">
        <v>30</v>
      </c>
      <c r="R398" s="445" t="s">
        <v>127</v>
      </c>
      <c r="S398" s="430" t="str">
        <f t="shared" si="181"/>
        <v>N/A</v>
      </c>
      <c r="T398" s="247">
        <v>0.8</v>
      </c>
      <c r="U398" s="13">
        <v>400</v>
      </c>
      <c r="V398" s="13">
        <v>630</v>
      </c>
      <c r="W398" s="430">
        <f t="shared" si="177"/>
        <v>230</v>
      </c>
      <c r="X398" s="430">
        <f t="shared" si="178"/>
        <v>160</v>
      </c>
      <c r="Y398" s="13">
        <v>230</v>
      </c>
      <c r="Z398" s="13">
        <f>V398</f>
        <v>630</v>
      </c>
      <c r="AA398" s="430">
        <f t="shared" si="182"/>
        <v>400</v>
      </c>
      <c r="AB398" s="430">
        <f t="shared" si="183"/>
        <v>160</v>
      </c>
      <c r="AC398" s="430" t="str">
        <f t="shared" si="184"/>
        <v>N/A</v>
      </c>
      <c r="AD398" s="430">
        <f t="shared" si="185"/>
        <v>79</v>
      </c>
      <c r="AE398" s="431">
        <f t="shared" si="186"/>
        <v>1.1396999999999999</v>
      </c>
      <c r="AF398" s="431"/>
      <c r="AG398" s="431">
        <f t="shared" si="187"/>
        <v>1.0165977064220182</v>
      </c>
      <c r="AH398" s="431">
        <f t="shared" si="188"/>
        <v>1.0775935688073393</v>
      </c>
      <c r="AI398" s="432">
        <f t="shared" si="189"/>
        <v>875.99523599999998</v>
      </c>
      <c r="AJ398" s="432">
        <f t="shared" si="190"/>
        <v>146.67518473269988</v>
      </c>
      <c r="AK398" s="432">
        <f t="shared" si="191"/>
        <v>160.37800002701431</v>
      </c>
      <c r="AL398" s="432">
        <f t="shared" si="192"/>
        <v>318.80832183544925</v>
      </c>
      <c r="AM398" s="250">
        <v>160</v>
      </c>
      <c r="AN398" s="432">
        <f t="shared" si="193"/>
        <v>174.4</v>
      </c>
      <c r="AO398" s="432">
        <f t="shared" si="194"/>
        <v>187.93231839999999</v>
      </c>
      <c r="AP398" s="432">
        <f t="shared" si="195"/>
        <v>626.44106133333332</v>
      </c>
      <c r="AQ398" s="255" t="s">
        <v>170</v>
      </c>
      <c r="AR398" s="255" t="s">
        <v>1598</v>
      </c>
      <c r="AS398" s="434" t="s">
        <v>1790</v>
      </c>
      <c r="AT398" s="429" t="s">
        <v>1791</v>
      </c>
      <c r="AU398" s="258"/>
      <c r="AV398" s="243"/>
      <c r="AW398" s="72" t="s">
        <v>127</v>
      </c>
      <c r="AX398" s="243"/>
      <c r="AY398" s="103">
        <f t="shared" ref="AY398:AY410" si="196">(V398/10)/P398</f>
        <v>0.57798165137614677</v>
      </c>
      <c r="AZ398" s="72"/>
      <c r="BA398" s="13" t="str">
        <f t="shared" ref="BA398:BA410" si="197">LEFT(G398,3)</f>
        <v>W22</v>
      </c>
      <c r="BB398" s="72" t="str">
        <f>IF(R398="n/a","Clear","S/B")</f>
        <v>Clear</v>
      </c>
      <c r="BC398" s="32">
        <f>IF(Q398="","",((P398/100*O398)+T398))</f>
        <v>1.2686999999999999</v>
      </c>
      <c r="BD398" s="241">
        <f>IF(BC398="","",((PI()*((51/2)^2-(16.545/2)^2)/(BC398/10))/100))</f>
        <v>144.07094398265011</v>
      </c>
      <c r="BE398" s="241">
        <f>IF(BC398="","",(BD398-AK398))</f>
        <v>-16.307056044364202</v>
      </c>
      <c r="BF398" s="71">
        <f>IF(BC398="","",(BE398/AK398))</f>
        <v>-0.10167888389690243</v>
      </c>
      <c r="BG398" s="241">
        <f>IF(BF398="","",((PI()*((70/2)^2-(16.545/2)^2)/(BC398/10))/100))</f>
        <v>286.39224749417633</v>
      </c>
      <c r="BH398" s="241">
        <f>IF(BF398="","",(BG398-AL398))</f>
        <v>-32.416074341272918</v>
      </c>
      <c r="BI398" s="71">
        <f>IF(BG398="","",(BH398/AL398))</f>
        <v>-0.10167888389690233</v>
      </c>
      <c r="BJ398" s="123"/>
      <c r="BK398" s="123"/>
      <c r="BL398" s="126"/>
      <c r="BM398" s="123"/>
      <c r="BN398" s="123"/>
      <c r="BO398" s="123"/>
      <c r="BP398" s="123"/>
      <c r="BQ398" s="108"/>
      <c r="BR398" s="71"/>
      <c r="BS398" s="71"/>
      <c r="BT398" s="72"/>
      <c r="BU398" s="78"/>
      <c r="BV398" s="32"/>
      <c r="BW398" s="127"/>
      <c r="BX398" s="78"/>
      <c r="BY398" s="78"/>
      <c r="BZ398" s="127"/>
      <c r="CA398" s="76"/>
    </row>
    <row r="399" spans="1:79" s="72" customFormat="1">
      <c r="A399" s="13" t="s">
        <v>1506</v>
      </c>
      <c r="B399" s="13" t="s">
        <v>1507</v>
      </c>
      <c r="C399" s="13" t="s">
        <v>1696</v>
      </c>
      <c r="D399" s="445" t="s">
        <v>1787</v>
      </c>
      <c r="E399" s="13" t="s">
        <v>118</v>
      </c>
      <c r="F399" s="13" t="s">
        <v>167</v>
      </c>
      <c r="G399" s="449" t="s">
        <v>1792</v>
      </c>
      <c r="H399" s="13" t="s">
        <v>146</v>
      </c>
      <c r="I399" s="13" t="s">
        <v>147</v>
      </c>
      <c r="J399" s="13" t="s">
        <v>5</v>
      </c>
      <c r="K399" s="13" t="s">
        <v>123</v>
      </c>
      <c r="L399" s="434" t="s">
        <v>1793</v>
      </c>
      <c r="M399" s="13" t="s">
        <v>125</v>
      </c>
      <c r="N399" s="13" t="s">
        <v>12</v>
      </c>
      <c r="O399" s="448">
        <v>0.43</v>
      </c>
      <c r="P399" s="13">
        <v>109</v>
      </c>
      <c r="Q399" s="438">
        <v>30</v>
      </c>
      <c r="R399" s="445" t="s">
        <v>127</v>
      </c>
      <c r="S399" s="430" t="str">
        <f t="shared" si="181"/>
        <v>N/A</v>
      </c>
      <c r="T399" s="247">
        <v>0.8</v>
      </c>
      <c r="U399" s="13">
        <v>400</v>
      </c>
      <c r="V399" s="13">
        <v>630</v>
      </c>
      <c r="W399" s="430">
        <f t="shared" si="177"/>
        <v>230</v>
      </c>
      <c r="X399" s="430">
        <f t="shared" si="178"/>
        <v>160</v>
      </c>
      <c r="Y399" s="13">
        <v>230</v>
      </c>
      <c r="Z399" s="13">
        <f>V399</f>
        <v>630</v>
      </c>
      <c r="AA399" s="430">
        <f t="shared" si="182"/>
        <v>400</v>
      </c>
      <c r="AB399" s="430">
        <f t="shared" si="183"/>
        <v>160</v>
      </c>
      <c r="AC399" s="430" t="str">
        <f t="shared" si="184"/>
        <v>N/A</v>
      </c>
      <c r="AD399" s="430">
        <f t="shared" si="185"/>
        <v>79</v>
      </c>
      <c r="AE399" s="431">
        <f t="shared" si="186"/>
        <v>1.1396999999999999</v>
      </c>
      <c r="AF399" s="431"/>
      <c r="AG399" s="431">
        <f t="shared" si="187"/>
        <v>1.0165977064220182</v>
      </c>
      <c r="AH399" s="431">
        <f t="shared" si="188"/>
        <v>0</v>
      </c>
      <c r="AI399" s="432">
        <f t="shared" si="189"/>
        <v>0</v>
      </c>
      <c r="AJ399" s="432">
        <f t="shared" si="190"/>
        <v>146.67518473269988</v>
      </c>
      <c r="AK399" s="432">
        <f t="shared" si="191"/>
        <v>160.37800002701431</v>
      </c>
      <c r="AL399" s="432">
        <f t="shared" si="192"/>
        <v>318.80832183544925</v>
      </c>
      <c r="AM399" s="250">
        <v>160</v>
      </c>
      <c r="AN399" s="432">
        <f t="shared" si="193"/>
        <v>174.4</v>
      </c>
      <c r="AO399" s="432">
        <f t="shared" si="194"/>
        <v>0</v>
      </c>
      <c r="AP399" s="432">
        <f t="shared" si="195"/>
        <v>0</v>
      </c>
      <c r="AQ399" s="255">
        <v>44409</v>
      </c>
      <c r="AR399" s="255" t="s">
        <v>1683</v>
      </c>
      <c r="AS399" s="434"/>
      <c r="AT399" s="435" t="s">
        <v>1794</v>
      </c>
      <c r="AU399" s="241"/>
      <c r="AV399" s="243"/>
      <c r="AW399" s="72" t="s">
        <v>127</v>
      </c>
      <c r="AX399" s="243"/>
      <c r="AY399" s="103">
        <f t="shared" si="196"/>
        <v>0.57798165137614677</v>
      </c>
      <c r="BA399" s="13" t="str">
        <f t="shared" si="197"/>
        <v>W12</v>
      </c>
      <c r="BB399" s="72" t="str">
        <f>IF(R399="n/a","Clear","S/B")</f>
        <v>Clear</v>
      </c>
      <c r="BC399" s="32">
        <f>IF(Q399="","",((P399/100*O399)+T399))</f>
        <v>1.2686999999999999</v>
      </c>
      <c r="BD399" s="241">
        <f>IF(BC399="","",((PI()*((51/2)^2-(16.545/2)^2)/(BC399/10))/100))</f>
        <v>144.07094398265011</v>
      </c>
      <c r="BE399" s="241">
        <f>IF(BC399="","",(BD399-AK399))</f>
        <v>-16.307056044364202</v>
      </c>
      <c r="BF399" s="71">
        <f>IF(BC399="","",(BE399/AK399))</f>
        <v>-0.10167888389690243</v>
      </c>
      <c r="BG399" s="241">
        <f>IF(BF399="","",((PI()*((70/2)^2-(16.545/2)^2)/(BC399/10))/100))</f>
        <v>286.39224749417633</v>
      </c>
      <c r="BH399" s="241">
        <f>IF(BF399="","",(BG399-AL399))</f>
        <v>-32.416074341272918</v>
      </c>
      <c r="BI399" s="71">
        <f>IF(BG399="","",(BH399/AL399))</f>
        <v>-0.10167888389690233</v>
      </c>
      <c r="BJ399" s="123">
        <v>26.25</v>
      </c>
      <c r="BK399" s="123"/>
      <c r="BL399" s="126"/>
      <c r="BM399" s="108"/>
      <c r="BN399" s="123"/>
      <c r="BO399" s="108"/>
      <c r="BP399" s="108"/>
      <c r="BQ399" s="155"/>
      <c r="BR399" s="155">
        <v>692</v>
      </c>
      <c r="BS399" s="71"/>
      <c r="BT399" s="72">
        <f>P399-V399/10-120/10</f>
        <v>34</v>
      </c>
      <c r="BU399" s="78">
        <f>BT399-Q399</f>
        <v>4</v>
      </c>
      <c r="BV399" s="32">
        <f>T399+(O399/100*(P399-BT399))</f>
        <v>1.1225000000000001</v>
      </c>
      <c r="BW399" s="127">
        <f>(AE399-BV399)/AE399</f>
        <v>1.509169079582336E-2</v>
      </c>
      <c r="BX399" s="78">
        <f>(PI()*((51/2)^2-(16.545/2)^2)/(BV399/10))/100</f>
        <v>162.83546247731684</v>
      </c>
      <c r="BY399" s="78">
        <f>BX399-AK399</f>
        <v>2.4574624503025291</v>
      </c>
      <c r="BZ399" s="127">
        <f>BY399/AK399</f>
        <v>1.5322939866369392E-2</v>
      </c>
      <c r="CA399" s="76"/>
    </row>
    <row r="400" spans="1:79" s="13" customFormat="1">
      <c r="A400" s="13" t="s">
        <v>1506</v>
      </c>
      <c r="B400" s="13" t="s">
        <v>1507</v>
      </c>
      <c r="C400" s="13" t="s">
        <v>1696</v>
      </c>
      <c r="D400" s="445" t="s">
        <v>1787</v>
      </c>
      <c r="E400" s="13" t="s">
        <v>118</v>
      </c>
      <c r="F400" s="13" t="s">
        <v>167</v>
      </c>
      <c r="G400" s="445" t="s">
        <v>1795</v>
      </c>
      <c r="H400" s="13" t="s">
        <v>146</v>
      </c>
      <c r="I400" s="13" t="s">
        <v>147</v>
      </c>
      <c r="J400" s="13" t="s">
        <v>5</v>
      </c>
      <c r="K400" s="13" t="s">
        <v>123</v>
      </c>
      <c r="L400" s="13" t="s">
        <v>1796</v>
      </c>
      <c r="M400" s="13" t="s">
        <v>125</v>
      </c>
      <c r="N400" s="13" t="s">
        <v>12</v>
      </c>
      <c r="O400" s="448">
        <v>0.43</v>
      </c>
      <c r="P400" s="13">
        <v>105</v>
      </c>
      <c r="Q400" s="438">
        <v>30</v>
      </c>
      <c r="R400" s="13" t="s">
        <v>127</v>
      </c>
      <c r="S400" s="430" t="str">
        <f t="shared" si="181"/>
        <v>N/A</v>
      </c>
      <c r="T400" s="247">
        <v>0.8</v>
      </c>
      <c r="U400" s="13">
        <v>375</v>
      </c>
      <c r="V400" s="13">
        <v>575</v>
      </c>
      <c r="W400" s="430">
        <f t="shared" si="177"/>
        <v>200</v>
      </c>
      <c r="X400" s="430">
        <f t="shared" si="178"/>
        <v>175</v>
      </c>
      <c r="AA400" s="430">
        <f t="shared" si="182"/>
        <v>0</v>
      </c>
      <c r="AB400" s="430">
        <f t="shared" si="183"/>
        <v>750</v>
      </c>
      <c r="AC400" s="430" t="str">
        <f t="shared" si="184"/>
        <v>N/A</v>
      </c>
      <c r="AD400" s="430">
        <f t="shared" si="185"/>
        <v>75</v>
      </c>
      <c r="AE400" s="431">
        <f t="shared" si="186"/>
        <v>1.1225000000000001</v>
      </c>
      <c r="AF400" s="431"/>
      <c r="AG400" s="431">
        <f t="shared" si="187"/>
        <v>1.0073214285714287</v>
      </c>
      <c r="AH400" s="431">
        <f t="shared" si="188"/>
        <v>0</v>
      </c>
      <c r="AI400" s="432">
        <f t="shared" si="189"/>
        <v>0</v>
      </c>
      <c r="AJ400" s="432">
        <f t="shared" si="190"/>
        <v>148.92267976824769</v>
      </c>
      <c r="AK400" s="432">
        <f t="shared" si="191"/>
        <v>162.83546247731684</v>
      </c>
      <c r="AL400" s="432">
        <f t="shared" si="192"/>
        <v>323.69340257983202</v>
      </c>
      <c r="AM400" s="250">
        <v>160</v>
      </c>
      <c r="AN400" s="432">
        <f t="shared" si="193"/>
        <v>168</v>
      </c>
      <c r="AO400" s="432">
        <f t="shared" si="194"/>
        <v>0</v>
      </c>
      <c r="AP400" s="432">
        <f t="shared" si="195"/>
        <v>0</v>
      </c>
      <c r="AQ400" s="255" t="s">
        <v>320</v>
      </c>
      <c r="AR400" s="255" t="s">
        <v>1520</v>
      </c>
      <c r="AS400" s="434" t="s">
        <v>1797</v>
      </c>
      <c r="AT400" s="435"/>
      <c r="AU400" s="258" t="s">
        <v>1535</v>
      </c>
      <c r="AV400" s="243"/>
      <c r="AW400" s="72" t="s">
        <v>127</v>
      </c>
      <c r="AX400" s="243"/>
      <c r="AY400" s="103">
        <f t="shared" si="196"/>
        <v>0.54761904761904767</v>
      </c>
      <c r="AZ400" s="72"/>
      <c r="BA400" s="13" t="str">
        <f t="shared" si="197"/>
        <v>W12</v>
      </c>
      <c r="BB400" s="72" t="str">
        <f>IF(R400="n/a","Clear","S/B")</f>
        <v>Clear</v>
      </c>
      <c r="BC400" s="32">
        <f>IF(Q400="","",((P400/100*O400)+T400))</f>
        <v>1.2515000000000001</v>
      </c>
      <c r="BD400" s="241">
        <f>IF(BC400="","",((PI()*((51/2)^2-(16.545/2)^2)/(BC400/10))/100))</f>
        <v>146.0509841236821</v>
      </c>
      <c r="BE400" s="241">
        <f>IF(BC400="","",(BD400-AK400))</f>
        <v>-16.784478353634739</v>
      </c>
      <c r="BF400" s="71">
        <f>IF(BC400="","",(BE400/AK400))</f>
        <v>-0.10307630842988416</v>
      </c>
      <c r="BG400" s="241">
        <f>IF(BF400="","",((PI()*((70/2)^2-(16.545/2)^2)/(BC400/10))/100))</f>
        <v>290.32828157879459</v>
      </c>
      <c r="BH400" s="241">
        <f>IF(BF400="","",(BG400-AL400))</f>
        <v>-33.365121001037437</v>
      </c>
      <c r="BI400" s="71">
        <f>IF(BG400="","",(BH400/AL400))</f>
        <v>-0.10307630842988419</v>
      </c>
      <c r="BJ400" s="111"/>
      <c r="BK400" s="111"/>
      <c r="BL400" s="83"/>
      <c r="BM400" s="83"/>
      <c r="BN400" s="71"/>
      <c r="BO400" s="83"/>
      <c r="BP400" s="83"/>
      <c r="BQ400" s="124"/>
      <c r="BR400" s="124"/>
      <c r="BS400" s="71"/>
      <c r="BT400" s="72"/>
      <c r="BU400" s="78"/>
      <c r="BV400" s="32"/>
      <c r="BW400" s="127"/>
      <c r="BX400" s="78"/>
      <c r="BY400" s="78"/>
      <c r="BZ400" s="127"/>
      <c r="CA400" s="76"/>
    </row>
    <row r="401" spans="1:79" s="13" customFormat="1">
      <c r="A401" s="13" t="s">
        <v>1506</v>
      </c>
      <c r="B401" s="13" t="s">
        <v>1507</v>
      </c>
      <c r="C401" s="13" t="s">
        <v>1696</v>
      </c>
      <c r="D401" s="445" t="s">
        <v>1787</v>
      </c>
      <c r="E401" s="13" t="s">
        <v>118</v>
      </c>
      <c r="F401" s="13" t="s">
        <v>167</v>
      </c>
      <c r="G401" s="449" t="s">
        <v>1798</v>
      </c>
      <c r="H401" s="13" t="s">
        <v>146</v>
      </c>
      <c r="I401" s="13" t="s">
        <v>147</v>
      </c>
      <c r="J401" s="13" t="s">
        <v>5</v>
      </c>
      <c r="K401" s="13" t="s">
        <v>123</v>
      </c>
      <c r="L401" s="434" t="s">
        <v>1799</v>
      </c>
      <c r="M401" s="13" t="s">
        <v>125</v>
      </c>
      <c r="N401" s="13" t="s">
        <v>12</v>
      </c>
      <c r="O401" s="448">
        <v>0.43</v>
      </c>
      <c r="P401" s="13">
        <v>107</v>
      </c>
      <c r="Q401" s="438">
        <v>30</v>
      </c>
      <c r="R401" s="445" t="s">
        <v>127</v>
      </c>
      <c r="S401" s="430" t="str">
        <f t="shared" si="181"/>
        <v>N/A</v>
      </c>
      <c r="T401" s="247">
        <v>0.8</v>
      </c>
      <c r="U401" s="13">
        <v>395</v>
      </c>
      <c r="V401" s="13">
        <v>595</v>
      </c>
      <c r="W401" s="430">
        <f t="shared" si="177"/>
        <v>200</v>
      </c>
      <c r="X401" s="430">
        <f t="shared" si="178"/>
        <v>175</v>
      </c>
      <c r="AA401" s="430">
        <f t="shared" si="182"/>
        <v>0</v>
      </c>
      <c r="AB401" s="430">
        <f t="shared" si="183"/>
        <v>770</v>
      </c>
      <c r="AC401" s="430" t="str">
        <f t="shared" si="184"/>
        <v>N/A</v>
      </c>
      <c r="AD401" s="430">
        <f t="shared" si="185"/>
        <v>77</v>
      </c>
      <c r="AE401" s="431">
        <f t="shared" si="186"/>
        <v>1.1311</v>
      </c>
      <c r="AF401" s="431"/>
      <c r="AG401" s="431">
        <f t="shared" si="187"/>
        <v>1.0119658878504674</v>
      </c>
      <c r="AH401" s="431">
        <f t="shared" si="188"/>
        <v>0</v>
      </c>
      <c r="AI401" s="432">
        <f t="shared" si="189"/>
        <v>0</v>
      </c>
      <c r="AJ401" s="432">
        <f t="shared" si="190"/>
        <v>147.79038815299975</v>
      </c>
      <c r="AK401" s="432">
        <f t="shared" si="191"/>
        <v>161.59738894066675</v>
      </c>
      <c r="AL401" s="432">
        <f t="shared" si="192"/>
        <v>321.23229104045748</v>
      </c>
      <c r="AM401" s="250">
        <v>160</v>
      </c>
      <c r="AN401" s="432">
        <f t="shared" si="193"/>
        <v>171.2</v>
      </c>
      <c r="AO401" s="432">
        <f t="shared" si="194"/>
        <v>0</v>
      </c>
      <c r="AP401" s="432">
        <f t="shared" si="195"/>
        <v>0</v>
      </c>
      <c r="AQ401" s="255">
        <v>44228</v>
      </c>
      <c r="AR401" s="255" t="s">
        <v>1800</v>
      </c>
      <c r="AS401" s="434"/>
      <c r="AT401" s="435" t="s">
        <v>1801</v>
      </c>
      <c r="AU401" s="241">
        <v>4</v>
      </c>
      <c r="AV401" s="243"/>
      <c r="AW401" s="72" t="s">
        <v>127</v>
      </c>
      <c r="AX401" s="243"/>
      <c r="AY401" s="103">
        <f t="shared" si="196"/>
        <v>0.55607476635514019</v>
      </c>
      <c r="AZ401" s="72"/>
      <c r="BA401" s="13" t="str">
        <f t="shared" si="197"/>
        <v>W12</v>
      </c>
      <c r="BB401" s="72" t="str">
        <f>IF(R401="n/a","Clear","S/B")</f>
        <v>Clear</v>
      </c>
      <c r="BC401" s="32">
        <f>IF(Q401="","",((P401/100*O401)+T401))</f>
        <v>1.2601</v>
      </c>
      <c r="BD401" s="241">
        <f>IF(BC401="","",((PI()*((51/2)^2-(16.545/2)^2)/(BC401/10))/100))</f>
        <v>145.05420730956922</v>
      </c>
      <c r="BE401" s="241">
        <f>IF(BC401="","",(BD401-AK401))</f>
        <v>-16.543181631097525</v>
      </c>
      <c r="BF401" s="71">
        <f>IF(BC401="","",(BE401/AK401))</f>
        <v>-0.10237282755336868</v>
      </c>
      <c r="BG401" s="241">
        <f>IF(BF401="","",((PI()*((70/2)^2-(16.545/2)^2)/(BC401/10))/100))</f>
        <v>288.34683310519915</v>
      </c>
      <c r="BH401" s="241">
        <f>IF(BF401="","",(BG401-AL401))</f>
        <v>-32.88545793525833</v>
      </c>
      <c r="BI401" s="71">
        <f>IF(BG401="","",(BH401/AL401))</f>
        <v>-0.10237282755336879</v>
      </c>
      <c r="BJ401" s="111"/>
      <c r="BK401" s="111"/>
      <c r="BL401" s="83"/>
      <c r="BM401" s="83"/>
      <c r="BN401" s="71"/>
      <c r="BO401" s="83"/>
      <c r="BP401" s="83"/>
      <c r="BQ401" s="88"/>
      <c r="BR401" s="80"/>
      <c r="BS401" s="80"/>
      <c r="BT401" s="22"/>
      <c r="BU401" s="87"/>
      <c r="BV401" s="73"/>
      <c r="BW401" s="109"/>
      <c r="BX401" s="87"/>
      <c r="BY401" s="87"/>
      <c r="BZ401" s="109"/>
      <c r="CA401" s="76"/>
    </row>
    <row r="402" spans="1:79" s="72" customFormat="1" ht="15" customHeight="1">
      <c r="A402" s="13" t="s">
        <v>1506</v>
      </c>
      <c r="B402" s="13" t="s">
        <v>1507</v>
      </c>
      <c r="C402" s="13" t="s">
        <v>1696</v>
      </c>
      <c r="D402" s="445" t="s">
        <v>1787</v>
      </c>
      <c r="E402" s="13" t="s">
        <v>118</v>
      </c>
      <c r="F402" s="13" t="s">
        <v>167</v>
      </c>
      <c r="G402" s="449" t="s">
        <v>1802</v>
      </c>
      <c r="H402" s="13" t="s">
        <v>146</v>
      </c>
      <c r="I402" s="13" t="s">
        <v>147</v>
      </c>
      <c r="J402" s="13" t="s">
        <v>5</v>
      </c>
      <c r="K402" s="13" t="s">
        <v>123</v>
      </c>
      <c r="L402" s="434" t="s">
        <v>1803</v>
      </c>
      <c r="M402" s="13" t="s">
        <v>125</v>
      </c>
      <c r="N402" s="13" t="s">
        <v>12</v>
      </c>
      <c r="O402" s="448">
        <v>0.45</v>
      </c>
      <c r="P402" s="13">
        <v>105</v>
      </c>
      <c r="Q402" s="438">
        <v>30</v>
      </c>
      <c r="R402" s="445" t="s">
        <v>127</v>
      </c>
      <c r="S402" s="430" t="str">
        <f t="shared" si="181"/>
        <v>N/A</v>
      </c>
      <c r="T402" s="247">
        <v>0.8</v>
      </c>
      <c r="U402" s="13">
        <v>375</v>
      </c>
      <c r="V402" s="13">
        <v>575</v>
      </c>
      <c r="W402" s="430">
        <f t="shared" si="177"/>
        <v>200</v>
      </c>
      <c r="X402" s="430">
        <f t="shared" si="178"/>
        <v>175</v>
      </c>
      <c r="Y402" s="13"/>
      <c r="Z402" s="13"/>
      <c r="AA402" s="430">
        <f t="shared" si="182"/>
        <v>0</v>
      </c>
      <c r="AB402" s="430">
        <f t="shared" si="183"/>
        <v>750</v>
      </c>
      <c r="AC402" s="430" t="str">
        <f t="shared" si="184"/>
        <v>N/A</v>
      </c>
      <c r="AD402" s="430">
        <f t="shared" si="185"/>
        <v>75</v>
      </c>
      <c r="AE402" s="431">
        <f t="shared" si="186"/>
        <v>1.1375000000000002</v>
      </c>
      <c r="AF402" s="431"/>
      <c r="AG402" s="431">
        <f t="shared" si="187"/>
        <v>1.016964285714286</v>
      </c>
      <c r="AH402" s="431">
        <f t="shared" si="188"/>
        <v>0</v>
      </c>
      <c r="AI402" s="432">
        <f t="shared" si="189"/>
        <v>0</v>
      </c>
      <c r="AJ402" s="432">
        <f t="shared" si="190"/>
        <v>146.95886421086416</v>
      </c>
      <c r="AK402" s="432">
        <f t="shared" si="191"/>
        <v>160.68818165344013</v>
      </c>
      <c r="AL402" s="432">
        <f t="shared" si="192"/>
        <v>319.42491815020787</v>
      </c>
      <c r="AM402" s="250">
        <v>160</v>
      </c>
      <c r="AN402" s="432">
        <f t="shared" si="193"/>
        <v>168</v>
      </c>
      <c r="AO402" s="432">
        <f t="shared" si="194"/>
        <v>0</v>
      </c>
      <c r="AP402" s="432">
        <f t="shared" si="195"/>
        <v>0</v>
      </c>
      <c r="AQ402" s="255" t="s">
        <v>170</v>
      </c>
      <c r="AR402" s="255" t="s">
        <v>1527</v>
      </c>
      <c r="AS402" s="434" t="s">
        <v>1804</v>
      </c>
      <c r="AT402" s="435" t="s">
        <v>1539</v>
      </c>
      <c r="AU402" s="258" t="s">
        <v>1530</v>
      </c>
      <c r="AV402" s="243"/>
      <c r="AW402" s="72" t="s">
        <v>127</v>
      </c>
      <c r="AX402" s="243"/>
      <c r="AY402" s="103">
        <f t="shared" si="196"/>
        <v>0.54761904761904767</v>
      </c>
      <c r="BA402" s="13" t="str">
        <f t="shared" si="197"/>
        <v>W12</v>
      </c>
      <c r="BB402" s="72" t="str">
        <f>IF(R402="n/a","Clear","S/B")</f>
        <v>Clear</v>
      </c>
      <c r="BC402" s="32">
        <f>IF(Q402="","",((P402/100*O402)+T402))</f>
        <v>1.2725</v>
      </c>
      <c r="BD402" s="241">
        <f>IF(BC402="","",((PI()*((51/2)^2-(16.545/2)^2)/(BC402/10))/100))</f>
        <v>143.6407124799907</v>
      </c>
      <c r="BE402" s="241">
        <f>IF(BC402="","",(BD402-AK402))</f>
        <v>-17.047469173449429</v>
      </c>
      <c r="BF402" s="71">
        <f>IF(BC402="","",(BE402/AK402))</f>
        <v>-0.10609037328094294</v>
      </c>
      <c r="BG402" s="241">
        <f>IF(BF402="","",((PI()*((70/2)^2-(16.545/2)^2)/(BC402/10))/100))</f>
        <v>285.53700934841766</v>
      </c>
      <c r="BH402" s="241">
        <f>IF(BF402="","",(BG402-AL402))</f>
        <v>-33.887908801790218</v>
      </c>
      <c r="BI402" s="71">
        <f>IF(BG402="","",(BH402/AL402))</f>
        <v>-0.10609037328094299</v>
      </c>
      <c r="BJ402" s="111"/>
      <c r="BK402" s="111"/>
      <c r="BL402" s="83"/>
      <c r="BM402" s="83"/>
      <c r="BN402" s="71"/>
      <c r="BO402" s="83"/>
      <c r="BP402" s="83"/>
      <c r="BQ402" s="83"/>
      <c r="BR402" s="103"/>
      <c r="BS402" s="103"/>
      <c r="BT402" s="13"/>
      <c r="BU402" s="79"/>
      <c r="BV402" s="29"/>
      <c r="BW402" s="86"/>
      <c r="BX402" s="79"/>
      <c r="BY402" s="79"/>
      <c r="BZ402" s="86"/>
      <c r="CA402" s="247"/>
    </row>
    <row r="403" spans="1:79" s="22" customFormat="1">
      <c r="A403" s="13" t="s">
        <v>1506</v>
      </c>
      <c r="B403" s="13" t="s">
        <v>1507</v>
      </c>
      <c r="C403" s="13" t="s">
        <v>1696</v>
      </c>
      <c r="D403" s="445" t="s">
        <v>1805</v>
      </c>
      <c r="E403" s="13" t="s">
        <v>118</v>
      </c>
      <c r="F403" s="13" t="s">
        <v>119</v>
      </c>
      <c r="G403" s="445" t="s">
        <v>1806</v>
      </c>
      <c r="H403" s="13" t="s">
        <v>146</v>
      </c>
      <c r="I403" s="13" t="s">
        <v>147</v>
      </c>
      <c r="J403" s="13" t="s">
        <v>5</v>
      </c>
      <c r="K403" s="13" t="s">
        <v>123</v>
      </c>
      <c r="L403" s="13" t="s">
        <v>1807</v>
      </c>
      <c r="M403" s="13" t="s">
        <v>125</v>
      </c>
      <c r="N403" s="13" t="s">
        <v>126</v>
      </c>
      <c r="O403" s="448">
        <v>0.49</v>
      </c>
      <c r="P403" s="13">
        <v>106</v>
      </c>
      <c r="Q403" s="13">
        <v>29</v>
      </c>
      <c r="R403" s="449" t="s">
        <v>127</v>
      </c>
      <c r="S403" s="430" t="str">
        <f t="shared" si="181"/>
        <v>N/A</v>
      </c>
      <c r="T403" s="247">
        <v>0.8</v>
      </c>
      <c r="U403" s="13">
        <v>350</v>
      </c>
      <c r="V403" s="13">
        <v>620</v>
      </c>
      <c r="W403" s="430">
        <f t="shared" si="177"/>
        <v>270</v>
      </c>
      <c r="X403" s="430">
        <f t="shared" si="178"/>
        <v>150</v>
      </c>
      <c r="Y403" s="13">
        <v>285</v>
      </c>
      <c r="Z403" s="13">
        <v>685</v>
      </c>
      <c r="AA403" s="430">
        <f t="shared" si="182"/>
        <v>400</v>
      </c>
      <c r="AB403" s="430">
        <f t="shared" si="183"/>
        <v>85</v>
      </c>
      <c r="AC403" s="430" t="str">
        <f t="shared" si="184"/>
        <v>N/A</v>
      </c>
      <c r="AD403" s="430">
        <f t="shared" si="185"/>
        <v>77</v>
      </c>
      <c r="AE403" s="431">
        <f t="shared" si="186"/>
        <v>1.1773</v>
      </c>
      <c r="AF403" s="431"/>
      <c r="AG403" s="431">
        <f t="shared" si="187"/>
        <v>1.0402617924528303</v>
      </c>
      <c r="AH403" s="431">
        <f t="shared" si="188"/>
        <v>1.1026775000000002</v>
      </c>
      <c r="AI403" s="432">
        <f t="shared" si="189"/>
        <v>879.90154800000005</v>
      </c>
      <c r="AJ403" s="432">
        <f t="shared" si="190"/>
        <v>141.99074835628815</v>
      </c>
      <c r="AK403" s="432">
        <f t="shared" si="191"/>
        <v>155.25593020537517</v>
      </c>
      <c r="AL403" s="432">
        <f t="shared" si="192"/>
        <v>308.62638613425759</v>
      </c>
      <c r="AM403" s="250">
        <v>150</v>
      </c>
      <c r="AN403" s="432">
        <f t="shared" si="193"/>
        <v>159</v>
      </c>
      <c r="AO403" s="432">
        <f t="shared" si="194"/>
        <v>175.32572250000004</v>
      </c>
      <c r="AP403" s="432">
        <f t="shared" si="195"/>
        <v>604.57145689655192</v>
      </c>
      <c r="AQ403" s="255">
        <v>45352</v>
      </c>
      <c r="AR403" s="255" t="s">
        <v>1808</v>
      </c>
      <c r="AS403" s="429" t="s">
        <v>1809</v>
      </c>
      <c r="AT403" s="429"/>
      <c r="AU403" s="200"/>
      <c r="AV403" s="222"/>
      <c r="AW403" s="205"/>
      <c r="AX403" s="222"/>
      <c r="AY403" s="204">
        <f t="shared" si="196"/>
        <v>0.58490566037735847</v>
      </c>
      <c r="AZ403" s="205"/>
      <c r="BA403" s="198" t="str">
        <f t="shared" si="197"/>
        <v>W22</v>
      </c>
      <c r="BB403" s="205"/>
      <c r="BC403" s="206"/>
      <c r="BD403" s="202"/>
      <c r="BE403" s="202"/>
      <c r="BF403" s="207"/>
      <c r="BG403" s="202"/>
      <c r="BH403" s="202"/>
      <c r="BI403" s="207"/>
      <c r="BJ403" s="209"/>
      <c r="BK403" s="209"/>
      <c r="BL403" s="225"/>
      <c r="BM403" s="209"/>
      <c r="BN403" s="209"/>
      <c r="BO403" s="226"/>
      <c r="BP403" s="226"/>
      <c r="BQ403" s="204"/>
      <c r="BR403" s="207"/>
      <c r="BS403" s="207"/>
      <c r="BT403" s="205"/>
      <c r="BU403" s="219"/>
      <c r="BV403" s="206"/>
      <c r="BW403" s="220"/>
      <c r="BX403" s="219"/>
      <c r="BY403" s="219"/>
      <c r="BZ403" s="220"/>
      <c r="CA403" s="76"/>
    </row>
    <row r="404" spans="1:79" s="22" customFormat="1">
      <c r="A404" s="13" t="s">
        <v>1810</v>
      </c>
      <c r="B404" s="387" t="s">
        <v>1811</v>
      </c>
      <c r="C404" s="13" t="s">
        <v>430</v>
      </c>
      <c r="D404" s="13" t="s">
        <v>1812</v>
      </c>
      <c r="E404" s="13" t="s">
        <v>118</v>
      </c>
      <c r="F404" s="13" t="s">
        <v>167</v>
      </c>
      <c r="G404" s="13" t="s">
        <v>1813</v>
      </c>
      <c r="H404" s="387" t="s">
        <v>146</v>
      </c>
      <c r="I404" s="13" t="s">
        <v>147</v>
      </c>
      <c r="J404" s="13" t="s">
        <v>5</v>
      </c>
      <c r="K404" s="13" t="s">
        <v>123</v>
      </c>
      <c r="L404" s="13" t="s">
        <v>1814</v>
      </c>
      <c r="M404" s="13" t="s">
        <v>125</v>
      </c>
      <c r="N404" s="13" t="s">
        <v>12</v>
      </c>
      <c r="O404" s="247">
        <v>0.48</v>
      </c>
      <c r="P404" s="13">
        <v>106</v>
      </c>
      <c r="Q404" s="13">
        <v>25</v>
      </c>
      <c r="R404" s="13" t="s">
        <v>127</v>
      </c>
      <c r="S404" s="430" t="str">
        <f t="shared" si="181"/>
        <v>N/A</v>
      </c>
      <c r="T404" s="247">
        <v>0.8</v>
      </c>
      <c r="U404" s="13">
        <v>200</v>
      </c>
      <c r="V404" s="13">
        <v>600</v>
      </c>
      <c r="W404" s="430">
        <f t="shared" si="177"/>
        <v>400</v>
      </c>
      <c r="X404" s="430">
        <f t="shared" si="178"/>
        <v>210</v>
      </c>
      <c r="Y404" s="13">
        <v>200</v>
      </c>
      <c r="Z404" s="13">
        <v>600</v>
      </c>
      <c r="AA404" s="430">
        <f t="shared" si="182"/>
        <v>400</v>
      </c>
      <c r="AB404" s="430">
        <f t="shared" si="183"/>
        <v>210</v>
      </c>
      <c r="AC404" s="430" t="str">
        <f t="shared" si="184"/>
        <v>N/A</v>
      </c>
      <c r="AD404" s="430">
        <f t="shared" si="185"/>
        <v>81</v>
      </c>
      <c r="AE404" s="431">
        <f t="shared" si="186"/>
        <v>1.1888000000000001</v>
      </c>
      <c r="AF404" s="431"/>
      <c r="AG404" s="431">
        <f t="shared" si="187"/>
        <v>1.0402490566037736</v>
      </c>
      <c r="AH404" s="431">
        <f t="shared" si="188"/>
        <v>1.1026640000000001</v>
      </c>
      <c r="AI404" s="432">
        <f t="shared" si="189"/>
        <v>879.250496</v>
      </c>
      <c r="AJ404" s="432">
        <f t="shared" si="190"/>
        <v>140.61718374819819</v>
      </c>
      <c r="AK404" s="432">
        <f t="shared" si="191"/>
        <v>153.75404326277604</v>
      </c>
      <c r="AL404" s="432">
        <f t="shared" si="192"/>
        <v>305.64085161159272</v>
      </c>
      <c r="AM404" s="250">
        <v>154</v>
      </c>
      <c r="AN404" s="432">
        <f t="shared" si="193"/>
        <v>163.24</v>
      </c>
      <c r="AO404" s="432">
        <f t="shared" si="194"/>
        <v>179.99887136000004</v>
      </c>
      <c r="AP404" s="432">
        <f t="shared" si="195"/>
        <v>719.99548544000015</v>
      </c>
      <c r="AQ404" s="255">
        <v>44949</v>
      </c>
      <c r="AR404" s="451" t="s">
        <v>1815</v>
      </c>
      <c r="AS404" s="434" t="s">
        <v>1816</v>
      </c>
      <c r="AT404" s="435"/>
      <c r="AU404" s="241"/>
      <c r="AV404" s="243"/>
      <c r="AW404" s="72" t="s">
        <v>127</v>
      </c>
      <c r="AX404" s="243"/>
      <c r="AY404" s="103">
        <f t="shared" si="196"/>
        <v>0.56603773584905659</v>
      </c>
      <c r="AZ404" s="72"/>
      <c r="BA404" s="13" t="str">
        <f t="shared" si="197"/>
        <v>W22</v>
      </c>
      <c r="BB404" s="72" t="str">
        <f>IF(R404="n/a","Clear","S/B")</f>
        <v>Clear</v>
      </c>
      <c r="BC404" s="32">
        <f>IF(Q404="","",((P404/100*O404)+T404))</f>
        <v>1.3088000000000002</v>
      </c>
      <c r="BD404" s="241">
        <f>IF(BC404="","",((PI()*((51/2)^2-(16.545/2)^2)/(BC404/10))/100))</f>
        <v>139.65678990738704</v>
      </c>
      <c r="BE404" s="241">
        <f>IF(BC404="","",(BD404-AK404))</f>
        <v>-14.097253355389</v>
      </c>
      <c r="BF404" s="71">
        <f>IF(BC404="","",(BE404/AK404))</f>
        <v>-9.1687041564792168E-2</v>
      </c>
      <c r="BG404" s="241">
        <f>IF(BF404="","",((PI()*((70/2)^2-(16.545/2)^2)/(BC404/10))/100))</f>
        <v>277.61754614598215</v>
      </c>
      <c r="BH404" s="241">
        <f>IF(BF404="","",(BG404-AL404))</f>
        <v>-28.023305465610576</v>
      </c>
      <c r="BI404" s="71">
        <f>IF(BG404="","",(BH404/AL404))</f>
        <v>-9.1687041564792168E-2</v>
      </c>
      <c r="BJ404" s="123"/>
      <c r="BK404" s="123"/>
      <c r="BL404" s="126"/>
      <c r="BM404" s="108"/>
      <c r="BN404" s="123"/>
      <c r="BO404" s="71"/>
      <c r="BP404" s="108"/>
      <c r="BQ404" s="108"/>
      <c r="BR404" s="71"/>
      <c r="BS404" s="71"/>
      <c r="BT404" s="72">
        <f>P404-V404/10-120/10</f>
        <v>34</v>
      </c>
      <c r="BU404" s="78">
        <f>BT404-Q404</f>
        <v>9</v>
      </c>
      <c r="BV404" s="32">
        <f>T404+(O404/100*(P404-BT404))</f>
        <v>1.1456</v>
      </c>
      <c r="BW404" s="127">
        <f>(AE404-BV404)/AE404</f>
        <v>3.6339165545087586E-2</v>
      </c>
      <c r="BX404" s="78">
        <f>(PI()*((51/2)^2-(16.545/2)^2)/(BV404/10))/100</f>
        <v>159.55203092771316</v>
      </c>
      <c r="BY404" s="78">
        <f>BX404-AK404</f>
        <v>5.7979876649371249</v>
      </c>
      <c r="BZ404" s="127">
        <f>BY404/AK404</f>
        <v>3.7709497206704169E-2</v>
      </c>
      <c r="CA404" s="76"/>
    </row>
    <row r="405" spans="1:79" s="22" customFormat="1" ht="29.1">
      <c r="A405" s="13" t="s">
        <v>1810</v>
      </c>
      <c r="B405" s="387" t="s">
        <v>1811</v>
      </c>
      <c r="C405" s="13" t="s">
        <v>430</v>
      </c>
      <c r="D405" s="13" t="s">
        <v>1817</v>
      </c>
      <c r="E405" s="13" t="s">
        <v>118</v>
      </c>
      <c r="F405" s="13" t="s">
        <v>186</v>
      </c>
      <c r="G405" s="13" t="s">
        <v>1818</v>
      </c>
      <c r="H405" s="387" t="s">
        <v>146</v>
      </c>
      <c r="I405" s="13" t="s">
        <v>147</v>
      </c>
      <c r="J405" s="13" t="s">
        <v>5</v>
      </c>
      <c r="K405" s="13" t="s">
        <v>123</v>
      </c>
      <c r="L405" s="13" t="s">
        <v>1819</v>
      </c>
      <c r="M405" s="13" t="s">
        <v>125</v>
      </c>
      <c r="N405" s="387" t="s">
        <v>251</v>
      </c>
      <c r="O405" s="247">
        <v>0.48</v>
      </c>
      <c r="P405" s="13">
        <v>108</v>
      </c>
      <c r="Q405" s="13">
        <v>25</v>
      </c>
      <c r="R405" s="13" t="s">
        <v>127</v>
      </c>
      <c r="S405" s="430" t="str">
        <f t="shared" si="181"/>
        <v>N/A</v>
      </c>
      <c r="T405" s="247">
        <v>0.8</v>
      </c>
      <c r="U405" s="13">
        <v>200</v>
      </c>
      <c r="V405" s="13">
        <v>600</v>
      </c>
      <c r="W405" s="430">
        <f t="shared" si="177"/>
        <v>400</v>
      </c>
      <c r="X405" s="430">
        <f t="shared" si="178"/>
        <v>230</v>
      </c>
      <c r="Y405" s="13">
        <v>200</v>
      </c>
      <c r="Z405" s="13">
        <v>600</v>
      </c>
      <c r="AA405" s="430">
        <f t="shared" si="182"/>
        <v>400</v>
      </c>
      <c r="AB405" s="430">
        <f t="shared" si="183"/>
        <v>230</v>
      </c>
      <c r="AC405" s="430" t="str">
        <f t="shared" si="184"/>
        <v>N/A</v>
      </c>
      <c r="AD405" s="430">
        <f t="shared" si="185"/>
        <v>83</v>
      </c>
      <c r="AE405" s="431">
        <f t="shared" si="186"/>
        <v>1.1983999999999999</v>
      </c>
      <c r="AF405" s="431"/>
      <c r="AG405" s="431">
        <f t="shared" si="187"/>
        <v>1.0453111111111111</v>
      </c>
      <c r="AH405" s="431">
        <f t="shared" si="188"/>
        <v>1.1080297777777779</v>
      </c>
      <c r="AI405" s="432">
        <f t="shared" si="189"/>
        <v>879.250496</v>
      </c>
      <c r="AJ405" s="432">
        <f t="shared" si="190"/>
        <v>139.49074435902708</v>
      </c>
      <c r="AK405" s="432">
        <f t="shared" si="191"/>
        <v>152.52236868390202</v>
      </c>
      <c r="AL405" s="432">
        <f t="shared" si="192"/>
        <v>303.19246027692049</v>
      </c>
      <c r="AM405" s="250">
        <v>303</v>
      </c>
      <c r="AN405" s="432">
        <f t="shared" si="193"/>
        <v>327.24</v>
      </c>
      <c r="AO405" s="432">
        <f t="shared" si="194"/>
        <v>362.59166448000002</v>
      </c>
      <c r="AP405" s="432">
        <f t="shared" si="195"/>
        <v>1450.3666579200001</v>
      </c>
      <c r="AQ405" s="255">
        <v>45261</v>
      </c>
      <c r="AR405" s="451" t="s">
        <v>1820</v>
      </c>
      <c r="AS405" s="434" t="s">
        <v>1821</v>
      </c>
      <c r="AT405" s="435"/>
      <c r="AU405" s="249"/>
      <c r="AV405" s="254"/>
      <c r="AW405" s="38"/>
      <c r="AX405" s="254"/>
      <c r="AY405" s="102">
        <f t="shared" si="196"/>
        <v>0.55555555555555558</v>
      </c>
      <c r="AZ405" s="38"/>
      <c r="BA405" s="38" t="str">
        <f t="shared" si="197"/>
        <v>W22</v>
      </c>
      <c r="BB405" s="77"/>
      <c r="BC405" s="263"/>
      <c r="BD405" s="257"/>
      <c r="BE405" s="257"/>
      <c r="BF405" s="106"/>
      <c r="BG405" s="257"/>
      <c r="BH405" s="257"/>
      <c r="BI405" s="106"/>
      <c r="BJ405" s="143"/>
      <c r="BK405" s="139"/>
      <c r="BL405" s="191"/>
      <c r="BM405" s="101"/>
      <c r="BN405" s="162"/>
      <c r="BO405" s="102"/>
      <c r="BP405" s="105"/>
      <c r="BQ405" s="83"/>
      <c r="BR405" s="71"/>
      <c r="BS405" s="71"/>
      <c r="BT405" s="13">
        <f>P405-V405/10-120/10</f>
        <v>36</v>
      </c>
      <c r="BU405" s="79">
        <f>BT405-Q405</f>
        <v>11</v>
      </c>
      <c r="BV405" s="29">
        <f>T405+(O405/100*(P405-BT405))</f>
        <v>1.1456</v>
      </c>
      <c r="BW405" s="86">
        <f>(AE405-BV405)/AE405</f>
        <v>4.4058744993324399E-2</v>
      </c>
      <c r="BX405" s="79">
        <f>(PI()*((51/2)^2-(16.545/2)^2)/(BV405/10))/100</f>
        <v>159.55203092771316</v>
      </c>
      <c r="BY405" s="79">
        <f>BX405-AK405</f>
        <v>7.0296622438111456</v>
      </c>
      <c r="BZ405" s="86">
        <f>BY405/AK405</f>
        <v>4.608938547486046E-2</v>
      </c>
      <c r="CA405" s="76"/>
    </row>
    <row r="406" spans="1:79" s="38" customFormat="1">
      <c r="A406" s="13" t="s">
        <v>1810</v>
      </c>
      <c r="B406" s="387" t="s">
        <v>1822</v>
      </c>
      <c r="C406" s="13" t="s">
        <v>895</v>
      </c>
      <c r="D406" s="13" t="s">
        <v>1823</v>
      </c>
      <c r="E406" s="13" t="s">
        <v>118</v>
      </c>
      <c r="F406" s="13" t="s">
        <v>167</v>
      </c>
      <c r="G406" s="13" t="s">
        <v>1824</v>
      </c>
      <c r="H406" s="387" t="s">
        <v>121</v>
      </c>
      <c r="I406" s="13" t="s">
        <v>147</v>
      </c>
      <c r="J406" s="13" t="s">
        <v>5</v>
      </c>
      <c r="K406" s="13" t="s">
        <v>123</v>
      </c>
      <c r="L406" s="13" t="s">
        <v>1825</v>
      </c>
      <c r="M406" s="13" t="s">
        <v>125</v>
      </c>
      <c r="N406" s="13" t="s">
        <v>126</v>
      </c>
      <c r="O406" s="247">
        <v>0.56999999999999995</v>
      </c>
      <c r="P406" s="13">
        <v>111</v>
      </c>
      <c r="Q406" s="13">
        <v>30</v>
      </c>
      <c r="R406" s="13" t="s">
        <v>127</v>
      </c>
      <c r="S406" s="430" t="str">
        <f t="shared" si="181"/>
        <v>N/A</v>
      </c>
      <c r="T406" s="247">
        <v>0.8</v>
      </c>
      <c r="U406" s="13">
        <v>273</v>
      </c>
      <c r="V406" s="13">
        <v>491</v>
      </c>
      <c r="W406" s="430">
        <f t="shared" si="177"/>
        <v>218</v>
      </c>
      <c r="X406" s="430">
        <f t="shared" si="178"/>
        <v>319</v>
      </c>
      <c r="Y406" s="13">
        <v>273</v>
      </c>
      <c r="Z406" s="13">
        <v>673</v>
      </c>
      <c r="AA406" s="430">
        <f t="shared" si="182"/>
        <v>400</v>
      </c>
      <c r="AB406" s="430">
        <f t="shared" si="183"/>
        <v>137</v>
      </c>
      <c r="AC406" s="430" t="str">
        <f t="shared" si="184"/>
        <v>N/A</v>
      </c>
      <c r="AD406" s="430">
        <f t="shared" si="185"/>
        <v>81</v>
      </c>
      <c r="AE406" s="431">
        <f t="shared" si="186"/>
        <v>1.2617</v>
      </c>
      <c r="AF406" s="431"/>
      <c r="AG406" s="431">
        <f t="shared" si="187"/>
        <v>1.093241891891892</v>
      </c>
      <c r="AH406" s="431">
        <f t="shared" si="188"/>
        <v>1.1588364054054054</v>
      </c>
      <c r="AI406" s="432">
        <f t="shared" si="189"/>
        <v>885.10996399999999</v>
      </c>
      <c r="AJ406" s="432">
        <f t="shared" si="190"/>
        <v>132.4924372195118</v>
      </c>
      <c r="AK406" s="432">
        <f t="shared" si="191"/>
        <v>144.87025967408113</v>
      </c>
      <c r="AL406" s="432">
        <f t="shared" si="192"/>
        <v>287.98117174911744</v>
      </c>
      <c r="AM406" s="250">
        <v>145</v>
      </c>
      <c r="AN406" s="432">
        <f t="shared" si="193"/>
        <v>160.94999999999999</v>
      </c>
      <c r="AO406" s="432">
        <f t="shared" si="194"/>
        <v>186.51471945</v>
      </c>
      <c r="AP406" s="432">
        <f t="shared" si="195"/>
        <v>621.71573150000006</v>
      </c>
      <c r="AQ406" s="255">
        <v>44927</v>
      </c>
      <c r="AR406" s="451" t="s">
        <v>1826</v>
      </c>
      <c r="AS406" s="436" t="s">
        <v>1827</v>
      </c>
      <c r="AT406" s="435"/>
      <c r="AU406" s="241"/>
      <c r="AV406" s="243"/>
      <c r="AW406" s="72" t="s">
        <v>127</v>
      </c>
      <c r="AX406" s="243"/>
      <c r="AY406" s="103">
        <f t="shared" si="196"/>
        <v>0.44234234234234238</v>
      </c>
      <c r="AZ406" s="72"/>
      <c r="BA406" s="13" t="str">
        <f t="shared" si="197"/>
        <v>W22</v>
      </c>
      <c r="BB406" s="72" t="str">
        <f>IF(R406="n/a","Clear","S/B")</f>
        <v>Clear</v>
      </c>
      <c r="BC406" s="32"/>
      <c r="BD406" s="241"/>
      <c r="BE406" s="241"/>
      <c r="BF406" s="71"/>
      <c r="BG406" s="241"/>
      <c r="BH406" s="241"/>
      <c r="BI406" s="71"/>
      <c r="BJ406" s="162"/>
      <c r="BK406" s="123"/>
      <c r="BL406" s="126"/>
      <c r="BM406" s="123"/>
      <c r="BN406" s="123"/>
      <c r="BO406" s="130"/>
      <c r="BP406" s="130"/>
      <c r="BQ406" s="155"/>
      <c r="BR406" s="124"/>
      <c r="BS406" s="71"/>
      <c r="BT406" s="72">
        <f>P406-V406/10-120/10</f>
        <v>49.9</v>
      </c>
      <c r="BU406" s="78">
        <f>BT406-Q406</f>
        <v>19.899999999999999</v>
      </c>
      <c r="BV406" s="32">
        <f>T406+(O406/100*(P406-BT406))</f>
        <v>1.1482700000000001</v>
      </c>
      <c r="BW406" s="127">
        <f>(AE406-BV406)/AE406</f>
        <v>8.9902512483157573E-2</v>
      </c>
      <c r="BX406" s="78">
        <f>(PI()*((51/2)^2-(16.545/2)^2)/(BV406/10))/100</f>
        <v>159.18103462668898</v>
      </c>
      <c r="BY406" s="78">
        <f>BX406-AK406</f>
        <v>14.310774952607858</v>
      </c>
      <c r="BZ406" s="127">
        <f>BY406/AK406</f>
        <v>9.8783387182457105E-2</v>
      </c>
      <c r="CA406" s="76"/>
    </row>
    <row r="407" spans="1:79" s="72" customFormat="1">
      <c r="A407" s="13" t="s">
        <v>1810</v>
      </c>
      <c r="B407" s="387" t="s">
        <v>1822</v>
      </c>
      <c r="C407" s="13" t="s">
        <v>895</v>
      </c>
      <c r="D407" s="13" t="s">
        <v>1828</v>
      </c>
      <c r="E407" s="13" t="s">
        <v>118</v>
      </c>
      <c r="F407" s="13" t="s">
        <v>167</v>
      </c>
      <c r="G407" s="13" t="s">
        <v>1829</v>
      </c>
      <c r="H407" s="387" t="s">
        <v>121</v>
      </c>
      <c r="I407" s="13" t="s">
        <v>147</v>
      </c>
      <c r="J407" s="13" t="s">
        <v>5</v>
      </c>
      <c r="K407" s="13" t="s">
        <v>123</v>
      </c>
      <c r="L407" s="13" t="s">
        <v>1830</v>
      </c>
      <c r="M407" s="13" t="s">
        <v>125</v>
      </c>
      <c r="N407" s="13" t="s">
        <v>126</v>
      </c>
      <c r="O407" s="247">
        <v>0.54</v>
      </c>
      <c r="P407" s="13">
        <v>111</v>
      </c>
      <c r="Q407" s="13">
        <v>30</v>
      </c>
      <c r="R407" s="13" t="s">
        <v>127</v>
      </c>
      <c r="S407" s="430" t="str">
        <f t="shared" si="181"/>
        <v>N/A</v>
      </c>
      <c r="T407" s="247">
        <v>0.8</v>
      </c>
      <c r="U407" s="13">
        <v>273</v>
      </c>
      <c r="V407" s="13">
        <v>491</v>
      </c>
      <c r="W407" s="430">
        <f t="shared" si="177"/>
        <v>218</v>
      </c>
      <c r="X407" s="430">
        <f t="shared" si="178"/>
        <v>319</v>
      </c>
      <c r="Y407" s="13">
        <v>273</v>
      </c>
      <c r="Z407" s="13">
        <v>673</v>
      </c>
      <c r="AA407" s="430">
        <f t="shared" si="182"/>
        <v>400</v>
      </c>
      <c r="AB407" s="430">
        <f t="shared" si="183"/>
        <v>137</v>
      </c>
      <c r="AC407" s="430" t="str">
        <f t="shared" si="184"/>
        <v>N/A</v>
      </c>
      <c r="AD407" s="430">
        <f t="shared" si="185"/>
        <v>81</v>
      </c>
      <c r="AE407" s="431">
        <f t="shared" si="186"/>
        <v>1.2374000000000001</v>
      </c>
      <c r="AF407" s="431"/>
      <c r="AG407" s="431">
        <f t="shared" si="187"/>
        <v>1.0778081081081081</v>
      </c>
      <c r="AH407" s="431">
        <f t="shared" si="188"/>
        <v>1.1424765945945947</v>
      </c>
      <c r="AI407" s="432">
        <f t="shared" si="189"/>
        <v>883.15680800000007</v>
      </c>
      <c r="AJ407" s="432">
        <f t="shared" si="190"/>
        <v>135.09431714874577</v>
      </c>
      <c r="AK407" s="432">
        <f t="shared" si="191"/>
        <v>147.7152146684889</v>
      </c>
      <c r="AL407" s="432">
        <f t="shared" si="192"/>
        <v>293.63653175679769</v>
      </c>
      <c r="AM407" s="250">
        <v>148</v>
      </c>
      <c r="AN407" s="432">
        <f t="shared" si="193"/>
        <v>164.28</v>
      </c>
      <c r="AO407" s="432">
        <f t="shared" si="194"/>
        <v>187.68605496000004</v>
      </c>
      <c r="AP407" s="432">
        <f t="shared" si="195"/>
        <v>625.62018320000016</v>
      </c>
      <c r="AQ407" s="255">
        <v>44927</v>
      </c>
      <c r="AR407" s="451" t="s">
        <v>1831</v>
      </c>
      <c r="AS407" s="436" t="s">
        <v>1832</v>
      </c>
      <c r="AT407" s="435"/>
      <c r="AU407" s="241"/>
      <c r="AV407" s="243"/>
      <c r="AW407" s="72" t="s">
        <v>127</v>
      </c>
      <c r="AX407" s="243"/>
      <c r="AY407" s="103">
        <f t="shared" si="196"/>
        <v>0.44234234234234238</v>
      </c>
      <c r="BA407" s="13" t="str">
        <f t="shared" si="197"/>
        <v>W22</v>
      </c>
      <c r="BB407" s="72" t="str">
        <f>IF(R407="n/a","Clear","S/B")</f>
        <v>Clear</v>
      </c>
      <c r="BC407" s="32">
        <f>IF(Q407="","",((P407/100*O407)+T407))</f>
        <v>1.3994</v>
      </c>
      <c r="BD407" s="241">
        <f>IF(BC407="","",((PI()*((51/2)^2-(16.545/2)^2)/(BC407/10))/100))</f>
        <v>130.61512550435054</v>
      </c>
      <c r="BE407" s="241">
        <f>IF(BC407="","",(BD407-AK407))</f>
        <v>-17.100089164138353</v>
      </c>
      <c r="BF407" s="71">
        <f>IF(BC407="","",(BE407/AK407))</f>
        <v>-0.11576389881377738</v>
      </c>
      <c r="BG407" s="241">
        <f>IF(BF407="","",((PI()*((70/2)^2-(16.545/2)^2)/(BC407/10))/100))</f>
        <v>259.64402200647527</v>
      </c>
      <c r="BH407" s="241">
        <f>IF(BF407="","",(BG407-AL407))</f>
        <v>-33.992509750322426</v>
      </c>
      <c r="BI407" s="71">
        <f>IF(BG407="","",(BH407/AL407))</f>
        <v>-0.11576389881377727</v>
      </c>
      <c r="BJ407" s="162"/>
      <c r="BK407" s="123"/>
      <c r="BL407" s="126"/>
      <c r="BM407" s="123"/>
      <c r="BN407" s="123"/>
      <c r="BO407" s="130"/>
      <c r="BP407" s="130"/>
      <c r="BQ407" s="144"/>
      <c r="BR407" s="140"/>
      <c r="BS407" s="106"/>
      <c r="BT407" s="262"/>
      <c r="BU407" s="269"/>
      <c r="BV407" s="263"/>
      <c r="BW407" s="132"/>
      <c r="BX407" s="269"/>
      <c r="BY407" s="269"/>
      <c r="BZ407" s="132"/>
      <c r="CA407" s="271"/>
    </row>
    <row r="408" spans="1:79" s="343" customFormat="1">
      <c r="A408" s="13" t="s">
        <v>1810</v>
      </c>
      <c r="B408" s="13" t="s">
        <v>1822</v>
      </c>
      <c r="C408" s="13" t="s">
        <v>846</v>
      </c>
      <c r="D408" s="13" t="s">
        <v>1833</v>
      </c>
      <c r="E408" s="13" t="s">
        <v>118</v>
      </c>
      <c r="F408" s="13" t="s">
        <v>119</v>
      </c>
      <c r="G408" s="13" t="s">
        <v>1834</v>
      </c>
      <c r="H408" s="387" t="s">
        <v>121</v>
      </c>
      <c r="I408" s="13" t="s">
        <v>147</v>
      </c>
      <c r="J408" s="13" t="s">
        <v>5</v>
      </c>
      <c r="K408" s="13" t="s">
        <v>123</v>
      </c>
      <c r="L408" s="13"/>
      <c r="M408" s="13"/>
      <c r="N408" s="13" t="s">
        <v>126</v>
      </c>
      <c r="O408" s="247">
        <v>0.2</v>
      </c>
      <c r="P408" s="13">
        <v>110</v>
      </c>
      <c r="Q408" s="13">
        <v>30</v>
      </c>
      <c r="R408" s="13" t="s">
        <v>127</v>
      </c>
      <c r="S408" s="430" t="str">
        <f t="shared" si="181"/>
        <v>N/A</v>
      </c>
      <c r="T408" s="247">
        <v>0.8</v>
      </c>
      <c r="U408" s="13">
        <v>100</v>
      </c>
      <c r="V408" s="13">
        <v>600</v>
      </c>
      <c r="W408" s="430">
        <f t="shared" si="177"/>
        <v>500</v>
      </c>
      <c r="X408" s="430">
        <f t="shared" si="178"/>
        <v>200</v>
      </c>
      <c r="Y408" s="13">
        <v>100</v>
      </c>
      <c r="Z408" s="13">
        <v>600</v>
      </c>
      <c r="AA408" s="430">
        <f t="shared" si="182"/>
        <v>500</v>
      </c>
      <c r="AB408" s="430">
        <f t="shared" si="183"/>
        <v>200</v>
      </c>
      <c r="AC408" s="430" t="str">
        <f t="shared" si="184"/>
        <v>N/A</v>
      </c>
      <c r="AD408" s="430">
        <f t="shared" si="185"/>
        <v>80</v>
      </c>
      <c r="AE408" s="431">
        <f t="shared" si="186"/>
        <v>0.96000000000000008</v>
      </c>
      <c r="AF408" s="431"/>
      <c r="AG408" s="431">
        <f t="shared" si="187"/>
        <v>0.90181818181818185</v>
      </c>
      <c r="AH408" s="431">
        <f t="shared" si="188"/>
        <v>0.95592727272727274</v>
      </c>
      <c r="AI408" s="432">
        <f t="shared" si="189"/>
        <v>861.02103999999997</v>
      </c>
      <c r="AJ408" s="432">
        <f t="shared" si="190"/>
        <v>174.1309458748521</v>
      </c>
      <c r="AK408" s="432">
        <f t="shared" si="191"/>
        <v>190.398756907071</v>
      </c>
      <c r="AL408" s="432">
        <f t="shared" si="192"/>
        <v>378.48525457902235</v>
      </c>
      <c r="AM408" s="250">
        <v>190</v>
      </c>
      <c r="AN408" s="432">
        <f t="shared" si="193"/>
        <v>209</v>
      </c>
      <c r="AO408" s="432">
        <f t="shared" si="194"/>
        <v>199.78880000000001</v>
      </c>
      <c r="AP408" s="432">
        <f t="shared" si="195"/>
        <v>665.96266666666668</v>
      </c>
      <c r="AQ408" s="255"/>
      <c r="AR408" s="451"/>
      <c r="AS408" s="447" t="s">
        <v>1835</v>
      </c>
      <c r="AT408" s="435"/>
      <c r="AU408" s="353"/>
      <c r="AV408" s="354"/>
      <c r="AX408" s="354"/>
      <c r="AY408" s="355"/>
      <c r="BC408" s="352"/>
      <c r="BD408" s="353"/>
      <c r="BE408" s="353"/>
      <c r="BF408" s="355"/>
      <c r="BG408" s="353"/>
      <c r="BH408" s="353"/>
      <c r="BI408" s="355"/>
      <c r="BJ408" s="376"/>
      <c r="BK408" s="356"/>
      <c r="BL408" s="357"/>
      <c r="BM408" s="356"/>
      <c r="BN408" s="356"/>
      <c r="BO408" s="377"/>
      <c r="BP408" s="377"/>
      <c r="BQ408" s="378"/>
      <c r="BR408" s="378"/>
      <c r="BS408" s="379"/>
      <c r="BT408" s="293"/>
      <c r="BU408" s="380"/>
      <c r="BV408" s="381"/>
      <c r="BW408" s="382"/>
      <c r="BX408" s="380"/>
      <c r="BY408" s="380"/>
      <c r="BZ408" s="382"/>
      <c r="CA408" s="383"/>
    </row>
    <row r="409" spans="1:79" s="13" customFormat="1">
      <c r="A409" s="13" t="s">
        <v>1810</v>
      </c>
      <c r="B409" s="387" t="s">
        <v>1822</v>
      </c>
      <c r="C409" s="13" t="s">
        <v>1836</v>
      </c>
      <c r="D409" s="13" t="s">
        <v>1837</v>
      </c>
      <c r="E409" s="13" t="s">
        <v>118</v>
      </c>
      <c r="F409" s="13" t="s">
        <v>119</v>
      </c>
      <c r="G409" s="13" t="s">
        <v>1838</v>
      </c>
      <c r="H409" s="387" t="s">
        <v>121</v>
      </c>
      <c r="I409" s="13" t="s">
        <v>147</v>
      </c>
      <c r="J409" s="13" t="s">
        <v>5</v>
      </c>
      <c r="K409" s="13" t="s">
        <v>123</v>
      </c>
      <c r="L409" s="13" t="s">
        <v>1839</v>
      </c>
      <c r="M409" s="13" t="s">
        <v>125</v>
      </c>
      <c r="N409" s="13" t="s">
        <v>126</v>
      </c>
      <c r="O409" s="247">
        <v>0.48</v>
      </c>
      <c r="P409" s="13">
        <v>111</v>
      </c>
      <c r="Q409" s="13">
        <v>30</v>
      </c>
      <c r="R409" s="13" t="s">
        <v>127</v>
      </c>
      <c r="S409" s="430" t="str">
        <f t="shared" si="181"/>
        <v>N/A</v>
      </c>
      <c r="T409" s="247">
        <v>0.8</v>
      </c>
      <c r="U409" s="13">
        <v>273</v>
      </c>
      <c r="V409" s="13">
        <v>491</v>
      </c>
      <c r="W409" s="430">
        <f t="shared" si="177"/>
        <v>218</v>
      </c>
      <c r="X409" s="430">
        <f t="shared" si="178"/>
        <v>319</v>
      </c>
      <c r="Y409" s="13">
        <v>273</v>
      </c>
      <c r="Z409" s="13">
        <v>673</v>
      </c>
      <c r="AA409" s="430">
        <f t="shared" si="182"/>
        <v>400</v>
      </c>
      <c r="AB409" s="430">
        <f t="shared" si="183"/>
        <v>137</v>
      </c>
      <c r="AC409" s="430" t="str">
        <f t="shared" si="184"/>
        <v>N/A</v>
      </c>
      <c r="AD409" s="430">
        <f t="shared" si="185"/>
        <v>81</v>
      </c>
      <c r="AE409" s="431">
        <f t="shared" si="186"/>
        <v>1.1888000000000001</v>
      </c>
      <c r="AF409" s="431"/>
      <c r="AG409" s="431">
        <f t="shared" si="187"/>
        <v>1.0469405405405405</v>
      </c>
      <c r="AH409" s="431">
        <f t="shared" si="188"/>
        <v>1.109756972972973</v>
      </c>
      <c r="AI409" s="432">
        <f t="shared" si="189"/>
        <v>879.250496</v>
      </c>
      <c r="AJ409" s="432">
        <f t="shared" si="190"/>
        <v>140.61718374819819</v>
      </c>
      <c r="AK409" s="432">
        <f t="shared" si="191"/>
        <v>153.75404326277604</v>
      </c>
      <c r="AL409" s="432">
        <f t="shared" si="192"/>
        <v>305.64085161159272</v>
      </c>
      <c r="AM409" s="250">
        <v>120</v>
      </c>
      <c r="AN409" s="432">
        <f t="shared" si="193"/>
        <v>133.19999999999999</v>
      </c>
      <c r="AO409" s="432">
        <f t="shared" si="194"/>
        <v>147.8196288</v>
      </c>
      <c r="AP409" s="432">
        <f t="shared" si="195"/>
        <v>492.73209600000001</v>
      </c>
      <c r="AQ409" s="255">
        <v>45100</v>
      </c>
      <c r="AR409" s="451" t="s">
        <v>1840</v>
      </c>
      <c r="AS409" s="436" t="s">
        <v>1841</v>
      </c>
      <c r="AT409" s="435"/>
      <c r="AU409" s="250"/>
      <c r="AV409" s="243"/>
      <c r="AW409" s="72"/>
      <c r="AX409" s="243"/>
      <c r="AY409" s="103">
        <f t="shared" si="196"/>
        <v>0.44234234234234238</v>
      </c>
      <c r="AZ409" s="72"/>
      <c r="BA409" s="13" t="str">
        <f t="shared" si="197"/>
        <v>W22</v>
      </c>
      <c r="BB409" s="72" t="str">
        <f>IF(R409="n/a","Clear","S/B")</f>
        <v>Clear</v>
      </c>
      <c r="BC409" s="32"/>
      <c r="BD409" s="241"/>
      <c r="BE409" s="241"/>
      <c r="BF409" s="71"/>
      <c r="BG409" s="241"/>
      <c r="BH409" s="241"/>
      <c r="BI409" s="71"/>
      <c r="BJ409" s="162"/>
      <c r="BK409" s="123"/>
      <c r="BL409" s="126"/>
      <c r="BM409" s="123"/>
      <c r="BN409" s="123"/>
      <c r="BO409" s="130"/>
      <c r="BP409" s="130"/>
      <c r="BQ409" s="115"/>
      <c r="BR409" s="113"/>
      <c r="BS409" s="80"/>
      <c r="BT409" s="22"/>
      <c r="BU409" s="87"/>
      <c r="BV409" s="73"/>
      <c r="BW409" s="109"/>
      <c r="BX409" s="87"/>
      <c r="BY409" s="87"/>
      <c r="BZ409" s="109"/>
      <c r="CA409" s="76"/>
    </row>
    <row r="410" spans="1:79" s="72" customFormat="1">
      <c r="A410" s="13" t="s">
        <v>1810</v>
      </c>
      <c r="B410" s="387" t="s">
        <v>1842</v>
      </c>
      <c r="C410" s="13" t="s">
        <v>204</v>
      </c>
      <c r="D410" s="13" t="s">
        <v>1843</v>
      </c>
      <c r="E410" s="13" t="s">
        <v>118</v>
      </c>
      <c r="F410" s="13" t="s">
        <v>119</v>
      </c>
      <c r="G410" s="13" t="s">
        <v>1844</v>
      </c>
      <c r="H410" s="387" t="s">
        <v>121</v>
      </c>
      <c r="I410" s="13" t="s">
        <v>147</v>
      </c>
      <c r="J410" s="13" t="s">
        <v>5</v>
      </c>
      <c r="K410" s="13" t="s">
        <v>123</v>
      </c>
      <c r="L410" s="13" t="s">
        <v>1845</v>
      </c>
      <c r="M410" s="13" t="s">
        <v>125</v>
      </c>
      <c r="N410" s="13" t="s">
        <v>126</v>
      </c>
      <c r="O410" s="247">
        <v>0.39</v>
      </c>
      <c r="P410" s="13">
        <v>112</v>
      </c>
      <c r="Q410" s="13">
        <v>30</v>
      </c>
      <c r="R410" s="13" t="s">
        <v>127</v>
      </c>
      <c r="S410" s="430" t="str">
        <f t="shared" si="181"/>
        <v>N/A</v>
      </c>
      <c r="T410" s="247">
        <v>0.8</v>
      </c>
      <c r="U410" s="13">
        <v>200</v>
      </c>
      <c r="V410" s="13">
        <v>600</v>
      </c>
      <c r="W410" s="430">
        <f t="shared" si="177"/>
        <v>400</v>
      </c>
      <c r="X410" s="430">
        <f t="shared" si="178"/>
        <v>220</v>
      </c>
      <c r="Y410" s="13">
        <v>200</v>
      </c>
      <c r="Z410" s="13">
        <v>600</v>
      </c>
      <c r="AA410" s="430">
        <f t="shared" si="182"/>
        <v>400</v>
      </c>
      <c r="AB410" s="430">
        <f t="shared" si="183"/>
        <v>220</v>
      </c>
      <c r="AC410" s="430" t="str">
        <f t="shared" si="184"/>
        <v>N/A</v>
      </c>
      <c r="AD410" s="430">
        <f t="shared" si="185"/>
        <v>82</v>
      </c>
      <c r="AE410" s="431">
        <f t="shared" si="186"/>
        <v>1.1198000000000001</v>
      </c>
      <c r="AF410" s="431"/>
      <c r="AG410" s="431">
        <f t="shared" si="187"/>
        <v>1.0027303571428572</v>
      </c>
      <c r="AH410" s="431">
        <f t="shared" si="188"/>
        <v>1.0628941785714288</v>
      </c>
      <c r="AI410" s="432">
        <f t="shared" si="189"/>
        <v>873.39102800000012</v>
      </c>
      <c r="AJ410" s="432">
        <f t="shared" si="190"/>
        <v>149.28175392021612</v>
      </c>
      <c r="AK410" s="432">
        <f t="shared" si="191"/>
        <v>163.22808236362579</v>
      </c>
      <c r="AL410" s="432">
        <f t="shared" si="192"/>
        <v>324.47387425956549</v>
      </c>
      <c r="AM410" s="250">
        <v>163</v>
      </c>
      <c r="AN410" s="432">
        <f t="shared" si="193"/>
        <v>182.56</v>
      </c>
      <c r="AO410" s="432">
        <f t="shared" si="194"/>
        <v>194.04196124000003</v>
      </c>
      <c r="AP410" s="432">
        <f t="shared" si="195"/>
        <v>646.80653746666678</v>
      </c>
      <c r="AQ410" s="255">
        <v>45444</v>
      </c>
      <c r="AR410" s="451" t="s">
        <v>1846</v>
      </c>
      <c r="AS410" s="436" t="s">
        <v>1847</v>
      </c>
      <c r="AT410" s="429"/>
      <c r="AU410" s="241"/>
      <c r="AV410" s="243"/>
      <c r="AX410" s="243"/>
      <c r="AY410" s="103">
        <f t="shared" si="196"/>
        <v>0.5357142857142857</v>
      </c>
      <c r="BA410" s="72" t="str">
        <f t="shared" si="197"/>
        <v>W22</v>
      </c>
      <c r="BC410" s="32"/>
      <c r="BD410" s="241"/>
      <c r="BE410" s="241"/>
      <c r="BF410" s="71"/>
      <c r="BG410" s="241"/>
      <c r="BH410" s="241"/>
      <c r="BI410" s="71"/>
      <c r="BJ410" s="162"/>
      <c r="BK410" s="162"/>
      <c r="BL410" s="126"/>
      <c r="BM410" s="130"/>
      <c r="BN410" s="100"/>
      <c r="BO410" s="130"/>
      <c r="BP410" s="130"/>
      <c r="BQ410" s="115"/>
      <c r="BR410" s="113"/>
      <c r="BS410" s="80"/>
      <c r="BT410" s="22"/>
      <c r="BU410" s="87"/>
      <c r="BV410" s="73"/>
      <c r="BW410" s="109"/>
      <c r="BX410" s="87"/>
      <c r="BY410" s="87"/>
      <c r="BZ410" s="109"/>
      <c r="CA410" s="76"/>
    </row>
    <row r="411" spans="1:79" s="72" customFormat="1">
      <c r="A411" s="13" t="s">
        <v>1810</v>
      </c>
      <c r="B411" s="387" t="s">
        <v>1842</v>
      </c>
      <c r="C411" s="13" t="s">
        <v>204</v>
      </c>
      <c r="D411" s="13" t="s">
        <v>1848</v>
      </c>
      <c r="E411" s="13" t="s">
        <v>118</v>
      </c>
      <c r="F411" s="13" t="s">
        <v>119</v>
      </c>
      <c r="G411" s="13" t="s">
        <v>1849</v>
      </c>
      <c r="H411" s="387" t="s">
        <v>121</v>
      </c>
      <c r="I411" s="13" t="s">
        <v>312</v>
      </c>
      <c r="J411" s="13" t="s">
        <v>5</v>
      </c>
      <c r="K411" s="13" t="s">
        <v>123</v>
      </c>
      <c r="L411" s="13" t="s">
        <v>1850</v>
      </c>
      <c r="M411" s="13" t="s">
        <v>125</v>
      </c>
      <c r="N411" s="13" t="s">
        <v>126</v>
      </c>
      <c r="O411" s="247">
        <v>0.38</v>
      </c>
      <c r="P411" s="13">
        <v>112</v>
      </c>
      <c r="Q411" s="13">
        <v>30</v>
      </c>
      <c r="R411" s="13" t="s">
        <v>127</v>
      </c>
      <c r="S411" s="430" t="str">
        <f t="shared" si="181"/>
        <v>N/A</v>
      </c>
      <c r="T411" s="247">
        <v>0.8</v>
      </c>
      <c r="U411" s="13">
        <v>200</v>
      </c>
      <c r="V411" s="13">
        <v>600</v>
      </c>
      <c r="W411" s="430">
        <f t="shared" si="177"/>
        <v>400</v>
      </c>
      <c r="X411" s="430">
        <f t="shared" si="178"/>
        <v>220</v>
      </c>
      <c r="Y411" s="13">
        <v>200</v>
      </c>
      <c r="Z411" s="13">
        <v>600</v>
      </c>
      <c r="AA411" s="430">
        <f t="shared" si="182"/>
        <v>400</v>
      </c>
      <c r="AB411" s="430">
        <f t="shared" si="183"/>
        <v>220</v>
      </c>
      <c r="AC411" s="430" t="str">
        <f t="shared" si="184"/>
        <v>N/A</v>
      </c>
      <c r="AD411" s="430">
        <f t="shared" si="185"/>
        <v>82</v>
      </c>
      <c r="AE411" s="431">
        <f t="shared" si="186"/>
        <v>1.1116000000000001</v>
      </c>
      <c r="AF411" s="431"/>
      <c r="AG411" s="431">
        <f t="shared" si="187"/>
        <v>0.99753214285714287</v>
      </c>
      <c r="AH411" s="431">
        <f t="shared" si="188"/>
        <v>1.0573840714285716</v>
      </c>
      <c r="AI411" s="432">
        <f t="shared" si="189"/>
        <v>872.73997600000007</v>
      </c>
      <c r="AJ411" s="432">
        <f t="shared" si="190"/>
        <v>150.38296872963119</v>
      </c>
      <c r="AK411" s="432">
        <f t="shared" si="191"/>
        <v>164.43217581035279</v>
      </c>
      <c r="AL411" s="432">
        <f t="shared" si="192"/>
        <v>326.8674382834306</v>
      </c>
      <c r="AM411" s="250">
        <v>300</v>
      </c>
      <c r="AN411" s="432">
        <f t="shared" si="193"/>
        <v>336</v>
      </c>
      <c r="AO411" s="432">
        <f t="shared" si="194"/>
        <v>355.28104800000006</v>
      </c>
      <c r="AP411" s="432">
        <f t="shared" si="195"/>
        <v>1184.2701600000003</v>
      </c>
      <c r="AQ411" s="255" t="s">
        <v>132</v>
      </c>
      <c r="AR411" s="451" t="s">
        <v>1851</v>
      </c>
      <c r="AS411" s="452" t="s">
        <v>1852</v>
      </c>
      <c r="AT411" s="429"/>
      <c r="AU411" s="250"/>
      <c r="AV411" s="255"/>
      <c r="AW411" s="13"/>
      <c r="AX411" s="255"/>
      <c r="AY411" s="103"/>
      <c r="AZ411" s="13"/>
      <c r="BA411" s="13"/>
      <c r="BC411" s="299"/>
      <c r="BD411" s="242"/>
      <c r="BE411" s="242"/>
      <c r="BF411" s="177"/>
      <c r="BG411" s="242"/>
      <c r="BH411" s="242"/>
      <c r="BI411" s="177"/>
      <c r="BJ411" s="143"/>
      <c r="BK411" s="111"/>
      <c r="BL411" s="112"/>
      <c r="BM411" s="111"/>
      <c r="BN411" s="123"/>
      <c r="BO411" s="101"/>
      <c r="BP411" s="130"/>
      <c r="BQ411" s="115"/>
      <c r="BR411" s="150"/>
      <c r="BS411" s="80"/>
      <c r="BT411" s="22"/>
      <c r="BU411" s="87"/>
      <c r="BV411" s="73"/>
      <c r="BW411" s="109"/>
      <c r="BX411" s="87"/>
      <c r="BY411" s="87"/>
      <c r="BZ411" s="109"/>
      <c r="CA411" s="76"/>
    </row>
    <row r="412" spans="1:79" s="22" customFormat="1">
      <c r="A412" s="13" t="s">
        <v>1810</v>
      </c>
      <c r="B412" s="387" t="s">
        <v>1842</v>
      </c>
      <c r="C412" s="13" t="s">
        <v>204</v>
      </c>
      <c r="D412" s="13" t="s">
        <v>1853</v>
      </c>
      <c r="E412" s="13" t="s">
        <v>118</v>
      </c>
      <c r="F412" s="13" t="s">
        <v>186</v>
      </c>
      <c r="G412" s="13" t="s">
        <v>1854</v>
      </c>
      <c r="H412" s="387" t="s">
        <v>121</v>
      </c>
      <c r="I412" s="13" t="s">
        <v>312</v>
      </c>
      <c r="J412" s="13" t="s">
        <v>5</v>
      </c>
      <c r="K412" s="13" t="s">
        <v>123</v>
      </c>
      <c r="L412" s="13" t="s">
        <v>1855</v>
      </c>
      <c r="M412" s="13" t="s">
        <v>125</v>
      </c>
      <c r="N412" s="13" t="s">
        <v>126</v>
      </c>
      <c r="O412" s="247">
        <v>0.43</v>
      </c>
      <c r="P412" s="13">
        <v>112</v>
      </c>
      <c r="Q412" s="13">
        <v>20</v>
      </c>
      <c r="R412" s="13" t="s">
        <v>127</v>
      </c>
      <c r="S412" s="430" t="str">
        <f t="shared" si="181"/>
        <v>N/A</v>
      </c>
      <c r="T412" s="247">
        <v>0.8</v>
      </c>
      <c r="U412" s="13">
        <v>150</v>
      </c>
      <c r="V412" s="13">
        <v>550</v>
      </c>
      <c r="W412" s="430">
        <f t="shared" si="177"/>
        <v>400</v>
      </c>
      <c r="X412" s="430">
        <f t="shared" si="178"/>
        <v>370</v>
      </c>
      <c r="Y412" s="13">
        <v>150</v>
      </c>
      <c r="Z412" s="13">
        <v>550</v>
      </c>
      <c r="AA412" s="430">
        <f t="shared" si="182"/>
        <v>400</v>
      </c>
      <c r="AB412" s="430">
        <f t="shared" si="183"/>
        <v>370</v>
      </c>
      <c r="AC412" s="430" t="str">
        <f t="shared" si="184"/>
        <v>N/A</v>
      </c>
      <c r="AD412" s="430">
        <f t="shared" si="185"/>
        <v>92</v>
      </c>
      <c r="AE412" s="431">
        <f t="shared" si="186"/>
        <v>1.1956</v>
      </c>
      <c r="AF412" s="431"/>
      <c r="AG412" s="431">
        <f t="shared" si="187"/>
        <v>1.0331214285714285</v>
      </c>
      <c r="AH412" s="431">
        <f t="shared" si="188"/>
        <v>1.0951087142857141</v>
      </c>
      <c r="AI412" s="432">
        <f t="shared" si="189"/>
        <v>875.99523599999998</v>
      </c>
      <c r="AJ412" s="432">
        <f t="shared" si="190"/>
        <v>139.81742057532455</v>
      </c>
      <c r="AK412" s="432">
        <f t="shared" si="191"/>
        <v>152.87956392672146</v>
      </c>
      <c r="AL412" s="432">
        <f t="shared" si="192"/>
        <v>303.90251287710061</v>
      </c>
      <c r="AM412" s="250" t="s">
        <v>1856</v>
      </c>
      <c r="AN412" s="432" t="e">
        <f t="shared" si="193"/>
        <v>#VALUE!</v>
      </c>
      <c r="AO412" s="432" t="e">
        <f t="shared" si="194"/>
        <v>#VALUE!</v>
      </c>
      <c r="AP412" s="432" t="e">
        <f t="shared" si="195"/>
        <v>#VALUE!</v>
      </c>
      <c r="AQ412" s="255">
        <v>45292</v>
      </c>
      <c r="AR412" s="451" t="s">
        <v>1857</v>
      </c>
      <c r="AS412" s="436" t="s">
        <v>1858</v>
      </c>
      <c r="AT412" s="429" t="s">
        <v>1859</v>
      </c>
      <c r="AU412" s="253"/>
      <c r="AV412" s="268"/>
      <c r="AW412" s="77"/>
      <c r="AX412" s="268"/>
      <c r="AY412" s="102">
        <f>(V412/10)/P412</f>
        <v>0.49107142857142855</v>
      </c>
      <c r="AZ412" s="77"/>
      <c r="BA412" s="38" t="str">
        <f t="shared" ref="BA412:BA421" si="198">LEFT(G412,3)</f>
        <v>W22</v>
      </c>
      <c r="BB412" s="77"/>
      <c r="BC412" s="264"/>
      <c r="BD412" s="253"/>
      <c r="BE412" s="253"/>
      <c r="BF412" s="100"/>
      <c r="BG412" s="253"/>
      <c r="BH412" s="253"/>
      <c r="BI412" s="100"/>
      <c r="BJ412" s="162"/>
      <c r="BK412" s="162"/>
      <c r="BL412" s="168"/>
      <c r="BM412" s="130"/>
      <c r="BN412" s="100"/>
      <c r="BO412" s="130"/>
      <c r="BP412" s="130"/>
      <c r="BQ412" s="108"/>
      <c r="BR412" s="71"/>
      <c r="BS412" s="71"/>
      <c r="BT412" s="72"/>
      <c r="BU412" s="72"/>
      <c r="BV412" s="72"/>
      <c r="BW412" s="72"/>
      <c r="BX412" s="72"/>
      <c r="BY412" s="72"/>
      <c r="BZ412" s="72"/>
      <c r="CA412" s="72"/>
    </row>
    <row r="413" spans="1:79" s="22" customFormat="1">
      <c r="A413" s="13" t="s">
        <v>1810</v>
      </c>
      <c r="B413" s="387" t="s">
        <v>1842</v>
      </c>
      <c r="C413" s="13" t="s">
        <v>204</v>
      </c>
      <c r="D413" s="13" t="s">
        <v>1860</v>
      </c>
      <c r="E413" s="13" t="s">
        <v>118</v>
      </c>
      <c r="F413" s="13" t="s">
        <v>167</v>
      </c>
      <c r="G413" s="13" t="s">
        <v>1861</v>
      </c>
      <c r="H413" s="387" t="s">
        <v>121</v>
      </c>
      <c r="I413" s="13" t="s">
        <v>147</v>
      </c>
      <c r="J413" s="13" t="s">
        <v>5</v>
      </c>
      <c r="K413" s="13" t="s">
        <v>123</v>
      </c>
      <c r="L413" s="13" t="s">
        <v>1862</v>
      </c>
      <c r="M413" s="13" t="s">
        <v>125</v>
      </c>
      <c r="N413" s="13" t="s">
        <v>126</v>
      </c>
      <c r="O413" s="247">
        <v>0.43</v>
      </c>
      <c r="P413" s="13">
        <v>112</v>
      </c>
      <c r="Q413" s="13">
        <v>20</v>
      </c>
      <c r="R413" s="13" t="s">
        <v>127</v>
      </c>
      <c r="S413" s="430" t="str">
        <f t="shared" si="181"/>
        <v>N/A</v>
      </c>
      <c r="T413" s="247">
        <v>0.8</v>
      </c>
      <c r="U413" s="13">
        <v>150</v>
      </c>
      <c r="V413" s="13">
        <v>550</v>
      </c>
      <c r="W413" s="430">
        <f t="shared" si="177"/>
        <v>400</v>
      </c>
      <c r="X413" s="430">
        <f t="shared" si="178"/>
        <v>370</v>
      </c>
      <c r="Y413" s="13">
        <v>150</v>
      </c>
      <c r="Z413" s="13">
        <v>550</v>
      </c>
      <c r="AA413" s="430">
        <f t="shared" si="182"/>
        <v>400</v>
      </c>
      <c r="AB413" s="430">
        <f t="shared" si="183"/>
        <v>370</v>
      </c>
      <c r="AC413" s="430" t="str">
        <f t="shared" si="184"/>
        <v>N/A</v>
      </c>
      <c r="AD413" s="430">
        <f t="shared" si="185"/>
        <v>92</v>
      </c>
      <c r="AE413" s="431">
        <f t="shared" si="186"/>
        <v>1.1956</v>
      </c>
      <c r="AF413" s="431"/>
      <c r="AG413" s="431">
        <f t="shared" si="187"/>
        <v>1.0331214285714285</v>
      </c>
      <c r="AH413" s="431">
        <f t="shared" si="188"/>
        <v>1.0951087142857141</v>
      </c>
      <c r="AI413" s="432">
        <f t="shared" si="189"/>
        <v>875.99523599999998</v>
      </c>
      <c r="AJ413" s="432">
        <f t="shared" si="190"/>
        <v>139.81742057532455</v>
      </c>
      <c r="AK413" s="432">
        <f t="shared" si="191"/>
        <v>152.87956392672146</v>
      </c>
      <c r="AL413" s="432">
        <f t="shared" si="192"/>
        <v>303.90251287710061</v>
      </c>
      <c r="AM413" s="250">
        <v>300</v>
      </c>
      <c r="AN413" s="432">
        <f t="shared" si="193"/>
        <v>336</v>
      </c>
      <c r="AO413" s="432">
        <f t="shared" si="194"/>
        <v>367.95652799999993</v>
      </c>
      <c r="AP413" s="432">
        <f t="shared" si="195"/>
        <v>1839.7826399999997</v>
      </c>
      <c r="AQ413" s="255" t="s">
        <v>170</v>
      </c>
      <c r="AR413" s="451" t="s">
        <v>1863</v>
      </c>
      <c r="AS413" s="436" t="s">
        <v>1864</v>
      </c>
      <c r="AT413" s="429" t="s">
        <v>1865</v>
      </c>
      <c r="AU413" s="241"/>
      <c r="AV413" s="243"/>
      <c r="AW413" s="72"/>
      <c r="AX413" s="243"/>
      <c r="AY413" s="103">
        <f>(V413/10)/P413</f>
        <v>0.49107142857142855</v>
      </c>
      <c r="AZ413" s="72"/>
      <c r="BA413" s="72" t="str">
        <f t="shared" si="198"/>
        <v>W22</v>
      </c>
      <c r="BB413" s="72"/>
      <c r="BC413" s="32"/>
      <c r="BD413" s="241"/>
      <c r="BE413" s="241"/>
      <c r="BF413" s="71"/>
      <c r="BG413" s="241"/>
      <c r="BH413" s="241"/>
      <c r="BI413" s="71"/>
      <c r="BJ413" s="162"/>
      <c r="BK413" s="162"/>
      <c r="BL413" s="126"/>
      <c r="BM413" s="130"/>
      <c r="BN413" s="100"/>
      <c r="BO413" s="130"/>
      <c r="BP413" s="130"/>
      <c r="BQ413" s="115"/>
      <c r="BR413" s="113">
        <v>2528</v>
      </c>
      <c r="BS413" s="80"/>
      <c r="BU413" s="87"/>
      <c r="BV413" s="73"/>
      <c r="BW413" s="109"/>
      <c r="BX413" s="87"/>
      <c r="BY413" s="87"/>
      <c r="BZ413" s="109"/>
      <c r="CA413" s="76"/>
    </row>
    <row r="414" spans="1:79" s="13" customFormat="1">
      <c r="A414" s="13" t="s">
        <v>1810</v>
      </c>
      <c r="B414" s="387" t="s">
        <v>1842</v>
      </c>
      <c r="C414" s="13" t="s">
        <v>204</v>
      </c>
      <c r="D414" s="13" t="s">
        <v>1866</v>
      </c>
      <c r="E414" s="13" t="s">
        <v>118</v>
      </c>
      <c r="F414" s="13" t="s">
        <v>167</v>
      </c>
      <c r="G414" s="13" t="s">
        <v>1867</v>
      </c>
      <c r="H414" s="387" t="s">
        <v>121</v>
      </c>
      <c r="I414" s="13" t="s">
        <v>147</v>
      </c>
      <c r="J414" s="13" t="s">
        <v>5</v>
      </c>
      <c r="K414" s="13" t="s">
        <v>123</v>
      </c>
      <c r="L414" s="13" t="s">
        <v>1868</v>
      </c>
      <c r="M414" s="13" t="s">
        <v>125</v>
      </c>
      <c r="N414" s="13" t="s">
        <v>126</v>
      </c>
      <c r="O414" s="247">
        <v>0.48</v>
      </c>
      <c r="P414" s="13">
        <v>112</v>
      </c>
      <c r="Q414" s="13">
        <v>25</v>
      </c>
      <c r="R414" s="13" t="s">
        <v>127</v>
      </c>
      <c r="S414" s="430" t="str">
        <f t="shared" si="181"/>
        <v>N/A</v>
      </c>
      <c r="T414" s="247">
        <v>0.8</v>
      </c>
      <c r="U414" s="13">
        <v>200</v>
      </c>
      <c r="V414" s="13">
        <v>600</v>
      </c>
      <c r="W414" s="430">
        <f t="shared" si="177"/>
        <v>400</v>
      </c>
      <c r="X414" s="430">
        <f t="shared" si="178"/>
        <v>270</v>
      </c>
      <c r="Y414" s="13">
        <v>200</v>
      </c>
      <c r="Z414" s="13">
        <v>600</v>
      </c>
      <c r="AA414" s="430">
        <f t="shared" si="182"/>
        <v>400</v>
      </c>
      <c r="AB414" s="430">
        <f t="shared" si="183"/>
        <v>270</v>
      </c>
      <c r="AC414" s="430" t="str">
        <f t="shared" si="184"/>
        <v>N/A</v>
      </c>
      <c r="AD414" s="430">
        <f t="shared" si="185"/>
        <v>87</v>
      </c>
      <c r="AE414" s="431">
        <f t="shared" si="186"/>
        <v>1.2176</v>
      </c>
      <c r="AF414" s="431"/>
      <c r="AG414" s="431">
        <f t="shared" si="187"/>
        <v>1.0554071428571428</v>
      </c>
      <c r="AH414" s="431">
        <f t="shared" si="188"/>
        <v>1.1187315714285713</v>
      </c>
      <c r="AI414" s="432">
        <f t="shared" si="189"/>
        <v>879.250496</v>
      </c>
      <c r="AJ414" s="432">
        <f t="shared" si="190"/>
        <v>137.29115312077695</v>
      </c>
      <c r="AK414" s="432">
        <f t="shared" si="191"/>
        <v>150.11728534066046</v>
      </c>
      <c r="AL414" s="432">
        <f t="shared" si="192"/>
        <v>298.41150163917661</v>
      </c>
      <c r="AM414" s="250">
        <v>150</v>
      </c>
      <c r="AN414" s="432">
        <f t="shared" si="193"/>
        <v>168</v>
      </c>
      <c r="AO414" s="432">
        <f t="shared" si="194"/>
        <v>187.94690399999996</v>
      </c>
      <c r="AP414" s="432">
        <f t="shared" si="195"/>
        <v>751.78761599999984</v>
      </c>
      <c r="AQ414" s="255">
        <v>45170</v>
      </c>
      <c r="AR414" s="451" t="s">
        <v>1869</v>
      </c>
      <c r="AS414" s="436" t="s">
        <v>1870</v>
      </c>
      <c r="AT414" s="429" t="s">
        <v>1865</v>
      </c>
      <c r="AU414" s="241"/>
      <c r="AV414" s="243"/>
      <c r="AW414" s="72"/>
      <c r="AX414" s="243"/>
      <c r="AY414" s="103">
        <f>(V414/10)/P414</f>
        <v>0.5357142857142857</v>
      </c>
      <c r="AZ414" s="72"/>
      <c r="BA414" s="72" t="str">
        <f t="shared" si="198"/>
        <v>W22</v>
      </c>
      <c r="BB414" s="72" t="str">
        <f>IF(R414="n/a","Clear","S/B")</f>
        <v>Clear</v>
      </c>
      <c r="BC414" s="32"/>
      <c r="BD414" s="241"/>
      <c r="BE414" s="241"/>
      <c r="BF414" s="71"/>
      <c r="BG414" s="241"/>
      <c r="BH414" s="241"/>
      <c r="BI414" s="71"/>
      <c r="BJ414" s="162"/>
      <c r="BK414" s="162"/>
      <c r="BL414" s="126"/>
      <c r="BM414" s="130"/>
      <c r="BN414" s="100"/>
      <c r="BO414" s="130"/>
      <c r="BP414" s="130"/>
      <c r="BQ414" s="115"/>
      <c r="BR414" s="113"/>
      <c r="BS414" s="80"/>
      <c r="BT414" s="22"/>
      <c r="BU414" s="87"/>
      <c r="BV414" s="73"/>
      <c r="BW414" s="109"/>
      <c r="BX414" s="87"/>
      <c r="BY414" s="87"/>
      <c r="BZ414" s="109"/>
      <c r="CA414" s="76"/>
    </row>
    <row r="415" spans="1:79" s="72" customFormat="1">
      <c r="A415" s="13" t="s">
        <v>1810</v>
      </c>
      <c r="B415" s="387" t="s">
        <v>1842</v>
      </c>
      <c r="C415" s="13" t="s">
        <v>895</v>
      </c>
      <c r="D415" s="13" t="s">
        <v>1871</v>
      </c>
      <c r="E415" s="13" t="s">
        <v>118</v>
      </c>
      <c r="F415" s="13" t="s">
        <v>167</v>
      </c>
      <c r="G415" s="13" t="s">
        <v>1872</v>
      </c>
      <c r="H415" s="387" t="s">
        <v>121</v>
      </c>
      <c r="I415" s="13" t="s">
        <v>147</v>
      </c>
      <c r="J415" s="13" t="s">
        <v>5</v>
      </c>
      <c r="K415" s="13" t="s">
        <v>123</v>
      </c>
      <c r="L415" s="13" t="s">
        <v>1873</v>
      </c>
      <c r="M415" s="13" t="s">
        <v>125</v>
      </c>
      <c r="N415" s="13" t="s">
        <v>126</v>
      </c>
      <c r="O415" s="247">
        <v>0.37</v>
      </c>
      <c r="P415" s="13">
        <v>136</v>
      </c>
      <c r="Q415" s="13">
        <v>15</v>
      </c>
      <c r="R415" s="13" t="s">
        <v>127</v>
      </c>
      <c r="S415" s="430" t="str">
        <f t="shared" si="181"/>
        <v>N/A</v>
      </c>
      <c r="T415" s="247">
        <v>0.85</v>
      </c>
      <c r="U415" s="13">
        <v>350</v>
      </c>
      <c r="V415" s="13">
        <v>800</v>
      </c>
      <c r="W415" s="430">
        <f t="shared" si="177"/>
        <v>450</v>
      </c>
      <c r="X415" s="430">
        <f t="shared" si="178"/>
        <v>410</v>
      </c>
      <c r="Y415" s="13">
        <v>350</v>
      </c>
      <c r="Z415" s="13">
        <v>800</v>
      </c>
      <c r="AA415" s="430">
        <f t="shared" si="182"/>
        <v>450</v>
      </c>
      <c r="AB415" s="430">
        <f t="shared" si="183"/>
        <v>410</v>
      </c>
      <c r="AC415" s="430" t="str">
        <f t="shared" si="184"/>
        <v>N/A</v>
      </c>
      <c r="AD415" s="430">
        <f t="shared" si="185"/>
        <v>121</v>
      </c>
      <c r="AE415" s="431">
        <f t="shared" si="186"/>
        <v>1.2977000000000001</v>
      </c>
      <c r="AF415" s="431"/>
      <c r="AG415" s="431">
        <f t="shared" si="187"/>
        <v>1.0985393382352939</v>
      </c>
      <c r="AH415" s="431">
        <f t="shared" si="188"/>
        <v>1.1644516985294115</v>
      </c>
      <c r="AI415" s="432">
        <f t="shared" si="189"/>
        <v>925.08892400000002</v>
      </c>
      <c r="AJ415" s="432">
        <f t="shared" si="190"/>
        <v>128.81691303063732</v>
      </c>
      <c r="AK415" s="432">
        <f t="shared" si="191"/>
        <v>140.85135750234119</v>
      </c>
      <c r="AL415" s="432">
        <f t="shared" si="192"/>
        <v>279.99217415108382</v>
      </c>
      <c r="AM415" s="250">
        <v>141</v>
      </c>
      <c r="AN415" s="432">
        <f t="shared" si="193"/>
        <v>191.76</v>
      </c>
      <c r="AO415" s="432">
        <f t="shared" si="194"/>
        <v>223.29525770999996</v>
      </c>
      <c r="AP415" s="432">
        <f t="shared" si="195"/>
        <v>1488.6350513999998</v>
      </c>
      <c r="AQ415" s="255">
        <v>45323</v>
      </c>
      <c r="AR415" s="451" t="s">
        <v>1874</v>
      </c>
      <c r="AS415" s="436" t="s">
        <v>1875</v>
      </c>
      <c r="AT415" s="429" t="s">
        <v>1876</v>
      </c>
      <c r="AU415" s="241" t="s">
        <v>1877</v>
      </c>
      <c r="AV415" s="243"/>
      <c r="AX415" s="243"/>
      <c r="AY415" s="71">
        <f>(V415/10)/P415</f>
        <v>0.58823529411764708</v>
      </c>
      <c r="BA415" s="72" t="str">
        <f t="shared" si="198"/>
        <v>W22</v>
      </c>
      <c r="BC415" s="32"/>
      <c r="BD415" s="241"/>
      <c r="BE415" s="241"/>
      <c r="BF415" s="71"/>
      <c r="BG415" s="241"/>
      <c r="BH415" s="241"/>
      <c r="BI415" s="71"/>
      <c r="BJ415" s="162"/>
      <c r="BK415" s="123"/>
      <c r="BL415" s="126"/>
      <c r="BM415" s="123"/>
      <c r="BN415" s="123"/>
      <c r="BO415" s="130"/>
      <c r="BP415" s="130"/>
      <c r="BQ415" s="71"/>
      <c r="BR415" s="71"/>
      <c r="BS415" s="71"/>
      <c r="BT415" s="72">
        <f>P415-V415/10-120/10</f>
        <v>44</v>
      </c>
      <c r="BU415" s="78">
        <f>BT415-Q415</f>
        <v>29</v>
      </c>
      <c r="BV415" s="32">
        <f>T415+(O415/100*(P415-BT415))</f>
        <v>1.1903999999999999</v>
      </c>
      <c r="BW415" s="127">
        <f>(AE415-BV415)/AE415</f>
        <v>8.2684749942205565E-2</v>
      </c>
      <c r="BX415" s="78">
        <f>(PI()*((51/2)^2-(16.545/2)^2)/(BV415/10))/100</f>
        <v>153.54738460247663</v>
      </c>
      <c r="BY415" s="78">
        <f>BX415-AK415</f>
        <v>12.696027100135439</v>
      </c>
      <c r="BZ415" s="127">
        <f>BY415/AK415</f>
        <v>9.0137768817204394E-2</v>
      </c>
      <c r="CA415" s="76"/>
    </row>
    <row r="416" spans="1:79" s="77" customFormat="1">
      <c r="A416" s="13" t="s">
        <v>1810</v>
      </c>
      <c r="B416" s="387" t="s">
        <v>1842</v>
      </c>
      <c r="C416" s="13" t="s">
        <v>895</v>
      </c>
      <c r="D416" s="13" t="s">
        <v>1871</v>
      </c>
      <c r="E416" s="13" t="s">
        <v>118</v>
      </c>
      <c r="F416" s="13" t="s">
        <v>186</v>
      </c>
      <c r="G416" s="13" t="s">
        <v>1878</v>
      </c>
      <c r="H416" s="387" t="s">
        <v>121</v>
      </c>
      <c r="I416" s="13" t="s">
        <v>312</v>
      </c>
      <c r="J416" s="13" t="s">
        <v>5</v>
      </c>
      <c r="K416" s="13" t="s">
        <v>123</v>
      </c>
      <c r="L416" s="13" t="s">
        <v>1879</v>
      </c>
      <c r="M416" s="13" t="s">
        <v>125</v>
      </c>
      <c r="N416" s="13" t="s">
        <v>126</v>
      </c>
      <c r="O416" s="247">
        <v>0.37</v>
      </c>
      <c r="P416" s="13">
        <v>136</v>
      </c>
      <c r="Q416" s="13">
        <v>15</v>
      </c>
      <c r="R416" s="13" t="s">
        <v>127</v>
      </c>
      <c r="S416" s="430" t="str">
        <f t="shared" si="181"/>
        <v>N/A</v>
      </c>
      <c r="T416" s="247">
        <v>0.87</v>
      </c>
      <c r="U416" s="13">
        <v>350</v>
      </c>
      <c r="V416" s="13">
        <v>800</v>
      </c>
      <c r="W416" s="430">
        <f t="shared" si="177"/>
        <v>450</v>
      </c>
      <c r="X416" s="430">
        <f t="shared" si="178"/>
        <v>410</v>
      </c>
      <c r="Y416" s="13">
        <v>350</v>
      </c>
      <c r="Z416" s="13">
        <v>800</v>
      </c>
      <c r="AA416" s="430">
        <f t="shared" si="182"/>
        <v>450</v>
      </c>
      <c r="AB416" s="430">
        <f t="shared" si="183"/>
        <v>410</v>
      </c>
      <c r="AC416" s="430" t="str">
        <f t="shared" si="184"/>
        <v>N/A</v>
      </c>
      <c r="AD416" s="430">
        <f t="shared" si="185"/>
        <v>121</v>
      </c>
      <c r="AE416" s="431">
        <f t="shared" si="186"/>
        <v>1.3177000000000001</v>
      </c>
      <c r="AF416" s="431"/>
      <c r="AG416" s="431">
        <f t="shared" si="187"/>
        <v>1.1185393382352942</v>
      </c>
      <c r="AH416" s="431">
        <f t="shared" si="188"/>
        <v>1.1856516985294119</v>
      </c>
      <c r="AI416" s="432">
        <f t="shared" si="189"/>
        <v>946.28892399999995</v>
      </c>
      <c r="AJ416" s="432">
        <f t="shared" si="190"/>
        <v>126.86173487125903</v>
      </c>
      <c r="AK416" s="432">
        <f t="shared" si="191"/>
        <v>138.713521006897</v>
      </c>
      <c r="AL416" s="432">
        <f t="shared" si="192"/>
        <v>275.74246368358615</v>
      </c>
      <c r="AM416" s="250">
        <v>120</v>
      </c>
      <c r="AN416" s="432">
        <f t="shared" si="193"/>
        <v>163.19999999999999</v>
      </c>
      <c r="AO416" s="432">
        <f t="shared" si="194"/>
        <v>193.49835720000002</v>
      </c>
      <c r="AP416" s="432">
        <f t="shared" si="195"/>
        <v>1289.9890480000001</v>
      </c>
      <c r="AQ416" s="255">
        <v>45566</v>
      </c>
      <c r="AR416" s="451" t="s">
        <v>1880</v>
      </c>
      <c r="AS416" s="452" t="s">
        <v>1881</v>
      </c>
      <c r="AT416" s="429"/>
      <c r="AU416" s="249"/>
      <c r="AV416" s="254"/>
      <c r="AW416" s="38"/>
      <c r="AX416" s="254"/>
      <c r="AY416" s="102"/>
      <c r="AZ416" s="38"/>
      <c r="BA416" s="38" t="str">
        <f t="shared" si="198"/>
        <v>W22</v>
      </c>
      <c r="BC416" s="303"/>
      <c r="BD416" s="251"/>
      <c r="BE416" s="251"/>
      <c r="BF416" s="231"/>
      <c r="BG416" s="251"/>
      <c r="BH416" s="251"/>
      <c r="BI416" s="231"/>
      <c r="BJ416" s="143"/>
      <c r="BK416" s="139"/>
      <c r="BL416" s="191"/>
      <c r="BM416" s="139"/>
      <c r="BN416" s="162"/>
      <c r="BO416" s="101"/>
      <c r="BP416" s="130"/>
      <c r="BQ416" s="130"/>
      <c r="BR416" s="100"/>
      <c r="BS416" s="100"/>
      <c r="BU416" s="282"/>
      <c r="BV416" s="264"/>
      <c r="BW416" s="169"/>
      <c r="BX416" s="282"/>
      <c r="BY416" s="282"/>
      <c r="BZ416" s="169"/>
      <c r="CA416" s="271"/>
    </row>
    <row r="417" spans="1:79" s="278" customFormat="1">
      <c r="A417" s="13" t="s">
        <v>1810</v>
      </c>
      <c r="B417" s="387" t="s">
        <v>1842</v>
      </c>
      <c r="C417" s="13" t="s">
        <v>895</v>
      </c>
      <c r="D417" s="13" t="s">
        <v>1871</v>
      </c>
      <c r="E417" s="13" t="s">
        <v>118</v>
      </c>
      <c r="F417" s="13" t="s">
        <v>167</v>
      </c>
      <c r="G417" s="13" t="s">
        <v>1882</v>
      </c>
      <c r="H417" s="387" t="s">
        <v>121</v>
      </c>
      <c r="I417" s="13" t="s">
        <v>147</v>
      </c>
      <c r="J417" s="13" t="s">
        <v>5</v>
      </c>
      <c r="K417" s="13" t="s">
        <v>123</v>
      </c>
      <c r="L417" s="13" t="s">
        <v>1883</v>
      </c>
      <c r="M417" s="13" t="s">
        <v>125</v>
      </c>
      <c r="N417" s="13" t="s">
        <v>126</v>
      </c>
      <c r="O417" s="247">
        <v>0.37</v>
      </c>
      <c r="P417" s="13">
        <v>136</v>
      </c>
      <c r="Q417" s="13">
        <v>20</v>
      </c>
      <c r="R417" s="13" t="s">
        <v>127</v>
      </c>
      <c r="S417" s="430" t="str">
        <f t="shared" si="181"/>
        <v>N/A</v>
      </c>
      <c r="T417" s="247">
        <v>0.8</v>
      </c>
      <c r="U417" s="13">
        <v>350</v>
      </c>
      <c r="V417" s="13">
        <v>800</v>
      </c>
      <c r="W417" s="430">
        <f t="shared" si="177"/>
        <v>450</v>
      </c>
      <c r="X417" s="430">
        <f t="shared" si="178"/>
        <v>360</v>
      </c>
      <c r="Y417" s="13">
        <v>350</v>
      </c>
      <c r="Z417" s="13">
        <v>800</v>
      </c>
      <c r="AA417" s="430">
        <f t="shared" si="182"/>
        <v>450</v>
      </c>
      <c r="AB417" s="430">
        <f t="shared" si="183"/>
        <v>360</v>
      </c>
      <c r="AC417" s="430" t="str">
        <f t="shared" si="184"/>
        <v>N/A</v>
      </c>
      <c r="AD417" s="430">
        <f t="shared" si="185"/>
        <v>116</v>
      </c>
      <c r="AE417" s="431">
        <f t="shared" si="186"/>
        <v>1.2292000000000001</v>
      </c>
      <c r="AF417" s="431"/>
      <c r="AG417" s="431">
        <f t="shared" si="187"/>
        <v>1.0461588235294119</v>
      </c>
      <c r="AH417" s="431">
        <f t="shared" si="188"/>
        <v>1.1089283529411766</v>
      </c>
      <c r="AI417" s="432">
        <f t="shared" si="189"/>
        <v>872.08892400000002</v>
      </c>
      <c r="AJ417" s="432">
        <f t="shared" si="190"/>
        <v>135.99553208579403</v>
      </c>
      <c r="AK417" s="432">
        <f t="shared" si="191"/>
        <v>148.70062368271084</v>
      </c>
      <c r="AL417" s="432">
        <f t="shared" si="192"/>
        <v>295.59538268456026</v>
      </c>
      <c r="AM417" s="250">
        <v>149</v>
      </c>
      <c r="AN417" s="432">
        <f t="shared" si="193"/>
        <v>202.64</v>
      </c>
      <c r="AO417" s="432">
        <f t="shared" si="194"/>
        <v>224.71324144000002</v>
      </c>
      <c r="AP417" s="432">
        <f t="shared" si="195"/>
        <v>1123.5662072</v>
      </c>
      <c r="AQ417" s="255">
        <v>45170</v>
      </c>
      <c r="AR417" s="451" t="s">
        <v>1884</v>
      </c>
      <c r="AS417" s="436" t="s">
        <v>1885</v>
      </c>
      <c r="AT417" s="429"/>
      <c r="AU417" s="241"/>
      <c r="AV417" s="243"/>
      <c r="AW417" s="72"/>
      <c r="AX417" s="243"/>
      <c r="AY417" s="103">
        <f t="shared" ref="AY417:AY437" si="199">(V417/10)/P417</f>
        <v>0.58823529411764708</v>
      </c>
      <c r="AZ417" s="72"/>
      <c r="BA417" s="72" t="str">
        <f t="shared" si="198"/>
        <v>W22</v>
      </c>
      <c r="BB417" s="72"/>
      <c r="BC417" s="32"/>
      <c r="BD417" s="241"/>
      <c r="BE417" s="241"/>
      <c r="BF417" s="71"/>
      <c r="BG417" s="241"/>
      <c r="BH417" s="241"/>
      <c r="BI417" s="71"/>
      <c r="BJ417" s="162"/>
      <c r="BK417" s="123"/>
      <c r="BL417" s="126"/>
      <c r="BM417" s="123"/>
      <c r="BN417" s="123"/>
      <c r="BO417" s="130"/>
      <c r="BP417" s="130"/>
      <c r="BQ417" s="124"/>
      <c r="BR417" s="124"/>
      <c r="BS417" s="71"/>
      <c r="BT417" s="72"/>
      <c r="BU417" s="78"/>
      <c r="BV417" s="32"/>
      <c r="BW417" s="127"/>
      <c r="BX417" s="78"/>
      <c r="BY417" s="78"/>
      <c r="BZ417" s="127"/>
      <c r="CA417" s="76"/>
    </row>
    <row r="418" spans="1:79" s="278" customFormat="1">
      <c r="A418" s="13" t="s">
        <v>1810</v>
      </c>
      <c r="B418" s="387" t="s">
        <v>1842</v>
      </c>
      <c r="C418" s="13" t="s">
        <v>895</v>
      </c>
      <c r="D418" s="13" t="s">
        <v>1871</v>
      </c>
      <c r="E418" s="13" t="s">
        <v>118</v>
      </c>
      <c r="F418" s="13" t="s">
        <v>167</v>
      </c>
      <c r="G418" s="13" t="s">
        <v>1886</v>
      </c>
      <c r="H418" s="387" t="s">
        <v>121</v>
      </c>
      <c r="I418" s="13" t="s">
        <v>147</v>
      </c>
      <c r="J418" s="13" t="s">
        <v>5</v>
      </c>
      <c r="K418" s="13" t="s">
        <v>123</v>
      </c>
      <c r="L418" s="13" t="s">
        <v>1887</v>
      </c>
      <c r="M418" s="13" t="s">
        <v>125</v>
      </c>
      <c r="N418" s="13" t="s">
        <v>126</v>
      </c>
      <c r="O418" s="247">
        <v>0.37</v>
      </c>
      <c r="P418" s="13">
        <v>139</v>
      </c>
      <c r="Q418" s="13">
        <v>30</v>
      </c>
      <c r="R418" s="13" t="s">
        <v>127</v>
      </c>
      <c r="S418" s="430" t="str">
        <f t="shared" si="181"/>
        <v>N/A</v>
      </c>
      <c r="T418" s="247">
        <v>0.8</v>
      </c>
      <c r="U418" s="13">
        <v>350</v>
      </c>
      <c r="V418" s="13">
        <v>800</v>
      </c>
      <c r="W418" s="430">
        <f t="shared" si="177"/>
        <v>450</v>
      </c>
      <c r="X418" s="430">
        <f t="shared" si="178"/>
        <v>290</v>
      </c>
      <c r="Y418" s="13">
        <v>350</v>
      </c>
      <c r="Z418" s="13">
        <v>800</v>
      </c>
      <c r="AA418" s="430">
        <f t="shared" si="182"/>
        <v>450</v>
      </c>
      <c r="AB418" s="430">
        <f t="shared" si="183"/>
        <v>290</v>
      </c>
      <c r="AC418" s="430" t="str">
        <f t="shared" si="184"/>
        <v>N/A</v>
      </c>
      <c r="AD418" s="430">
        <f t="shared" si="185"/>
        <v>109</v>
      </c>
      <c r="AE418" s="431">
        <f t="shared" si="186"/>
        <v>1.2033</v>
      </c>
      <c r="AF418" s="431"/>
      <c r="AG418" s="431">
        <f t="shared" si="187"/>
        <v>1.0451715827338133</v>
      </c>
      <c r="AH418" s="431">
        <f t="shared" si="188"/>
        <v>1.1078818776978421</v>
      </c>
      <c r="AI418" s="432">
        <f t="shared" si="189"/>
        <v>872.08892400000002</v>
      </c>
      <c r="AJ418" s="432">
        <f t="shared" si="190"/>
        <v>138.92271922202113</v>
      </c>
      <c r="AK418" s="432">
        <f t="shared" si="191"/>
        <v>151.90127701386865</v>
      </c>
      <c r="AL418" s="432">
        <f t="shared" si="192"/>
        <v>301.95781965915523</v>
      </c>
      <c r="AM418" s="250">
        <v>50</v>
      </c>
      <c r="AN418" s="432">
        <f t="shared" si="193"/>
        <v>69.5</v>
      </c>
      <c r="AO418" s="432">
        <f t="shared" si="194"/>
        <v>76.997790500000022</v>
      </c>
      <c r="AP418" s="432">
        <f t="shared" si="195"/>
        <v>256.65930166666675</v>
      </c>
      <c r="AQ418" s="255" t="s">
        <v>170</v>
      </c>
      <c r="AR418" s="451" t="s">
        <v>1888</v>
      </c>
      <c r="AS418" s="436" t="s">
        <v>1889</v>
      </c>
      <c r="AT418" s="429" t="s">
        <v>1865</v>
      </c>
      <c r="AU418" s="241"/>
      <c r="AV418" s="243"/>
      <c r="AW418" s="72" t="s">
        <v>127</v>
      </c>
      <c r="AX418" s="243"/>
      <c r="AY418" s="103">
        <f t="shared" si="199"/>
        <v>0.57553956834532372</v>
      </c>
      <c r="AZ418" s="72"/>
      <c r="BA418" s="13" t="str">
        <f t="shared" si="198"/>
        <v>W22</v>
      </c>
      <c r="BB418" s="72" t="str">
        <f>IF(R418="n/a","Clear","S/B")</f>
        <v>Clear</v>
      </c>
      <c r="BC418" s="32">
        <f>IF(Q418="","",((P418/100*O418)+T418))</f>
        <v>1.3143</v>
      </c>
      <c r="BD418" s="241">
        <f>IF(BC418="","",((PI()*((51/2)^2-(16.545/2)^2)/(BC418/10))/100))</f>
        <v>139.07236295426324</v>
      </c>
      <c r="BE418" s="241">
        <f>IF(BC418="","",(BD418-AK418))</f>
        <v>-12.82891405960541</v>
      </c>
      <c r="BF418" s="71">
        <f>IF(BC418="","",(BE418/AK418))</f>
        <v>-8.4455603743437413E-2</v>
      </c>
      <c r="BG418" s="241">
        <f>IF(BF418="","",((PI()*((70/2)^2-(16.545/2)^2)/(BC418/10))/100))</f>
        <v>276.45578969478925</v>
      </c>
      <c r="BH418" s="241">
        <f>IF(BF418="","",(BG418-AL418))</f>
        <v>-25.502029964365988</v>
      </c>
      <c r="BI418" s="71">
        <f>IF(BG418="","",(BH418/AL418))</f>
        <v>-8.4455603743437538E-2</v>
      </c>
      <c r="BJ418" s="162"/>
      <c r="BK418" s="162"/>
      <c r="BL418" s="126"/>
      <c r="BM418" s="130"/>
      <c r="BN418" s="100"/>
      <c r="BO418" s="130"/>
      <c r="BP418" s="130"/>
      <c r="BQ418" s="166"/>
      <c r="BR418" s="140"/>
      <c r="BS418" s="100"/>
      <c r="BT418" s="72"/>
      <c r="BU418" s="78"/>
      <c r="BV418" s="32"/>
      <c r="BW418" s="127"/>
      <c r="BX418" s="78"/>
      <c r="BY418" s="78"/>
      <c r="BZ418" s="127"/>
      <c r="CA418" s="76"/>
    </row>
    <row r="419" spans="1:79" s="72" customFormat="1">
      <c r="A419" s="13" t="s">
        <v>1810</v>
      </c>
      <c r="B419" s="387" t="s">
        <v>1842</v>
      </c>
      <c r="C419" s="13" t="s">
        <v>895</v>
      </c>
      <c r="D419" s="13" t="s">
        <v>1871</v>
      </c>
      <c r="E419" s="13" t="s">
        <v>118</v>
      </c>
      <c r="F419" s="13" t="s">
        <v>167</v>
      </c>
      <c r="G419" s="13" t="s">
        <v>1890</v>
      </c>
      <c r="H419" s="387" t="s">
        <v>121</v>
      </c>
      <c r="I419" s="13" t="s">
        <v>147</v>
      </c>
      <c r="J419" s="13" t="s">
        <v>5</v>
      </c>
      <c r="K419" s="13" t="s">
        <v>123</v>
      </c>
      <c r="L419" s="13" t="s">
        <v>1891</v>
      </c>
      <c r="M419" s="13" t="s">
        <v>125</v>
      </c>
      <c r="N419" s="13" t="s">
        <v>126</v>
      </c>
      <c r="O419" s="247">
        <v>0.37</v>
      </c>
      <c r="P419" s="13">
        <v>136</v>
      </c>
      <c r="Q419" s="13">
        <v>30</v>
      </c>
      <c r="R419" s="13" t="s">
        <v>127</v>
      </c>
      <c r="S419" s="430" t="str">
        <f t="shared" si="181"/>
        <v>N/A</v>
      </c>
      <c r="T419" s="247">
        <v>0.8</v>
      </c>
      <c r="U419" s="13">
        <v>320</v>
      </c>
      <c r="V419" s="13">
        <v>770</v>
      </c>
      <c r="W419" s="430">
        <f t="shared" si="177"/>
        <v>450</v>
      </c>
      <c r="X419" s="430">
        <f t="shared" si="178"/>
        <v>290</v>
      </c>
      <c r="Y419" s="13">
        <v>320</v>
      </c>
      <c r="Z419" s="13">
        <v>770</v>
      </c>
      <c r="AA419" s="430">
        <f t="shared" si="182"/>
        <v>450</v>
      </c>
      <c r="AB419" s="430">
        <f t="shared" si="183"/>
        <v>290</v>
      </c>
      <c r="AC419" s="430" t="str">
        <f t="shared" si="184"/>
        <v>N/A</v>
      </c>
      <c r="AD419" s="430">
        <f t="shared" si="185"/>
        <v>106</v>
      </c>
      <c r="AE419" s="431">
        <f t="shared" si="186"/>
        <v>1.1922000000000001</v>
      </c>
      <c r="AF419" s="431"/>
      <c r="AG419" s="431">
        <f t="shared" si="187"/>
        <v>1.0393573529411764</v>
      </c>
      <c r="AH419" s="431">
        <f t="shared" si="188"/>
        <v>1.1017187941176469</v>
      </c>
      <c r="AI419" s="432">
        <f t="shared" si="189"/>
        <v>872.08892400000002</v>
      </c>
      <c r="AJ419" s="432">
        <f t="shared" si="190"/>
        <v>140.21616175126491</v>
      </c>
      <c r="AK419" s="432">
        <f t="shared" si="191"/>
        <v>153.31555664384175</v>
      </c>
      <c r="AL419" s="432">
        <f t="shared" si="192"/>
        <v>304.76920348587601</v>
      </c>
      <c r="AM419" s="250">
        <v>153</v>
      </c>
      <c r="AN419" s="432">
        <f t="shared" si="193"/>
        <v>208.08</v>
      </c>
      <c r="AO419" s="432">
        <f t="shared" si="194"/>
        <v>229.24564667999999</v>
      </c>
      <c r="AP419" s="432">
        <f t="shared" si="195"/>
        <v>764.15215560000001</v>
      </c>
      <c r="AQ419" s="255">
        <v>44980</v>
      </c>
      <c r="AR419" s="451" t="s">
        <v>1892</v>
      </c>
      <c r="AS419" s="436" t="s">
        <v>1893</v>
      </c>
      <c r="AT419" s="429" t="s">
        <v>1865</v>
      </c>
      <c r="AU419" s="241"/>
      <c r="AV419" s="243"/>
      <c r="AW419" s="72" t="s">
        <v>127</v>
      </c>
      <c r="AX419" s="243"/>
      <c r="AY419" s="103">
        <f t="shared" si="199"/>
        <v>0.56617647058823528</v>
      </c>
      <c r="BA419" s="72" t="str">
        <f t="shared" si="198"/>
        <v>W22</v>
      </c>
      <c r="BB419" s="72" t="str">
        <f>IF(R419="n/a","Clear","S/B")</f>
        <v>Clear</v>
      </c>
      <c r="BC419" s="32">
        <f>IF(Q419="","",((P419/100*O419)+T419))</f>
        <v>1.3031999999999999</v>
      </c>
      <c r="BD419" s="241">
        <f>IF(BC419="","",((PI()*((51/2)^2-(16.545/2)^2)/(BC419/10))/100))</f>
        <v>140.25691116542984</v>
      </c>
      <c r="BE419" s="241">
        <f>IF(BC419="","",(BD419-AK419))</f>
        <v>-13.058645478411904</v>
      </c>
      <c r="BF419" s="71">
        <f>IF(BC419="","",(BE419/AK419))</f>
        <v>-8.5174953959484143E-2</v>
      </c>
      <c r="BG419" s="241">
        <f>IF(BF419="","",((PI()*((70/2)^2-(16.545/2)^2)/(BC419/10))/100))</f>
        <v>278.81050061069789</v>
      </c>
      <c r="BH419" s="241">
        <f>IF(BF419="","",(BG419-AL419))</f>
        <v>-25.958702875178119</v>
      </c>
      <c r="BI419" s="71">
        <f>IF(BG419="","",(BH419/AL419))</f>
        <v>-8.5174953959484059E-2</v>
      </c>
      <c r="BJ419" s="162"/>
      <c r="BK419" s="123"/>
      <c r="BL419" s="126"/>
      <c r="BM419" s="123"/>
      <c r="BN419" s="123"/>
      <c r="BO419" s="130"/>
      <c r="BP419" s="130"/>
      <c r="BQ419" s="115"/>
      <c r="BR419" s="113">
        <v>2268</v>
      </c>
      <c r="BS419" s="80"/>
      <c r="BT419" s="22"/>
      <c r="BU419" s="87"/>
      <c r="BV419" s="73"/>
      <c r="BW419" s="109"/>
      <c r="BX419" s="87"/>
      <c r="BY419" s="87"/>
      <c r="BZ419" s="109"/>
      <c r="CA419" s="76"/>
    </row>
    <row r="420" spans="1:79" s="13" customFormat="1">
      <c r="A420" s="13" t="s">
        <v>1810</v>
      </c>
      <c r="B420" s="387" t="s">
        <v>1842</v>
      </c>
      <c r="C420" s="13" t="s">
        <v>895</v>
      </c>
      <c r="D420" s="13" t="s">
        <v>1871</v>
      </c>
      <c r="E420" s="13" t="s">
        <v>118</v>
      </c>
      <c r="F420" s="13" t="s">
        <v>167</v>
      </c>
      <c r="G420" s="13" t="s">
        <v>1894</v>
      </c>
      <c r="H420" s="387" t="s">
        <v>121</v>
      </c>
      <c r="I420" s="13" t="s">
        <v>147</v>
      </c>
      <c r="J420" s="13" t="s">
        <v>5</v>
      </c>
      <c r="K420" s="13" t="s">
        <v>123</v>
      </c>
      <c r="L420" s="13" t="s">
        <v>1895</v>
      </c>
      <c r="M420" s="13" t="s">
        <v>125</v>
      </c>
      <c r="N420" s="13" t="s">
        <v>126</v>
      </c>
      <c r="O420" s="247">
        <v>0.37</v>
      </c>
      <c r="P420" s="13">
        <v>136</v>
      </c>
      <c r="Q420" s="13">
        <v>5</v>
      </c>
      <c r="R420" s="13" t="s">
        <v>127</v>
      </c>
      <c r="S420" s="430" t="str">
        <f t="shared" si="181"/>
        <v>N/A</v>
      </c>
      <c r="T420" s="247">
        <v>0.8</v>
      </c>
      <c r="U420" s="13">
        <v>350</v>
      </c>
      <c r="V420" s="13">
        <v>800</v>
      </c>
      <c r="W420" s="430">
        <f t="shared" si="177"/>
        <v>450</v>
      </c>
      <c r="X420" s="430">
        <f t="shared" si="178"/>
        <v>510</v>
      </c>
      <c r="Y420" s="13">
        <v>350</v>
      </c>
      <c r="Z420" s="13">
        <v>800</v>
      </c>
      <c r="AA420" s="430">
        <f t="shared" si="182"/>
        <v>450</v>
      </c>
      <c r="AB420" s="430">
        <f t="shared" si="183"/>
        <v>510</v>
      </c>
      <c r="AC420" s="430" t="str">
        <f t="shared" si="184"/>
        <v>N/A</v>
      </c>
      <c r="AD420" s="430">
        <f t="shared" si="185"/>
        <v>131</v>
      </c>
      <c r="AE420" s="431">
        <f t="shared" si="186"/>
        <v>1.2847</v>
      </c>
      <c r="AF420" s="431"/>
      <c r="AG420" s="431">
        <f t="shared" si="187"/>
        <v>1.051259926470588</v>
      </c>
      <c r="AH420" s="431">
        <f t="shared" si="188"/>
        <v>1.1143355220588231</v>
      </c>
      <c r="AI420" s="432">
        <f t="shared" si="189"/>
        <v>872.08892400000002</v>
      </c>
      <c r="AJ420" s="432">
        <f t="shared" si="190"/>
        <v>130.12042347618745</v>
      </c>
      <c r="AK420" s="432">
        <f t="shared" si="191"/>
        <v>142.27664562215941</v>
      </c>
      <c r="AL420" s="432">
        <f t="shared" si="192"/>
        <v>282.82544126711406</v>
      </c>
      <c r="AM420" s="250" t="s">
        <v>1896</v>
      </c>
      <c r="AN420" s="432" t="e">
        <f t="shared" si="193"/>
        <v>#VALUE!</v>
      </c>
      <c r="AO420" s="432" t="e">
        <f t="shared" si="194"/>
        <v>#VALUE!</v>
      </c>
      <c r="AP420" s="432" t="e">
        <f t="shared" si="195"/>
        <v>#VALUE!</v>
      </c>
      <c r="AQ420" s="255">
        <v>45292</v>
      </c>
      <c r="AR420" s="451" t="s">
        <v>1897</v>
      </c>
      <c r="AS420" s="436" t="s">
        <v>1898</v>
      </c>
      <c r="AT420" s="429" t="s">
        <v>1899</v>
      </c>
      <c r="AU420" s="241"/>
      <c r="AV420" s="243"/>
      <c r="AW420" s="72"/>
      <c r="AX420" s="243"/>
      <c r="AY420" s="103">
        <f t="shared" si="199"/>
        <v>0.58823529411764708</v>
      </c>
      <c r="AZ420" s="72"/>
      <c r="BA420" s="72" t="str">
        <f t="shared" si="198"/>
        <v>W22</v>
      </c>
      <c r="BB420" s="72"/>
      <c r="BC420" s="32"/>
      <c r="BD420" s="241"/>
      <c r="BE420" s="241"/>
      <c r="BF420" s="71"/>
      <c r="BG420" s="241"/>
      <c r="BH420" s="241"/>
      <c r="BI420" s="71"/>
      <c r="BJ420" s="162"/>
      <c r="BK420" s="123"/>
      <c r="BL420" s="126"/>
      <c r="BM420" s="123"/>
      <c r="BN420" s="123"/>
      <c r="BO420" s="130"/>
      <c r="BP420" s="130"/>
      <c r="BQ420" s="124"/>
      <c r="BR420" s="124"/>
      <c r="BS420" s="71"/>
      <c r="BT420" s="72"/>
      <c r="BU420" s="78"/>
      <c r="BV420" s="32"/>
      <c r="BW420" s="127"/>
      <c r="BX420" s="78"/>
      <c r="BY420" s="78"/>
      <c r="BZ420" s="127"/>
      <c r="CA420" s="76"/>
    </row>
    <row r="421" spans="1:79" s="72" customFormat="1">
      <c r="A421" s="13" t="s">
        <v>1810</v>
      </c>
      <c r="B421" s="387" t="s">
        <v>1900</v>
      </c>
      <c r="C421" s="13" t="s">
        <v>132</v>
      </c>
      <c r="D421" s="13" t="s">
        <v>132</v>
      </c>
      <c r="E421" s="13" t="s">
        <v>137</v>
      </c>
      <c r="F421" s="13" t="s">
        <v>167</v>
      </c>
      <c r="G421" s="13" t="s">
        <v>1901</v>
      </c>
      <c r="H421" s="387" t="s">
        <v>121</v>
      </c>
      <c r="I421" s="13" t="s">
        <v>122</v>
      </c>
      <c r="J421" s="13" t="s">
        <v>5</v>
      </c>
      <c r="K421" s="13" t="s">
        <v>123</v>
      </c>
      <c r="L421" s="13" t="s">
        <v>1902</v>
      </c>
      <c r="M421" s="13" t="s">
        <v>125</v>
      </c>
      <c r="N421" s="13" t="s">
        <v>12</v>
      </c>
      <c r="O421" s="247">
        <v>0.56000000000000005</v>
      </c>
      <c r="P421" s="13">
        <v>105</v>
      </c>
      <c r="Q421" s="13">
        <v>13</v>
      </c>
      <c r="R421" s="13" t="s">
        <v>127</v>
      </c>
      <c r="S421" s="430" t="str">
        <f t="shared" si="181"/>
        <v>N/A</v>
      </c>
      <c r="T421" s="247">
        <v>0.8</v>
      </c>
      <c r="U421" s="13">
        <v>200</v>
      </c>
      <c r="V421" s="13">
        <v>800</v>
      </c>
      <c r="W421" s="430">
        <f t="shared" si="177"/>
        <v>600</v>
      </c>
      <c r="X421" s="430">
        <f t="shared" si="178"/>
        <v>120</v>
      </c>
      <c r="Y421" s="13">
        <v>200</v>
      </c>
      <c r="Z421" s="13">
        <v>800</v>
      </c>
      <c r="AA421" s="430">
        <f t="shared" si="182"/>
        <v>600</v>
      </c>
      <c r="AB421" s="430">
        <f t="shared" si="183"/>
        <v>120</v>
      </c>
      <c r="AC421" s="430" t="str">
        <f t="shared" si="184"/>
        <v>N/A</v>
      </c>
      <c r="AD421" s="430">
        <f t="shared" si="185"/>
        <v>92</v>
      </c>
      <c r="AE421" s="431">
        <f t="shared" si="186"/>
        <v>1.3152000000000001</v>
      </c>
      <c r="AF421" s="431"/>
      <c r="AG421" s="431">
        <f t="shared" si="187"/>
        <v>1.0894933333333334</v>
      </c>
      <c r="AH421" s="431">
        <f t="shared" si="188"/>
        <v>1.1548629333333333</v>
      </c>
      <c r="AI421" s="432">
        <f t="shared" si="189"/>
        <v>884.45891200000005</v>
      </c>
      <c r="AJ421" s="432">
        <f t="shared" si="190"/>
        <v>127.10288020062197</v>
      </c>
      <c r="AK421" s="432">
        <f t="shared" si="191"/>
        <v>138.97719482267954</v>
      </c>
      <c r="AL421" s="432">
        <f t="shared" si="192"/>
        <v>276.2666091817681</v>
      </c>
      <c r="AM421" s="250">
        <v>139</v>
      </c>
      <c r="AN421" s="432">
        <f t="shared" si="193"/>
        <v>145.94999999999999</v>
      </c>
      <c r="AO421" s="432">
        <f t="shared" si="194"/>
        <v>168.55224511999998</v>
      </c>
      <c r="AP421" s="432">
        <f t="shared" si="195"/>
        <v>1296.5557316923075</v>
      </c>
      <c r="AQ421" s="255">
        <v>45352</v>
      </c>
      <c r="AR421" s="451" t="s">
        <v>1903</v>
      </c>
      <c r="AS421" s="429" t="s">
        <v>1904</v>
      </c>
      <c r="AT421" s="429" t="s">
        <v>1905</v>
      </c>
      <c r="AU421" s="241"/>
      <c r="AV421" s="243"/>
      <c r="AX421" s="243"/>
      <c r="AY421" s="103">
        <f t="shared" si="199"/>
        <v>0.76190476190476186</v>
      </c>
      <c r="BA421" s="72" t="str">
        <f t="shared" si="198"/>
        <v>W22</v>
      </c>
      <c r="BC421" s="32"/>
      <c r="BD421" s="241"/>
      <c r="BE421" s="241"/>
      <c r="BF421" s="71"/>
      <c r="BG421" s="241"/>
      <c r="BH421" s="241"/>
      <c r="BI421" s="71"/>
      <c r="BJ421" s="123"/>
      <c r="BK421" s="123"/>
      <c r="BL421" s="126"/>
      <c r="BM421" s="123"/>
      <c r="BN421" s="123"/>
      <c r="BO421" s="108"/>
      <c r="BP421" s="108"/>
      <c r="BQ421" s="108"/>
      <c r="BR421" s="71"/>
      <c r="BS421" s="71"/>
      <c r="BU421" s="78"/>
      <c r="BV421" s="32"/>
      <c r="BW421" s="127"/>
      <c r="BX421" s="78"/>
      <c r="BY421" s="78"/>
      <c r="BZ421" s="127"/>
      <c r="CA421" s="76"/>
    </row>
    <row r="422" spans="1:79" s="72" customFormat="1">
      <c r="A422" s="13" t="s">
        <v>1810</v>
      </c>
      <c r="B422" s="387" t="s">
        <v>1900</v>
      </c>
      <c r="C422" s="13" t="s">
        <v>132</v>
      </c>
      <c r="D422" s="13" t="s">
        <v>132</v>
      </c>
      <c r="E422" s="13" t="s">
        <v>137</v>
      </c>
      <c r="F422" s="13" t="s">
        <v>186</v>
      </c>
      <c r="G422" s="13" t="s">
        <v>1906</v>
      </c>
      <c r="H422" s="387" t="s">
        <v>121</v>
      </c>
      <c r="I422" s="13" t="s">
        <v>122</v>
      </c>
      <c r="J422" s="13" t="s">
        <v>5</v>
      </c>
      <c r="K422" s="13" t="s">
        <v>123</v>
      </c>
      <c r="L422" s="13" t="s">
        <v>1907</v>
      </c>
      <c r="M422" s="13" t="s">
        <v>125</v>
      </c>
      <c r="N422" s="13" t="s">
        <v>12</v>
      </c>
      <c r="O422" s="247">
        <v>0.65</v>
      </c>
      <c r="P422" s="438">
        <v>118</v>
      </c>
      <c r="Q422" s="13">
        <v>25</v>
      </c>
      <c r="R422" s="13" t="s">
        <v>127</v>
      </c>
      <c r="S422" s="430" t="str">
        <f t="shared" si="181"/>
        <v>N/A</v>
      </c>
      <c r="T422" s="247">
        <v>0.8</v>
      </c>
      <c r="U422" s="13">
        <v>200</v>
      </c>
      <c r="V422" s="13">
        <v>800</v>
      </c>
      <c r="W422" s="430">
        <f t="shared" si="177"/>
        <v>600</v>
      </c>
      <c r="X422" s="430">
        <f t="shared" si="178"/>
        <v>130</v>
      </c>
      <c r="Y422" s="13">
        <v>200</v>
      </c>
      <c r="Z422" s="13">
        <v>800</v>
      </c>
      <c r="AA422" s="430">
        <f t="shared" si="182"/>
        <v>600</v>
      </c>
      <c r="AB422" s="430">
        <f t="shared" si="183"/>
        <v>130</v>
      </c>
      <c r="AC422" s="430" t="str">
        <f t="shared" si="184"/>
        <v>N/A</v>
      </c>
      <c r="AD422" s="430">
        <f t="shared" si="185"/>
        <v>93</v>
      </c>
      <c r="AE422" s="431">
        <f t="shared" si="186"/>
        <v>1.4045000000000001</v>
      </c>
      <c r="AF422" s="431"/>
      <c r="AG422" s="431">
        <f t="shared" si="187"/>
        <v>1.1662860169491527</v>
      </c>
      <c r="AH422" s="431">
        <f t="shared" si="188"/>
        <v>1.2362631779661017</v>
      </c>
      <c r="AI422" s="432">
        <f t="shared" si="189"/>
        <v>890.31838000000005</v>
      </c>
      <c r="AJ422" s="432">
        <f t="shared" si="190"/>
        <v>119.02150803834675</v>
      </c>
      <c r="AK422" s="432">
        <f t="shared" si="191"/>
        <v>130.14083775777013</v>
      </c>
      <c r="AL422" s="432">
        <f t="shared" si="192"/>
        <v>258.70120640502768</v>
      </c>
      <c r="AM422" s="250">
        <v>130</v>
      </c>
      <c r="AN422" s="432">
        <f t="shared" si="193"/>
        <v>153.4</v>
      </c>
      <c r="AO422" s="432">
        <f t="shared" si="194"/>
        <v>189.64277150000001</v>
      </c>
      <c r="AP422" s="432">
        <f t="shared" si="195"/>
        <v>758.57108600000004</v>
      </c>
      <c r="AQ422" s="255">
        <v>45413</v>
      </c>
      <c r="AR422" s="451" t="s">
        <v>1908</v>
      </c>
      <c r="AS422" s="429" t="s">
        <v>1909</v>
      </c>
      <c r="AT422" s="435"/>
      <c r="AU422" s="249"/>
      <c r="AV422" s="254"/>
      <c r="AW422" s="38"/>
      <c r="AX422" s="254"/>
      <c r="AY422" s="102">
        <f t="shared" si="199"/>
        <v>0.67796610169491522</v>
      </c>
      <c r="AZ422" s="38"/>
      <c r="BA422" s="38"/>
      <c r="BB422" s="77"/>
      <c r="BC422" s="264"/>
      <c r="BD422" s="253"/>
      <c r="BE422" s="253"/>
      <c r="BF422" s="100"/>
      <c r="BG422" s="253"/>
      <c r="BH422" s="253"/>
      <c r="BI422" s="100"/>
      <c r="BJ422" s="143"/>
      <c r="BK422" s="139"/>
      <c r="BL422" s="191"/>
      <c r="BM422" s="139"/>
      <c r="BN422" s="162"/>
      <c r="BO422" s="101"/>
      <c r="BP422" s="105"/>
      <c r="BQ422" s="108"/>
      <c r="BR422" s="71"/>
      <c r="BS422" s="71"/>
      <c r="BU422" s="78"/>
      <c r="BV422" s="32"/>
      <c r="BW422" s="127"/>
      <c r="BX422" s="78"/>
      <c r="BY422" s="78"/>
      <c r="BZ422" s="127"/>
      <c r="CA422" s="76"/>
    </row>
    <row r="423" spans="1:79" s="77" customFormat="1">
      <c r="A423" s="13" t="s">
        <v>1810</v>
      </c>
      <c r="B423" s="387" t="s">
        <v>1900</v>
      </c>
      <c r="C423" s="13" t="s">
        <v>269</v>
      </c>
      <c r="D423" s="429" t="s">
        <v>1910</v>
      </c>
      <c r="E423" s="13" t="s">
        <v>137</v>
      </c>
      <c r="F423" s="13" t="s">
        <v>186</v>
      </c>
      <c r="G423" s="13" t="s">
        <v>1911</v>
      </c>
      <c r="H423" s="387" t="s">
        <v>121</v>
      </c>
      <c r="I423" s="13" t="s">
        <v>122</v>
      </c>
      <c r="J423" s="13" t="s">
        <v>5</v>
      </c>
      <c r="K423" s="13" t="s">
        <v>123</v>
      </c>
      <c r="L423" s="13" t="s">
        <v>1912</v>
      </c>
      <c r="M423" s="13" t="s">
        <v>125</v>
      </c>
      <c r="N423" s="13" t="s">
        <v>251</v>
      </c>
      <c r="O423" s="247">
        <v>0.4</v>
      </c>
      <c r="P423" s="438">
        <v>115</v>
      </c>
      <c r="Q423" s="13">
        <v>23</v>
      </c>
      <c r="R423" s="13" t="s">
        <v>127</v>
      </c>
      <c r="S423" s="430" t="str">
        <f t="shared" si="181"/>
        <v>N/A</v>
      </c>
      <c r="T423" s="247">
        <v>0.8</v>
      </c>
      <c r="U423" s="13">
        <v>200</v>
      </c>
      <c r="V423" s="13">
        <v>800</v>
      </c>
      <c r="W423" s="430">
        <f t="shared" si="177"/>
        <v>600</v>
      </c>
      <c r="X423" s="430">
        <f t="shared" si="178"/>
        <v>120</v>
      </c>
      <c r="Y423" s="13">
        <v>200</v>
      </c>
      <c r="Z423" s="13">
        <v>800</v>
      </c>
      <c r="AA423" s="430">
        <f t="shared" si="182"/>
        <v>600</v>
      </c>
      <c r="AB423" s="430">
        <f t="shared" si="183"/>
        <v>120</v>
      </c>
      <c r="AC423" s="430" t="str">
        <f t="shared" si="184"/>
        <v>N/A</v>
      </c>
      <c r="AD423" s="430">
        <f t="shared" si="185"/>
        <v>92</v>
      </c>
      <c r="AE423" s="431">
        <f t="shared" si="186"/>
        <v>1.1680000000000001</v>
      </c>
      <c r="AF423" s="431"/>
      <c r="AG423" s="431">
        <f t="shared" si="187"/>
        <v>1.0208000000000002</v>
      </c>
      <c r="AH423" s="431">
        <f t="shared" si="188"/>
        <v>1.0820480000000001</v>
      </c>
      <c r="AI423" s="432">
        <f t="shared" si="189"/>
        <v>874.04208000000006</v>
      </c>
      <c r="AJ423" s="432">
        <f t="shared" si="190"/>
        <v>143.12132537659076</v>
      </c>
      <c r="AK423" s="432">
        <f t="shared" si="191"/>
        <v>156.49212896471587</v>
      </c>
      <c r="AL423" s="432">
        <f t="shared" si="192"/>
        <v>311.08377088686763</v>
      </c>
      <c r="AM423" s="250">
        <v>156</v>
      </c>
      <c r="AN423" s="432">
        <f t="shared" si="193"/>
        <v>179.4</v>
      </c>
      <c r="AO423" s="432">
        <f t="shared" si="194"/>
        <v>194.11941120000003</v>
      </c>
      <c r="AP423" s="432">
        <f t="shared" si="195"/>
        <v>843.9974400000001</v>
      </c>
      <c r="AQ423" s="255" t="s">
        <v>1913</v>
      </c>
      <c r="AR423" s="451" t="s">
        <v>1914</v>
      </c>
      <c r="AS423" s="429" t="s">
        <v>1915</v>
      </c>
      <c r="AT423" s="435" t="s">
        <v>1916</v>
      </c>
      <c r="AU423" s="249"/>
      <c r="AV423" s="254"/>
      <c r="AW423" s="38" t="s">
        <v>127</v>
      </c>
      <c r="AX423" s="254"/>
      <c r="AY423" s="102">
        <f t="shared" si="199"/>
        <v>0.69565217391304346</v>
      </c>
      <c r="AZ423" s="38"/>
      <c r="BA423" s="38" t="str">
        <f t="shared" ref="BA423:BA437" si="200">LEFT(G423,3)</f>
        <v>W22</v>
      </c>
      <c r="BB423" s="77" t="str">
        <f>IF(R423="n/a","Clear","S/B")</f>
        <v>Clear</v>
      </c>
      <c r="BC423" s="264"/>
      <c r="BD423" s="253"/>
      <c r="BE423" s="253"/>
      <c r="BF423" s="100"/>
      <c r="BG423" s="253"/>
      <c r="BH423" s="253"/>
      <c r="BI423" s="100"/>
      <c r="BJ423" s="143"/>
      <c r="BK423" s="139"/>
      <c r="BL423" s="191"/>
      <c r="BM423" s="139"/>
      <c r="BN423" s="162"/>
      <c r="BO423" s="101"/>
      <c r="BP423" s="105"/>
      <c r="BQ423" s="164"/>
      <c r="BR423" s="159"/>
      <c r="BS423" s="100"/>
      <c r="BU423" s="282"/>
      <c r="BV423" s="264"/>
      <c r="BW423" s="169"/>
      <c r="BX423" s="282"/>
      <c r="BY423" s="282"/>
      <c r="BZ423" s="169"/>
      <c r="CA423" s="271"/>
    </row>
    <row r="424" spans="1:79" s="77" customFormat="1">
      <c r="A424" s="13" t="s">
        <v>1810</v>
      </c>
      <c r="B424" s="387" t="s">
        <v>1900</v>
      </c>
      <c r="C424" s="13" t="s">
        <v>269</v>
      </c>
      <c r="D424" s="429" t="s">
        <v>1910</v>
      </c>
      <c r="E424" s="13" t="s">
        <v>137</v>
      </c>
      <c r="F424" s="13" t="s">
        <v>186</v>
      </c>
      <c r="G424" s="13" t="s">
        <v>1917</v>
      </c>
      <c r="H424" s="387" t="s">
        <v>121</v>
      </c>
      <c r="I424" s="13" t="s">
        <v>122</v>
      </c>
      <c r="J424" s="13" t="s">
        <v>5</v>
      </c>
      <c r="K424" s="13" t="s">
        <v>123</v>
      </c>
      <c r="L424" s="13"/>
      <c r="M424" s="13"/>
      <c r="N424" s="13" t="s">
        <v>126</v>
      </c>
      <c r="O424" s="247">
        <v>0.4</v>
      </c>
      <c r="P424" s="438">
        <v>115</v>
      </c>
      <c r="Q424" s="13">
        <v>22</v>
      </c>
      <c r="R424" s="13" t="s">
        <v>127</v>
      </c>
      <c r="S424" s="430" t="str">
        <f t="shared" si="181"/>
        <v>N/A</v>
      </c>
      <c r="T424" s="247">
        <v>0.8</v>
      </c>
      <c r="U424" s="13">
        <v>200</v>
      </c>
      <c r="V424" s="13">
        <v>800</v>
      </c>
      <c r="W424" s="430">
        <f t="shared" si="177"/>
        <v>600</v>
      </c>
      <c r="X424" s="430">
        <f t="shared" si="178"/>
        <v>130</v>
      </c>
      <c r="Y424" s="13">
        <v>200</v>
      </c>
      <c r="Z424" s="13">
        <v>800</v>
      </c>
      <c r="AA424" s="430">
        <f t="shared" si="182"/>
        <v>600</v>
      </c>
      <c r="AB424" s="430">
        <f t="shared" si="183"/>
        <v>130</v>
      </c>
      <c r="AC424" s="430" t="str">
        <f t="shared" si="184"/>
        <v>N/A</v>
      </c>
      <c r="AD424" s="430">
        <f t="shared" si="185"/>
        <v>93</v>
      </c>
      <c r="AE424" s="431">
        <f t="shared" si="186"/>
        <v>1.1720000000000002</v>
      </c>
      <c r="AF424" s="431"/>
      <c r="AG424" s="431">
        <f t="shared" si="187"/>
        <v>1.0215826086956523</v>
      </c>
      <c r="AH424" s="431">
        <f t="shared" si="188"/>
        <v>1.0828775652173914</v>
      </c>
      <c r="AI424" s="432">
        <f t="shared" si="189"/>
        <v>874.04208000000006</v>
      </c>
      <c r="AJ424" s="432">
        <f t="shared" si="190"/>
        <v>142.63285668929865</v>
      </c>
      <c r="AK424" s="432">
        <f t="shared" si="191"/>
        <v>155.95802613548477</v>
      </c>
      <c r="AL424" s="432">
        <f t="shared" si="192"/>
        <v>310.022051532305</v>
      </c>
      <c r="AM424" s="250">
        <v>156</v>
      </c>
      <c r="AN424" s="432">
        <f t="shared" si="193"/>
        <v>179.4</v>
      </c>
      <c r="AO424" s="432">
        <f t="shared" si="194"/>
        <v>194.26823520000002</v>
      </c>
      <c r="AP424" s="432">
        <f t="shared" si="195"/>
        <v>883.03743272727286</v>
      </c>
      <c r="AQ424" s="255"/>
      <c r="AR424" s="451"/>
      <c r="AS424" s="429"/>
      <c r="AT424" s="435"/>
      <c r="AU424" s="249"/>
      <c r="AV424" s="254"/>
      <c r="AW424" s="38"/>
      <c r="AX424" s="254"/>
      <c r="AY424" s="102"/>
      <c r="AZ424" s="38"/>
      <c r="BA424" s="38"/>
      <c r="BC424" s="264"/>
      <c r="BD424" s="253"/>
      <c r="BE424" s="253"/>
      <c r="BF424" s="100"/>
      <c r="BG424" s="253"/>
      <c r="BH424" s="253"/>
      <c r="BI424" s="100"/>
      <c r="BJ424" s="143"/>
      <c r="BK424" s="139"/>
      <c r="BL424" s="191"/>
      <c r="BM424" s="139"/>
      <c r="BN424" s="162"/>
      <c r="BO424" s="101"/>
      <c r="BP424" s="105"/>
      <c r="BQ424" s="164"/>
      <c r="BR424" s="159"/>
      <c r="BS424" s="100"/>
      <c r="BU424" s="282"/>
      <c r="BV424" s="264"/>
      <c r="BW424" s="169"/>
      <c r="BX424" s="282"/>
      <c r="BY424" s="282"/>
      <c r="BZ424" s="169"/>
      <c r="CA424" s="271"/>
    </row>
    <row r="425" spans="1:79" s="72" customFormat="1">
      <c r="A425" s="13" t="s">
        <v>1810</v>
      </c>
      <c r="B425" s="387" t="s">
        <v>1900</v>
      </c>
      <c r="C425" s="13" t="s">
        <v>269</v>
      </c>
      <c r="D425" s="429" t="s">
        <v>1918</v>
      </c>
      <c r="E425" s="13" t="s">
        <v>137</v>
      </c>
      <c r="F425" s="13" t="s">
        <v>186</v>
      </c>
      <c r="G425" s="13" t="s">
        <v>1919</v>
      </c>
      <c r="H425" s="387" t="s">
        <v>121</v>
      </c>
      <c r="I425" s="13" t="s">
        <v>122</v>
      </c>
      <c r="J425" s="13" t="s">
        <v>5</v>
      </c>
      <c r="K425" s="13" t="s">
        <v>123</v>
      </c>
      <c r="L425" s="13" t="s">
        <v>1920</v>
      </c>
      <c r="M425" s="13" t="s">
        <v>125</v>
      </c>
      <c r="N425" s="13" t="s">
        <v>251</v>
      </c>
      <c r="O425" s="247">
        <v>0.56000000000000005</v>
      </c>
      <c r="P425" s="438">
        <v>115</v>
      </c>
      <c r="Q425" s="13">
        <v>23</v>
      </c>
      <c r="R425" s="13" t="s">
        <v>127</v>
      </c>
      <c r="S425" s="430" t="str">
        <f t="shared" si="181"/>
        <v>N/A</v>
      </c>
      <c r="T425" s="247">
        <v>0.8</v>
      </c>
      <c r="U425" s="13">
        <v>200</v>
      </c>
      <c r="V425" s="13">
        <v>800</v>
      </c>
      <c r="W425" s="430">
        <f t="shared" si="177"/>
        <v>600</v>
      </c>
      <c r="X425" s="430">
        <f t="shared" si="178"/>
        <v>120</v>
      </c>
      <c r="Y425" s="13">
        <v>200</v>
      </c>
      <c r="Z425" s="13">
        <v>800</v>
      </c>
      <c r="AA425" s="430">
        <f t="shared" si="182"/>
        <v>600</v>
      </c>
      <c r="AB425" s="430">
        <f t="shared" si="183"/>
        <v>120</v>
      </c>
      <c r="AC425" s="430" t="str">
        <f t="shared" si="184"/>
        <v>N/A</v>
      </c>
      <c r="AD425" s="430">
        <f t="shared" si="185"/>
        <v>92</v>
      </c>
      <c r="AE425" s="431">
        <f t="shared" si="186"/>
        <v>1.3152000000000001</v>
      </c>
      <c r="AF425" s="431"/>
      <c r="AG425" s="431">
        <f t="shared" si="187"/>
        <v>1.1091200000000001</v>
      </c>
      <c r="AH425" s="431">
        <f t="shared" si="188"/>
        <v>1.1756672000000001</v>
      </c>
      <c r="AI425" s="432">
        <f t="shared" si="189"/>
        <v>884.45891200000005</v>
      </c>
      <c r="AJ425" s="432">
        <f t="shared" si="190"/>
        <v>127.10288020062197</v>
      </c>
      <c r="AK425" s="432">
        <f t="shared" si="191"/>
        <v>138.97719482267954</v>
      </c>
      <c r="AL425" s="432">
        <f t="shared" si="192"/>
        <v>276.2666091817681</v>
      </c>
      <c r="AM425" s="250">
        <v>139</v>
      </c>
      <c r="AN425" s="432">
        <f t="shared" si="193"/>
        <v>159.85</v>
      </c>
      <c r="AO425" s="432">
        <f t="shared" si="194"/>
        <v>187.93040192000001</v>
      </c>
      <c r="AP425" s="432">
        <f t="shared" si="195"/>
        <v>817.08870400000001</v>
      </c>
      <c r="AQ425" s="255">
        <v>45039</v>
      </c>
      <c r="AR425" s="451" t="s">
        <v>1921</v>
      </c>
      <c r="AS425" s="429" t="s">
        <v>1922</v>
      </c>
      <c r="AT425" s="435"/>
      <c r="AU425" s="249"/>
      <c r="AV425" s="254"/>
      <c r="AW425" s="38" t="s">
        <v>127</v>
      </c>
      <c r="AX425" s="254"/>
      <c r="AY425" s="103">
        <f t="shared" si="199"/>
        <v>0.69565217391304346</v>
      </c>
      <c r="AZ425" s="38"/>
      <c r="BA425" s="13" t="str">
        <f t="shared" si="200"/>
        <v>W22</v>
      </c>
      <c r="BB425" s="77" t="str">
        <f>IF(R425="n/a","Clear","S/B")</f>
        <v>Clear</v>
      </c>
      <c r="BC425" s="264"/>
      <c r="BD425" s="253"/>
      <c r="BE425" s="253"/>
      <c r="BF425" s="100"/>
      <c r="BG425" s="253"/>
      <c r="BH425" s="253"/>
      <c r="BI425" s="100"/>
      <c r="BJ425" s="143"/>
      <c r="BK425" s="139"/>
      <c r="BL425" s="191"/>
      <c r="BM425" s="139"/>
      <c r="BN425" s="162"/>
      <c r="BO425" s="101"/>
      <c r="BP425" s="105"/>
      <c r="BQ425" s="71"/>
      <c r="BR425" s="71"/>
      <c r="BS425" s="71"/>
    </row>
    <row r="426" spans="1:79" s="72" customFormat="1">
      <c r="A426" s="13" t="s">
        <v>1810</v>
      </c>
      <c r="B426" s="387" t="s">
        <v>1900</v>
      </c>
      <c r="C426" s="13" t="s">
        <v>269</v>
      </c>
      <c r="D426" s="429" t="s">
        <v>1918</v>
      </c>
      <c r="E426" s="13" t="s">
        <v>137</v>
      </c>
      <c r="F426" s="13" t="s">
        <v>186</v>
      </c>
      <c r="G426" s="13" t="s">
        <v>1923</v>
      </c>
      <c r="H426" s="387" t="s">
        <v>121</v>
      </c>
      <c r="I426" s="13" t="s">
        <v>122</v>
      </c>
      <c r="J426" s="13" t="s">
        <v>5</v>
      </c>
      <c r="K426" s="13" t="s">
        <v>123</v>
      </c>
      <c r="L426" s="13"/>
      <c r="M426" s="13" t="s">
        <v>125</v>
      </c>
      <c r="N426" s="13" t="s">
        <v>126</v>
      </c>
      <c r="O426" s="247">
        <v>0.56000000000000005</v>
      </c>
      <c r="P426" s="438">
        <v>115</v>
      </c>
      <c r="Q426" s="13">
        <v>22</v>
      </c>
      <c r="R426" s="13" t="s">
        <v>127</v>
      </c>
      <c r="S426" s="430" t="str">
        <f t="shared" si="181"/>
        <v>N/A</v>
      </c>
      <c r="T426" s="247">
        <v>0.8</v>
      </c>
      <c r="U426" s="13">
        <v>200</v>
      </c>
      <c r="V426" s="13">
        <v>800</v>
      </c>
      <c r="W426" s="430">
        <f t="shared" si="177"/>
        <v>600</v>
      </c>
      <c r="X426" s="430">
        <f t="shared" si="178"/>
        <v>130</v>
      </c>
      <c r="Y426" s="13">
        <v>200</v>
      </c>
      <c r="Z426" s="13">
        <v>800</v>
      </c>
      <c r="AA426" s="430">
        <f t="shared" si="182"/>
        <v>600</v>
      </c>
      <c r="AB426" s="430">
        <f t="shared" si="183"/>
        <v>130</v>
      </c>
      <c r="AC426" s="430" t="str">
        <f t="shared" si="184"/>
        <v>N/A</v>
      </c>
      <c r="AD426" s="430">
        <f t="shared" si="185"/>
        <v>93</v>
      </c>
      <c r="AE426" s="431">
        <f t="shared" si="186"/>
        <v>1.3208000000000002</v>
      </c>
      <c r="AF426" s="431"/>
      <c r="AG426" s="431">
        <f t="shared" si="187"/>
        <v>1.110215652173913</v>
      </c>
      <c r="AH426" s="431">
        <f t="shared" si="188"/>
        <v>1.1768285913043479</v>
      </c>
      <c r="AI426" s="432">
        <f t="shared" si="189"/>
        <v>884.45891200000005</v>
      </c>
      <c r="AJ426" s="432">
        <f t="shared" si="190"/>
        <v>126.56398246506511</v>
      </c>
      <c r="AK426" s="432">
        <f t="shared" si="191"/>
        <v>138.38795171925207</v>
      </c>
      <c r="AL426" s="432">
        <f t="shared" si="192"/>
        <v>275.09527891873211</v>
      </c>
      <c r="AM426" s="250">
        <v>138</v>
      </c>
      <c r="AN426" s="432">
        <f t="shared" si="193"/>
        <v>158.69999999999999</v>
      </c>
      <c r="AO426" s="432">
        <f t="shared" si="194"/>
        <v>186.76269744000001</v>
      </c>
      <c r="AP426" s="432">
        <f t="shared" si="195"/>
        <v>848.92135200000007</v>
      </c>
      <c r="AQ426" s="255"/>
      <c r="AR426" s="451"/>
      <c r="AS426" s="429"/>
      <c r="AT426" s="435"/>
      <c r="AU426" s="249"/>
      <c r="AV426" s="254"/>
      <c r="AW426" s="38"/>
      <c r="AX426" s="254"/>
      <c r="AY426" s="103"/>
      <c r="AZ426" s="38"/>
      <c r="BA426" s="13"/>
      <c r="BB426" s="77"/>
      <c r="BC426" s="264"/>
      <c r="BD426" s="253"/>
      <c r="BE426" s="253"/>
      <c r="BF426" s="100"/>
      <c r="BG426" s="253"/>
      <c r="BH426" s="253"/>
      <c r="BI426" s="100"/>
      <c r="BJ426" s="143"/>
      <c r="BK426" s="139"/>
      <c r="BL426" s="191"/>
      <c r="BM426" s="139"/>
      <c r="BN426" s="162"/>
      <c r="BO426" s="101"/>
      <c r="BP426" s="105"/>
      <c r="BQ426" s="71"/>
      <c r="BR426" s="71"/>
      <c r="BS426" s="71"/>
    </row>
    <row r="427" spans="1:79" s="72" customFormat="1">
      <c r="A427" s="13" t="s">
        <v>1810</v>
      </c>
      <c r="B427" s="387" t="s">
        <v>1900</v>
      </c>
      <c r="C427" s="13" t="s">
        <v>280</v>
      </c>
      <c r="D427" s="13" t="s">
        <v>1924</v>
      </c>
      <c r="E427" s="13" t="s">
        <v>137</v>
      </c>
      <c r="F427" s="13" t="s">
        <v>186</v>
      </c>
      <c r="G427" s="13" t="s">
        <v>1925</v>
      </c>
      <c r="H427" s="387" t="s">
        <v>121</v>
      </c>
      <c r="I427" s="13" t="s">
        <v>122</v>
      </c>
      <c r="J427" s="13" t="s">
        <v>5</v>
      </c>
      <c r="K427" s="13" t="s">
        <v>123</v>
      </c>
      <c r="L427" s="13" t="s">
        <v>1926</v>
      </c>
      <c r="M427" s="13" t="s">
        <v>125</v>
      </c>
      <c r="N427" s="13" t="s">
        <v>251</v>
      </c>
      <c r="O427" s="247">
        <v>0.44</v>
      </c>
      <c r="P427" s="438">
        <v>115</v>
      </c>
      <c r="Q427" s="13">
        <v>23</v>
      </c>
      <c r="R427" s="13" t="s">
        <v>127</v>
      </c>
      <c r="S427" s="430" t="str">
        <f t="shared" si="181"/>
        <v>N/A</v>
      </c>
      <c r="T427" s="247">
        <v>0.8</v>
      </c>
      <c r="U427" s="13">
        <v>200</v>
      </c>
      <c r="V427" s="13">
        <v>800</v>
      </c>
      <c r="W427" s="430">
        <f t="shared" si="177"/>
        <v>600</v>
      </c>
      <c r="X427" s="430">
        <f t="shared" si="178"/>
        <v>120</v>
      </c>
      <c r="Y427" s="13">
        <v>200</v>
      </c>
      <c r="Z427" s="13">
        <v>800</v>
      </c>
      <c r="AA427" s="430">
        <f t="shared" si="182"/>
        <v>600</v>
      </c>
      <c r="AB427" s="430">
        <f t="shared" si="183"/>
        <v>120</v>
      </c>
      <c r="AC427" s="430" t="str">
        <f t="shared" si="184"/>
        <v>N/A</v>
      </c>
      <c r="AD427" s="430">
        <f t="shared" si="185"/>
        <v>92</v>
      </c>
      <c r="AE427" s="431">
        <f t="shared" si="186"/>
        <v>1.2048000000000001</v>
      </c>
      <c r="AF427" s="431"/>
      <c r="AG427" s="431">
        <f t="shared" si="187"/>
        <v>1.0428800000000003</v>
      </c>
      <c r="AH427" s="431">
        <f t="shared" si="188"/>
        <v>1.1054528000000001</v>
      </c>
      <c r="AI427" s="432">
        <f t="shared" si="189"/>
        <v>876.64628800000003</v>
      </c>
      <c r="AJ427" s="432">
        <f t="shared" si="190"/>
        <v>138.74975766920485</v>
      </c>
      <c r="AK427" s="432">
        <f t="shared" si="191"/>
        <v>151.71215689806456</v>
      </c>
      <c r="AL427" s="432">
        <f t="shared" si="192"/>
        <v>301.58187615858355</v>
      </c>
      <c r="AM427" s="250">
        <v>152</v>
      </c>
      <c r="AN427" s="432">
        <f t="shared" si="193"/>
        <v>174.8</v>
      </c>
      <c r="AO427" s="432">
        <f t="shared" si="194"/>
        <v>193.23314944000003</v>
      </c>
      <c r="AP427" s="432">
        <f t="shared" si="195"/>
        <v>840.14412800000014</v>
      </c>
      <c r="AQ427" s="255">
        <v>45039</v>
      </c>
      <c r="AR427" s="451" t="s">
        <v>1927</v>
      </c>
      <c r="AS427" s="429" t="s">
        <v>1928</v>
      </c>
      <c r="AT427" s="435"/>
      <c r="AU427" s="249"/>
      <c r="AV427" s="254"/>
      <c r="AW427" s="38" t="s">
        <v>127</v>
      </c>
      <c r="AX427" s="254"/>
      <c r="AY427" s="103">
        <f t="shared" si="199"/>
        <v>0.69565217391304346</v>
      </c>
      <c r="AZ427" s="38"/>
      <c r="BA427" s="13" t="str">
        <f t="shared" si="200"/>
        <v>W22</v>
      </c>
      <c r="BB427" s="77" t="str">
        <f>IF(R427="n/a","Clear","S/B")</f>
        <v>Clear</v>
      </c>
      <c r="BC427" s="264"/>
      <c r="BD427" s="253"/>
      <c r="BE427" s="253"/>
      <c r="BF427" s="100"/>
      <c r="BG427" s="253"/>
      <c r="BH427" s="253"/>
      <c r="BI427" s="100"/>
      <c r="BJ427" s="143"/>
      <c r="BK427" s="139"/>
      <c r="BL427" s="191"/>
      <c r="BM427" s="139"/>
      <c r="BN427" s="162"/>
      <c r="BO427" s="101"/>
      <c r="BP427" s="105"/>
      <c r="BQ427" s="144"/>
      <c r="BR427" s="140"/>
      <c r="BS427" s="106"/>
      <c r="BT427" s="262"/>
      <c r="BU427" s="269"/>
      <c r="BV427" s="263"/>
      <c r="BW427" s="132"/>
      <c r="BX427" s="269"/>
      <c r="BY427" s="269"/>
      <c r="BZ427" s="132"/>
      <c r="CA427" s="271"/>
    </row>
    <row r="428" spans="1:79" s="72" customFormat="1">
      <c r="A428" s="13" t="s">
        <v>1810</v>
      </c>
      <c r="B428" s="387" t="s">
        <v>1900</v>
      </c>
      <c r="C428" s="13" t="s">
        <v>280</v>
      </c>
      <c r="D428" s="13" t="s">
        <v>1924</v>
      </c>
      <c r="E428" s="13" t="s">
        <v>137</v>
      </c>
      <c r="F428" s="13" t="s">
        <v>186</v>
      </c>
      <c r="G428" s="13" t="s">
        <v>1929</v>
      </c>
      <c r="H428" s="387" t="s">
        <v>121</v>
      </c>
      <c r="I428" s="13" t="s">
        <v>122</v>
      </c>
      <c r="J428" s="13" t="s">
        <v>5</v>
      </c>
      <c r="K428" s="13" t="s">
        <v>123</v>
      </c>
      <c r="L428" s="13"/>
      <c r="M428" s="13" t="s">
        <v>125</v>
      </c>
      <c r="N428" s="13" t="s">
        <v>126</v>
      </c>
      <c r="O428" s="247">
        <v>0.44</v>
      </c>
      <c r="P428" s="438">
        <v>115</v>
      </c>
      <c r="Q428" s="13">
        <v>22</v>
      </c>
      <c r="R428" s="13" t="s">
        <v>127</v>
      </c>
      <c r="S428" s="430" t="str">
        <f t="shared" si="181"/>
        <v>N/A</v>
      </c>
      <c r="T428" s="247">
        <v>0.8</v>
      </c>
      <c r="U428" s="13">
        <v>200</v>
      </c>
      <c r="V428" s="13">
        <v>800</v>
      </c>
      <c r="W428" s="430">
        <f t="shared" si="177"/>
        <v>600</v>
      </c>
      <c r="X428" s="430">
        <f t="shared" si="178"/>
        <v>130</v>
      </c>
      <c r="Y428" s="13">
        <v>200</v>
      </c>
      <c r="Z428" s="13">
        <v>800</v>
      </c>
      <c r="AA428" s="430">
        <f t="shared" si="182"/>
        <v>600</v>
      </c>
      <c r="AB428" s="430">
        <f t="shared" si="183"/>
        <v>130</v>
      </c>
      <c r="AC428" s="430" t="str">
        <f t="shared" si="184"/>
        <v>N/A</v>
      </c>
      <c r="AD428" s="430">
        <f t="shared" si="185"/>
        <v>93</v>
      </c>
      <c r="AE428" s="431">
        <f t="shared" si="186"/>
        <v>1.2092000000000001</v>
      </c>
      <c r="AF428" s="431"/>
      <c r="AG428" s="431">
        <f t="shared" si="187"/>
        <v>1.0437408695652173</v>
      </c>
      <c r="AH428" s="431">
        <f t="shared" si="188"/>
        <v>1.1063653217391303</v>
      </c>
      <c r="AI428" s="432">
        <f t="shared" si="189"/>
        <v>876.64628800000003</v>
      </c>
      <c r="AJ428" s="432">
        <f t="shared" si="190"/>
        <v>138.24487929197653</v>
      </c>
      <c r="AK428" s="432">
        <f t="shared" si="191"/>
        <v>151.16011133872655</v>
      </c>
      <c r="AL428" s="432">
        <f t="shared" si="192"/>
        <v>300.48448924566776</v>
      </c>
      <c r="AM428" s="250">
        <v>151</v>
      </c>
      <c r="AN428" s="432">
        <f t="shared" si="193"/>
        <v>173.65</v>
      </c>
      <c r="AO428" s="432">
        <f t="shared" si="194"/>
        <v>192.12033811999999</v>
      </c>
      <c r="AP428" s="432">
        <f t="shared" si="195"/>
        <v>873.27426418181813</v>
      </c>
      <c r="AQ428" s="255"/>
      <c r="AR428" s="451"/>
      <c r="AS428" s="429"/>
      <c r="AT428" s="435"/>
      <c r="AU428" s="249"/>
      <c r="AV428" s="254"/>
      <c r="AW428" s="38"/>
      <c r="AX428" s="254"/>
      <c r="AY428" s="103"/>
      <c r="AZ428" s="38"/>
      <c r="BA428" s="13"/>
      <c r="BB428" s="77"/>
      <c r="BC428" s="264"/>
      <c r="BD428" s="253"/>
      <c r="BE428" s="253"/>
      <c r="BF428" s="100"/>
      <c r="BG428" s="253"/>
      <c r="BH428" s="253"/>
      <c r="BI428" s="100"/>
      <c r="BJ428" s="143"/>
      <c r="BK428" s="139"/>
      <c r="BL428" s="191"/>
      <c r="BM428" s="139"/>
      <c r="BN428" s="162"/>
      <c r="BO428" s="101"/>
      <c r="BP428" s="105"/>
      <c r="BQ428" s="144"/>
      <c r="BR428" s="140"/>
      <c r="BS428" s="106"/>
      <c r="BT428" s="262"/>
      <c r="BU428" s="269"/>
      <c r="BV428" s="263"/>
      <c r="BW428" s="132"/>
      <c r="BX428" s="269"/>
      <c r="BY428" s="269"/>
      <c r="BZ428" s="132"/>
      <c r="CA428" s="271"/>
    </row>
    <row r="429" spans="1:79" s="72" customFormat="1">
      <c r="A429" s="13" t="s">
        <v>1810</v>
      </c>
      <c r="B429" s="387" t="s">
        <v>1900</v>
      </c>
      <c r="C429" s="13" t="s">
        <v>280</v>
      </c>
      <c r="D429" s="13" t="s">
        <v>1930</v>
      </c>
      <c r="E429" s="13" t="s">
        <v>137</v>
      </c>
      <c r="F429" s="13" t="s">
        <v>167</v>
      </c>
      <c r="G429" s="13" t="s">
        <v>1931</v>
      </c>
      <c r="H429" s="387" t="s">
        <v>121</v>
      </c>
      <c r="I429" s="13" t="s">
        <v>122</v>
      </c>
      <c r="J429" s="13" t="s">
        <v>5</v>
      </c>
      <c r="K429" s="13" t="s">
        <v>123</v>
      </c>
      <c r="L429" s="13" t="s">
        <v>1932</v>
      </c>
      <c r="M429" s="13" t="s">
        <v>125</v>
      </c>
      <c r="N429" s="13" t="s">
        <v>126</v>
      </c>
      <c r="O429" s="247">
        <v>0.48</v>
      </c>
      <c r="P429" s="438">
        <v>115</v>
      </c>
      <c r="Q429" s="13">
        <v>23</v>
      </c>
      <c r="R429" s="13" t="s">
        <v>127</v>
      </c>
      <c r="S429" s="430" t="str">
        <f t="shared" si="181"/>
        <v>N/A</v>
      </c>
      <c r="T429" s="247">
        <v>0.8</v>
      </c>
      <c r="U429" s="13">
        <v>200</v>
      </c>
      <c r="V429" s="13">
        <v>800</v>
      </c>
      <c r="W429" s="430">
        <f t="shared" si="177"/>
        <v>600</v>
      </c>
      <c r="X429" s="430">
        <f t="shared" si="178"/>
        <v>120</v>
      </c>
      <c r="Y429" s="13">
        <v>200</v>
      </c>
      <c r="Z429" s="13">
        <v>800</v>
      </c>
      <c r="AA429" s="430">
        <f t="shared" si="182"/>
        <v>600</v>
      </c>
      <c r="AB429" s="430">
        <f t="shared" si="183"/>
        <v>120</v>
      </c>
      <c r="AC429" s="430" t="str">
        <f t="shared" si="184"/>
        <v>N/A</v>
      </c>
      <c r="AD429" s="430">
        <f t="shared" si="185"/>
        <v>92</v>
      </c>
      <c r="AE429" s="431">
        <f t="shared" si="186"/>
        <v>1.2416</v>
      </c>
      <c r="AF429" s="431"/>
      <c r="AG429" s="431">
        <f t="shared" si="187"/>
        <v>1.0649599999999999</v>
      </c>
      <c r="AH429" s="431">
        <f t="shared" si="188"/>
        <v>1.1288575999999999</v>
      </c>
      <c r="AI429" s="432">
        <f t="shared" si="189"/>
        <v>879.250496</v>
      </c>
      <c r="AJ429" s="432">
        <f t="shared" si="190"/>
        <v>134.63732928467948</v>
      </c>
      <c r="AK429" s="432">
        <f t="shared" si="191"/>
        <v>147.2155336910343</v>
      </c>
      <c r="AL429" s="432">
        <f t="shared" si="192"/>
        <v>292.6432380765637</v>
      </c>
      <c r="AM429" s="250">
        <v>147</v>
      </c>
      <c r="AN429" s="432">
        <f t="shared" si="193"/>
        <v>169.05</v>
      </c>
      <c r="AO429" s="432">
        <f t="shared" si="194"/>
        <v>190.83337728000001</v>
      </c>
      <c r="AP429" s="432">
        <f t="shared" si="195"/>
        <v>829.71033599999998</v>
      </c>
      <c r="AQ429" s="255" t="s">
        <v>170</v>
      </c>
      <c r="AR429" s="451" t="s">
        <v>1933</v>
      </c>
      <c r="AS429" s="429" t="s">
        <v>1934</v>
      </c>
      <c r="AT429" s="435" t="s">
        <v>1935</v>
      </c>
      <c r="AU429" s="241"/>
      <c r="AV429" s="243"/>
      <c r="AW429" s="72" t="s">
        <v>127</v>
      </c>
      <c r="AX429" s="243"/>
      <c r="AY429" s="103">
        <f t="shared" si="199"/>
        <v>0.69565217391304346</v>
      </c>
      <c r="BA429" s="72" t="str">
        <f t="shared" si="200"/>
        <v>W22</v>
      </c>
      <c r="BB429" s="72" t="str">
        <f>IF(R429="n/a","Clear","S/B")</f>
        <v>Clear</v>
      </c>
      <c r="BC429" s="32"/>
      <c r="BD429" s="241"/>
      <c r="BE429" s="241"/>
      <c r="BF429" s="71"/>
      <c r="BG429" s="241"/>
      <c r="BH429" s="241"/>
      <c r="BI429" s="71"/>
      <c r="BJ429" s="162"/>
      <c r="BK429" s="123"/>
      <c r="BL429" s="126"/>
      <c r="BM429" s="123"/>
      <c r="BN429" s="123"/>
      <c r="BO429" s="130"/>
      <c r="BP429" s="130"/>
      <c r="BQ429" s="124"/>
      <c r="BR429" s="124"/>
      <c r="BS429" s="71"/>
      <c r="BU429" s="78"/>
      <c r="BV429" s="32"/>
      <c r="BW429" s="127"/>
      <c r="BX429" s="78"/>
      <c r="BY429" s="78"/>
      <c r="BZ429" s="127"/>
      <c r="CA429" s="76"/>
    </row>
    <row r="430" spans="1:79" s="345" customFormat="1">
      <c r="A430" s="13" t="s">
        <v>1810</v>
      </c>
      <c r="B430" s="387" t="s">
        <v>1900</v>
      </c>
      <c r="C430" s="13" t="s">
        <v>280</v>
      </c>
      <c r="D430" s="13" t="s">
        <v>1930</v>
      </c>
      <c r="E430" s="13" t="s">
        <v>137</v>
      </c>
      <c r="F430" s="13" t="s">
        <v>186</v>
      </c>
      <c r="G430" s="13" t="s">
        <v>1936</v>
      </c>
      <c r="H430" s="387" t="s">
        <v>121</v>
      </c>
      <c r="I430" s="13" t="s">
        <v>122</v>
      </c>
      <c r="J430" s="13" t="s">
        <v>5</v>
      </c>
      <c r="K430" s="13" t="s">
        <v>123</v>
      </c>
      <c r="L430" s="13" t="s">
        <v>1937</v>
      </c>
      <c r="M430" s="13" t="s">
        <v>125</v>
      </c>
      <c r="N430" s="13" t="s">
        <v>12</v>
      </c>
      <c r="O430" s="247">
        <v>0.48</v>
      </c>
      <c r="P430" s="13">
        <v>117</v>
      </c>
      <c r="Q430" s="13">
        <v>25</v>
      </c>
      <c r="R430" s="13" t="s">
        <v>127</v>
      </c>
      <c r="S430" s="430" t="str">
        <f t="shared" si="181"/>
        <v>N/A</v>
      </c>
      <c r="T430" s="247">
        <v>0.8</v>
      </c>
      <c r="U430" s="13">
        <v>200</v>
      </c>
      <c r="V430" s="13">
        <v>800</v>
      </c>
      <c r="W430" s="430">
        <f t="shared" si="177"/>
        <v>600</v>
      </c>
      <c r="X430" s="430">
        <f t="shared" si="178"/>
        <v>120</v>
      </c>
      <c r="Y430" s="13">
        <v>200</v>
      </c>
      <c r="Z430" s="13">
        <v>800</v>
      </c>
      <c r="AA430" s="430">
        <f t="shared" si="182"/>
        <v>600</v>
      </c>
      <c r="AB430" s="430">
        <f t="shared" si="183"/>
        <v>120</v>
      </c>
      <c r="AC430" s="430" t="str">
        <f t="shared" si="184"/>
        <v>N/A</v>
      </c>
      <c r="AD430" s="430">
        <f t="shared" si="185"/>
        <v>92</v>
      </c>
      <c r="AE430" s="431">
        <f t="shared" si="186"/>
        <v>1.2416</v>
      </c>
      <c r="AF430" s="431"/>
      <c r="AG430" s="431">
        <f t="shared" si="187"/>
        <v>1.0679794871794872</v>
      </c>
      <c r="AH430" s="431">
        <f t="shared" si="188"/>
        <v>1.1320582564102564</v>
      </c>
      <c r="AI430" s="432">
        <f t="shared" si="189"/>
        <v>879.250496</v>
      </c>
      <c r="AJ430" s="432">
        <f t="shared" si="190"/>
        <v>134.63732928467948</v>
      </c>
      <c r="AK430" s="432">
        <f t="shared" si="191"/>
        <v>147.2155336910343</v>
      </c>
      <c r="AL430" s="432">
        <f t="shared" si="192"/>
        <v>292.6432380765637</v>
      </c>
      <c r="AM430" s="250">
        <v>152</v>
      </c>
      <c r="AN430" s="432">
        <f t="shared" si="193"/>
        <v>177.84</v>
      </c>
      <c r="AO430" s="432">
        <f t="shared" si="194"/>
        <v>201.32524032000001</v>
      </c>
      <c r="AP430" s="432">
        <f t="shared" si="195"/>
        <v>805.30096128000002</v>
      </c>
      <c r="AQ430" s="255">
        <v>45352</v>
      </c>
      <c r="AR430" s="451" t="s">
        <v>1938</v>
      </c>
      <c r="AS430" s="429" t="s">
        <v>1939</v>
      </c>
      <c r="AT430" s="435" t="s">
        <v>1940</v>
      </c>
      <c r="AU430" s="249"/>
      <c r="AV430" s="254"/>
      <c r="AW430" s="38"/>
      <c r="AX430" s="254"/>
      <c r="AY430" s="102">
        <f t="shared" si="199"/>
        <v>0.68376068376068377</v>
      </c>
      <c r="AZ430" s="38"/>
      <c r="BA430" s="38" t="str">
        <f t="shared" si="200"/>
        <v>W22</v>
      </c>
      <c r="BB430" s="77"/>
      <c r="BC430" s="264"/>
      <c r="BD430" s="253"/>
      <c r="BE430" s="253"/>
      <c r="BF430" s="100"/>
      <c r="BG430" s="253"/>
      <c r="BH430" s="253"/>
      <c r="BI430" s="100"/>
      <c r="BJ430" s="143"/>
      <c r="BK430" s="139"/>
      <c r="BL430" s="191"/>
      <c r="BM430" s="139"/>
      <c r="BN430" s="162"/>
      <c r="BO430" s="101"/>
      <c r="BP430" s="105"/>
      <c r="BQ430" s="164"/>
      <c r="BR430" s="159">
        <v>328</v>
      </c>
      <c r="BS430" s="100"/>
      <c r="BT430" s="77"/>
      <c r="BU430" s="282"/>
      <c r="BV430" s="264"/>
      <c r="BW430" s="169"/>
      <c r="BX430" s="282"/>
      <c r="BY430" s="282"/>
      <c r="BZ430" s="169"/>
      <c r="CA430" s="271"/>
    </row>
    <row r="431" spans="1:79" s="345" customFormat="1">
      <c r="A431" s="13" t="s">
        <v>1810</v>
      </c>
      <c r="B431" s="387" t="s">
        <v>1900</v>
      </c>
      <c r="C431" s="13" t="s">
        <v>280</v>
      </c>
      <c r="D431" s="13" t="s">
        <v>1930</v>
      </c>
      <c r="E431" s="13" t="s">
        <v>137</v>
      </c>
      <c r="F431" s="13" t="s">
        <v>186</v>
      </c>
      <c r="G431" s="13" t="s">
        <v>1941</v>
      </c>
      <c r="H431" s="387" t="s">
        <v>121</v>
      </c>
      <c r="I431" s="13" t="s">
        <v>122</v>
      </c>
      <c r="J431" s="13" t="s">
        <v>5</v>
      </c>
      <c r="K431" s="13" t="s">
        <v>123</v>
      </c>
      <c r="L431" s="13"/>
      <c r="M431" s="13"/>
      <c r="N431" s="13" t="s">
        <v>126</v>
      </c>
      <c r="O431" s="247">
        <v>0.48</v>
      </c>
      <c r="P431" s="13">
        <v>117</v>
      </c>
      <c r="Q431" s="13">
        <v>24</v>
      </c>
      <c r="R431" s="13" t="s">
        <v>127</v>
      </c>
      <c r="S431" s="430" t="str">
        <f t="shared" si="181"/>
        <v>N/A</v>
      </c>
      <c r="T431" s="247">
        <v>0.8</v>
      </c>
      <c r="U431" s="13">
        <v>200</v>
      </c>
      <c r="V431" s="13">
        <v>800</v>
      </c>
      <c r="W431" s="430">
        <f t="shared" si="177"/>
        <v>600</v>
      </c>
      <c r="X431" s="430">
        <f t="shared" si="178"/>
        <v>130</v>
      </c>
      <c r="Y431" s="13">
        <v>200</v>
      </c>
      <c r="Z431" s="13">
        <v>800</v>
      </c>
      <c r="AA431" s="430">
        <f t="shared" si="182"/>
        <v>600</v>
      </c>
      <c r="AB431" s="430">
        <f t="shared" si="183"/>
        <v>130</v>
      </c>
      <c r="AC431" s="430" t="str">
        <f t="shared" si="184"/>
        <v>N/A</v>
      </c>
      <c r="AD431" s="430">
        <f t="shared" si="185"/>
        <v>93</v>
      </c>
      <c r="AE431" s="431">
        <f t="shared" si="186"/>
        <v>1.2464</v>
      </c>
      <c r="AF431" s="431"/>
      <c r="AG431" s="431">
        <f t="shared" si="187"/>
        <v>1.0689846153846156</v>
      </c>
      <c r="AH431" s="431">
        <f t="shared" si="188"/>
        <v>1.1331236923076926</v>
      </c>
      <c r="AI431" s="432">
        <f t="shared" si="189"/>
        <v>879.250496</v>
      </c>
      <c r="AJ431" s="432">
        <f t="shared" si="190"/>
        <v>134.11882865842267</v>
      </c>
      <c r="AK431" s="432">
        <f t="shared" si="191"/>
        <v>146.64859325319975</v>
      </c>
      <c r="AL431" s="432">
        <f t="shared" si="192"/>
        <v>291.51624229449732</v>
      </c>
      <c r="AM431" s="250">
        <v>147</v>
      </c>
      <c r="AN431" s="432">
        <f t="shared" si="193"/>
        <v>171.99</v>
      </c>
      <c r="AO431" s="432">
        <f t="shared" si="194"/>
        <v>194.88594384000007</v>
      </c>
      <c r="AP431" s="432">
        <f t="shared" si="195"/>
        <v>812.02476600000034</v>
      </c>
      <c r="AQ431" s="255"/>
      <c r="AR431" s="451"/>
      <c r="AS431" s="429"/>
      <c r="AT431" s="435"/>
      <c r="AU431" s="249"/>
      <c r="AV431" s="254"/>
      <c r="AW431" s="38"/>
      <c r="AX431" s="254"/>
      <c r="AY431" s="102"/>
      <c r="AZ431" s="38"/>
      <c r="BA431" s="38"/>
      <c r="BB431" s="77"/>
      <c r="BC431" s="264"/>
      <c r="BD431" s="253"/>
      <c r="BE431" s="253"/>
      <c r="BF431" s="100"/>
      <c r="BG431" s="253"/>
      <c r="BH431" s="253"/>
      <c r="BI431" s="100"/>
      <c r="BJ431" s="143"/>
      <c r="BK431" s="139"/>
      <c r="BL431" s="191"/>
      <c r="BM431" s="139"/>
      <c r="BN431" s="162"/>
      <c r="BO431" s="101"/>
      <c r="BP431" s="105"/>
      <c r="BQ431" s="164"/>
      <c r="BR431" s="159"/>
      <c r="BS431" s="100"/>
      <c r="BT431" s="77"/>
      <c r="BU431" s="282"/>
      <c r="BV431" s="264"/>
      <c r="BW431" s="169"/>
      <c r="BX431" s="282"/>
      <c r="BY431" s="282"/>
      <c r="BZ431" s="169"/>
      <c r="CA431" s="271"/>
    </row>
    <row r="432" spans="1:79" s="345" customFormat="1">
      <c r="A432" s="13" t="s">
        <v>1810</v>
      </c>
      <c r="B432" s="387" t="s">
        <v>1900</v>
      </c>
      <c r="C432" s="13"/>
      <c r="D432" s="13"/>
      <c r="E432" s="13" t="s">
        <v>137</v>
      </c>
      <c r="F432" s="13" t="s">
        <v>119</v>
      </c>
      <c r="G432" s="13" t="s">
        <v>1942</v>
      </c>
      <c r="H432" s="387" t="s">
        <v>121</v>
      </c>
      <c r="I432" s="13" t="s">
        <v>122</v>
      </c>
      <c r="J432" s="13" t="s">
        <v>5</v>
      </c>
      <c r="K432" s="13" t="s">
        <v>123</v>
      </c>
      <c r="L432" s="13"/>
      <c r="M432" s="13"/>
      <c r="N432" s="13" t="s">
        <v>126</v>
      </c>
      <c r="O432" s="247">
        <v>0.48</v>
      </c>
      <c r="P432" s="13">
        <v>118</v>
      </c>
      <c r="Q432" s="13">
        <v>30</v>
      </c>
      <c r="R432" s="13" t="s">
        <v>127</v>
      </c>
      <c r="S432" s="430" t="str">
        <f t="shared" si="181"/>
        <v>N/A</v>
      </c>
      <c r="T432" s="247">
        <v>0.8</v>
      </c>
      <c r="U432" s="13">
        <v>200</v>
      </c>
      <c r="V432" s="13">
        <v>600</v>
      </c>
      <c r="W432" s="430">
        <f t="shared" si="177"/>
        <v>400</v>
      </c>
      <c r="X432" s="430">
        <f t="shared" si="178"/>
        <v>280</v>
      </c>
      <c r="Y432" s="13">
        <v>200</v>
      </c>
      <c r="Z432" s="13">
        <v>600</v>
      </c>
      <c r="AA432" s="430">
        <f t="shared" si="182"/>
        <v>400</v>
      </c>
      <c r="AB432" s="430">
        <f t="shared" si="183"/>
        <v>280</v>
      </c>
      <c r="AC432" s="430" t="str">
        <f t="shared" si="184"/>
        <v>N/A</v>
      </c>
      <c r="AD432" s="430">
        <f t="shared" si="185"/>
        <v>88</v>
      </c>
      <c r="AE432" s="431">
        <f t="shared" si="186"/>
        <v>1.2223999999999999</v>
      </c>
      <c r="AF432" s="431"/>
      <c r="AG432" s="431">
        <f t="shared" si="187"/>
        <v>1.0648949152542373</v>
      </c>
      <c r="AH432" s="431">
        <f t="shared" si="188"/>
        <v>1.1287886101694915</v>
      </c>
      <c r="AI432" s="432">
        <f t="shared" si="189"/>
        <v>879.250496</v>
      </c>
      <c r="AJ432" s="432">
        <f t="shared" si="190"/>
        <v>136.75205173417709</v>
      </c>
      <c r="AK432" s="432">
        <f t="shared" si="191"/>
        <v>149.52781956052698</v>
      </c>
      <c r="AL432" s="432">
        <f t="shared" si="192"/>
        <v>297.23972872698096</v>
      </c>
      <c r="AM432" s="250">
        <v>150</v>
      </c>
      <c r="AN432" s="432">
        <f t="shared" si="193"/>
        <v>177</v>
      </c>
      <c r="AO432" s="432">
        <f t="shared" si="194"/>
        <v>199.79558399999999</v>
      </c>
      <c r="AP432" s="432">
        <f t="shared" si="195"/>
        <v>665.98527999999999</v>
      </c>
      <c r="AQ432" s="255"/>
      <c r="AR432" s="451"/>
      <c r="AS432" s="447" t="s">
        <v>1943</v>
      </c>
      <c r="AT432" s="435"/>
      <c r="AU432" s="249"/>
      <c r="AV432" s="254"/>
      <c r="AW432" s="38"/>
      <c r="AX432" s="254"/>
      <c r="AY432" s="102"/>
      <c r="AZ432" s="38"/>
      <c r="BA432" s="38"/>
      <c r="BB432" s="77"/>
      <c r="BC432" s="264"/>
      <c r="BD432" s="253"/>
      <c r="BE432" s="253"/>
      <c r="BF432" s="100"/>
      <c r="BG432" s="253"/>
      <c r="BH432" s="253"/>
      <c r="BI432" s="100"/>
      <c r="BJ432" s="143"/>
      <c r="BK432" s="139"/>
      <c r="BL432" s="191"/>
      <c r="BM432" s="139"/>
      <c r="BN432" s="162"/>
      <c r="BO432" s="101"/>
      <c r="BP432" s="105"/>
      <c r="BQ432" s="164"/>
      <c r="BR432" s="159"/>
      <c r="BS432" s="100"/>
      <c r="BT432" s="77"/>
      <c r="BU432" s="282"/>
      <c r="BV432" s="264"/>
      <c r="BW432" s="169"/>
      <c r="BX432" s="282"/>
      <c r="BY432" s="282"/>
      <c r="BZ432" s="169"/>
      <c r="CA432" s="271"/>
    </row>
    <row r="433" spans="1:79" s="345" customFormat="1">
      <c r="A433" s="13" t="s">
        <v>1810</v>
      </c>
      <c r="B433" s="387" t="s">
        <v>1900</v>
      </c>
      <c r="C433" s="13"/>
      <c r="D433" s="13"/>
      <c r="E433" s="13" t="s">
        <v>137</v>
      </c>
      <c r="F433" s="13" t="s">
        <v>119</v>
      </c>
      <c r="G433" s="13" t="s">
        <v>1944</v>
      </c>
      <c r="H433" s="387" t="s">
        <v>121</v>
      </c>
      <c r="I433" s="13" t="s">
        <v>122</v>
      </c>
      <c r="J433" s="13" t="s">
        <v>5</v>
      </c>
      <c r="K433" s="13" t="s">
        <v>123</v>
      </c>
      <c r="L433" s="13"/>
      <c r="M433" s="13"/>
      <c r="N433" s="13" t="s">
        <v>126</v>
      </c>
      <c r="O433" s="247">
        <v>0.48</v>
      </c>
      <c r="P433" s="13">
        <v>118</v>
      </c>
      <c r="Q433" s="13">
        <v>30</v>
      </c>
      <c r="R433" s="445">
        <v>12</v>
      </c>
      <c r="S433" s="430">
        <f t="shared" si="181"/>
        <v>106</v>
      </c>
      <c r="T433" s="247">
        <v>0.8</v>
      </c>
      <c r="U433" s="13">
        <v>200</v>
      </c>
      <c r="V433" s="13">
        <v>600</v>
      </c>
      <c r="W433" s="430">
        <f t="shared" si="177"/>
        <v>400</v>
      </c>
      <c r="X433" s="430">
        <f t="shared" si="178"/>
        <v>280</v>
      </c>
      <c r="Y433" s="13">
        <v>200</v>
      </c>
      <c r="Z433" s="13">
        <v>600</v>
      </c>
      <c r="AA433" s="430">
        <f t="shared" si="182"/>
        <v>400</v>
      </c>
      <c r="AB433" s="430">
        <f t="shared" si="183"/>
        <v>280</v>
      </c>
      <c r="AC433" s="430" t="str">
        <f t="shared" si="184"/>
        <v>N/A</v>
      </c>
      <c r="AD433" s="430">
        <f t="shared" si="185"/>
        <v>88</v>
      </c>
      <c r="AE433" s="431">
        <f t="shared" si="186"/>
        <v>1.2223999999999999</v>
      </c>
      <c r="AF433" s="431"/>
      <c r="AG433" s="431">
        <f t="shared" si="187"/>
        <v>1.0648949152542373</v>
      </c>
      <c r="AH433" s="431">
        <f t="shared" si="188"/>
        <v>1.1287886101694915</v>
      </c>
      <c r="AI433" s="432">
        <f t="shared" si="189"/>
        <v>879.250496</v>
      </c>
      <c r="AJ433" s="432">
        <f t="shared" si="190"/>
        <v>136.75205173417709</v>
      </c>
      <c r="AK433" s="432">
        <f t="shared" si="191"/>
        <v>149.52781956052698</v>
      </c>
      <c r="AL433" s="432">
        <f t="shared" si="192"/>
        <v>297.23972872698096</v>
      </c>
      <c r="AM433" s="250">
        <v>150</v>
      </c>
      <c r="AN433" s="432">
        <f t="shared" si="193"/>
        <v>177</v>
      </c>
      <c r="AO433" s="432">
        <f t="shared" si="194"/>
        <v>199.79558399999999</v>
      </c>
      <c r="AP433" s="432">
        <f t="shared" si="195"/>
        <v>665.98527999999999</v>
      </c>
      <c r="AQ433" s="255"/>
      <c r="AR433" s="451"/>
      <c r="AS433" s="447" t="s">
        <v>1945</v>
      </c>
      <c r="AT433" s="435"/>
      <c r="AU433" s="249"/>
      <c r="AV433" s="254"/>
      <c r="AW433" s="38"/>
      <c r="AX433" s="254"/>
      <c r="AY433" s="102"/>
      <c r="AZ433" s="38"/>
      <c r="BA433" s="38"/>
      <c r="BB433" s="77"/>
      <c r="BC433" s="264"/>
      <c r="BD433" s="253"/>
      <c r="BE433" s="253"/>
      <c r="BF433" s="100"/>
      <c r="BG433" s="253"/>
      <c r="BH433" s="253"/>
      <c r="BI433" s="100"/>
      <c r="BJ433" s="143"/>
      <c r="BK433" s="139"/>
      <c r="BL433" s="191"/>
      <c r="BM433" s="139"/>
      <c r="BN433" s="162"/>
      <c r="BO433" s="101"/>
      <c r="BP433" s="105"/>
      <c r="BQ433" s="164"/>
      <c r="BR433" s="159"/>
      <c r="BS433" s="100"/>
      <c r="BT433" s="77"/>
      <c r="BU433" s="282"/>
      <c r="BV433" s="264"/>
      <c r="BW433" s="169"/>
      <c r="BX433" s="282"/>
      <c r="BY433" s="282"/>
      <c r="BZ433" s="169"/>
      <c r="CA433" s="271"/>
    </row>
    <row r="434" spans="1:79" s="278" customFormat="1">
      <c r="A434" s="13" t="s">
        <v>1810</v>
      </c>
      <c r="B434" s="387" t="s">
        <v>1900</v>
      </c>
      <c r="C434" s="13" t="s">
        <v>1946</v>
      </c>
      <c r="D434" s="13" t="s">
        <v>1947</v>
      </c>
      <c r="E434" s="13" t="s">
        <v>137</v>
      </c>
      <c r="F434" s="13" t="s">
        <v>119</v>
      </c>
      <c r="G434" s="13" t="s">
        <v>1948</v>
      </c>
      <c r="H434" s="387" t="s">
        <v>121</v>
      </c>
      <c r="I434" s="13" t="s">
        <v>122</v>
      </c>
      <c r="J434" s="13" t="s">
        <v>274</v>
      </c>
      <c r="K434" s="13" t="s">
        <v>123</v>
      </c>
      <c r="L434" s="13" t="s">
        <v>1949</v>
      </c>
      <c r="M434" s="13" t="s">
        <v>125</v>
      </c>
      <c r="N434" s="13" t="s">
        <v>126</v>
      </c>
      <c r="O434" s="247">
        <v>0.62</v>
      </c>
      <c r="P434" s="438">
        <v>92</v>
      </c>
      <c r="Q434" s="13">
        <v>24</v>
      </c>
      <c r="R434" s="445">
        <v>18</v>
      </c>
      <c r="S434" s="430">
        <f t="shared" si="181"/>
        <v>74</v>
      </c>
      <c r="T434" s="247">
        <v>0.8</v>
      </c>
      <c r="U434" s="13">
        <v>160</v>
      </c>
      <c r="V434" s="13">
        <v>560</v>
      </c>
      <c r="W434" s="430">
        <f t="shared" si="177"/>
        <v>400</v>
      </c>
      <c r="X434" s="430">
        <f t="shared" si="178"/>
        <v>120</v>
      </c>
      <c r="Y434" s="13">
        <f>U434</f>
        <v>160</v>
      </c>
      <c r="Z434" s="13">
        <f>V434</f>
        <v>560</v>
      </c>
      <c r="AA434" s="430">
        <f t="shared" si="182"/>
        <v>400</v>
      </c>
      <c r="AB434" s="430">
        <f t="shared" si="183"/>
        <v>120</v>
      </c>
      <c r="AC434" s="430">
        <f t="shared" si="184"/>
        <v>60</v>
      </c>
      <c r="AD434" s="430">
        <f t="shared" si="185"/>
        <v>68</v>
      </c>
      <c r="AE434" s="431">
        <f t="shared" si="186"/>
        <v>1.2216</v>
      </c>
      <c r="AF434" s="431"/>
      <c r="AG434" s="431">
        <f t="shared" si="187"/>
        <v>1.0657913043478262</v>
      </c>
      <c r="AH434" s="431">
        <f t="shared" si="188"/>
        <v>1.1297387826086958</v>
      </c>
      <c r="AI434" s="432">
        <f t="shared" si="189"/>
        <v>888.36522400000001</v>
      </c>
      <c r="AJ434" s="432">
        <f t="shared" si="190"/>
        <v>136.84160776019814</v>
      </c>
      <c r="AK434" s="432">
        <f t="shared" si="191"/>
        <v>149.62574216665698</v>
      </c>
      <c r="AL434" s="432">
        <f t="shared" si="192"/>
        <v>297.43438473793503</v>
      </c>
      <c r="AM434" s="250">
        <v>250</v>
      </c>
      <c r="AN434" s="432">
        <f t="shared" si="193"/>
        <v>230</v>
      </c>
      <c r="AO434" s="432">
        <f t="shared" si="194"/>
        <v>259.83992000000001</v>
      </c>
      <c r="AP434" s="432">
        <f t="shared" si="195"/>
        <v>1082.6663333333333</v>
      </c>
      <c r="AQ434" s="255">
        <v>44562</v>
      </c>
      <c r="AR434" s="451" t="s">
        <v>1950</v>
      </c>
      <c r="AS434" s="434" t="s">
        <v>1951</v>
      </c>
      <c r="AT434" s="435"/>
      <c r="AU434" s="250"/>
      <c r="AV434" s="255"/>
      <c r="AW434" s="13" t="s">
        <v>127</v>
      </c>
      <c r="AX434" s="255"/>
      <c r="AY434" s="103">
        <f t="shared" si="199"/>
        <v>0.60869565217391308</v>
      </c>
      <c r="AZ434" s="13"/>
      <c r="BA434" s="13" t="str">
        <f t="shared" si="200"/>
        <v>W23</v>
      </c>
      <c r="BB434" s="72" t="str">
        <f>IF(R434="n/a","Clear","S/B")</f>
        <v>S/B</v>
      </c>
      <c r="BC434" s="32">
        <f>IF(Q434="","",((P434/100*O434)+T434))</f>
        <v>1.3704000000000001</v>
      </c>
      <c r="BD434" s="241">
        <f>IF(BC434="","",((PI()*((51/2)^2-(16.545/2)^2)/(BC434/10))/100))</f>
        <v>133.37916420810581</v>
      </c>
      <c r="BE434" s="241">
        <f>IF(BC434="","",(BD434-AK434))</f>
        <v>-16.246577958551171</v>
      </c>
      <c r="BF434" s="71">
        <f>IF(BC434="","",(BE434/AK434))</f>
        <v>-0.10858143607705763</v>
      </c>
      <c r="BG434" s="241">
        <f>IF(BF434="","",((PI()*((70/2)^2-(16.545/2)^2)/(BC434/10))/100))</f>
        <v>265.13853210439396</v>
      </c>
      <c r="BH434" s="241">
        <f>IF(BF434="","",(BG434-AL434))</f>
        <v>-32.295852633541074</v>
      </c>
      <c r="BI434" s="71">
        <f>IF(BG434="","",(BH434/AL434))</f>
        <v>-0.10858143607705768</v>
      </c>
      <c r="BJ434" s="143"/>
      <c r="BK434" s="300">
        <v>24.2</v>
      </c>
      <c r="BL434" s="112">
        <f>AH434</f>
        <v>1.1297387826086958</v>
      </c>
      <c r="BM434" s="111">
        <f>BK434/AH434</f>
        <v>21.420880979335273</v>
      </c>
      <c r="BN434" s="123">
        <f>BK434-BM434</f>
        <v>2.7791190206647265</v>
      </c>
      <c r="BO434" s="301"/>
      <c r="BP434" s="301"/>
      <c r="BQ434" s="159"/>
      <c r="BR434" s="159"/>
      <c r="BS434" s="100"/>
      <c r="BT434" s="72"/>
      <c r="BU434" s="78"/>
      <c r="BV434" s="32"/>
      <c r="BW434" s="127"/>
      <c r="BX434" s="78"/>
      <c r="BY434" s="78"/>
      <c r="BZ434" s="127"/>
      <c r="CA434" s="76"/>
    </row>
    <row r="435" spans="1:79" s="72" customFormat="1">
      <c r="A435" s="13" t="s">
        <v>1810</v>
      </c>
      <c r="B435" s="387" t="s">
        <v>1900</v>
      </c>
      <c r="C435" s="13" t="s">
        <v>1952</v>
      </c>
      <c r="D435" s="429" t="s">
        <v>1953</v>
      </c>
      <c r="E435" s="13" t="s">
        <v>137</v>
      </c>
      <c r="F435" s="13" t="s">
        <v>167</v>
      </c>
      <c r="G435" s="13" t="s">
        <v>1954</v>
      </c>
      <c r="H435" s="387" t="s">
        <v>121</v>
      </c>
      <c r="I435" s="13" t="s">
        <v>122</v>
      </c>
      <c r="J435" s="13" t="s">
        <v>5</v>
      </c>
      <c r="K435" s="13" t="s">
        <v>123</v>
      </c>
      <c r="L435" s="13" t="s">
        <v>1955</v>
      </c>
      <c r="M435" s="13" t="s">
        <v>125</v>
      </c>
      <c r="N435" s="13" t="s">
        <v>126</v>
      </c>
      <c r="O435" s="247">
        <v>0.64</v>
      </c>
      <c r="P435" s="438">
        <v>115</v>
      </c>
      <c r="Q435" s="13">
        <v>23</v>
      </c>
      <c r="R435" s="13" t="s">
        <v>127</v>
      </c>
      <c r="S435" s="430" t="str">
        <f t="shared" si="181"/>
        <v>N/A</v>
      </c>
      <c r="T435" s="247">
        <v>0.8</v>
      </c>
      <c r="U435" s="13">
        <v>200</v>
      </c>
      <c r="V435" s="13">
        <v>800</v>
      </c>
      <c r="W435" s="430">
        <f t="shared" si="177"/>
        <v>600</v>
      </c>
      <c r="X435" s="430">
        <f t="shared" si="178"/>
        <v>120</v>
      </c>
      <c r="Y435" s="13">
        <v>200</v>
      </c>
      <c r="Z435" s="13">
        <v>800</v>
      </c>
      <c r="AA435" s="430">
        <f t="shared" si="182"/>
        <v>600</v>
      </c>
      <c r="AB435" s="430">
        <f t="shared" si="183"/>
        <v>120</v>
      </c>
      <c r="AC435" s="430" t="str">
        <f t="shared" si="184"/>
        <v>N/A</v>
      </c>
      <c r="AD435" s="430">
        <f t="shared" si="185"/>
        <v>92</v>
      </c>
      <c r="AE435" s="431">
        <f t="shared" si="186"/>
        <v>1.3888</v>
      </c>
      <c r="AF435" s="431"/>
      <c r="AG435" s="431">
        <f t="shared" si="187"/>
        <v>1.1532800000000001</v>
      </c>
      <c r="AH435" s="431">
        <f t="shared" si="188"/>
        <v>1.2224767999999999</v>
      </c>
      <c r="AI435" s="432">
        <f t="shared" si="189"/>
        <v>889.66732800000011</v>
      </c>
      <c r="AJ435" s="432">
        <f t="shared" si="190"/>
        <v>120.36701327754754</v>
      </c>
      <c r="AK435" s="432">
        <f t="shared" si="191"/>
        <v>131.61204394497997</v>
      </c>
      <c r="AL435" s="432">
        <f t="shared" si="192"/>
        <v>261.62575201314911</v>
      </c>
      <c r="AM435" s="250">
        <v>132</v>
      </c>
      <c r="AN435" s="432">
        <f t="shared" si="193"/>
        <v>151.80000000000001</v>
      </c>
      <c r="AO435" s="432">
        <f t="shared" si="194"/>
        <v>185.57197823999999</v>
      </c>
      <c r="AP435" s="432">
        <f t="shared" si="195"/>
        <v>806.83468799999991</v>
      </c>
      <c r="AQ435" s="255" t="s">
        <v>170</v>
      </c>
      <c r="AR435" s="451" t="s">
        <v>1933</v>
      </c>
      <c r="AS435" s="429" t="s">
        <v>1956</v>
      </c>
      <c r="AT435" s="435"/>
      <c r="AU435" s="241"/>
      <c r="AV435" s="243"/>
      <c r="AW435" s="72" t="s">
        <v>127</v>
      </c>
      <c r="AX435" s="243"/>
      <c r="AY435" s="71">
        <f t="shared" si="199"/>
        <v>0.69565217391304346</v>
      </c>
      <c r="BA435" s="72" t="str">
        <f t="shared" si="200"/>
        <v>W22</v>
      </c>
      <c r="BB435" s="72" t="str">
        <f>IF(R435="n/a","Clear","S/B")</f>
        <v>Clear</v>
      </c>
      <c r="BC435" s="32"/>
      <c r="BD435" s="241"/>
      <c r="BE435" s="241"/>
      <c r="BF435" s="71"/>
      <c r="BG435" s="241"/>
      <c r="BH435" s="241"/>
      <c r="BI435" s="71"/>
      <c r="BJ435" s="162"/>
      <c r="BK435" s="123"/>
      <c r="BL435" s="126"/>
      <c r="BM435" s="123"/>
      <c r="BN435" s="123"/>
      <c r="BO435" s="130"/>
      <c r="BP435" s="130"/>
      <c r="BQ435" s="115"/>
      <c r="BR435" s="152"/>
      <c r="BS435" s="71"/>
      <c r="BT435" s="13"/>
      <c r="BU435" s="79"/>
      <c r="BV435" s="29"/>
      <c r="BW435" s="86"/>
      <c r="BX435" s="79"/>
      <c r="BY435" s="79"/>
      <c r="BZ435" s="86"/>
      <c r="CA435" s="76"/>
    </row>
    <row r="436" spans="1:79" s="72" customFormat="1">
      <c r="A436" s="13" t="s">
        <v>1810</v>
      </c>
      <c r="B436" s="387" t="s">
        <v>1900</v>
      </c>
      <c r="C436" s="13" t="s">
        <v>1957</v>
      </c>
      <c r="D436" s="13" t="s">
        <v>1958</v>
      </c>
      <c r="E436" s="13" t="s">
        <v>137</v>
      </c>
      <c r="F436" s="13" t="s">
        <v>167</v>
      </c>
      <c r="G436" s="13" t="s">
        <v>1959</v>
      </c>
      <c r="H436" s="387" t="s">
        <v>121</v>
      </c>
      <c r="I436" s="13" t="s">
        <v>122</v>
      </c>
      <c r="J436" s="13" t="s">
        <v>5</v>
      </c>
      <c r="K436" s="13" t="s">
        <v>123</v>
      </c>
      <c r="L436" s="13" t="s">
        <v>1960</v>
      </c>
      <c r="M436" s="13" t="s">
        <v>125</v>
      </c>
      <c r="N436" s="13" t="s">
        <v>126</v>
      </c>
      <c r="O436" s="247">
        <v>0.52</v>
      </c>
      <c r="P436" s="438">
        <v>113</v>
      </c>
      <c r="Q436" s="13">
        <v>21</v>
      </c>
      <c r="R436" s="13" t="s">
        <v>127</v>
      </c>
      <c r="S436" s="430" t="str">
        <f t="shared" si="181"/>
        <v>N/A</v>
      </c>
      <c r="T436" s="247">
        <v>0.8</v>
      </c>
      <c r="U436" s="13">
        <v>200</v>
      </c>
      <c r="V436" s="13">
        <v>800</v>
      </c>
      <c r="W436" s="430">
        <f t="shared" si="177"/>
        <v>600</v>
      </c>
      <c r="X436" s="430">
        <f t="shared" si="178"/>
        <v>120</v>
      </c>
      <c r="Y436" s="13">
        <v>200</v>
      </c>
      <c r="Z436" s="13">
        <v>800</v>
      </c>
      <c r="AA436" s="430">
        <f t="shared" si="182"/>
        <v>600</v>
      </c>
      <c r="AB436" s="430">
        <f t="shared" si="183"/>
        <v>120</v>
      </c>
      <c r="AC436" s="430" t="str">
        <f t="shared" si="184"/>
        <v>N/A</v>
      </c>
      <c r="AD436" s="430">
        <f t="shared" si="185"/>
        <v>92</v>
      </c>
      <c r="AE436" s="431">
        <f t="shared" si="186"/>
        <v>1.2784</v>
      </c>
      <c r="AF436" s="431"/>
      <c r="AG436" s="431">
        <f t="shared" si="187"/>
        <v>1.0836530973451328</v>
      </c>
      <c r="AH436" s="431">
        <f t="shared" si="188"/>
        <v>1.1486722831858407</v>
      </c>
      <c r="AI436" s="432">
        <f t="shared" si="189"/>
        <v>881.85470400000008</v>
      </c>
      <c r="AJ436" s="432">
        <f t="shared" si="190"/>
        <v>130.76166148299282</v>
      </c>
      <c r="AK436" s="432">
        <f t="shared" si="191"/>
        <v>142.97778991770036</v>
      </c>
      <c r="AL436" s="432">
        <f t="shared" si="192"/>
        <v>284.21921495295794</v>
      </c>
      <c r="AM436" s="250">
        <v>143</v>
      </c>
      <c r="AN436" s="432">
        <f t="shared" si="193"/>
        <v>161.59</v>
      </c>
      <c r="AO436" s="432">
        <f t="shared" si="194"/>
        <v>185.61395424</v>
      </c>
      <c r="AP436" s="432">
        <f t="shared" si="195"/>
        <v>883.87597257142863</v>
      </c>
      <c r="AQ436" s="255">
        <v>44949</v>
      </c>
      <c r="AR436" s="451" t="s">
        <v>1961</v>
      </c>
      <c r="AS436" s="429" t="s">
        <v>1962</v>
      </c>
      <c r="AT436" s="435" t="s">
        <v>1963</v>
      </c>
      <c r="AU436" s="241">
        <v>4</v>
      </c>
      <c r="AV436" s="243"/>
      <c r="AW436" s="72" t="s">
        <v>127</v>
      </c>
      <c r="AX436" s="243"/>
      <c r="AY436" s="103">
        <f t="shared" si="199"/>
        <v>0.70796460176991149</v>
      </c>
      <c r="BA436" s="72" t="str">
        <f t="shared" si="200"/>
        <v>W22</v>
      </c>
      <c r="BB436" s="72" t="str">
        <f>IF(R436="n/a","Clear","S/B")</f>
        <v>Clear</v>
      </c>
      <c r="BC436" s="32">
        <f>IF(Q436="","",((P436/100*O436)+T436))</f>
        <v>1.3875999999999999</v>
      </c>
      <c r="BD436" s="241">
        <f>IF(BC436="","",((PI()*((51/2)^2-(16.545/2)^2)/(BC436/10))/100))</f>
        <v>131.72586237445097</v>
      </c>
      <c r="BE436" s="241">
        <f>IF(BC436="","",(BD436-AK436))</f>
        <v>-11.251927543249394</v>
      </c>
      <c r="BF436" s="71">
        <f>IF(BC436="","",(BE436/AK436))</f>
        <v>-7.8697030844623705E-2</v>
      </c>
      <c r="BG436" s="241">
        <f>IF(BF436="","",((PI()*((70/2)^2-(16.545/2)^2)/(BC436/10))/100))</f>
        <v>261.85200662717028</v>
      </c>
      <c r="BH436" s="241">
        <f>IF(BF436="","",(BG436-AL436))</f>
        <v>-22.367208325787658</v>
      </c>
      <c r="BI436" s="71">
        <f>IF(BG436="","",(BH436/AL436))</f>
        <v>-7.8697030844623678E-2</v>
      </c>
      <c r="BJ436" s="162"/>
      <c r="BK436" s="123">
        <v>24.2</v>
      </c>
      <c r="BL436" s="126">
        <f>AH436</f>
        <v>1.1486722831858407</v>
      </c>
      <c r="BM436" s="123">
        <f>BK436/AH436</f>
        <v>21.067801804080567</v>
      </c>
      <c r="BN436" s="123">
        <f>BK436-BM436</f>
        <v>3.1321981959194325</v>
      </c>
      <c r="BO436" s="108">
        <v>15.13</v>
      </c>
      <c r="BP436" s="165">
        <f>BO436-BM436</f>
        <v>-5.937801804080566</v>
      </c>
      <c r="BQ436" s="124">
        <v>10080</v>
      </c>
      <c r="BR436" s="124">
        <v>12960</v>
      </c>
      <c r="BS436" s="71"/>
      <c r="BT436" s="72">
        <f>P436-V436/10-120/10</f>
        <v>21</v>
      </c>
      <c r="BU436" s="78">
        <f>BT436-Q436</f>
        <v>0</v>
      </c>
      <c r="BV436" s="32">
        <f>T436+(O436/100*(P436-BT436))</f>
        <v>1.2784</v>
      </c>
      <c r="BW436" s="127">
        <f>(AE436-BV436)/AE436</f>
        <v>0</v>
      </c>
      <c r="BX436" s="78">
        <f>(PI()*((51/2)^2-(16.545/2)^2)/(BV436/10))/100</f>
        <v>142.97778991770036</v>
      </c>
      <c r="BY436" s="78">
        <f>BX436-AK436</f>
        <v>0</v>
      </c>
      <c r="BZ436" s="127">
        <f>BY436/AK436</f>
        <v>0</v>
      </c>
      <c r="CA436" s="76"/>
    </row>
    <row r="437" spans="1:79" s="72" customFormat="1">
      <c r="A437" s="13" t="s">
        <v>1810</v>
      </c>
      <c r="B437" s="387" t="s">
        <v>1900</v>
      </c>
      <c r="C437" s="13" t="s">
        <v>1957</v>
      </c>
      <c r="D437" s="13" t="s">
        <v>1958</v>
      </c>
      <c r="E437" s="13" t="s">
        <v>137</v>
      </c>
      <c r="F437" s="13" t="s">
        <v>186</v>
      </c>
      <c r="G437" s="13" t="s">
        <v>1964</v>
      </c>
      <c r="H437" s="387" t="s">
        <v>121</v>
      </c>
      <c r="I437" s="13" t="s">
        <v>122</v>
      </c>
      <c r="J437" s="13" t="s">
        <v>5</v>
      </c>
      <c r="K437" s="13" t="s">
        <v>123</v>
      </c>
      <c r="L437" s="13" t="s">
        <v>1965</v>
      </c>
      <c r="M437" s="13" t="s">
        <v>125</v>
      </c>
      <c r="N437" s="13" t="s">
        <v>251</v>
      </c>
      <c r="O437" s="247">
        <v>0.52</v>
      </c>
      <c r="P437" s="438">
        <v>115</v>
      </c>
      <c r="Q437" s="13">
        <v>23</v>
      </c>
      <c r="R437" s="13" t="s">
        <v>127</v>
      </c>
      <c r="S437" s="430" t="str">
        <f t="shared" si="181"/>
        <v>N/A</v>
      </c>
      <c r="T437" s="247">
        <v>0.8</v>
      </c>
      <c r="U437" s="13">
        <v>200</v>
      </c>
      <c r="V437" s="13">
        <v>800</v>
      </c>
      <c r="W437" s="430">
        <f t="shared" si="177"/>
        <v>600</v>
      </c>
      <c r="X437" s="430">
        <f t="shared" si="178"/>
        <v>120</v>
      </c>
      <c r="Y437" s="13">
        <v>200</v>
      </c>
      <c r="Z437" s="13">
        <v>800</v>
      </c>
      <c r="AA437" s="430">
        <f t="shared" si="182"/>
        <v>600</v>
      </c>
      <c r="AB437" s="430">
        <f t="shared" si="183"/>
        <v>120</v>
      </c>
      <c r="AC437" s="430" t="str">
        <f t="shared" si="184"/>
        <v>N/A</v>
      </c>
      <c r="AD437" s="430">
        <f t="shared" si="185"/>
        <v>92</v>
      </c>
      <c r="AE437" s="431">
        <f t="shared" si="186"/>
        <v>1.2784</v>
      </c>
      <c r="AF437" s="431"/>
      <c r="AG437" s="431">
        <f t="shared" si="187"/>
        <v>1.08704</v>
      </c>
      <c r="AH437" s="431">
        <f t="shared" si="188"/>
        <v>1.1522624000000001</v>
      </c>
      <c r="AI437" s="432">
        <f t="shared" si="189"/>
        <v>881.85470400000008</v>
      </c>
      <c r="AJ437" s="432">
        <f t="shared" si="190"/>
        <v>130.76166148299282</v>
      </c>
      <c r="AK437" s="432">
        <f t="shared" si="191"/>
        <v>142.97778991770036</v>
      </c>
      <c r="AL437" s="432">
        <f t="shared" si="192"/>
        <v>284.21921495295794</v>
      </c>
      <c r="AM437" s="250">
        <v>143</v>
      </c>
      <c r="AN437" s="432">
        <f t="shared" si="193"/>
        <v>164.45</v>
      </c>
      <c r="AO437" s="432">
        <f t="shared" si="194"/>
        <v>189.48955168000001</v>
      </c>
      <c r="AP437" s="432">
        <f t="shared" si="195"/>
        <v>823.867616</v>
      </c>
      <c r="AQ437" s="255">
        <v>45039</v>
      </c>
      <c r="AR437" s="451" t="s">
        <v>1927</v>
      </c>
      <c r="AS437" s="429" t="s">
        <v>1966</v>
      </c>
      <c r="AT437" s="435" t="s">
        <v>1967</v>
      </c>
      <c r="AU437" s="249"/>
      <c r="AV437" s="254"/>
      <c r="AW437" s="38" t="s">
        <v>127</v>
      </c>
      <c r="AX437" s="254"/>
      <c r="AY437" s="103">
        <f t="shared" si="199"/>
        <v>0.69565217391304346</v>
      </c>
      <c r="AZ437" s="38"/>
      <c r="BA437" s="38" t="str">
        <f t="shared" si="200"/>
        <v>W22</v>
      </c>
      <c r="BB437" s="77" t="str">
        <f>IF(R437="n/a","Clear","S/B")</f>
        <v>Clear</v>
      </c>
      <c r="BC437" s="264"/>
      <c r="BD437" s="253"/>
      <c r="BE437" s="253"/>
      <c r="BF437" s="100"/>
      <c r="BG437" s="253"/>
      <c r="BH437" s="253"/>
      <c r="BI437" s="100"/>
      <c r="BJ437" s="143"/>
      <c r="BK437" s="139"/>
      <c r="BL437" s="191"/>
      <c r="BM437" s="139"/>
      <c r="BN437" s="162"/>
      <c r="BO437" s="101"/>
      <c r="BP437" s="105"/>
      <c r="BQ437" s="151"/>
      <c r="BR437" s="140">
        <v>164</v>
      </c>
      <c r="BS437" s="106"/>
      <c r="BT437" s="262"/>
      <c r="BU437" s="269"/>
      <c r="BV437" s="263"/>
      <c r="BW437" s="132"/>
      <c r="BX437" s="269"/>
      <c r="BY437" s="269"/>
      <c r="BZ437" s="132"/>
      <c r="CA437" s="76"/>
    </row>
    <row r="438" spans="1:79" s="72" customFormat="1">
      <c r="A438" s="13" t="s">
        <v>1810</v>
      </c>
      <c r="B438" s="387" t="s">
        <v>1900</v>
      </c>
      <c r="C438" s="13" t="s">
        <v>1957</v>
      </c>
      <c r="D438" s="13" t="s">
        <v>1958</v>
      </c>
      <c r="E438" s="13" t="s">
        <v>137</v>
      </c>
      <c r="F438" s="13" t="s">
        <v>186</v>
      </c>
      <c r="G438" s="13" t="s">
        <v>1968</v>
      </c>
      <c r="H438" s="387" t="s">
        <v>121</v>
      </c>
      <c r="I438" s="13" t="s">
        <v>122</v>
      </c>
      <c r="J438" s="13" t="s">
        <v>5</v>
      </c>
      <c r="K438" s="13" t="s">
        <v>123</v>
      </c>
      <c r="L438" s="13"/>
      <c r="M438" s="13" t="s">
        <v>125</v>
      </c>
      <c r="N438" s="13" t="s">
        <v>126</v>
      </c>
      <c r="O438" s="247">
        <v>0.52</v>
      </c>
      <c r="P438" s="438">
        <v>115</v>
      </c>
      <c r="Q438" s="13">
        <v>22</v>
      </c>
      <c r="R438" s="13" t="s">
        <v>127</v>
      </c>
      <c r="S438" s="430" t="str">
        <f t="shared" si="181"/>
        <v>N/A</v>
      </c>
      <c r="T438" s="247">
        <v>0.8</v>
      </c>
      <c r="U438" s="13">
        <v>200</v>
      </c>
      <c r="V438" s="13">
        <v>800</v>
      </c>
      <c r="W438" s="430">
        <f t="shared" si="177"/>
        <v>600</v>
      </c>
      <c r="X438" s="430">
        <f t="shared" si="178"/>
        <v>130</v>
      </c>
      <c r="Y438" s="13">
        <v>200</v>
      </c>
      <c r="Z438" s="13">
        <v>800</v>
      </c>
      <c r="AA438" s="430">
        <f t="shared" si="182"/>
        <v>600</v>
      </c>
      <c r="AB438" s="430">
        <f t="shared" si="183"/>
        <v>130</v>
      </c>
      <c r="AC438" s="430" t="str">
        <f t="shared" si="184"/>
        <v>N/A</v>
      </c>
      <c r="AD438" s="430">
        <f t="shared" si="185"/>
        <v>93</v>
      </c>
      <c r="AE438" s="431">
        <f t="shared" si="186"/>
        <v>1.2836000000000001</v>
      </c>
      <c r="AF438" s="431"/>
      <c r="AG438" s="431">
        <f t="shared" si="187"/>
        <v>1.0880573913043479</v>
      </c>
      <c r="AH438" s="431">
        <f t="shared" si="188"/>
        <v>1.1533408347826086</v>
      </c>
      <c r="AI438" s="432">
        <f t="shared" si="189"/>
        <v>881.85470400000008</v>
      </c>
      <c r="AJ438" s="432">
        <f t="shared" si="190"/>
        <v>130.23193209711596</v>
      </c>
      <c r="AK438" s="432">
        <f t="shared" si="191"/>
        <v>142.39857169740432</v>
      </c>
      <c r="AL438" s="432">
        <f t="shared" si="192"/>
        <v>283.06781271101704</v>
      </c>
      <c r="AM438" s="250">
        <v>142</v>
      </c>
      <c r="AN438" s="432">
        <f t="shared" si="193"/>
        <v>163.30000000000001</v>
      </c>
      <c r="AO438" s="432">
        <f t="shared" si="194"/>
        <v>188.34055832000001</v>
      </c>
      <c r="AP438" s="432">
        <f t="shared" si="195"/>
        <v>856.09344690909097</v>
      </c>
      <c r="AQ438" s="255"/>
      <c r="AR438" s="451"/>
      <c r="AS438" s="429"/>
      <c r="AT438" s="435"/>
      <c r="AU438" s="249"/>
      <c r="AV438" s="254"/>
      <c r="AW438" s="38"/>
      <c r="AX438" s="254"/>
      <c r="AY438" s="103"/>
      <c r="AZ438" s="38"/>
      <c r="BA438" s="38"/>
      <c r="BB438" s="77"/>
      <c r="BC438" s="264"/>
      <c r="BD438" s="253"/>
      <c r="BE438" s="253"/>
      <c r="BF438" s="100"/>
      <c r="BG438" s="253"/>
      <c r="BH438" s="253"/>
      <c r="BI438" s="100"/>
      <c r="BJ438" s="143"/>
      <c r="BK438" s="139"/>
      <c r="BL438" s="191"/>
      <c r="BM438" s="139"/>
      <c r="BN438" s="162"/>
      <c r="BO438" s="101"/>
      <c r="BP438" s="105"/>
      <c r="BQ438" s="151"/>
      <c r="BR438" s="140"/>
      <c r="BS438" s="106"/>
      <c r="BT438" s="262"/>
      <c r="BU438" s="269"/>
      <c r="BV438" s="263"/>
      <c r="BW438" s="132"/>
      <c r="BX438" s="269"/>
      <c r="BY438" s="269"/>
      <c r="BZ438" s="132"/>
      <c r="CA438" s="76"/>
    </row>
    <row r="439" spans="1:79" s="72" customFormat="1">
      <c r="A439" s="13" t="s">
        <v>1810</v>
      </c>
      <c r="B439" s="387" t="s">
        <v>1900</v>
      </c>
      <c r="C439" s="13"/>
      <c r="D439" s="13" t="s">
        <v>1969</v>
      </c>
      <c r="E439" s="13" t="s">
        <v>137</v>
      </c>
      <c r="F439" s="13" t="s">
        <v>119</v>
      </c>
      <c r="G439" s="13" t="s">
        <v>1970</v>
      </c>
      <c r="H439" s="387" t="s">
        <v>121</v>
      </c>
      <c r="I439" s="13" t="s">
        <v>122</v>
      </c>
      <c r="J439" s="13" t="s">
        <v>274</v>
      </c>
      <c r="K439" s="13" t="s">
        <v>123</v>
      </c>
      <c r="L439" s="13"/>
      <c r="M439" s="13" t="s">
        <v>125</v>
      </c>
      <c r="N439" s="13" t="s">
        <v>126</v>
      </c>
      <c r="O439" s="247">
        <v>0.42</v>
      </c>
      <c r="P439" s="438">
        <v>115</v>
      </c>
      <c r="Q439" s="13">
        <v>30</v>
      </c>
      <c r="R439" s="445">
        <v>18</v>
      </c>
      <c r="S439" s="430">
        <f t="shared" si="181"/>
        <v>97</v>
      </c>
      <c r="T439" s="247">
        <v>0.8</v>
      </c>
      <c r="U439" s="13">
        <v>200</v>
      </c>
      <c r="V439" s="13">
        <v>600</v>
      </c>
      <c r="W439" s="430">
        <f t="shared" si="177"/>
        <v>400</v>
      </c>
      <c r="X439" s="430">
        <f t="shared" si="178"/>
        <v>250</v>
      </c>
      <c r="Y439" s="13">
        <v>200</v>
      </c>
      <c r="Z439" s="13">
        <v>600</v>
      </c>
      <c r="AA439" s="430">
        <f t="shared" si="182"/>
        <v>400</v>
      </c>
      <c r="AB439" s="430">
        <f t="shared" si="183"/>
        <v>250</v>
      </c>
      <c r="AC439" s="430">
        <f t="shared" si="184"/>
        <v>120</v>
      </c>
      <c r="AD439" s="430">
        <f t="shared" si="185"/>
        <v>85</v>
      </c>
      <c r="AE439" s="431">
        <f t="shared" si="186"/>
        <v>1.157</v>
      </c>
      <c r="AF439" s="431"/>
      <c r="AG439" s="431">
        <f t="shared" si="187"/>
        <v>1.0250652173913042</v>
      </c>
      <c r="AH439" s="431">
        <f t="shared" si="188"/>
        <v>1.0865691304347824</v>
      </c>
      <c r="AI439" s="432">
        <f t="shared" si="189"/>
        <v>875.34418400000015</v>
      </c>
      <c r="AJ439" s="432">
        <f t="shared" si="190"/>
        <v>144.48202942079345</v>
      </c>
      <c r="AK439" s="432">
        <f t="shared" si="191"/>
        <v>157.97995387276421</v>
      </c>
      <c r="AL439" s="432">
        <f t="shared" si="192"/>
        <v>314.0413521139684</v>
      </c>
      <c r="AM439" s="250">
        <v>158</v>
      </c>
      <c r="AN439" s="432">
        <f t="shared" si="193"/>
        <v>181.7</v>
      </c>
      <c r="AO439" s="432">
        <f t="shared" si="194"/>
        <v>197.42961099999997</v>
      </c>
      <c r="AP439" s="432">
        <f t="shared" si="195"/>
        <v>658.09870333333322</v>
      </c>
      <c r="AQ439" s="255">
        <v>45839</v>
      </c>
      <c r="AR439" s="451" t="s">
        <v>1971</v>
      </c>
      <c r="AS439" s="434"/>
      <c r="AT439" s="435"/>
      <c r="AU439" s="250"/>
      <c r="AV439" s="255"/>
      <c r="AW439" s="13"/>
      <c r="AX439" s="255"/>
      <c r="AY439" s="103"/>
      <c r="AZ439" s="13"/>
      <c r="BA439" s="13"/>
      <c r="BC439" s="32"/>
      <c r="BD439" s="241"/>
      <c r="BE439" s="241"/>
      <c r="BF439" s="71"/>
      <c r="BG439" s="241"/>
      <c r="BH439" s="241"/>
      <c r="BI439" s="71"/>
      <c r="BJ439" s="143"/>
      <c r="BK439" s="300"/>
      <c r="BL439" s="112"/>
      <c r="BM439" s="111"/>
      <c r="BN439" s="123"/>
      <c r="BO439" s="301"/>
      <c r="BP439" s="301"/>
      <c r="BQ439" s="229"/>
      <c r="BR439" s="230"/>
      <c r="BS439" s="231"/>
      <c r="BT439" s="296"/>
      <c r="BU439" s="302"/>
      <c r="BV439" s="303"/>
      <c r="BW439" s="232"/>
      <c r="BX439" s="302"/>
      <c r="BY439" s="302"/>
      <c r="BZ439" s="232"/>
      <c r="CA439" s="304"/>
    </row>
    <row r="440" spans="1:79" s="72" customFormat="1">
      <c r="A440" s="13" t="s">
        <v>1810</v>
      </c>
      <c r="B440" s="387" t="s">
        <v>1900</v>
      </c>
      <c r="C440" s="13"/>
      <c r="D440" s="13"/>
      <c r="E440" s="13" t="s">
        <v>137</v>
      </c>
      <c r="F440" s="13" t="s">
        <v>119</v>
      </c>
      <c r="G440" s="13" t="s">
        <v>1972</v>
      </c>
      <c r="H440" s="387" t="s">
        <v>121</v>
      </c>
      <c r="I440" s="13" t="s">
        <v>122</v>
      </c>
      <c r="J440" s="13" t="s">
        <v>274</v>
      </c>
      <c r="K440" s="13" t="s">
        <v>123</v>
      </c>
      <c r="L440" s="13"/>
      <c r="M440" s="13" t="s">
        <v>125</v>
      </c>
      <c r="N440" s="13" t="s">
        <v>126</v>
      </c>
      <c r="O440" s="247">
        <v>0.44</v>
      </c>
      <c r="P440" s="438">
        <v>97</v>
      </c>
      <c r="Q440" s="13">
        <v>20</v>
      </c>
      <c r="R440" s="445">
        <v>17</v>
      </c>
      <c r="S440" s="430">
        <f t="shared" si="181"/>
        <v>80</v>
      </c>
      <c r="T440" s="247">
        <v>0.8</v>
      </c>
      <c r="U440" s="13">
        <v>200</v>
      </c>
      <c r="V440" s="13">
        <v>640</v>
      </c>
      <c r="W440" s="430">
        <f t="shared" si="177"/>
        <v>440</v>
      </c>
      <c r="X440" s="430">
        <f t="shared" si="178"/>
        <v>130</v>
      </c>
      <c r="Y440" s="13">
        <v>200</v>
      </c>
      <c r="Z440" s="13">
        <v>640</v>
      </c>
      <c r="AA440" s="430">
        <f t="shared" si="182"/>
        <v>440</v>
      </c>
      <c r="AB440" s="430">
        <f t="shared" si="183"/>
        <v>130</v>
      </c>
      <c r="AC440" s="430">
        <f t="shared" si="184"/>
        <v>30</v>
      </c>
      <c r="AD440" s="430">
        <f t="shared" si="185"/>
        <v>77</v>
      </c>
      <c r="AE440" s="431">
        <f t="shared" si="186"/>
        <v>1.1388</v>
      </c>
      <c r="AF440" s="431"/>
      <c r="AG440" s="431">
        <f t="shared" si="187"/>
        <v>1.0043278350515463</v>
      </c>
      <c r="AH440" s="431">
        <f t="shared" si="188"/>
        <v>1.0645875051546392</v>
      </c>
      <c r="AI440" s="432">
        <f t="shared" si="189"/>
        <v>876.64628800000003</v>
      </c>
      <c r="AJ440" s="432">
        <f t="shared" si="190"/>
        <v>146.79110295034951</v>
      </c>
      <c r="AK440" s="432">
        <f t="shared" si="191"/>
        <v>160.50474765611887</v>
      </c>
      <c r="AL440" s="432">
        <f t="shared" si="192"/>
        <v>319.06027783268479</v>
      </c>
      <c r="AM440" s="250">
        <v>161</v>
      </c>
      <c r="AN440" s="432">
        <f t="shared" si="193"/>
        <v>156.16999999999999</v>
      </c>
      <c r="AO440" s="432">
        <f t="shared" si="194"/>
        <v>166.25663068</v>
      </c>
      <c r="AP440" s="432">
        <f t="shared" si="195"/>
        <v>831.28315339999995</v>
      </c>
      <c r="AQ440" s="255">
        <v>45839</v>
      </c>
      <c r="AR440" s="451" t="s">
        <v>1973</v>
      </c>
      <c r="AS440" s="434"/>
      <c r="AT440" s="435"/>
      <c r="AU440" s="250"/>
      <c r="AV440" s="255"/>
      <c r="AW440" s="13"/>
      <c r="AX440" s="255"/>
      <c r="AY440" s="103"/>
      <c r="AZ440" s="13"/>
      <c r="BA440" s="13"/>
      <c r="BC440" s="32"/>
      <c r="BD440" s="241"/>
      <c r="BE440" s="241"/>
      <c r="BF440" s="71"/>
      <c r="BG440" s="241"/>
      <c r="BH440" s="241"/>
      <c r="BI440" s="71"/>
      <c r="BJ440" s="143"/>
      <c r="BK440" s="300"/>
      <c r="BL440" s="112"/>
      <c r="BM440" s="111"/>
      <c r="BN440" s="123"/>
      <c r="BO440" s="301"/>
      <c r="BP440" s="301"/>
      <c r="BQ440" s="115"/>
      <c r="BR440" s="115"/>
      <c r="BS440" s="80"/>
      <c r="BT440" s="22"/>
      <c r="BU440" s="87"/>
      <c r="BV440" s="73"/>
      <c r="BW440" s="109"/>
      <c r="BX440" s="87"/>
      <c r="BY440" s="87"/>
      <c r="BZ440" s="109"/>
      <c r="CA440" s="284"/>
    </row>
    <row r="441" spans="1:79" s="72" customFormat="1">
      <c r="A441" s="13" t="s">
        <v>1810</v>
      </c>
      <c r="B441" s="387" t="s">
        <v>1974</v>
      </c>
      <c r="C441" s="13" t="s">
        <v>132</v>
      </c>
      <c r="D441" s="13" t="s">
        <v>132</v>
      </c>
      <c r="E441" s="13" t="s">
        <v>132</v>
      </c>
      <c r="F441" s="13" t="s">
        <v>167</v>
      </c>
      <c r="G441" s="13" t="s">
        <v>1975</v>
      </c>
      <c r="H441" s="387" t="s">
        <v>121</v>
      </c>
      <c r="I441" s="13" t="s">
        <v>147</v>
      </c>
      <c r="J441" s="13" t="s">
        <v>5</v>
      </c>
      <c r="K441" s="13" t="s">
        <v>140</v>
      </c>
      <c r="L441" s="13" t="s">
        <v>1976</v>
      </c>
      <c r="M441" s="13" t="s">
        <v>125</v>
      </c>
      <c r="N441" s="13" t="s">
        <v>12</v>
      </c>
      <c r="O441" s="247">
        <v>0.5</v>
      </c>
      <c r="P441" s="13">
        <v>110</v>
      </c>
      <c r="Q441" s="13">
        <v>25</v>
      </c>
      <c r="R441" s="13" t="s">
        <v>127</v>
      </c>
      <c r="S441" s="430" t="str">
        <f t="shared" si="181"/>
        <v>N/A</v>
      </c>
      <c r="T441" s="247">
        <v>0.76</v>
      </c>
      <c r="U441" s="13">
        <v>300</v>
      </c>
      <c r="V441" s="13">
        <v>600</v>
      </c>
      <c r="W441" s="430">
        <f t="shared" si="177"/>
        <v>300</v>
      </c>
      <c r="X441" s="430">
        <f t="shared" si="178"/>
        <v>250</v>
      </c>
      <c r="Y441" s="13">
        <v>250</v>
      </c>
      <c r="Z441" s="13">
        <v>650</v>
      </c>
      <c r="AA441" s="430">
        <f t="shared" si="182"/>
        <v>400</v>
      </c>
      <c r="AB441" s="430">
        <f t="shared" si="183"/>
        <v>200</v>
      </c>
      <c r="AC441" s="430" t="str">
        <f t="shared" si="184"/>
        <v>N/A</v>
      </c>
      <c r="AD441" s="430">
        <f t="shared" si="185"/>
        <v>85</v>
      </c>
      <c r="AE441" s="431">
        <f t="shared" si="186"/>
        <v>1.1850000000000001</v>
      </c>
      <c r="AF441" s="431"/>
      <c r="AG441" s="431">
        <f t="shared" si="187"/>
        <v>1.0207954545454547</v>
      </c>
      <c r="AH441" s="431">
        <f t="shared" si="188"/>
        <v>1.0871471590909094</v>
      </c>
      <c r="AI441" s="432">
        <f t="shared" si="189"/>
        <v>842.10615000000007</v>
      </c>
      <c r="AJ441" s="432">
        <f t="shared" si="190"/>
        <v>141.0681080505131</v>
      </c>
      <c r="AK441" s="432">
        <f t="shared" si="191"/>
        <v>154.24709420319675</v>
      </c>
      <c r="AL441" s="432">
        <f t="shared" si="192"/>
        <v>306.62096573490419</v>
      </c>
      <c r="AM441" s="250">
        <v>305</v>
      </c>
      <c r="AN441" s="432">
        <f t="shared" si="193"/>
        <v>335.5</v>
      </c>
      <c r="AO441" s="432">
        <f t="shared" si="194"/>
        <v>364.73787187500011</v>
      </c>
      <c r="AP441" s="432">
        <f t="shared" si="195"/>
        <v>1458.9514875000004</v>
      </c>
      <c r="AQ441" s="255">
        <v>44713</v>
      </c>
      <c r="AR441" s="451" t="s">
        <v>1977</v>
      </c>
      <c r="AS441" s="434" t="s">
        <v>1978</v>
      </c>
      <c r="AT441" s="429" t="s">
        <v>1979</v>
      </c>
      <c r="AU441" s="241"/>
      <c r="AV441" s="243"/>
      <c r="AW441" s="72" t="s">
        <v>127</v>
      </c>
      <c r="AX441" s="243"/>
      <c r="AY441" s="103">
        <f>(V441/10)/P441</f>
        <v>0.54545454545454541</v>
      </c>
      <c r="BA441" s="13" t="str">
        <f>LEFT(G441,3)</f>
        <v>W20</v>
      </c>
      <c r="BB441" s="72" t="str">
        <f>IF(R441="n/a","Clear","S/B")</f>
        <v>Clear</v>
      </c>
      <c r="BC441" s="32">
        <f>IF(Q441="","",((P441/100*O441)+T441))</f>
        <v>1.31</v>
      </c>
      <c r="BD441" s="241">
        <f>IF(BC441="","",((PI()*((51/2)^2-(16.545/2)^2)/(BC441/10))/100))</f>
        <v>139.52886002350243</v>
      </c>
      <c r="BE441" s="241">
        <f>IF(BC441="","",(BD441-AK441))</f>
        <v>-14.718234179694321</v>
      </c>
      <c r="BF441" s="71">
        <f>IF(BC441="","",(BE441/AK441))</f>
        <v>-9.5419847328244101E-2</v>
      </c>
      <c r="BG441" s="241">
        <f>IF(BF441="","",((PI()*((70/2)^2-(16.545/2)^2)/(BC441/10))/100))</f>
        <v>277.36323999684083</v>
      </c>
      <c r="BH441" s="241">
        <f>IF(BF441="","",(BG441-AL441))</f>
        <v>-29.257725738063357</v>
      </c>
      <c r="BI441" s="71">
        <f>IF(BG441="","",(BH441/AL441))</f>
        <v>-9.5419847328244212E-2</v>
      </c>
      <c r="BJ441" s="162"/>
      <c r="BK441" s="162"/>
      <c r="BL441" s="126"/>
      <c r="BM441" s="130"/>
      <c r="BN441" s="100"/>
      <c r="BO441" s="130"/>
      <c r="BP441" s="130"/>
      <c r="BQ441" s="83"/>
      <c r="BR441" s="71"/>
      <c r="BS441" s="71"/>
      <c r="BT441" s="13">
        <f>P441-V441/10-120/10</f>
        <v>38</v>
      </c>
      <c r="BU441" s="79">
        <f>BT441-Q441</f>
        <v>13</v>
      </c>
      <c r="BV441" s="29">
        <f>T441+(O441/100*(P441-BT441))</f>
        <v>1.1200000000000001</v>
      </c>
      <c r="BW441" s="86">
        <f>(AE441-BV441)/AE441</f>
        <v>5.485232067510544E-2</v>
      </c>
      <c r="BX441" s="79">
        <f>(PI()*((51/2)^2-(16.545/2)^2)/(BV441/10))/100</f>
        <v>163.19893449177513</v>
      </c>
      <c r="BY441" s="79">
        <f>BX441-AK441</f>
        <v>8.9518402885783814</v>
      </c>
      <c r="BZ441" s="86">
        <f>BY441/AK441</f>
        <v>5.8035714285714274E-2</v>
      </c>
      <c r="CA441" s="76"/>
    </row>
    <row r="442" spans="1:79" s="72" customFormat="1">
      <c r="A442" s="13" t="s">
        <v>1810</v>
      </c>
      <c r="B442" s="387" t="s">
        <v>1974</v>
      </c>
      <c r="C442" s="13" t="s">
        <v>1084</v>
      </c>
      <c r="D442" s="13" t="s">
        <v>1980</v>
      </c>
      <c r="E442" s="13" t="s">
        <v>118</v>
      </c>
      <c r="F442" s="13" t="s">
        <v>186</v>
      </c>
      <c r="G442" s="13" t="s">
        <v>1981</v>
      </c>
      <c r="H442" s="387" t="s">
        <v>121</v>
      </c>
      <c r="I442" s="13" t="s">
        <v>147</v>
      </c>
      <c r="J442" s="13" t="s">
        <v>5</v>
      </c>
      <c r="K442" s="13" t="s">
        <v>140</v>
      </c>
      <c r="L442" s="13" t="s">
        <v>1982</v>
      </c>
      <c r="M442" s="13" t="s">
        <v>125</v>
      </c>
      <c r="N442" s="13" t="s">
        <v>12</v>
      </c>
      <c r="O442" s="247">
        <v>0.45</v>
      </c>
      <c r="P442" s="13">
        <v>110</v>
      </c>
      <c r="Q442" s="13">
        <v>25</v>
      </c>
      <c r="R442" s="13" t="s">
        <v>127</v>
      </c>
      <c r="S442" s="430" t="str">
        <f t="shared" si="181"/>
        <v>N/A</v>
      </c>
      <c r="T442" s="247">
        <v>0.76</v>
      </c>
      <c r="U442" s="13">
        <v>300</v>
      </c>
      <c r="V442" s="13">
        <v>600</v>
      </c>
      <c r="W442" s="430">
        <f t="shared" si="177"/>
        <v>300</v>
      </c>
      <c r="X442" s="430">
        <f t="shared" si="178"/>
        <v>250</v>
      </c>
      <c r="Y442" s="13">
        <v>250</v>
      </c>
      <c r="Z442" s="13">
        <v>650</v>
      </c>
      <c r="AA442" s="430">
        <f t="shared" si="182"/>
        <v>400</v>
      </c>
      <c r="AB442" s="430">
        <f t="shared" si="183"/>
        <v>200</v>
      </c>
      <c r="AC442" s="430" t="str">
        <f t="shared" si="184"/>
        <v>N/A</v>
      </c>
      <c r="AD442" s="430">
        <f t="shared" si="185"/>
        <v>85</v>
      </c>
      <c r="AE442" s="431">
        <f t="shared" si="186"/>
        <v>1.1425000000000001</v>
      </c>
      <c r="AF442" s="431"/>
      <c r="AG442" s="431">
        <f t="shared" si="187"/>
        <v>0.99471590909090912</v>
      </c>
      <c r="AH442" s="431">
        <f t="shared" si="188"/>
        <v>1.0593724431818181</v>
      </c>
      <c r="AI442" s="432">
        <f t="shared" si="189"/>
        <v>838.83553499999994</v>
      </c>
      <c r="AJ442" s="432">
        <f t="shared" si="190"/>
        <v>146.31571819681227</v>
      </c>
      <c r="AK442" s="432">
        <f t="shared" si="191"/>
        <v>159.98495109915814</v>
      </c>
      <c r="AL442" s="432">
        <f t="shared" si="192"/>
        <v>318.02699728302969</v>
      </c>
      <c r="AM442" s="250" t="s">
        <v>1983</v>
      </c>
      <c r="AN442" s="432" t="e">
        <f t="shared" si="193"/>
        <v>#VALUE!</v>
      </c>
      <c r="AO442" s="432" t="e">
        <f t="shared" si="194"/>
        <v>#VALUE!</v>
      </c>
      <c r="AP442" s="432" t="e">
        <f t="shared" si="195"/>
        <v>#VALUE!</v>
      </c>
      <c r="AQ442" s="255">
        <v>44743</v>
      </c>
      <c r="AR442" s="451" t="s">
        <v>1984</v>
      </c>
      <c r="AS442" s="434" t="s">
        <v>1985</v>
      </c>
      <c r="AT442" s="435"/>
      <c r="AU442" s="249"/>
      <c r="AV442" s="254"/>
      <c r="AW442" s="38" t="s">
        <v>127</v>
      </c>
      <c r="AX442" s="254"/>
      <c r="AY442" s="103">
        <f>(V442/10)/P442</f>
        <v>0.54545454545454541</v>
      </c>
      <c r="AZ442" s="38"/>
      <c r="BA442" s="13" t="str">
        <f>LEFT(G442,3)</f>
        <v>W20</v>
      </c>
      <c r="BB442" s="77" t="str">
        <f>IF(R442="n/a","Clear","S/B")</f>
        <v>Clear</v>
      </c>
      <c r="BC442" s="303">
        <f>IF(Q442="","",((P442/100*O442)+T442))</f>
        <v>1.2550000000000001</v>
      </c>
      <c r="BD442" s="251">
        <f>IF(BC442="","",((PI()*((51/2)^2-(16.545/2)^2)/(BC442/10))/100))</f>
        <v>145.64367062214197</v>
      </c>
      <c r="BE442" s="251">
        <f>IF(BC442="","",(BD442-AK442))</f>
        <v>-14.34128047701617</v>
      </c>
      <c r="BF442" s="231">
        <f>IF(BC442="","",(BE442/AK442))</f>
        <v>-8.9641434262948225E-2</v>
      </c>
      <c r="BG442" s="251">
        <f>IF(BF442="","",((PI()*((70/2)^2-(16.545/2)^2)/(BC442/10))/100))</f>
        <v>289.51860111224022</v>
      </c>
      <c r="BH442" s="251">
        <f>IF(BF442="","",(BG442-AL442))</f>
        <v>-28.508396170789467</v>
      </c>
      <c r="BI442" s="231">
        <f>IF(BG442="","",(BH442/AL442))</f>
        <v>-8.9641434262948058E-2</v>
      </c>
      <c r="BJ442" s="162"/>
      <c r="BK442" s="162"/>
      <c r="BL442" s="168"/>
      <c r="BM442" s="130"/>
      <c r="BN442" s="100"/>
      <c r="BO442" s="130"/>
      <c r="BP442" s="130"/>
      <c r="BQ442" s="115"/>
      <c r="BR442" s="113"/>
      <c r="BS442" s="71"/>
      <c r="BU442" s="78"/>
      <c r="BV442" s="32"/>
      <c r="BW442" s="127"/>
      <c r="BX442" s="78"/>
      <c r="BY442" s="78"/>
      <c r="BZ442" s="127"/>
      <c r="CA442" s="76"/>
    </row>
    <row r="443" spans="1:79" s="72" customFormat="1">
      <c r="A443" s="13" t="s">
        <v>1810</v>
      </c>
      <c r="B443" s="387" t="s">
        <v>1974</v>
      </c>
      <c r="C443" s="13" t="s">
        <v>1084</v>
      </c>
      <c r="D443" s="13" t="s">
        <v>1986</v>
      </c>
      <c r="E443" s="13" t="s">
        <v>118</v>
      </c>
      <c r="F443" s="13" t="s">
        <v>119</v>
      </c>
      <c r="G443" s="13" t="s">
        <v>1987</v>
      </c>
      <c r="H443" s="387" t="s">
        <v>121</v>
      </c>
      <c r="I443" s="13" t="s">
        <v>147</v>
      </c>
      <c r="J443" s="13" t="s">
        <v>5</v>
      </c>
      <c r="K443" s="13" t="s">
        <v>140</v>
      </c>
      <c r="L443" s="13"/>
      <c r="M443" s="13" t="s">
        <v>125</v>
      </c>
      <c r="N443" s="13" t="s">
        <v>12</v>
      </c>
      <c r="O443" s="247">
        <v>0.45</v>
      </c>
      <c r="P443" s="13">
        <v>104</v>
      </c>
      <c r="Q443" s="13">
        <v>26</v>
      </c>
      <c r="R443" s="13" t="s">
        <v>127</v>
      </c>
      <c r="S443" s="430" t="str">
        <f t="shared" si="181"/>
        <v>N/A</v>
      </c>
      <c r="T443" s="247">
        <v>0.76</v>
      </c>
      <c r="U443" s="13">
        <v>250</v>
      </c>
      <c r="V443" s="13">
        <v>650</v>
      </c>
      <c r="W443" s="430">
        <f t="shared" si="177"/>
        <v>400</v>
      </c>
      <c r="X443" s="430">
        <f t="shared" si="178"/>
        <v>130</v>
      </c>
      <c r="Y443" s="13">
        <v>250</v>
      </c>
      <c r="Z443" s="13">
        <v>650</v>
      </c>
      <c r="AA443" s="430">
        <f t="shared" si="182"/>
        <v>400</v>
      </c>
      <c r="AB443" s="430">
        <f t="shared" si="183"/>
        <v>130</v>
      </c>
      <c r="AC443" s="430" t="str">
        <f t="shared" si="184"/>
        <v>N/A</v>
      </c>
      <c r="AD443" s="430">
        <f t="shared" si="185"/>
        <v>78</v>
      </c>
      <c r="AE443" s="431">
        <f t="shared" si="186"/>
        <v>1.111</v>
      </c>
      <c r="AF443" s="431"/>
      <c r="AG443" s="431">
        <f t="shared" si="187"/>
        <v>0.97937499999999988</v>
      </c>
      <c r="AH443" s="431">
        <f t="shared" si="188"/>
        <v>1.0430343749999997</v>
      </c>
      <c r="AI443" s="432">
        <f t="shared" si="189"/>
        <v>838.83553499999994</v>
      </c>
      <c r="AJ443" s="432">
        <f t="shared" si="190"/>
        <v>150.46418365423764</v>
      </c>
      <c r="AK443" s="432">
        <f t="shared" si="191"/>
        <v>164.52097806551589</v>
      </c>
      <c r="AL443" s="432">
        <f t="shared" si="192"/>
        <v>327.04396435271059</v>
      </c>
      <c r="AM443" s="250">
        <v>326</v>
      </c>
      <c r="AN443" s="432">
        <f t="shared" si="193"/>
        <v>339.04</v>
      </c>
      <c r="AO443" s="432">
        <f t="shared" si="194"/>
        <v>353.63037449999996</v>
      </c>
      <c r="AP443" s="432">
        <f t="shared" si="195"/>
        <v>1360.1168249999998</v>
      </c>
      <c r="AQ443" s="255"/>
      <c r="AR443" s="451"/>
      <c r="AS443" s="434"/>
      <c r="AT443" s="435"/>
      <c r="AU443" s="249"/>
      <c r="AV443" s="254"/>
      <c r="AW443" s="38"/>
      <c r="AX443" s="254"/>
      <c r="AY443" s="103"/>
      <c r="AZ443" s="38"/>
      <c r="BA443" s="13"/>
      <c r="BB443" s="77"/>
      <c r="BC443" s="303"/>
      <c r="BD443" s="251"/>
      <c r="BE443" s="251"/>
      <c r="BF443" s="231"/>
      <c r="BG443" s="251"/>
      <c r="BH443" s="251"/>
      <c r="BI443" s="231"/>
      <c r="BJ443" s="162"/>
      <c r="BK443" s="162"/>
      <c r="BL443" s="168"/>
      <c r="BM443" s="130"/>
      <c r="BN443" s="100"/>
      <c r="BO443" s="130"/>
      <c r="BP443" s="130"/>
      <c r="BQ443" s="115"/>
      <c r="BR443" s="113"/>
      <c r="BS443" s="71"/>
      <c r="BU443" s="78"/>
      <c r="BV443" s="32"/>
      <c r="BW443" s="127"/>
      <c r="BX443" s="78"/>
      <c r="BY443" s="78"/>
      <c r="BZ443" s="127"/>
      <c r="CA443" s="76"/>
    </row>
    <row r="444" spans="1:79" s="72" customFormat="1">
      <c r="A444" s="13" t="s">
        <v>1810</v>
      </c>
      <c r="B444" s="387" t="s">
        <v>1988</v>
      </c>
      <c r="C444" s="13" t="s">
        <v>1989</v>
      </c>
      <c r="D444" s="429" t="s">
        <v>1990</v>
      </c>
      <c r="E444" s="13" t="s">
        <v>118</v>
      </c>
      <c r="F444" s="13" t="s">
        <v>119</v>
      </c>
      <c r="G444" s="13" t="s">
        <v>1991</v>
      </c>
      <c r="H444" s="387" t="s">
        <v>121</v>
      </c>
      <c r="I444" s="13" t="s">
        <v>122</v>
      </c>
      <c r="J444" s="13" t="s">
        <v>5</v>
      </c>
      <c r="K444" s="13" t="s">
        <v>123</v>
      </c>
      <c r="L444" s="13" t="s">
        <v>1992</v>
      </c>
      <c r="M444" s="13" t="s">
        <v>125</v>
      </c>
      <c r="N444" s="13" t="s">
        <v>126</v>
      </c>
      <c r="O444" s="247">
        <v>0.41</v>
      </c>
      <c r="P444" s="13">
        <v>110</v>
      </c>
      <c r="Q444" s="13">
        <v>30</v>
      </c>
      <c r="R444" s="13" t="s">
        <v>127</v>
      </c>
      <c r="S444" s="430" t="str">
        <f t="shared" si="181"/>
        <v>N/A</v>
      </c>
      <c r="T444" s="247">
        <v>0.8</v>
      </c>
      <c r="U444" s="13">
        <v>279</v>
      </c>
      <c r="V444" s="13">
        <v>650</v>
      </c>
      <c r="W444" s="430">
        <f t="shared" si="177"/>
        <v>371</v>
      </c>
      <c r="X444" s="430">
        <f t="shared" si="178"/>
        <v>150</v>
      </c>
      <c r="Y444" s="13">
        <v>250</v>
      </c>
      <c r="Z444" s="13">
        <v>650</v>
      </c>
      <c r="AA444" s="430">
        <f t="shared" si="182"/>
        <v>400</v>
      </c>
      <c r="AB444" s="430">
        <f t="shared" si="183"/>
        <v>150</v>
      </c>
      <c r="AC444" s="430" t="str">
        <f t="shared" si="184"/>
        <v>N/A</v>
      </c>
      <c r="AD444" s="430">
        <f t="shared" si="185"/>
        <v>80</v>
      </c>
      <c r="AE444" s="431">
        <f t="shared" si="186"/>
        <v>1.1280000000000001</v>
      </c>
      <c r="AF444" s="431"/>
      <c r="AG444" s="431">
        <f t="shared" si="187"/>
        <v>1.0087272727272727</v>
      </c>
      <c r="AH444" s="431">
        <f t="shared" si="188"/>
        <v>1.069250909090909</v>
      </c>
      <c r="AI444" s="432">
        <f t="shared" si="189"/>
        <v>874.69313200000011</v>
      </c>
      <c r="AJ444" s="432">
        <f t="shared" si="190"/>
        <v>148.19654968072518</v>
      </c>
      <c r="AK444" s="432">
        <f t="shared" si="191"/>
        <v>162.04149524006041</v>
      </c>
      <c r="AL444" s="432">
        <f t="shared" si="192"/>
        <v>322.115110280019</v>
      </c>
      <c r="AM444" s="250">
        <v>162</v>
      </c>
      <c r="AN444" s="432">
        <f t="shared" si="193"/>
        <v>178.2</v>
      </c>
      <c r="AO444" s="432">
        <f t="shared" si="194"/>
        <v>190.54051199999998</v>
      </c>
      <c r="AP444" s="432">
        <f t="shared" si="195"/>
        <v>635.13504</v>
      </c>
      <c r="AQ444" s="255">
        <v>45566</v>
      </c>
      <c r="AR444" s="451" t="s">
        <v>1993</v>
      </c>
      <c r="AS444" s="436"/>
      <c r="AT444" s="435"/>
      <c r="AU444" s="241"/>
      <c r="AV444" s="243"/>
      <c r="AX444" s="243"/>
      <c r="AY444" s="103"/>
      <c r="BA444" s="13"/>
      <c r="BC444" s="32"/>
      <c r="BD444" s="241"/>
      <c r="BE444" s="241"/>
      <c r="BF444" s="71"/>
      <c r="BG444" s="241"/>
      <c r="BH444" s="241"/>
      <c r="BI444" s="71"/>
      <c r="BJ444" s="162"/>
      <c r="BK444" s="123"/>
      <c r="BL444" s="126"/>
      <c r="BM444" s="123"/>
      <c r="BN444" s="123"/>
      <c r="BO444" s="130"/>
      <c r="BP444" s="130"/>
      <c r="BQ444" s="80"/>
      <c r="BR444" s="80"/>
      <c r="BS444" s="80"/>
      <c r="BT444" s="22"/>
      <c r="BU444" s="87"/>
      <c r="BV444" s="73"/>
      <c r="BW444" s="109"/>
      <c r="BX444" s="87"/>
      <c r="BY444" s="87"/>
      <c r="BZ444" s="109"/>
      <c r="CA444" s="76"/>
    </row>
    <row r="445" spans="1:79" s="13" customFormat="1">
      <c r="A445" s="13" t="s">
        <v>1810</v>
      </c>
      <c r="B445" s="387" t="s">
        <v>1988</v>
      </c>
      <c r="C445" s="13" t="s">
        <v>895</v>
      </c>
      <c r="D445" s="13" t="s">
        <v>1994</v>
      </c>
      <c r="E445" s="13" t="s">
        <v>118</v>
      </c>
      <c r="F445" s="13" t="s">
        <v>119</v>
      </c>
      <c r="G445" s="13" t="s">
        <v>1995</v>
      </c>
      <c r="H445" s="387" t="s">
        <v>121</v>
      </c>
      <c r="I445" s="13" t="s">
        <v>122</v>
      </c>
      <c r="J445" s="13" t="s">
        <v>5</v>
      </c>
      <c r="K445" s="13" t="s">
        <v>123</v>
      </c>
      <c r="L445" s="13" t="s">
        <v>1996</v>
      </c>
      <c r="M445" s="13" t="s">
        <v>125</v>
      </c>
      <c r="N445" s="13" t="s">
        <v>126</v>
      </c>
      <c r="O445" s="247">
        <v>0.49</v>
      </c>
      <c r="P445" s="13">
        <v>110</v>
      </c>
      <c r="Q445" s="13">
        <v>30</v>
      </c>
      <c r="R445" s="13" t="s">
        <v>127</v>
      </c>
      <c r="S445" s="430" t="str">
        <f t="shared" si="181"/>
        <v>N/A</v>
      </c>
      <c r="T445" s="247">
        <v>0.8</v>
      </c>
      <c r="U445" s="13">
        <v>180</v>
      </c>
      <c r="V445" s="13">
        <v>440</v>
      </c>
      <c r="W445" s="430">
        <f t="shared" si="177"/>
        <v>260</v>
      </c>
      <c r="X445" s="430">
        <f t="shared" si="178"/>
        <v>360</v>
      </c>
      <c r="Y445" s="13">
        <v>180</v>
      </c>
      <c r="Z445" s="13">
        <v>580</v>
      </c>
      <c r="AA445" s="430">
        <f t="shared" si="182"/>
        <v>400</v>
      </c>
      <c r="AB445" s="430">
        <f t="shared" si="183"/>
        <v>220</v>
      </c>
      <c r="AC445" s="430" t="str">
        <f t="shared" si="184"/>
        <v>N/A</v>
      </c>
      <c r="AD445" s="430">
        <f t="shared" si="185"/>
        <v>80</v>
      </c>
      <c r="AE445" s="431">
        <f t="shared" si="186"/>
        <v>1.1920000000000002</v>
      </c>
      <c r="AF445" s="431"/>
      <c r="AG445" s="431">
        <f t="shared" si="187"/>
        <v>1.0494545454545456</v>
      </c>
      <c r="AH445" s="431">
        <f t="shared" si="188"/>
        <v>1.1124218181818184</v>
      </c>
      <c r="AI445" s="432">
        <f t="shared" si="189"/>
        <v>879.90154800000005</v>
      </c>
      <c r="AJ445" s="432">
        <f t="shared" si="190"/>
        <v>140.23968795290102</v>
      </c>
      <c r="AK445" s="432">
        <f t="shared" si="191"/>
        <v>153.34128073052699</v>
      </c>
      <c r="AL445" s="432">
        <f t="shared" si="192"/>
        <v>304.82033925827301</v>
      </c>
      <c r="AM445" s="250">
        <v>305</v>
      </c>
      <c r="AN445" s="432">
        <f t="shared" si="193"/>
        <v>335.5</v>
      </c>
      <c r="AO445" s="432">
        <f t="shared" si="194"/>
        <v>373.21752000000009</v>
      </c>
      <c r="AP445" s="432">
        <f t="shared" si="195"/>
        <v>1244.0584000000003</v>
      </c>
      <c r="AQ445" s="255">
        <v>45444</v>
      </c>
      <c r="AR445" s="451" t="s">
        <v>1997</v>
      </c>
      <c r="AS445" s="436" t="s">
        <v>1998</v>
      </c>
      <c r="AT445" s="435"/>
      <c r="AU445" s="241"/>
      <c r="AV445" s="243"/>
      <c r="AW445" s="72"/>
      <c r="AX445" s="243"/>
      <c r="AY445" s="103">
        <f t="shared" ref="AY445:AY465" si="201">(V445/10)/P445</f>
        <v>0.4</v>
      </c>
      <c r="AZ445" s="72"/>
      <c r="BA445" s="13" t="str">
        <f t="shared" ref="BA445:BA468" si="202">LEFT(G445,3)</f>
        <v>W22</v>
      </c>
      <c r="BB445" s="72"/>
      <c r="BC445" s="32"/>
      <c r="BD445" s="241"/>
      <c r="BE445" s="241"/>
      <c r="BF445" s="71"/>
      <c r="BG445" s="241"/>
      <c r="BH445" s="241"/>
      <c r="BI445" s="71"/>
      <c r="BJ445" s="162"/>
      <c r="BK445" s="123"/>
      <c r="BL445" s="126"/>
      <c r="BM445" s="123"/>
      <c r="BN445" s="123"/>
      <c r="BO445" s="130"/>
      <c r="BP445" s="130"/>
      <c r="BQ445" s="103"/>
      <c r="BR445" s="103"/>
      <c r="BS445" s="103"/>
      <c r="BU445" s="79"/>
      <c r="BV445" s="29"/>
      <c r="BW445" s="86"/>
      <c r="BX445" s="79"/>
      <c r="BY445" s="79"/>
      <c r="BZ445" s="86"/>
      <c r="CA445" s="247"/>
    </row>
    <row r="446" spans="1:79" s="13" customFormat="1">
      <c r="A446" s="13" t="s">
        <v>1810</v>
      </c>
      <c r="B446" s="387" t="s">
        <v>1999</v>
      </c>
      <c r="C446" s="13" t="s">
        <v>430</v>
      </c>
      <c r="D446" s="13" t="s">
        <v>2000</v>
      </c>
      <c r="E446" s="13" t="s">
        <v>118</v>
      </c>
      <c r="F446" s="13" t="s">
        <v>167</v>
      </c>
      <c r="G446" s="13" t="s">
        <v>2001</v>
      </c>
      <c r="H446" s="387" t="s">
        <v>121</v>
      </c>
      <c r="I446" s="13" t="s">
        <v>122</v>
      </c>
      <c r="J446" s="13" t="s">
        <v>5</v>
      </c>
      <c r="K446" s="13" t="s">
        <v>123</v>
      </c>
      <c r="L446" s="13" t="s">
        <v>2002</v>
      </c>
      <c r="M446" s="13" t="s">
        <v>125</v>
      </c>
      <c r="N446" s="13" t="s">
        <v>12</v>
      </c>
      <c r="O446" s="247">
        <v>0.41</v>
      </c>
      <c r="P446" s="13">
        <v>102</v>
      </c>
      <c r="Q446" s="13">
        <v>30</v>
      </c>
      <c r="R446" s="13" t="s">
        <v>127</v>
      </c>
      <c r="S446" s="430" t="str">
        <f t="shared" si="181"/>
        <v>N/A</v>
      </c>
      <c r="T446" s="247">
        <v>0.8</v>
      </c>
      <c r="U446" s="13">
        <v>200</v>
      </c>
      <c r="V446" s="13">
        <v>600</v>
      </c>
      <c r="W446" s="430">
        <f t="shared" si="177"/>
        <v>400</v>
      </c>
      <c r="X446" s="430">
        <f t="shared" si="178"/>
        <v>120</v>
      </c>
      <c r="Y446" s="13">
        <f>U446</f>
        <v>200</v>
      </c>
      <c r="Z446" s="13">
        <f>V446</f>
        <v>600</v>
      </c>
      <c r="AA446" s="430">
        <f t="shared" si="182"/>
        <v>400</v>
      </c>
      <c r="AB446" s="430">
        <f t="shared" si="183"/>
        <v>120</v>
      </c>
      <c r="AC446" s="430" t="str">
        <f t="shared" si="184"/>
        <v>N/A</v>
      </c>
      <c r="AD446" s="430">
        <f t="shared" si="185"/>
        <v>72</v>
      </c>
      <c r="AE446" s="431">
        <f t="shared" si="186"/>
        <v>1.0952</v>
      </c>
      <c r="AF446" s="431"/>
      <c r="AG446" s="431">
        <f t="shared" si="187"/>
        <v>0.99101176470588237</v>
      </c>
      <c r="AH446" s="431">
        <f t="shared" si="188"/>
        <v>1.0504724705882353</v>
      </c>
      <c r="AI446" s="432">
        <f t="shared" si="189"/>
        <v>874.69313200000011</v>
      </c>
      <c r="AJ446" s="432">
        <f t="shared" si="190"/>
        <v>152.63486855355922</v>
      </c>
      <c r="AK446" s="432">
        <f t="shared" si="191"/>
        <v>166.89445455696512</v>
      </c>
      <c r="AL446" s="432">
        <f t="shared" si="192"/>
        <v>331.76209312989545</v>
      </c>
      <c r="AM446" s="250">
        <v>167</v>
      </c>
      <c r="AN446" s="432">
        <f t="shared" si="193"/>
        <v>170.34</v>
      </c>
      <c r="AO446" s="432">
        <f t="shared" si="194"/>
        <v>178.93748064000002</v>
      </c>
      <c r="AP446" s="432">
        <f t="shared" si="195"/>
        <v>596.45826880000004</v>
      </c>
      <c r="AQ446" s="255">
        <v>44593</v>
      </c>
      <c r="AR446" s="451" t="s">
        <v>2003</v>
      </c>
      <c r="AS446" s="434" t="s">
        <v>2004</v>
      </c>
      <c r="AT446" s="435"/>
      <c r="AU446" s="241"/>
      <c r="AV446" s="243"/>
      <c r="AW446" s="72" t="s">
        <v>127</v>
      </c>
      <c r="AX446" s="243"/>
      <c r="AY446" s="103">
        <f t="shared" si="201"/>
        <v>0.58823529411764708</v>
      </c>
      <c r="AZ446" s="72"/>
      <c r="BA446" s="13" t="str">
        <f t="shared" si="202"/>
        <v>W22</v>
      </c>
      <c r="BB446" s="72" t="str">
        <f>IF(R446="n/a","Clear","S/B")</f>
        <v>Clear</v>
      </c>
      <c r="BC446" s="32">
        <f>IF(Q446="","",((P446/100*O446)+T446))</f>
        <v>1.2181999999999999</v>
      </c>
      <c r="BD446" s="241">
        <f>IF(BC446="","",((PI()*((51/2)^2-(16.545/2)^2)/(BC446/10))/100))</f>
        <v>150.04334807978015</v>
      </c>
      <c r="BE446" s="241">
        <f>IF(BC446="","",(BD446-AK446))</f>
        <v>-16.85110647718497</v>
      </c>
      <c r="BF446" s="71">
        <f>IF(BC446="","",(BE446/AK446))</f>
        <v>-0.10096864225907087</v>
      </c>
      <c r="BG446" s="241">
        <f>IF(BF446="","",((PI()*((70/2)^2-(16.545/2)^2)/(BC446/10))/100))</f>
        <v>298.2645250335425</v>
      </c>
      <c r="BH446" s="241">
        <f>IF(BF446="","",(BG446-AL446))</f>
        <v>-33.49756809635295</v>
      </c>
      <c r="BI446" s="71">
        <f>IF(BG446="","",(BH446/AL446))</f>
        <v>-0.10096864225907082</v>
      </c>
      <c r="BJ446" s="111">
        <v>25.08</v>
      </c>
      <c r="BK446" s="111"/>
      <c r="BL446" s="112"/>
      <c r="BM446" s="108"/>
      <c r="BN446" s="123"/>
      <c r="BO446" s="83"/>
      <c r="BP446" s="83"/>
      <c r="BQ446" s="124"/>
      <c r="BR446" s="124"/>
      <c r="BS446" s="71"/>
      <c r="BT446" s="72"/>
      <c r="BU446" s="78"/>
      <c r="BV446" s="32"/>
      <c r="BW446" s="127"/>
      <c r="BX446" s="78"/>
      <c r="BY446" s="78"/>
      <c r="BZ446" s="127"/>
      <c r="CA446" s="76"/>
    </row>
    <row r="447" spans="1:79" s="38" customFormat="1">
      <c r="A447" s="13" t="s">
        <v>1810</v>
      </c>
      <c r="B447" s="387" t="s">
        <v>1999</v>
      </c>
      <c r="C447" s="13" t="s">
        <v>151</v>
      </c>
      <c r="D447" s="429" t="s">
        <v>2005</v>
      </c>
      <c r="E447" s="13" t="s">
        <v>118</v>
      </c>
      <c r="F447" s="13" t="s">
        <v>186</v>
      </c>
      <c r="G447" s="13" t="s">
        <v>2006</v>
      </c>
      <c r="H447" s="13" t="s">
        <v>121</v>
      </c>
      <c r="I447" s="13" t="s">
        <v>122</v>
      </c>
      <c r="J447" s="13" t="s">
        <v>5</v>
      </c>
      <c r="K447" s="13" t="s">
        <v>123</v>
      </c>
      <c r="L447" s="13" t="s">
        <v>2007</v>
      </c>
      <c r="M447" s="13" t="s">
        <v>125</v>
      </c>
      <c r="N447" s="13" t="s">
        <v>12</v>
      </c>
      <c r="O447" s="247">
        <v>0.45</v>
      </c>
      <c r="P447" s="13">
        <v>92</v>
      </c>
      <c r="Q447" s="13">
        <v>30</v>
      </c>
      <c r="R447" s="13" t="s">
        <v>127</v>
      </c>
      <c r="S447" s="430" t="str">
        <f t="shared" si="181"/>
        <v>N/A</v>
      </c>
      <c r="T447" s="247">
        <v>0.8</v>
      </c>
      <c r="U447" s="13">
        <v>150</v>
      </c>
      <c r="V447" s="13">
        <v>450</v>
      </c>
      <c r="W447" s="430">
        <f t="shared" si="177"/>
        <v>300</v>
      </c>
      <c r="X447" s="430">
        <f t="shared" si="178"/>
        <v>170</v>
      </c>
      <c r="Y447" s="13">
        <v>100</v>
      </c>
      <c r="Z447" s="13">
        <v>500</v>
      </c>
      <c r="AA447" s="430">
        <f t="shared" si="182"/>
        <v>400</v>
      </c>
      <c r="AB447" s="430">
        <f t="shared" si="183"/>
        <v>120</v>
      </c>
      <c r="AC447" s="430" t="str">
        <f t="shared" si="184"/>
        <v>N/A</v>
      </c>
      <c r="AD447" s="430">
        <f t="shared" si="185"/>
        <v>62</v>
      </c>
      <c r="AE447" s="431">
        <f t="shared" si="186"/>
        <v>1.0790000000000002</v>
      </c>
      <c r="AF447" s="431"/>
      <c r="AG447" s="431">
        <f t="shared" si="187"/>
        <v>0.98498913043478276</v>
      </c>
      <c r="AH447" s="431">
        <f t="shared" si="188"/>
        <v>1.0440884782608697</v>
      </c>
      <c r="AI447" s="432">
        <f t="shared" si="189"/>
        <v>877.29733999999996</v>
      </c>
      <c r="AJ447" s="432">
        <f t="shared" si="190"/>
        <v>154.92651347530861</v>
      </c>
      <c r="AK447" s="432">
        <f t="shared" si="191"/>
        <v>169.40019150212061</v>
      </c>
      <c r="AL447" s="432">
        <f t="shared" si="192"/>
        <v>336.7431366041348</v>
      </c>
      <c r="AM447" s="250">
        <v>337</v>
      </c>
      <c r="AN447" s="432">
        <f t="shared" si="193"/>
        <v>310.04000000000002</v>
      </c>
      <c r="AO447" s="432">
        <f t="shared" si="194"/>
        <v>323.70919180000004</v>
      </c>
      <c r="AP447" s="432">
        <f t="shared" si="195"/>
        <v>1079.0306393333335</v>
      </c>
      <c r="AQ447" s="255">
        <v>45444</v>
      </c>
      <c r="AR447" s="13" t="s">
        <v>2008</v>
      </c>
      <c r="AS447" s="436" t="s">
        <v>2009</v>
      </c>
      <c r="AT447" s="429"/>
      <c r="AU447" s="249"/>
      <c r="AV447" s="254"/>
      <c r="AX447" s="254"/>
      <c r="AY447" s="102">
        <f t="shared" si="201"/>
        <v>0.4891304347826087</v>
      </c>
      <c r="AZ447" s="308"/>
      <c r="BA447" s="38" t="str">
        <f t="shared" si="202"/>
        <v>W22</v>
      </c>
      <c r="BB447" s="77"/>
      <c r="BC447" s="264"/>
      <c r="BD447" s="253"/>
      <c r="BE447" s="253"/>
      <c r="BF447" s="100"/>
      <c r="BG447" s="253"/>
      <c r="BH447" s="253"/>
      <c r="BI447" s="100"/>
      <c r="BJ447" s="143"/>
      <c r="BK447" s="139"/>
      <c r="BL447" s="191"/>
      <c r="BM447" s="101"/>
      <c r="BN447" s="162"/>
      <c r="BO447" s="101"/>
      <c r="BP447" s="190"/>
      <c r="BQ447" s="102"/>
      <c r="BR447" s="100"/>
      <c r="BS447" s="100"/>
      <c r="BU447" s="288"/>
      <c r="BV447" s="248"/>
      <c r="BW447" s="173"/>
      <c r="BX447" s="288"/>
      <c r="BY447" s="288"/>
      <c r="BZ447" s="173"/>
      <c r="CA447" s="271"/>
    </row>
    <row r="448" spans="1:79" s="22" customFormat="1">
      <c r="A448" s="13" t="s">
        <v>1810</v>
      </c>
      <c r="B448" s="13" t="s">
        <v>1999</v>
      </c>
      <c r="C448" s="13" t="s">
        <v>151</v>
      </c>
      <c r="D448" s="13" t="s">
        <v>2010</v>
      </c>
      <c r="E448" s="13" t="s">
        <v>137</v>
      </c>
      <c r="F448" s="13" t="s">
        <v>186</v>
      </c>
      <c r="G448" s="13" t="s">
        <v>2011</v>
      </c>
      <c r="H448" s="13" t="s">
        <v>121</v>
      </c>
      <c r="I448" s="13" t="s">
        <v>122</v>
      </c>
      <c r="J448" s="13" t="s">
        <v>5</v>
      </c>
      <c r="K448" s="13" t="s">
        <v>140</v>
      </c>
      <c r="L448" s="13" t="s">
        <v>2012</v>
      </c>
      <c r="M448" s="13" t="s">
        <v>125</v>
      </c>
      <c r="N448" s="13" t="s">
        <v>12</v>
      </c>
      <c r="O448" s="247">
        <v>0.34</v>
      </c>
      <c r="P448" s="13">
        <v>98</v>
      </c>
      <c r="Q448" s="13">
        <v>26</v>
      </c>
      <c r="R448" s="13" t="s">
        <v>127</v>
      </c>
      <c r="S448" s="430" t="str">
        <f t="shared" si="181"/>
        <v>N/A</v>
      </c>
      <c r="T448" s="247">
        <v>0.76</v>
      </c>
      <c r="U448" s="13">
        <v>200</v>
      </c>
      <c r="V448" s="13">
        <v>600</v>
      </c>
      <c r="W448" s="430">
        <f t="shared" si="177"/>
        <v>400</v>
      </c>
      <c r="X448" s="430">
        <f t="shared" si="178"/>
        <v>120</v>
      </c>
      <c r="Y448" s="13">
        <f>U448</f>
        <v>200</v>
      </c>
      <c r="Z448" s="13">
        <f>V448</f>
        <v>600</v>
      </c>
      <c r="AA448" s="430">
        <f t="shared" si="182"/>
        <v>400</v>
      </c>
      <c r="AB448" s="430">
        <f t="shared" si="183"/>
        <v>120</v>
      </c>
      <c r="AC448" s="430" t="str">
        <f t="shared" si="184"/>
        <v>N/A</v>
      </c>
      <c r="AD448" s="430">
        <f t="shared" si="185"/>
        <v>72</v>
      </c>
      <c r="AE448" s="431">
        <f t="shared" si="186"/>
        <v>1.0047999999999999</v>
      </c>
      <c r="AF448" s="431"/>
      <c r="AG448" s="431">
        <f t="shared" si="187"/>
        <v>0.91487346938775493</v>
      </c>
      <c r="AH448" s="431">
        <f t="shared" si="188"/>
        <v>0.97434024489795901</v>
      </c>
      <c r="AI448" s="432">
        <f t="shared" si="189"/>
        <v>831.64018199999998</v>
      </c>
      <c r="AJ448" s="432">
        <f t="shared" si="190"/>
        <v>166.36714574030458</v>
      </c>
      <c r="AK448" s="432">
        <f t="shared" si="191"/>
        <v>181.90964035707424</v>
      </c>
      <c r="AL448" s="432">
        <f t="shared" si="192"/>
        <v>361.61011583983031</v>
      </c>
      <c r="AM448" s="250">
        <v>362</v>
      </c>
      <c r="AN448" s="432">
        <f t="shared" si="193"/>
        <v>354.76</v>
      </c>
      <c r="AO448" s="432">
        <f t="shared" si="194"/>
        <v>345.65694527999995</v>
      </c>
      <c r="AP448" s="432">
        <f t="shared" si="195"/>
        <v>1329.4497895384613</v>
      </c>
      <c r="AQ448" s="255">
        <v>44256</v>
      </c>
      <c r="AR448" s="13" t="s">
        <v>2013</v>
      </c>
      <c r="AS448" s="298" t="s">
        <v>2014</v>
      </c>
      <c r="AT448" s="429" t="s">
        <v>2015</v>
      </c>
      <c r="AU448" s="257"/>
      <c r="AV448" s="255" t="s">
        <v>405</v>
      </c>
      <c r="AW448" s="38" t="s">
        <v>127</v>
      </c>
      <c r="AX448" s="259"/>
      <c r="AY448" s="103">
        <f t="shared" si="201"/>
        <v>0.61224489795918369</v>
      </c>
      <c r="AZ448" s="307"/>
      <c r="BA448" s="13" t="str">
        <f t="shared" si="202"/>
        <v>W20</v>
      </c>
      <c r="BB448" s="72" t="str">
        <f t="shared" ref="BB448:BB453" si="203">IF(R448="n/a","Clear","S/B")</f>
        <v>Clear</v>
      </c>
      <c r="BC448" s="264">
        <f t="shared" ref="BC448:BC453" si="204">IF(Q448="","",((P448/100*O448)+T448))</f>
        <v>1.0931999999999999</v>
      </c>
      <c r="BD448" s="253">
        <f t="shared" ref="BD448:BD453" si="205">IF(BC448="","",((PI()*((51/2)^2-(16.545/2)^2)/(BC448/10))/100))</f>
        <v>167.19978652651679</v>
      </c>
      <c r="BE448" s="253">
        <f t="shared" ref="BE448:BE453" si="206">IF(BC448="","",(BD448-AK448))</f>
        <v>-14.709853830557449</v>
      </c>
      <c r="BF448" s="100">
        <f t="shared" ref="BF448:BF453" si="207">IF(BC448="","",(BE448/AK448))</f>
        <v>-8.0863519941456477E-2</v>
      </c>
      <c r="BG448" s="253">
        <f t="shared" ref="BG448:BG453" si="208">IF(BF448="","",((PI()*((70/2)^2-(16.545/2)^2)/(BC448/10))/100))</f>
        <v>332.36904902658381</v>
      </c>
      <c r="BH448" s="253">
        <f t="shared" ref="BH448:BH453" si="209">IF(BF448="","",(BG448-AL448))</f>
        <v>-29.241066813246505</v>
      </c>
      <c r="BI448" s="100">
        <f t="shared" ref="BI448:BI453" si="210">IF(BG448="","",(BH448/AL448))</f>
        <v>-8.0863519941456477E-2</v>
      </c>
      <c r="BJ448" s="139">
        <f>16*$BK$2</f>
        <v>18.239999999999998</v>
      </c>
      <c r="BK448" s="139"/>
      <c r="BL448" s="112"/>
      <c r="BM448" s="101"/>
      <c r="BN448" s="100"/>
      <c r="BO448" s="102"/>
      <c r="BP448" s="102"/>
      <c r="BQ448" s="124"/>
      <c r="BR448" s="124"/>
      <c r="BS448" s="71"/>
      <c r="BT448" s="72"/>
      <c r="BU448" s="78"/>
      <c r="BV448" s="32"/>
      <c r="BW448" s="127"/>
      <c r="BX448" s="78"/>
      <c r="BY448" s="78"/>
      <c r="BZ448" s="127"/>
      <c r="CA448" s="76"/>
    </row>
    <row r="449" spans="1:79" s="22" customFormat="1">
      <c r="A449" s="13" t="s">
        <v>1810</v>
      </c>
      <c r="B449" s="13" t="s">
        <v>1999</v>
      </c>
      <c r="C449" s="13" t="s">
        <v>151</v>
      </c>
      <c r="D449" s="13" t="s">
        <v>2010</v>
      </c>
      <c r="E449" s="13" t="s">
        <v>137</v>
      </c>
      <c r="F449" s="13" t="s">
        <v>167</v>
      </c>
      <c r="G449" s="13" t="s">
        <v>2016</v>
      </c>
      <c r="H449" s="13" t="s">
        <v>121</v>
      </c>
      <c r="I449" s="13" t="s">
        <v>122</v>
      </c>
      <c r="J449" s="13" t="s">
        <v>5</v>
      </c>
      <c r="K449" s="13" t="s">
        <v>140</v>
      </c>
      <c r="L449" s="13" t="s">
        <v>2017</v>
      </c>
      <c r="M449" s="13" t="s">
        <v>125</v>
      </c>
      <c r="N449" s="13" t="s">
        <v>12</v>
      </c>
      <c r="O449" s="247">
        <v>0.34</v>
      </c>
      <c r="P449" s="13">
        <v>98</v>
      </c>
      <c r="Q449" s="13">
        <v>25</v>
      </c>
      <c r="R449" s="13" t="s">
        <v>127</v>
      </c>
      <c r="S449" s="430" t="str">
        <f t="shared" si="181"/>
        <v>N/A</v>
      </c>
      <c r="T449" s="247">
        <v>0.76</v>
      </c>
      <c r="U449" s="13">
        <v>200</v>
      </c>
      <c r="V449" s="13">
        <v>600</v>
      </c>
      <c r="W449" s="430">
        <f t="shared" si="177"/>
        <v>400</v>
      </c>
      <c r="X449" s="430">
        <f t="shared" si="178"/>
        <v>130</v>
      </c>
      <c r="Y449" s="13"/>
      <c r="Z449" s="13"/>
      <c r="AA449" s="430">
        <f t="shared" si="182"/>
        <v>0</v>
      </c>
      <c r="AB449" s="430">
        <f t="shared" si="183"/>
        <v>730</v>
      </c>
      <c r="AC449" s="430" t="str">
        <f t="shared" si="184"/>
        <v>N/A</v>
      </c>
      <c r="AD449" s="430">
        <f t="shared" si="185"/>
        <v>73</v>
      </c>
      <c r="AE449" s="431">
        <f t="shared" si="186"/>
        <v>1.0082</v>
      </c>
      <c r="AF449" s="431"/>
      <c r="AG449" s="431">
        <f t="shared" si="187"/>
        <v>0.91575816326530612</v>
      </c>
      <c r="AH449" s="431">
        <f t="shared" si="188"/>
        <v>0</v>
      </c>
      <c r="AI449" s="432">
        <f t="shared" si="189"/>
        <v>0</v>
      </c>
      <c r="AJ449" s="432">
        <f t="shared" si="190"/>
        <v>165.80609803596315</v>
      </c>
      <c r="AK449" s="432">
        <f t="shared" si="191"/>
        <v>181.29617797142251</v>
      </c>
      <c r="AL449" s="432">
        <f t="shared" si="192"/>
        <v>360.39064113852561</v>
      </c>
      <c r="AM449" s="250">
        <v>181</v>
      </c>
      <c r="AN449" s="432">
        <f t="shared" si="193"/>
        <v>177.38</v>
      </c>
      <c r="AO449" s="432">
        <f t="shared" si="194"/>
        <v>0</v>
      </c>
      <c r="AP449" s="432">
        <f t="shared" si="195"/>
        <v>0</v>
      </c>
      <c r="AQ449" s="255">
        <v>44105</v>
      </c>
      <c r="AR449" s="13" t="s">
        <v>2018</v>
      </c>
      <c r="AS449" s="298" t="s">
        <v>2019</v>
      </c>
      <c r="AT449" s="429" t="s">
        <v>2020</v>
      </c>
      <c r="AU449" s="241">
        <v>4</v>
      </c>
      <c r="AV449" s="243" t="s">
        <v>405</v>
      </c>
      <c r="AW449" s="72" t="s">
        <v>127</v>
      </c>
      <c r="AX449" s="243" t="s">
        <v>2021</v>
      </c>
      <c r="AY449" s="103">
        <f t="shared" si="201"/>
        <v>0.61224489795918369</v>
      </c>
      <c r="AZ449" s="72" t="s">
        <v>2022</v>
      </c>
      <c r="BA449" s="13" t="str">
        <f t="shared" si="202"/>
        <v>W10</v>
      </c>
      <c r="BB449" s="72" t="str">
        <f t="shared" si="203"/>
        <v>Clear</v>
      </c>
      <c r="BC449" s="32">
        <f t="shared" si="204"/>
        <v>1.0931999999999999</v>
      </c>
      <c r="BD449" s="241">
        <f t="shared" si="205"/>
        <v>167.19978652651679</v>
      </c>
      <c r="BE449" s="241">
        <f t="shared" si="206"/>
        <v>-14.09639144490572</v>
      </c>
      <c r="BF449" s="71">
        <f t="shared" si="207"/>
        <v>-7.775338455909267E-2</v>
      </c>
      <c r="BG449" s="241">
        <f t="shared" si="208"/>
        <v>332.36904902658381</v>
      </c>
      <c r="BH449" s="241">
        <f t="shared" si="209"/>
        <v>-28.0215921119418</v>
      </c>
      <c r="BI449" s="71">
        <f t="shared" si="210"/>
        <v>-7.7753384559092822E-2</v>
      </c>
      <c r="BJ449" s="111"/>
      <c r="BK449" s="83"/>
      <c r="BL449" s="83"/>
      <c r="BM449" s="83"/>
      <c r="BN449" s="71"/>
      <c r="BO449" s="103"/>
      <c r="BP449" s="103"/>
      <c r="BQ449" s="124"/>
      <c r="BR449" s="124"/>
      <c r="BS449" s="71"/>
      <c r="BT449" s="72"/>
      <c r="BU449" s="78"/>
      <c r="BV449" s="32"/>
      <c r="BW449" s="127"/>
      <c r="BX449" s="78"/>
      <c r="BY449" s="78"/>
      <c r="BZ449" s="127"/>
      <c r="CA449" s="76"/>
    </row>
    <row r="450" spans="1:79" s="22" customFormat="1">
      <c r="A450" s="13" t="s">
        <v>1810</v>
      </c>
      <c r="B450" s="13" t="s">
        <v>1999</v>
      </c>
      <c r="C450" s="13" t="s">
        <v>151</v>
      </c>
      <c r="D450" s="429" t="s">
        <v>2023</v>
      </c>
      <c r="E450" s="13" t="s">
        <v>137</v>
      </c>
      <c r="F450" s="13" t="s">
        <v>186</v>
      </c>
      <c r="G450" s="13" t="s">
        <v>2024</v>
      </c>
      <c r="H450" s="13" t="s">
        <v>121</v>
      </c>
      <c r="I450" s="13" t="s">
        <v>122</v>
      </c>
      <c r="J450" s="13" t="s">
        <v>5</v>
      </c>
      <c r="K450" s="13" t="s">
        <v>140</v>
      </c>
      <c r="L450" s="13" t="s">
        <v>2025</v>
      </c>
      <c r="M450" s="13" t="s">
        <v>125</v>
      </c>
      <c r="N450" s="13" t="s">
        <v>12</v>
      </c>
      <c r="O450" s="247">
        <v>0.3</v>
      </c>
      <c r="P450" s="13">
        <v>98</v>
      </c>
      <c r="Q450" s="13">
        <v>26</v>
      </c>
      <c r="R450" s="13" t="s">
        <v>127</v>
      </c>
      <c r="S450" s="430" t="str">
        <f t="shared" si="181"/>
        <v>N/A</v>
      </c>
      <c r="T450" s="247">
        <v>0.76</v>
      </c>
      <c r="U450" s="13">
        <v>200</v>
      </c>
      <c r="V450" s="13">
        <v>600</v>
      </c>
      <c r="W450" s="430">
        <f t="shared" si="177"/>
        <v>400</v>
      </c>
      <c r="X450" s="430">
        <f t="shared" si="178"/>
        <v>120</v>
      </c>
      <c r="Y450" s="13">
        <f>U450</f>
        <v>200</v>
      </c>
      <c r="Z450" s="13">
        <f>V450</f>
        <v>600</v>
      </c>
      <c r="AA450" s="430">
        <f t="shared" si="182"/>
        <v>400</v>
      </c>
      <c r="AB450" s="430">
        <f t="shared" si="183"/>
        <v>120</v>
      </c>
      <c r="AC450" s="430" t="str">
        <f t="shared" si="184"/>
        <v>N/A</v>
      </c>
      <c r="AD450" s="430">
        <f t="shared" si="185"/>
        <v>72</v>
      </c>
      <c r="AE450" s="431">
        <f t="shared" si="186"/>
        <v>0.97599999999999998</v>
      </c>
      <c r="AF450" s="431"/>
      <c r="AG450" s="431">
        <f t="shared" si="187"/>
        <v>0.89665306122448984</v>
      </c>
      <c r="AH450" s="431">
        <f t="shared" si="188"/>
        <v>0.95493551020408174</v>
      </c>
      <c r="AI450" s="432">
        <f t="shared" si="189"/>
        <v>829.0236900000001</v>
      </c>
      <c r="AJ450" s="432">
        <f t="shared" si="190"/>
        <v>171.27634020477259</v>
      </c>
      <c r="AK450" s="432">
        <f t="shared" si="191"/>
        <v>187.27746581023382</v>
      </c>
      <c r="AL450" s="432">
        <f t="shared" si="192"/>
        <v>372.28057827444826</v>
      </c>
      <c r="AM450" s="250">
        <v>372</v>
      </c>
      <c r="AN450" s="432">
        <f t="shared" si="193"/>
        <v>364.56</v>
      </c>
      <c r="AO450" s="432">
        <f t="shared" si="194"/>
        <v>348.13128960000006</v>
      </c>
      <c r="AP450" s="432">
        <f t="shared" si="195"/>
        <v>1338.9664984615385</v>
      </c>
      <c r="AQ450" s="255">
        <v>44256</v>
      </c>
      <c r="AR450" s="13" t="s">
        <v>2026</v>
      </c>
      <c r="AS450" s="298" t="s">
        <v>2027</v>
      </c>
      <c r="AT450" s="429"/>
      <c r="AU450" s="249">
        <v>6</v>
      </c>
      <c r="AV450" s="254"/>
      <c r="AW450" s="38" t="s">
        <v>127</v>
      </c>
      <c r="AX450" s="254">
        <v>44256</v>
      </c>
      <c r="AY450" s="103">
        <f t="shared" si="201"/>
        <v>0.61224489795918369</v>
      </c>
      <c r="AZ450" s="308">
        <f>15000/1.6</f>
        <v>9375</v>
      </c>
      <c r="BA450" s="13" t="str">
        <f t="shared" si="202"/>
        <v>W20</v>
      </c>
      <c r="BB450" s="72" t="str">
        <f t="shared" si="203"/>
        <v>Clear</v>
      </c>
      <c r="BC450" s="303">
        <f t="shared" si="204"/>
        <v>1.054</v>
      </c>
      <c r="BD450" s="251">
        <f t="shared" si="205"/>
        <v>173.41822260985595</v>
      </c>
      <c r="BE450" s="251">
        <f t="shared" si="206"/>
        <v>-13.859243200377875</v>
      </c>
      <c r="BF450" s="231">
        <f t="shared" si="207"/>
        <v>-7.4003795066413872E-2</v>
      </c>
      <c r="BG450" s="251">
        <f t="shared" si="208"/>
        <v>344.73040265261994</v>
      </c>
      <c r="BH450" s="251">
        <f t="shared" si="209"/>
        <v>-27.550175621828316</v>
      </c>
      <c r="BI450" s="231">
        <f t="shared" si="210"/>
        <v>-7.4003795066413872E-2</v>
      </c>
      <c r="BJ450" s="139">
        <f>16*$BK$2</f>
        <v>18.239999999999998</v>
      </c>
      <c r="BK450" s="139"/>
      <c r="BL450" s="112"/>
      <c r="BM450" s="101"/>
      <c r="BN450" s="231"/>
      <c r="BO450" s="102"/>
      <c r="BP450" s="102"/>
      <c r="BQ450" s="115"/>
      <c r="BR450" s="113"/>
      <c r="BS450" s="80"/>
      <c r="BU450" s="87"/>
      <c r="BV450" s="73"/>
      <c r="BW450" s="109"/>
      <c r="BX450" s="87"/>
      <c r="BY450" s="87"/>
      <c r="BZ450" s="109"/>
      <c r="CA450" s="284"/>
    </row>
    <row r="451" spans="1:79" s="13" customFormat="1">
      <c r="A451" s="13" t="s">
        <v>1810</v>
      </c>
      <c r="B451" s="13" t="s">
        <v>1999</v>
      </c>
      <c r="C451" s="13" t="s">
        <v>151</v>
      </c>
      <c r="D451" s="429" t="s">
        <v>2028</v>
      </c>
      <c r="E451" s="13" t="s">
        <v>137</v>
      </c>
      <c r="F451" s="13" t="s">
        <v>186</v>
      </c>
      <c r="G451" s="13" t="s">
        <v>2029</v>
      </c>
      <c r="H451" s="13" t="s">
        <v>121</v>
      </c>
      <c r="I451" s="13" t="s">
        <v>122</v>
      </c>
      <c r="J451" s="13" t="s">
        <v>5</v>
      </c>
      <c r="K451" s="13" t="s">
        <v>140</v>
      </c>
      <c r="L451" s="13" t="s">
        <v>2030</v>
      </c>
      <c r="M451" s="13" t="s">
        <v>125</v>
      </c>
      <c r="N451" s="13" t="s">
        <v>12</v>
      </c>
      <c r="O451" s="247">
        <v>0.4</v>
      </c>
      <c r="P451" s="13">
        <v>92</v>
      </c>
      <c r="Q451" s="13">
        <v>24</v>
      </c>
      <c r="R451" s="13" t="s">
        <v>127</v>
      </c>
      <c r="S451" s="430" t="str">
        <f t="shared" si="181"/>
        <v>N/A</v>
      </c>
      <c r="T451" s="247">
        <v>0.76</v>
      </c>
      <c r="U451" s="13">
        <v>200</v>
      </c>
      <c r="V451" s="13">
        <v>560</v>
      </c>
      <c r="W451" s="430">
        <f t="shared" si="177"/>
        <v>360</v>
      </c>
      <c r="X451" s="430">
        <f t="shared" si="178"/>
        <v>120</v>
      </c>
      <c r="Y451" s="13">
        <v>160</v>
      </c>
      <c r="Z451" s="13">
        <f>V451</f>
        <v>560</v>
      </c>
      <c r="AA451" s="430">
        <f t="shared" si="182"/>
        <v>400</v>
      </c>
      <c r="AB451" s="430">
        <f t="shared" si="183"/>
        <v>120</v>
      </c>
      <c r="AC451" s="430" t="str">
        <f t="shared" si="184"/>
        <v>N/A</v>
      </c>
      <c r="AD451" s="430">
        <f t="shared" si="185"/>
        <v>68</v>
      </c>
      <c r="AE451" s="431">
        <f t="shared" si="186"/>
        <v>1.032</v>
      </c>
      <c r="AF451" s="431"/>
      <c r="AG451" s="431">
        <f t="shared" si="187"/>
        <v>0.9314782608695652</v>
      </c>
      <c r="AH451" s="431">
        <f t="shared" si="188"/>
        <v>0.99202434782608695</v>
      </c>
      <c r="AI451" s="432">
        <f t="shared" si="189"/>
        <v>835.56492000000003</v>
      </c>
      <c r="AJ451" s="432">
        <f t="shared" si="190"/>
        <v>161.98227523242059</v>
      </c>
      <c r="AK451" s="432">
        <f t="shared" si="191"/>
        <v>177.11512270425209</v>
      </c>
      <c r="AL451" s="432">
        <f t="shared" si="192"/>
        <v>352.07930658513709</v>
      </c>
      <c r="AM451" s="250">
        <v>352</v>
      </c>
      <c r="AN451" s="432">
        <f t="shared" si="193"/>
        <v>323.83999999999997</v>
      </c>
      <c r="AO451" s="432">
        <f t="shared" si="194"/>
        <v>321.2571648</v>
      </c>
      <c r="AP451" s="432">
        <f t="shared" si="195"/>
        <v>1338.57152</v>
      </c>
      <c r="AQ451" s="255">
        <v>44256</v>
      </c>
      <c r="AR451" s="13" t="s">
        <v>2013</v>
      </c>
      <c r="AS451" s="298" t="s">
        <v>2031</v>
      </c>
      <c r="AT451" s="429" t="s">
        <v>2032</v>
      </c>
      <c r="AU451" s="257"/>
      <c r="AV451" s="255" t="s">
        <v>405</v>
      </c>
      <c r="AW451" s="38" t="s">
        <v>127</v>
      </c>
      <c r="AX451" s="254">
        <v>44256</v>
      </c>
      <c r="AY451" s="103">
        <f t="shared" si="201"/>
        <v>0.60869565217391308</v>
      </c>
      <c r="AZ451" s="307"/>
      <c r="BA451" s="13" t="str">
        <f t="shared" si="202"/>
        <v>W20</v>
      </c>
      <c r="BB451" s="72" t="str">
        <f t="shared" si="203"/>
        <v>Clear</v>
      </c>
      <c r="BC451" s="264">
        <f t="shared" si="204"/>
        <v>1.1280000000000001</v>
      </c>
      <c r="BD451" s="253">
        <f t="shared" si="205"/>
        <v>162.04149524006041</v>
      </c>
      <c r="BE451" s="253">
        <f t="shared" si="206"/>
        <v>-15.073627464191674</v>
      </c>
      <c r="BF451" s="100">
        <f t="shared" si="207"/>
        <v>-8.5106382978723444E-2</v>
      </c>
      <c r="BG451" s="253">
        <f t="shared" si="208"/>
        <v>322.115110280019</v>
      </c>
      <c r="BH451" s="253">
        <f t="shared" si="209"/>
        <v>-29.964196305118094</v>
      </c>
      <c r="BI451" s="100">
        <f t="shared" si="210"/>
        <v>-8.5106382978723527E-2</v>
      </c>
      <c r="BJ451" s="139">
        <f>16*$BK$2</f>
        <v>18.239999999999998</v>
      </c>
      <c r="BK451" s="139"/>
      <c r="BL451" s="112"/>
      <c r="BM451" s="101"/>
      <c r="BN451" s="100"/>
      <c r="BO451" s="102"/>
      <c r="BP451" s="102"/>
      <c r="BQ451" s="83"/>
      <c r="BR451" s="71"/>
      <c r="BS451" s="71"/>
      <c r="BT451" s="13">
        <f>P451-V451/10-120/10</f>
        <v>24</v>
      </c>
      <c r="BU451" s="79">
        <f>BT451-Q451</f>
        <v>0</v>
      </c>
      <c r="BV451" s="29">
        <f>T451+(O451/100*(P451-BT451))</f>
        <v>1.032</v>
      </c>
      <c r="BW451" s="86">
        <f>(AE451-BV451)/AE451</f>
        <v>0</v>
      </c>
      <c r="BX451" s="79">
        <f>(PI()*((51/2)^2-(16.545/2)^2)/(BV451/10))/100</f>
        <v>177.11512270425209</v>
      </c>
      <c r="BY451" s="79">
        <f>BX451-AK451</f>
        <v>0</v>
      </c>
      <c r="BZ451" s="86">
        <f>BY451/AK451</f>
        <v>0</v>
      </c>
      <c r="CA451" s="76"/>
    </row>
    <row r="452" spans="1:79" s="22" customFormat="1">
      <c r="A452" s="13" t="s">
        <v>1810</v>
      </c>
      <c r="B452" s="13" t="s">
        <v>1999</v>
      </c>
      <c r="C452" s="13" t="s">
        <v>151</v>
      </c>
      <c r="D452" s="429" t="s">
        <v>2028</v>
      </c>
      <c r="E452" s="13" t="s">
        <v>137</v>
      </c>
      <c r="F452" s="13" t="s">
        <v>167</v>
      </c>
      <c r="G452" s="13" t="s">
        <v>2033</v>
      </c>
      <c r="H452" s="13" t="s">
        <v>121</v>
      </c>
      <c r="I452" s="13" t="s">
        <v>122</v>
      </c>
      <c r="J452" s="13" t="s">
        <v>5</v>
      </c>
      <c r="K452" s="13" t="s">
        <v>140</v>
      </c>
      <c r="L452" s="446" t="s">
        <v>2034</v>
      </c>
      <c r="M452" s="13" t="s">
        <v>125</v>
      </c>
      <c r="N452" s="13" t="s">
        <v>12</v>
      </c>
      <c r="O452" s="247">
        <v>0.4</v>
      </c>
      <c r="P452" s="13">
        <v>92</v>
      </c>
      <c r="Q452" s="13">
        <v>20</v>
      </c>
      <c r="R452" s="13" t="s">
        <v>127</v>
      </c>
      <c r="S452" s="430" t="str">
        <f t="shared" si="181"/>
        <v>N/A</v>
      </c>
      <c r="T452" s="247">
        <v>0.76</v>
      </c>
      <c r="U452" s="13">
        <v>200</v>
      </c>
      <c r="V452" s="13">
        <v>600</v>
      </c>
      <c r="W452" s="430">
        <f t="shared" si="177"/>
        <v>400</v>
      </c>
      <c r="X452" s="430">
        <f t="shared" si="178"/>
        <v>120</v>
      </c>
      <c r="Y452" s="13"/>
      <c r="Z452" s="13"/>
      <c r="AA452" s="430">
        <f t="shared" si="182"/>
        <v>0</v>
      </c>
      <c r="AB452" s="430">
        <f t="shared" si="183"/>
        <v>720</v>
      </c>
      <c r="AC452" s="430" t="str">
        <f t="shared" si="184"/>
        <v>N/A</v>
      </c>
      <c r="AD452" s="430">
        <f t="shared" si="185"/>
        <v>72</v>
      </c>
      <c r="AE452" s="431">
        <f t="shared" si="186"/>
        <v>1.048</v>
      </c>
      <c r="AF452" s="431"/>
      <c r="AG452" s="431">
        <f t="shared" si="187"/>
        <v>0.93530434782608696</v>
      </c>
      <c r="AH452" s="431">
        <f t="shared" si="188"/>
        <v>0</v>
      </c>
      <c r="AI452" s="432">
        <f t="shared" si="189"/>
        <v>0</v>
      </c>
      <c r="AJ452" s="432">
        <f t="shared" si="190"/>
        <v>159.50926339681109</v>
      </c>
      <c r="AK452" s="432">
        <f t="shared" si="191"/>
        <v>174.411075029378</v>
      </c>
      <c r="AL452" s="432">
        <f t="shared" si="192"/>
        <v>346.70404999605103</v>
      </c>
      <c r="AM452" s="250">
        <v>174</v>
      </c>
      <c r="AN452" s="432">
        <f t="shared" si="193"/>
        <v>160.08000000000001</v>
      </c>
      <c r="AO452" s="432">
        <f t="shared" si="194"/>
        <v>0</v>
      </c>
      <c r="AP452" s="432">
        <f t="shared" si="195"/>
        <v>0</v>
      </c>
      <c r="AQ452" s="255">
        <v>43891</v>
      </c>
      <c r="AR452" s="13" t="s">
        <v>2035</v>
      </c>
      <c r="AS452" s="250"/>
      <c r="AT452" s="429" t="s">
        <v>2036</v>
      </c>
      <c r="AU452" s="241">
        <v>4</v>
      </c>
      <c r="AV452" s="243" t="s">
        <v>405</v>
      </c>
      <c r="AW452" s="72" t="s">
        <v>127</v>
      </c>
      <c r="AX452" s="243">
        <v>44075</v>
      </c>
      <c r="AY452" s="103">
        <f t="shared" si="201"/>
        <v>0.65217391304347827</v>
      </c>
      <c r="AZ452" s="72" t="s">
        <v>2037</v>
      </c>
      <c r="BA452" s="13" t="str">
        <f t="shared" si="202"/>
        <v>W10</v>
      </c>
      <c r="BB452" s="72" t="str">
        <f t="shared" si="203"/>
        <v>Clear</v>
      </c>
      <c r="BC452" s="32">
        <f t="shared" si="204"/>
        <v>1.1280000000000001</v>
      </c>
      <c r="BD452" s="241">
        <f t="shared" si="205"/>
        <v>162.04149524006041</v>
      </c>
      <c r="BE452" s="241">
        <f t="shared" si="206"/>
        <v>-12.369579789317584</v>
      </c>
      <c r="BF452" s="71">
        <f t="shared" si="207"/>
        <v>-7.0921985815602814E-2</v>
      </c>
      <c r="BG452" s="241">
        <f t="shared" si="208"/>
        <v>322.115110280019</v>
      </c>
      <c r="BH452" s="241">
        <f t="shared" si="209"/>
        <v>-24.58893971603203</v>
      </c>
      <c r="BI452" s="71">
        <f t="shared" si="210"/>
        <v>-7.0921985815602953E-2</v>
      </c>
      <c r="BJ452" s="111"/>
      <c r="BK452" s="83"/>
      <c r="BL452" s="309" t="s">
        <v>2038</v>
      </c>
      <c r="BM452" s="83"/>
      <c r="BN452" s="71"/>
      <c r="BO452" s="103"/>
      <c r="BP452" s="103"/>
      <c r="BQ452" s="141"/>
      <c r="BR452" s="71"/>
      <c r="BS452" s="71"/>
      <c r="BT452" s="13">
        <f>P452-V452/10-120/10</f>
        <v>20</v>
      </c>
      <c r="BU452" s="79">
        <f>BT452-Q452</f>
        <v>0</v>
      </c>
      <c r="BV452" s="29">
        <f>T452+(O452/100*(P452-BT452))</f>
        <v>1.048</v>
      </c>
      <c r="BW452" s="86">
        <f>(AE452-BV452)/AE452</f>
        <v>0</v>
      </c>
      <c r="BX452" s="79">
        <f>(PI()*((51/2)^2-(16.545/2)^2)/(BV452/10))/100</f>
        <v>174.411075029378</v>
      </c>
      <c r="BY452" s="79">
        <f>BX452-AK452</f>
        <v>0</v>
      </c>
      <c r="BZ452" s="86">
        <f>BY452/AK452</f>
        <v>0</v>
      </c>
      <c r="CA452" s="76"/>
    </row>
    <row r="453" spans="1:79" s="72" customFormat="1">
      <c r="A453" s="13" t="s">
        <v>1810</v>
      </c>
      <c r="B453" s="13" t="s">
        <v>1999</v>
      </c>
      <c r="C453" s="13" t="s">
        <v>151</v>
      </c>
      <c r="D453" s="429" t="s">
        <v>2039</v>
      </c>
      <c r="E453" s="13" t="s">
        <v>137</v>
      </c>
      <c r="F453" s="13" t="s">
        <v>186</v>
      </c>
      <c r="G453" s="13" t="s">
        <v>2040</v>
      </c>
      <c r="H453" s="13" t="s">
        <v>121</v>
      </c>
      <c r="I453" s="13" t="s">
        <v>122</v>
      </c>
      <c r="J453" s="13" t="s">
        <v>5</v>
      </c>
      <c r="K453" s="13" t="s">
        <v>140</v>
      </c>
      <c r="L453" s="13" t="s">
        <v>2041</v>
      </c>
      <c r="M453" s="13" t="s">
        <v>125</v>
      </c>
      <c r="N453" s="13" t="s">
        <v>12</v>
      </c>
      <c r="O453" s="247">
        <v>0.4</v>
      </c>
      <c r="P453" s="13">
        <v>98</v>
      </c>
      <c r="Q453" s="13">
        <v>26</v>
      </c>
      <c r="R453" s="13" t="s">
        <v>127</v>
      </c>
      <c r="S453" s="430" t="str">
        <f t="shared" si="181"/>
        <v>N/A</v>
      </c>
      <c r="T453" s="247">
        <v>0.76</v>
      </c>
      <c r="U453" s="13">
        <v>200</v>
      </c>
      <c r="V453" s="13">
        <v>600</v>
      </c>
      <c r="W453" s="430">
        <f t="shared" si="177"/>
        <v>400</v>
      </c>
      <c r="X453" s="430">
        <f t="shared" si="178"/>
        <v>120</v>
      </c>
      <c r="Y453" s="13">
        <f>U453</f>
        <v>200</v>
      </c>
      <c r="Z453" s="13">
        <f>V453</f>
        <v>600</v>
      </c>
      <c r="AA453" s="430">
        <f t="shared" si="182"/>
        <v>400</v>
      </c>
      <c r="AB453" s="430">
        <f t="shared" si="183"/>
        <v>120</v>
      </c>
      <c r="AC453" s="430" t="str">
        <f t="shared" si="184"/>
        <v>N/A</v>
      </c>
      <c r="AD453" s="430">
        <f t="shared" si="185"/>
        <v>72</v>
      </c>
      <c r="AE453" s="431">
        <f t="shared" si="186"/>
        <v>1.048</v>
      </c>
      <c r="AF453" s="431"/>
      <c r="AG453" s="431">
        <f t="shared" si="187"/>
        <v>0.94220408163265323</v>
      </c>
      <c r="AH453" s="431">
        <f t="shared" si="188"/>
        <v>1.0034473469387757</v>
      </c>
      <c r="AI453" s="432">
        <f t="shared" si="189"/>
        <v>835.56492000000003</v>
      </c>
      <c r="AJ453" s="432">
        <f t="shared" si="190"/>
        <v>159.50926339681109</v>
      </c>
      <c r="AK453" s="432">
        <f t="shared" si="191"/>
        <v>174.411075029378</v>
      </c>
      <c r="AL453" s="432">
        <f t="shared" si="192"/>
        <v>346.70404999605103</v>
      </c>
      <c r="AM453" s="250">
        <v>347</v>
      </c>
      <c r="AN453" s="432">
        <f t="shared" si="193"/>
        <v>340.06</v>
      </c>
      <c r="AO453" s="432">
        <f t="shared" si="194"/>
        <v>341.23230480000007</v>
      </c>
      <c r="AP453" s="432">
        <f t="shared" si="195"/>
        <v>1312.4319415384618</v>
      </c>
      <c r="AQ453" s="255">
        <v>44256</v>
      </c>
      <c r="AR453" s="13" t="s">
        <v>2013</v>
      </c>
      <c r="AS453" s="298" t="s">
        <v>2042</v>
      </c>
      <c r="AT453" s="429"/>
      <c r="AU453" s="249">
        <v>16</v>
      </c>
      <c r="AV453" s="259"/>
      <c r="AW453" s="38" t="s">
        <v>127</v>
      </c>
      <c r="AX453" s="254">
        <v>44256</v>
      </c>
      <c r="AY453" s="103">
        <f t="shared" si="201"/>
        <v>0.61224489795918369</v>
      </c>
      <c r="AZ453" s="307"/>
      <c r="BA453" s="13" t="str">
        <f t="shared" si="202"/>
        <v>W20</v>
      </c>
      <c r="BB453" s="72" t="str">
        <f t="shared" si="203"/>
        <v>Clear</v>
      </c>
      <c r="BC453" s="303">
        <f t="shared" si="204"/>
        <v>1.1520000000000001</v>
      </c>
      <c r="BD453" s="251">
        <f t="shared" si="205"/>
        <v>158.66563075589249</v>
      </c>
      <c r="BE453" s="251">
        <f t="shared" si="206"/>
        <v>-15.745444273485504</v>
      </c>
      <c r="BF453" s="231">
        <f t="shared" si="207"/>
        <v>-9.0277777777777721E-2</v>
      </c>
      <c r="BG453" s="251">
        <f t="shared" si="208"/>
        <v>315.40437881585194</v>
      </c>
      <c r="BH453" s="251">
        <f t="shared" si="209"/>
        <v>-31.299671180199084</v>
      </c>
      <c r="BI453" s="231">
        <f t="shared" si="210"/>
        <v>-9.0277777777777873E-2</v>
      </c>
      <c r="BJ453" s="139">
        <f>16*$BK$2</f>
        <v>18.239999999999998</v>
      </c>
      <c r="BK453" s="139"/>
      <c r="BL453" s="112"/>
      <c r="BM453" s="101"/>
      <c r="BN453" s="231"/>
      <c r="BO453" s="102"/>
      <c r="BP453" s="102"/>
      <c r="BQ453" s="80"/>
      <c r="BR453" s="80"/>
      <c r="BS453" s="80"/>
      <c r="BT453" s="22"/>
      <c r="BU453" s="87"/>
      <c r="BV453" s="73"/>
      <c r="BW453" s="109"/>
      <c r="BX453" s="87"/>
      <c r="BY453" s="87"/>
      <c r="BZ453" s="109"/>
      <c r="CA453" s="76"/>
    </row>
    <row r="454" spans="1:79" s="14" customFormat="1">
      <c r="A454" s="13" t="s">
        <v>1810</v>
      </c>
      <c r="B454" s="13" t="s">
        <v>1999</v>
      </c>
      <c r="C454" s="13" t="s">
        <v>151</v>
      </c>
      <c r="D454" s="13" t="s">
        <v>2043</v>
      </c>
      <c r="E454" s="13" t="s">
        <v>118</v>
      </c>
      <c r="F454" s="13" t="s">
        <v>167</v>
      </c>
      <c r="G454" s="13" t="s">
        <v>2044</v>
      </c>
      <c r="H454" s="13" t="s">
        <v>121</v>
      </c>
      <c r="I454" s="13" t="s">
        <v>122</v>
      </c>
      <c r="J454" s="13" t="s">
        <v>5</v>
      </c>
      <c r="K454" s="13" t="s">
        <v>123</v>
      </c>
      <c r="L454" s="13" t="s">
        <v>2045</v>
      </c>
      <c r="M454" s="13" t="s">
        <v>125</v>
      </c>
      <c r="N454" s="13" t="s">
        <v>12</v>
      </c>
      <c r="O454" s="247">
        <v>0.4</v>
      </c>
      <c r="P454" s="13">
        <v>90</v>
      </c>
      <c r="Q454" s="13">
        <v>22</v>
      </c>
      <c r="R454" s="13" t="s">
        <v>127</v>
      </c>
      <c r="S454" s="430" t="str">
        <f t="shared" si="181"/>
        <v>N/A</v>
      </c>
      <c r="T454" s="247">
        <v>0.8</v>
      </c>
      <c r="U454" s="13">
        <v>200</v>
      </c>
      <c r="V454" s="13">
        <v>560</v>
      </c>
      <c r="W454" s="430">
        <f t="shared" ref="W454:W517" si="211">V454-U454</f>
        <v>360</v>
      </c>
      <c r="X454" s="430">
        <f t="shared" ref="X454:X517" si="212">AD454*10-V454</f>
        <v>120</v>
      </c>
      <c r="Y454" s="13">
        <v>180</v>
      </c>
      <c r="Z454" s="13">
        <v>580</v>
      </c>
      <c r="AA454" s="430">
        <f t="shared" si="182"/>
        <v>400</v>
      </c>
      <c r="AB454" s="430">
        <f t="shared" si="183"/>
        <v>100</v>
      </c>
      <c r="AC454" s="430" t="str">
        <f t="shared" si="184"/>
        <v>N/A</v>
      </c>
      <c r="AD454" s="430">
        <f t="shared" si="185"/>
        <v>68</v>
      </c>
      <c r="AE454" s="431">
        <f t="shared" si="186"/>
        <v>1.0720000000000001</v>
      </c>
      <c r="AF454" s="431"/>
      <c r="AG454" s="431">
        <f t="shared" si="187"/>
        <v>0.96924444444444446</v>
      </c>
      <c r="AH454" s="431">
        <f t="shared" si="188"/>
        <v>1.0273991111111112</v>
      </c>
      <c r="AI454" s="432">
        <f t="shared" si="189"/>
        <v>874.04208000000006</v>
      </c>
      <c r="AJ454" s="432">
        <f t="shared" si="190"/>
        <v>155.93816048494219</v>
      </c>
      <c r="AK454" s="432">
        <f t="shared" si="191"/>
        <v>170.50634946901883</v>
      </c>
      <c r="AL454" s="432">
        <f t="shared" si="192"/>
        <v>338.94201902599013</v>
      </c>
      <c r="AM454" s="250">
        <v>339</v>
      </c>
      <c r="AN454" s="432">
        <f t="shared" si="193"/>
        <v>305.10000000000002</v>
      </c>
      <c r="AO454" s="432">
        <f t="shared" si="194"/>
        <v>313.45946880000002</v>
      </c>
      <c r="AP454" s="432">
        <f t="shared" si="195"/>
        <v>1424.8157672727273</v>
      </c>
      <c r="AQ454" s="255">
        <v>45139</v>
      </c>
      <c r="AR454" s="13" t="s">
        <v>2046</v>
      </c>
      <c r="AS454" s="298" t="s">
        <v>2047</v>
      </c>
      <c r="AT454" s="429" t="s">
        <v>2048</v>
      </c>
      <c r="AU454" s="241"/>
      <c r="AV454" s="243"/>
      <c r="AW454" s="72"/>
      <c r="AX454" s="243"/>
      <c r="AY454" s="71">
        <f t="shared" si="201"/>
        <v>0.62222222222222223</v>
      </c>
      <c r="AZ454" s="310"/>
      <c r="BA454" s="72" t="str">
        <f t="shared" si="202"/>
        <v>W22</v>
      </c>
      <c r="BB454" s="72"/>
      <c r="BC454" s="32"/>
      <c r="BD454" s="241"/>
      <c r="BE454" s="241"/>
      <c r="BF454" s="71"/>
      <c r="BG454" s="241"/>
      <c r="BH454" s="241"/>
      <c r="BI454" s="71"/>
      <c r="BJ454" s="123"/>
      <c r="BK454" s="123"/>
      <c r="BL454" s="126"/>
      <c r="BM454" s="108"/>
      <c r="BN454" s="123"/>
      <c r="BO454" s="108"/>
      <c r="BP454" s="165"/>
      <c r="BQ454" s="124"/>
      <c r="BR454" s="159"/>
      <c r="BS454" s="71"/>
      <c r="BT454" s="72"/>
      <c r="BU454" s="78"/>
      <c r="BV454" s="32"/>
      <c r="BW454" s="127"/>
      <c r="BX454" s="78"/>
      <c r="BY454" s="78"/>
      <c r="BZ454" s="127"/>
      <c r="CA454" s="76"/>
    </row>
    <row r="455" spans="1:79" s="72" customFormat="1">
      <c r="A455" s="13" t="s">
        <v>1810</v>
      </c>
      <c r="B455" s="13" t="s">
        <v>1999</v>
      </c>
      <c r="C455" s="13" t="s">
        <v>151</v>
      </c>
      <c r="D455" s="13" t="s">
        <v>2043</v>
      </c>
      <c r="E455" s="13" t="s">
        <v>118</v>
      </c>
      <c r="F455" s="13" t="s">
        <v>167</v>
      </c>
      <c r="G455" s="13" t="s">
        <v>2049</v>
      </c>
      <c r="H455" s="13" t="s">
        <v>121</v>
      </c>
      <c r="I455" s="13" t="s">
        <v>122</v>
      </c>
      <c r="J455" s="13" t="s">
        <v>5</v>
      </c>
      <c r="K455" s="13" t="s">
        <v>123</v>
      </c>
      <c r="L455" s="13" t="s">
        <v>2050</v>
      </c>
      <c r="M455" s="13" t="s">
        <v>125</v>
      </c>
      <c r="N455" s="13" t="s">
        <v>12</v>
      </c>
      <c r="O455" s="247">
        <v>0.4</v>
      </c>
      <c r="P455" s="13">
        <v>92</v>
      </c>
      <c r="Q455" s="13">
        <v>24</v>
      </c>
      <c r="R455" s="13" t="s">
        <v>127</v>
      </c>
      <c r="S455" s="430" t="str">
        <f t="shared" si="181"/>
        <v>N/A</v>
      </c>
      <c r="T455" s="247">
        <v>0.8</v>
      </c>
      <c r="U455" s="13">
        <v>200</v>
      </c>
      <c r="V455" s="13">
        <v>560</v>
      </c>
      <c r="W455" s="430">
        <f t="shared" si="211"/>
        <v>360</v>
      </c>
      <c r="X455" s="430">
        <f t="shared" si="212"/>
        <v>120</v>
      </c>
      <c r="Y455" s="13">
        <v>160</v>
      </c>
      <c r="Z455" s="13">
        <f>V455</f>
        <v>560</v>
      </c>
      <c r="AA455" s="430">
        <f t="shared" si="182"/>
        <v>400</v>
      </c>
      <c r="AB455" s="430">
        <f t="shared" si="183"/>
        <v>120</v>
      </c>
      <c r="AC455" s="430" t="str">
        <f t="shared" si="184"/>
        <v>N/A</v>
      </c>
      <c r="AD455" s="430">
        <f t="shared" si="185"/>
        <v>68</v>
      </c>
      <c r="AE455" s="431">
        <f t="shared" si="186"/>
        <v>1.0720000000000001</v>
      </c>
      <c r="AF455" s="431"/>
      <c r="AG455" s="431">
        <f t="shared" si="187"/>
        <v>0.97147826086956524</v>
      </c>
      <c r="AH455" s="431">
        <f t="shared" si="188"/>
        <v>1.0297669565217391</v>
      </c>
      <c r="AI455" s="432">
        <f t="shared" si="189"/>
        <v>874.04208000000006</v>
      </c>
      <c r="AJ455" s="432">
        <f t="shared" si="190"/>
        <v>155.93816048494219</v>
      </c>
      <c r="AK455" s="432">
        <f t="shared" si="191"/>
        <v>170.50634946901883</v>
      </c>
      <c r="AL455" s="432">
        <f t="shared" si="192"/>
        <v>338.94201902599013</v>
      </c>
      <c r="AM455" s="250">
        <v>339</v>
      </c>
      <c r="AN455" s="432">
        <f t="shared" si="193"/>
        <v>311.88</v>
      </c>
      <c r="AO455" s="432">
        <f t="shared" si="194"/>
        <v>321.16371839999999</v>
      </c>
      <c r="AP455" s="432">
        <f t="shared" si="195"/>
        <v>1338.1821600000001</v>
      </c>
      <c r="AQ455" s="255">
        <v>44287</v>
      </c>
      <c r="AR455" s="13" t="s">
        <v>2051</v>
      </c>
      <c r="AS455" s="298" t="s">
        <v>2052</v>
      </c>
      <c r="AT455" s="429" t="s">
        <v>2053</v>
      </c>
      <c r="AU455" s="241">
        <v>4</v>
      </c>
      <c r="AV455" s="243"/>
      <c r="AW455" s="72" t="s">
        <v>127</v>
      </c>
      <c r="AX455" s="243">
        <v>44287</v>
      </c>
      <c r="AY455" s="103">
        <f t="shared" si="201"/>
        <v>0.60869565217391308</v>
      </c>
      <c r="AZ455" s="310"/>
      <c r="BA455" s="13" t="str">
        <f t="shared" si="202"/>
        <v>W22</v>
      </c>
      <c r="BB455" s="72" t="str">
        <f t="shared" ref="BB455:BB466" si="213">IF(R455="n/a","Clear","S/B")</f>
        <v>Clear</v>
      </c>
      <c r="BC455" s="32">
        <f t="shared" ref="BC455:BC466" si="214">IF(Q455="","",((P455/100*O455)+T455))</f>
        <v>1.1680000000000001</v>
      </c>
      <c r="BD455" s="241">
        <f t="shared" ref="BD455:BD466" si="215">IF(BC455="","",((PI()*((51/2)^2-(16.545/2)^2)/(BC455/10))/100))</f>
        <v>156.49212896471587</v>
      </c>
      <c r="BE455" s="241">
        <f t="shared" ref="BE455:BE466" si="216">IF(BC455="","",(BD455-AK455))</f>
        <v>-14.014220504302955</v>
      </c>
      <c r="BF455" s="71">
        <f t="shared" ref="BF455:BF466" si="217">IF(BC455="","",(BE455/AK455))</f>
        <v>-8.2191780821918026E-2</v>
      </c>
      <c r="BG455" s="241">
        <f t="shared" ref="BG455:BG466" si="218">IF(BF455="","",((PI()*((70/2)^2-(16.545/2)^2)/(BC455/10))/100))</f>
        <v>311.08377088686763</v>
      </c>
      <c r="BH455" s="241">
        <f t="shared" ref="BH455:BH466" si="219">IF(BF455="","",(BG455-AL455))</f>
        <v>-27.858248139122509</v>
      </c>
      <c r="BI455" s="71">
        <f t="shared" ref="BI455:BI466" si="220">IF(BG455="","",(BH455/AL455))</f>
        <v>-8.2191780821917901E-2</v>
      </c>
      <c r="BJ455" s="123">
        <v>25.08</v>
      </c>
      <c r="BK455" s="123">
        <v>24</v>
      </c>
      <c r="BL455" s="126">
        <f>AH455</f>
        <v>1.0297669565217391</v>
      </c>
      <c r="BM455" s="108">
        <f>BK455/AH455</f>
        <v>23.306244046774619</v>
      </c>
      <c r="BN455" s="123">
        <f>BK455-BM455</f>
        <v>0.69375595322538075</v>
      </c>
      <c r="BO455" s="108">
        <v>19.18</v>
      </c>
      <c r="BP455" s="165">
        <f>BO455-BM455</f>
        <v>-4.1262440467746195</v>
      </c>
      <c r="BQ455" s="124"/>
      <c r="BR455" s="124"/>
      <c r="BS455" s="71"/>
      <c r="BT455" s="72">
        <f>P455-V455/10-120/10</f>
        <v>24</v>
      </c>
      <c r="BU455" s="78">
        <f>BT455-Q455</f>
        <v>0</v>
      </c>
      <c r="BV455" s="32"/>
      <c r="BW455" s="127"/>
      <c r="BX455" s="78"/>
      <c r="BY455" s="78"/>
      <c r="BZ455" s="127"/>
      <c r="CA455" s="76"/>
    </row>
    <row r="456" spans="1:79" s="72" customFormat="1">
      <c r="A456" s="13" t="s">
        <v>1810</v>
      </c>
      <c r="B456" s="13" t="s">
        <v>1999</v>
      </c>
      <c r="C456" s="13" t="s">
        <v>151</v>
      </c>
      <c r="D456" s="13" t="s">
        <v>2054</v>
      </c>
      <c r="E456" s="13" t="s">
        <v>118</v>
      </c>
      <c r="F456" s="13" t="s">
        <v>186</v>
      </c>
      <c r="G456" s="13" t="s">
        <v>2055</v>
      </c>
      <c r="H456" s="13" t="s">
        <v>121</v>
      </c>
      <c r="I456" s="13" t="s">
        <v>122</v>
      </c>
      <c r="J456" s="13" t="s">
        <v>5</v>
      </c>
      <c r="K456" s="13" t="s">
        <v>123</v>
      </c>
      <c r="L456" s="13" t="s">
        <v>2056</v>
      </c>
      <c r="M456" s="13" t="s">
        <v>125</v>
      </c>
      <c r="N456" s="13" t="s">
        <v>12</v>
      </c>
      <c r="O456" s="247">
        <v>0.4</v>
      </c>
      <c r="P456" s="13">
        <v>96</v>
      </c>
      <c r="Q456" s="13">
        <v>28</v>
      </c>
      <c r="R456" s="13" t="s">
        <v>127</v>
      </c>
      <c r="S456" s="430" t="str">
        <f t="shared" ref="S456:S519" si="221">IF(R456="n/a","N/A",P456-R456)</f>
        <v>N/A</v>
      </c>
      <c r="T456" s="247">
        <v>0.8</v>
      </c>
      <c r="U456" s="13">
        <v>200</v>
      </c>
      <c r="V456" s="13">
        <v>560</v>
      </c>
      <c r="W456" s="430">
        <f t="shared" si="211"/>
        <v>360</v>
      </c>
      <c r="X456" s="430">
        <f t="shared" si="212"/>
        <v>120</v>
      </c>
      <c r="Y456" s="13">
        <v>160</v>
      </c>
      <c r="Z456" s="13">
        <f>V456</f>
        <v>560</v>
      </c>
      <c r="AA456" s="430">
        <f t="shared" si="182"/>
        <v>400</v>
      </c>
      <c r="AB456" s="430">
        <f t="shared" si="183"/>
        <v>120</v>
      </c>
      <c r="AC456" s="430" t="str">
        <f t="shared" si="184"/>
        <v>N/A</v>
      </c>
      <c r="AD456" s="430">
        <f t="shared" si="185"/>
        <v>68</v>
      </c>
      <c r="AE456" s="431">
        <f t="shared" si="186"/>
        <v>1.0720000000000001</v>
      </c>
      <c r="AF456" s="431"/>
      <c r="AG456" s="431">
        <f t="shared" si="187"/>
        <v>0.97566666666666668</v>
      </c>
      <c r="AH456" s="431">
        <f t="shared" si="188"/>
        <v>1.0342066666666667</v>
      </c>
      <c r="AI456" s="432">
        <f t="shared" si="189"/>
        <v>874.04208000000006</v>
      </c>
      <c r="AJ456" s="432">
        <f t="shared" si="190"/>
        <v>155.93816048494219</v>
      </c>
      <c r="AK456" s="432">
        <f t="shared" si="191"/>
        <v>170.50634946901883</v>
      </c>
      <c r="AL456" s="432">
        <f t="shared" si="192"/>
        <v>338.94201902599013</v>
      </c>
      <c r="AM456" s="250">
        <v>300</v>
      </c>
      <c r="AN456" s="432">
        <f t="shared" si="193"/>
        <v>288</v>
      </c>
      <c r="AO456" s="432">
        <f t="shared" si="194"/>
        <v>297.85151999999999</v>
      </c>
      <c r="AP456" s="432">
        <f t="shared" si="195"/>
        <v>1063.7554285714284</v>
      </c>
      <c r="AQ456" s="255">
        <v>44287</v>
      </c>
      <c r="AR456" s="13" t="s">
        <v>2057</v>
      </c>
      <c r="AS456" s="250" t="s">
        <v>2058</v>
      </c>
      <c r="AT456" s="429"/>
      <c r="AU456" s="249">
        <v>4</v>
      </c>
      <c r="AV456" s="259"/>
      <c r="AW456" s="13" t="s">
        <v>127</v>
      </c>
      <c r="AX456" s="259">
        <v>44287</v>
      </c>
      <c r="AY456" s="103">
        <f t="shared" si="201"/>
        <v>0.58333333333333337</v>
      </c>
      <c r="AZ456" s="307"/>
      <c r="BA456" s="13" t="str">
        <f t="shared" si="202"/>
        <v>W22</v>
      </c>
      <c r="BB456" s="72" t="str">
        <f t="shared" si="213"/>
        <v>Clear</v>
      </c>
      <c r="BC456" s="264">
        <f t="shared" si="214"/>
        <v>1.1840000000000002</v>
      </c>
      <c r="BD456" s="253">
        <f t="shared" si="215"/>
        <v>154.37737046519268</v>
      </c>
      <c r="BE456" s="253">
        <f t="shared" si="216"/>
        <v>-16.128979003826146</v>
      </c>
      <c r="BF456" s="100">
        <f t="shared" si="217"/>
        <v>-9.4594594594594836E-2</v>
      </c>
      <c r="BG456" s="253">
        <f t="shared" si="218"/>
        <v>306.87993614515324</v>
      </c>
      <c r="BH456" s="253">
        <f t="shared" si="219"/>
        <v>-32.062082880836897</v>
      </c>
      <c r="BI456" s="100">
        <f t="shared" si="220"/>
        <v>-9.4594594594594572E-2</v>
      </c>
      <c r="BJ456" s="114">
        <v>25.08</v>
      </c>
      <c r="BK456" s="111">
        <v>24</v>
      </c>
      <c r="BL456" s="112">
        <f>AH456</f>
        <v>1.0342066666666667</v>
      </c>
      <c r="BM456" s="83">
        <f>BK456/AH456</f>
        <v>23.206193475191935</v>
      </c>
      <c r="BN456" s="123">
        <f>BK456-BM456</f>
        <v>0.79380652480806546</v>
      </c>
      <c r="BO456" s="83">
        <v>19.04</v>
      </c>
      <c r="BP456" s="136">
        <f>BO456-BM456</f>
        <v>-4.1661934751919354</v>
      </c>
      <c r="BQ456" s="115"/>
      <c r="BR456" s="113"/>
      <c r="BS456" s="71"/>
      <c r="BU456" s="78"/>
      <c r="BV456" s="32"/>
      <c r="BW456" s="127"/>
      <c r="BX456" s="78"/>
      <c r="BY456" s="78"/>
      <c r="BZ456" s="127"/>
      <c r="CA456" s="76"/>
    </row>
    <row r="457" spans="1:79" s="72" customFormat="1">
      <c r="A457" s="13" t="s">
        <v>1810</v>
      </c>
      <c r="B457" s="13" t="s">
        <v>1999</v>
      </c>
      <c r="C457" s="13" t="s">
        <v>151</v>
      </c>
      <c r="D457" s="429" t="s">
        <v>2059</v>
      </c>
      <c r="E457" s="13" t="s">
        <v>118</v>
      </c>
      <c r="F457" s="13" t="s">
        <v>186</v>
      </c>
      <c r="G457" s="13" t="s">
        <v>2060</v>
      </c>
      <c r="H457" s="13" t="s">
        <v>121</v>
      </c>
      <c r="I457" s="13" t="s">
        <v>122</v>
      </c>
      <c r="J457" s="13" t="s">
        <v>5</v>
      </c>
      <c r="K457" s="13" t="s">
        <v>123</v>
      </c>
      <c r="L457" s="13" t="s">
        <v>2061</v>
      </c>
      <c r="M457" s="13" t="s">
        <v>125</v>
      </c>
      <c r="N457" s="13" t="s">
        <v>12</v>
      </c>
      <c r="O457" s="247">
        <v>0.32</v>
      </c>
      <c r="P457" s="13">
        <v>92</v>
      </c>
      <c r="Q457" s="13">
        <v>24</v>
      </c>
      <c r="R457" s="13" t="s">
        <v>127</v>
      </c>
      <c r="S457" s="430" t="str">
        <f t="shared" si="221"/>
        <v>N/A</v>
      </c>
      <c r="T457" s="247">
        <v>0.8</v>
      </c>
      <c r="U457" s="13">
        <v>200</v>
      </c>
      <c r="V457" s="13">
        <v>560</v>
      </c>
      <c r="W457" s="430">
        <f t="shared" si="211"/>
        <v>360</v>
      </c>
      <c r="X457" s="430">
        <f t="shared" si="212"/>
        <v>120</v>
      </c>
      <c r="Y457" s="13">
        <v>160</v>
      </c>
      <c r="Z457" s="13">
        <f>V457</f>
        <v>560</v>
      </c>
      <c r="AA457" s="430">
        <f t="shared" ref="AA457:AA520" si="222">Z457-Y457</f>
        <v>400</v>
      </c>
      <c r="AB457" s="430">
        <f t="shared" ref="AB457:AB520" si="223">AD457*10-Z457</f>
        <v>120</v>
      </c>
      <c r="AC457" s="430" t="str">
        <f t="shared" ref="AC457:AC520" si="224">IF(J457="clear","N/A",((Q457-R457)*10))</f>
        <v>N/A</v>
      </c>
      <c r="AD457" s="430">
        <f t="shared" ref="AD457:AD520" si="225">P457-Q457</f>
        <v>68</v>
      </c>
      <c r="AE457" s="431">
        <f t="shared" ref="AE457:AE520" si="226">T457+(O457/100*AD457)</f>
        <v>1.0176000000000001</v>
      </c>
      <c r="AF457" s="431"/>
      <c r="AG457" s="431">
        <f t="shared" ref="AG457:AG520" si="227">(((T457+(0.5*(AE457-T457)))*AD457)+(AE457*Q457))/P457</f>
        <v>0.93718260869565218</v>
      </c>
      <c r="AH457" s="431">
        <f t="shared" ref="AH457:AH520" si="228">IF(MID(G457,2,2)="10",(AG457/1000*$W$2),(IF(MID(G457,2,2)="11",(AG457/1000*$X$2),(IF(MID(G457,2,2)="12",(AG457/1000*$Y$2),(IF(MID(G457,2,2)="13",(AG457/1000*$Z$2),(IF(MID(G457,2,2)="20",(AG457/1000*$AA$2),(IF(MID(G457,2,2)="21",(AG457/1000*$AB$2),(IF(MID(G457,2,2)="22",(AG457/1000*$AC$2),(IF(MID(G457,2,2)="23",(AG457/1000*$AD$2),(IF(MID(G457,2,2)="50",(AG457/1000*$AE$2),(IF(MID(G457,2,2)="51",(AG457/1000*$AG$2),"?")))))))))))))))))))</f>
        <v>0.99341356521739133</v>
      </c>
      <c r="AI457" s="432">
        <f t="shared" ref="AI457:AI520" si="229">IF(MID(G457,2,2)="10",((T457+O457*(6.142)/100)*$W$2),(IF(MID(G457,2,2)="11",((T457+O457*(6.142)/100)*$X$2),(IF(MID(G457,2,2)="12",((T457+O457*(6.142)/100)*$Y$2),(IF(MID(G457,2,2)="13",((T457+O457*(6.142)/100)*$Z$2),(IF(MID(G457,2,2)="20",((T457+O457*(6.142)/100)*$AA$2),(IF(MID(G457,2,2)="21",((T457+O457*(6.142)/100)*$AB$2),(IF(MID(G457,2,2)="22",((T457+O457*(6.142)/100)*$AC$2),(IF(MID(G457,2,2)="23",((T457+O457*(6.142)/100)*$AD$2),(IF(MID(G457,2,2)="50",((T457+O457*(6.142)/100)*$AE$2),(IF(MID(G457,2,2)="51",((T457+O457*(6.142)/100)*$AG$2),"?")))))))))))))))))))</f>
        <v>868.833664</v>
      </c>
      <c r="AJ457" s="432">
        <f t="shared" ref="AJ457:AJ520" si="230">(PI()*((49/2)^2-(16.51/2)^2)/(AE457/10))/100</f>
        <v>164.27447724042653</v>
      </c>
      <c r="AK457" s="432">
        <f t="shared" ref="AK457:AK520" si="231">(PI()*((51/2)^2-(16.545/2)^2)/(AE457/10))/100</f>
        <v>179.62146878025567</v>
      </c>
      <c r="AL457" s="432">
        <f t="shared" ref="AL457:AL520" si="232">(PI()*((70/2)^2-(16.545/2)^2)/(AE457/10))/100</f>
        <v>357.06156092360601</v>
      </c>
      <c r="AM457" s="250">
        <v>357</v>
      </c>
      <c r="AN457" s="432">
        <f t="shared" ref="AN457:AN520" si="233">AM457*P457/100</f>
        <v>328.44</v>
      </c>
      <c r="AO457" s="432">
        <f t="shared" ref="AO457:AO520" si="234">AN457*AH457</f>
        <v>326.27675135999999</v>
      </c>
      <c r="AP457" s="432">
        <f t="shared" ref="AP457:AP520" si="235">AO457/(Q457/100)</f>
        <v>1359.4864640000001</v>
      </c>
      <c r="AQ457" s="255">
        <v>44287</v>
      </c>
      <c r="AR457" s="13" t="s">
        <v>2051</v>
      </c>
      <c r="AS457" s="298" t="s">
        <v>2062</v>
      </c>
      <c r="AT457" s="429"/>
      <c r="AU457" s="249">
        <v>4</v>
      </c>
      <c r="AV457" s="259"/>
      <c r="AW457" s="38" t="s">
        <v>127</v>
      </c>
      <c r="AX457" s="259">
        <v>44287</v>
      </c>
      <c r="AY457" s="103">
        <f t="shared" si="201"/>
        <v>0.60869565217391308</v>
      </c>
      <c r="AZ457" s="307"/>
      <c r="BA457" s="13" t="str">
        <f t="shared" si="202"/>
        <v>W22</v>
      </c>
      <c r="BB457" s="72" t="str">
        <f t="shared" si="213"/>
        <v>Clear</v>
      </c>
      <c r="BC457" s="264">
        <f t="shared" si="214"/>
        <v>1.0944</v>
      </c>
      <c r="BD457" s="253">
        <f t="shared" si="215"/>
        <v>167.01645342725524</v>
      </c>
      <c r="BE457" s="253">
        <f t="shared" si="216"/>
        <v>-12.605015353000425</v>
      </c>
      <c r="BF457" s="100">
        <f t="shared" si="217"/>
        <v>-7.0175438596491377E-2</v>
      </c>
      <c r="BG457" s="253">
        <f t="shared" si="218"/>
        <v>332.00460927984415</v>
      </c>
      <c r="BH457" s="253">
        <f t="shared" si="219"/>
        <v>-25.056951643761863</v>
      </c>
      <c r="BI457" s="100">
        <f t="shared" si="220"/>
        <v>-7.0175438596491335E-2</v>
      </c>
      <c r="BJ457" s="114">
        <v>25.08</v>
      </c>
      <c r="BK457" s="111">
        <v>24</v>
      </c>
      <c r="BL457" s="311">
        <f>AH457</f>
        <v>0.99341356521739133</v>
      </c>
      <c r="BM457" s="83">
        <f>BK457/AH457</f>
        <v>24.159122484650204</v>
      </c>
      <c r="BN457" s="123">
        <f>BK457-BM457</f>
        <v>-0.1591224846502044</v>
      </c>
      <c r="BO457" s="83">
        <v>20.04</v>
      </c>
      <c r="BP457" s="136">
        <f>BO457-BM457</f>
        <v>-4.1191224846502053</v>
      </c>
      <c r="BQ457" s="71"/>
      <c r="BR457" s="71"/>
      <c r="BS457" s="71"/>
    </row>
    <row r="458" spans="1:79" s="72" customFormat="1">
      <c r="A458" s="13" t="s">
        <v>1810</v>
      </c>
      <c r="B458" s="13" t="s">
        <v>1999</v>
      </c>
      <c r="C458" s="429" t="s">
        <v>2063</v>
      </c>
      <c r="D458" s="429" t="s">
        <v>2064</v>
      </c>
      <c r="E458" s="13" t="s">
        <v>118</v>
      </c>
      <c r="F458" s="13" t="s">
        <v>186</v>
      </c>
      <c r="G458" s="13" t="s">
        <v>2065</v>
      </c>
      <c r="H458" s="13" t="s">
        <v>121</v>
      </c>
      <c r="I458" s="13" t="s">
        <v>122</v>
      </c>
      <c r="J458" s="13" t="s">
        <v>5</v>
      </c>
      <c r="K458" s="13" t="s">
        <v>140</v>
      </c>
      <c r="L458" s="13" t="s">
        <v>2066</v>
      </c>
      <c r="M458" s="13" t="s">
        <v>125</v>
      </c>
      <c r="N458" s="13" t="s">
        <v>12</v>
      </c>
      <c r="O458" s="247">
        <v>0.38</v>
      </c>
      <c r="P458" s="13">
        <v>86</v>
      </c>
      <c r="Q458" s="13">
        <v>24</v>
      </c>
      <c r="R458" s="13" t="s">
        <v>127</v>
      </c>
      <c r="S458" s="430" t="str">
        <f t="shared" si="221"/>
        <v>N/A</v>
      </c>
      <c r="T458" s="247">
        <v>0.76</v>
      </c>
      <c r="U458" s="13">
        <v>200</v>
      </c>
      <c r="V458" s="13">
        <v>500</v>
      </c>
      <c r="W458" s="430">
        <f t="shared" si="211"/>
        <v>300</v>
      </c>
      <c r="X458" s="430">
        <f t="shared" si="212"/>
        <v>120</v>
      </c>
      <c r="Y458" s="13">
        <v>100</v>
      </c>
      <c r="Z458" s="13">
        <f>V458</f>
        <v>500</v>
      </c>
      <c r="AA458" s="430">
        <f t="shared" si="222"/>
        <v>400</v>
      </c>
      <c r="AB458" s="430">
        <f t="shared" si="223"/>
        <v>120</v>
      </c>
      <c r="AC458" s="430" t="str">
        <f t="shared" si="224"/>
        <v>N/A</v>
      </c>
      <c r="AD458" s="430">
        <f t="shared" si="225"/>
        <v>62</v>
      </c>
      <c r="AE458" s="431">
        <f t="shared" si="226"/>
        <v>0.99560000000000004</v>
      </c>
      <c r="AF458" s="431"/>
      <c r="AG458" s="431">
        <f t="shared" si="227"/>
        <v>0.91067441860465115</v>
      </c>
      <c r="AH458" s="431">
        <f t="shared" si="228"/>
        <v>0.96986825581395353</v>
      </c>
      <c r="AI458" s="432">
        <f t="shared" si="229"/>
        <v>834.25667399999998</v>
      </c>
      <c r="AJ458" s="432">
        <f t="shared" si="230"/>
        <v>167.9044877861169</v>
      </c>
      <c r="AK458" s="432">
        <f t="shared" si="231"/>
        <v>183.59060529408214</v>
      </c>
      <c r="AL458" s="432">
        <f t="shared" si="232"/>
        <v>364.9516315747905</v>
      </c>
      <c r="AM458" s="250">
        <v>365</v>
      </c>
      <c r="AN458" s="432">
        <f t="shared" si="233"/>
        <v>313.89999999999998</v>
      </c>
      <c r="AO458" s="432">
        <f t="shared" si="234"/>
        <v>304.44164549999999</v>
      </c>
      <c r="AP458" s="432">
        <f t="shared" si="235"/>
        <v>1268.5068562500001</v>
      </c>
      <c r="AQ458" s="255">
        <v>44256</v>
      </c>
      <c r="AR458" s="13" t="s">
        <v>2026</v>
      </c>
      <c r="AS458" s="298" t="s">
        <v>2067</v>
      </c>
      <c r="AT458" s="429"/>
      <c r="AU458" s="249">
        <v>2</v>
      </c>
      <c r="AV458" s="254"/>
      <c r="AW458" s="38" t="s">
        <v>127</v>
      </c>
      <c r="AX458" s="254">
        <v>44256</v>
      </c>
      <c r="AY458" s="103">
        <f t="shared" si="201"/>
        <v>0.58139534883720934</v>
      </c>
      <c r="AZ458" s="308">
        <f>15000/1.6</f>
        <v>9375</v>
      </c>
      <c r="BA458" s="13" t="str">
        <f t="shared" si="202"/>
        <v>W20</v>
      </c>
      <c r="BB458" s="72" t="str">
        <f t="shared" si="213"/>
        <v>Clear</v>
      </c>
      <c r="BC458" s="299">
        <f t="shared" si="214"/>
        <v>1.0868</v>
      </c>
      <c r="BD458" s="242">
        <f t="shared" si="215"/>
        <v>168.1844006540193</v>
      </c>
      <c r="BE458" s="242">
        <f t="shared" si="216"/>
        <v>-15.406204640062839</v>
      </c>
      <c r="BF458" s="177">
        <f t="shared" si="217"/>
        <v>-8.3916083916083933E-2</v>
      </c>
      <c r="BG458" s="242">
        <f t="shared" si="218"/>
        <v>334.32631983424869</v>
      </c>
      <c r="BH458" s="242">
        <f t="shared" si="219"/>
        <v>-30.625311740541804</v>
      </c>
      <c r="BI458" s="177">
        <f t="shared" si="220"/>
        <v>-8.3916083916083767E-2</v>
      </c>
      <c r="BJ458" s="139">
        <f>16*$BK$2</f>
        <v>18.239999999999998</v>
      </c>
      <c r="BK458" s="139"/>
      <c r="BL458" s="112"/>
      <c r="BM458" s="101"/>
      <c r="BN458" s="177"/>
      <c r="BO458" s="103"/>
      <c r="BP458" s="103"/>
      <c r="BQ458" s="108"/>
      <c r="BR458" s="71"/>
      <c r="BS458" s="71"/>
      <c r="BU458" s="78"/>
      <c r="BV458" s="32"/>
      <c r="BW458" s="127"/>
      <c r="BX458" s="78"/>
      <c r="BY458" s="78"/>
      <c r="BZ458" s="127"/>
      <c r="CA458" s="76"/>
    </row>
    <row r="459" spans="1:79" s="72" customFormat="1">
      <c r="A459" s="13" t="s">
        <v>1810</v>
      </c>
      <c r="B459" s="13" t="s">
        <v>1999</v>
      </c>
      <c r="C459" s="13" t="s">
        <v>208</v>
      </c>
      <c r="D459" s="429" t="s">
        <v>2068</v>
      </c>
      <c r="E459" s="13" t="s">
        <v>118</v>
      </c>
      <c r="F459" s="13" t="s">
        <v>186</v>
      </c>
      <c r="G459" s="13" t="s">
        <v>2069</v>
      </c>
      <c r="H459" s="13" t="s">
        <v>121</v>
      </c>
      <c r="I459" s="13" t="s">
        <v>122</v>
      </c>
      <c r="J459" s="13" t="s">
        <v>5</v>
      </c>
      <c r="K459" s="13" t="s">
        <v>123</v>
      </c>
      <c r="L459" s="13" t="s">
        <v>2070</v>
      </c>
      <c r="M459" s="13" t="s">
        <v>125</v>
      </c>
      <c r="N459" s="13" t="s">
        <v>12</v>
      </c>
      <c r="O459" s="247">
        <v>0.48</v>
      </c>
      <c r="P459" s="13">
        <v>82</v>
      </c>
      <c r="Q459" s="13">
        <v>15</v>
      </c>
      <c r="R459" s="13" t="s">
        <v>127</v>
      </c>
      <c r="S459" s="430" t="str">
        <f t="shared" si="221"/>
        <v>N/A</v>
      </c>
      <c r="T459" s="247">
        <v>0.8</v>
      </c>
      <c r="U459" s="13">
        <v>150</v>
      </c>
      <c r="V459" s="13">
        <v>550</v>
      </c>
      <c r="W459" s="430">
        <f t="shared" si="211"/>
        <v>400</v>
      </c>
      <c r="X459" s="430">
        <f t="shared" si="212"/>
        <v>120</v>
      </c>
      <c r="Y459" s="13">
        <f>U459</f>
        <v>150</v>
      </c>
      <c r="Z459" s="13">
        <f>V459</f>
        <v>550</v>
      </c>
      <c r="AA459" s="430">
        <f t="shared" si="222"/>
        <v>400</v>
      </c>
      <c r="AB459" s="430">
        <f t="shared" si="223"/>
        <v>120</v>
      </c>
      <c r="AC459" s="430" t="str">
        <f t="shared" si="224"/>
        <v>N/A</v>
      </c>
      <c r="AD459" s="430">
        <f t="shared" si="225"/>
        <v>67</v>
      </c>
      <c r="AE459" s="431">
        <f t="shared" si="226"/>
        <v>1.1215999999999999</v>
      </c>
      <c r="AF459" s="431"/>
      <c r="AG459" s="431">
        <f t="shared" si="227"/>
        <v>0.99021463414634137</v>
      </c>
      <c r="AH459" s="431">
        <f t="shared" si="228"/>
        <v>1.049627512195122</v>
      </c>
      <c r="AI459" s="432">
        <f t="shared" si="229"/>
        <v>879.250496</v>
      </c>
      <c r="AJ459" s="432">
        <f t="shared" si="230"/>
        <v>149.04217906549397</v>
      </c>
      <c r="AK459" s="432">
        <f t="shared" si="231"/>
        <v>162.96612574071699</v>
      </c>
      <c r="AL459" s="432">
        <f t="shared" si="232"/>
        <v>323.95314229302915</v>
      </c>
      <c r="AM459" s="250">
        <v>324</v>
      </c>
      <c r="AN459" s="432">
        <f t="shared" si="233"/>
        <v>265.68</v>
      </c>
      <c r="AO459" s="432">
        <f t="shared" si="234"/>
        <v>278.86503744000004</v>
      </c>
      <c r="AP459" s="432">
        <f t="shared" si="235"/>
        <v>1859.1002496000003</v>
      </c>
      <c r="AQ459" s="255">
        <v>44075</v>
      </c>
      <c r="AR459" s="13" t="s">
        <v>2071</v>
      </c>
      <c r="AS459" s="250" t="s">
        <v>2072</v>
      </c>
      <c r="AT459" s="429" t="s">
        <v>2073</v>
      </c>
      <c r="AU459" s="306" t="s">
        <v>2074</v>
      </c>
      <c r="AV459" s="254"/>
      <c r="AW459" s="13" t="s">
        <v>127</v>
      </c>
      <c r="AX459" s="254">
        <v>44044</v>
      </c>
      <c r="AY459" s="103">
        <f t="shared" si="201"/>
        <v>0.67073170731707321</v>
      </c>
      <c r="AZ459" s="308">
        <v>10</v>
      </c>
      <c r="BA459" s="13" t="str">
        <f t="shared" si="202"/>
        <v>W22</v>
      </c>
      <c r="BB459" s="72" t="str">
        <f t="shared" si="213"/>
        <v>Clear</v>
      </c>
      <c r="BC459" s="32">
        <f t="shared" si="214"/>
        <v>1.1936</v>
      </c>
      <c r="BD459" s="241">
        <f t="shared" si="215"/>
        <v>153.13572941587481</v>
      </c>
      <c r="BE459" s="241">
        <f t="shared" si="216"/>
        <v>-9.8303963248421837</v>
      </c>
      <c r="BF459" s="71">
        <f t="shared" si="217"/>
        <v>-6.032171581769441E-2</v>
      </c>
      <c r="BG459" s="241">
        <f t="shared" si="218"/>
        <v>304.41173290537995</v>
      </c>
      <c r="BH459" s="241">
        <f t="shared" si="219"/>
        <v>-19.541409387649196</v>
      </c>
      <c r="BI459" s="71">
        <f t="shared" si="220"/>
        <v>-6.032171581769432E-2</v>
      </c>
      <c r="BJ459" s="114">
        <v>25.08</v>
      </c>
      <c r="BK459" s="111">
        <v>24</v>
      </c>
      <c r="BL459" s="112">
        <f>AH459</f>
        <v>1.049627512195122</v>
      </c>
      <c r="BM459" s="83">
        <f>BK459/AH459</f>
        <v>22.86525431274946</v>
      </c>
      <c r="BN459" s="123">
        <f>BK459-BM459</f>
        <v>1.1347456872505397</v>
      </c>
      <c r="BO459" s="83">
        <v>18.57</v>
      </c>
      <c r="BP459" s="136">
        <f>BO459-BM459</f>
        <v>-4.29525431274946</v>
      </c>
      <c r="BQ459" s="144"/>
      <c r="BR459" s="140">
        <v>2880</v>
      </c>
      <c r="BS459" s="106"/>
      <c r="BT459" s="262"/>
      <c r="BU459" s="269"/>
      <c r="BV459" s="263"/>
      <c r="BW459" s="132"/>
      <c r="BX459" s="269"/>
      <c r="BY459" s="269"/>
      <c r="BZ459" s="132"/>
      <c r="CA459" s="271"/>
    </row>
    <row r="460" spans="1:79" s="72" customFormat="1">
      <c r="A460" s="13" t="s">
        <v>1810</v>
      </c>
      <c r="B460" s="387" t="s">
        <v>1999</v>
      </c>
      <c r="C460" s="13" t="s">
        <v>895</v>
      </c>
      <c r="D460" s="13" t="s">
        <v>2075</v>
      </c>
      <c r="E460" s="13" t="s">
        <v>118</v>
      </c>
      <c r="F460" s="13" t="s">
        <v>167</v>
      </c>
      <c r="G460" s="13" t="s">
        <v>2076</v>
      </c>
      <c r="H460" s="387" t="s">
        <v>389</v>
      </c>
      <c r="I460" s="13" t="s">
        <v>2077</v>
      </c>
      <c r="J460" s="13" t="s">
        <v>5</v>
      </c>
      <c r="K460" s="13" t="s">
        <v>140</v>
      </c>
      <c r="L460" s="13" t="s">
        <v>2078</v>
      </c>
      <c r="M460" s="13" t="s">
        <v>276</v>
      </c>
      <c r="N460" s="13" t="s">
        <v>142</v>
      </c>
      <c r="O460" s="247">
        <v>0.36</v>
      </c>
      <c r="P460" s="13">
        <v>96</v>
      </c>
      <c r="Q460" s="13">
        <v>33</v>
      </c>
      <c r="R460" s="13" t="s">
        <v>127</v>
      </c>
      <c r="S460" s="430" t="str">
        <f t="shared" si="221"/>
        <v>N/A</v>
      </c>
      <c r="T460" s="247">
        <v>0.78</v>
      </c>
      <c r="U460" s="13">
        <v>200</v>
      </c>
      <c r="V460" s="13">
        <v>550</v>
      </c>
      <c r="W460" s="430">
        <f t="shared" si="211"/>
        <v>350</v>
      </c>
      <c r="X460" s="430">
        <f t="shared" si="212"/>
        <v>80</v>
      </c>
      <c r="Y460" s="13"/>
      <c r="Z460" s="13"/>
      <c r="AA460" s="430">
        <f t="shared" si="222"/>
        <v>0</v>
      </c>
      <c r="AB460" s="430">
        <f t="shared" si="223"/>
        <v>630</v>
      </c>
      <c r="AC460" s="430" t="str">
        <f t="shared" si="224"/>
        <v>N/A</v>
      </c>
      <c r="AD460" s="430">
        <f t="shared" si="225"/>
        <v>63</v>
      </c>
      <c r="AE460" s="431">
        <f t="shared" si="226"/>
        <v>1.0068000000000001</v>
      </c>
      <c r="AF460" s="431"/>
      <c r="AG460" s="431">
        <f t="shared" si="227"/>
        <v>0.93238125000000005</v>
      </c>
      <c r="AH460" s="431">
        <f t="shared" si="228"/>
        <v>0.99298603124999996</v>
      </c>
      <c r="AI460" s="432">
        <f t="shared" si="229"/>
        <v>854.24842799999999</v>
      </c>
      <c r="AJ460" s="432">
        <f t="shared" si="230"/>
        <v>166.03665876028805</v>
      </c>
      <c r="AK460" s="432">
        <f t="shared" si="231"/>
        <v>181.54827833808915</v>
      </c>
      <c r="AL460" s="432">
        <f t="shared" si="232"/>
        <v>360.89178028989016</v>
      </c>
      <c r="AM460" s="250">
        <v>150</v>
      </c>
      <c r="AN460" s="432">
        <f t="shared" si="233"/>
        <v>144</v>
      </c>
      <c r="AO460" s="432">
        <f t="shared" si="234"/>
        <v>142.98998849999998</v>
      </c>
      <c r="AP460" s="432">
        <f t="shared" si="235"/>
        <v>433.3029954545454</v>
      </c>
      <c r="AQ460" s="255">
        <v>43191</v>
      </c>
      <c r="AR460" s="255" t="s">
        <v>238</v>
      </c>
      <c r="AS460" s="429" t="s">
        <v>2079</v>
      </c>
      <c r="AT460" s="435" t="s">
        <v>2080</v>
      </c>
      <c r="AU460" s="241"/>
      <c r="AV460" s="243" t="s">
        <v>2081</v>
      </c>
      <c r="AW460" s="72" t="s">
        <v>127</v>
      </c>
      <c r="AX460" s="243"/>
      <c r="AY460" s="103">
        <f t="shared" si="201"/>
        <v>0.57291666666666663</v>
      </c>
      <c r="BA460" s="13" t="str">
        <f t="shared" si="202"/>
        <v>W50</v>
      </c>
      <c r="BB460" s="72" t="str">
        <f t="shared" si="213"/>
        <v>Clear</v>
      </c>
      <c r="BC460" s="32">
        <f t="shared" si="214"/>
        <v>1.1255999999999999</v>
      </c>
      <c r="BD460" s="241">
        <f t="shared" si="215"/>
        <v>162.38699949430367</v>
      </c>
      <c r="BE460" s="241">
        <f t="shared" si="216"/>
        <v>-19.161278843785482</v>
      </c>
      <c r="BF460" s="71">
        <f t="shared" si="217"/>
        <v>-0.10554371002132171</v>
      </c>
      <c r="BG460" s="241">
        <f t="shared" si="218"/>
        <v>322.80192288189539</v>
      </c>
      <c r="BH460" s="241">
        <f t="shared" si="219"/>
        <v>-38.089857407994771</v>
      </c>
      <c r="BI460" s="71">
        <f t="shared" si="220"/>
        <v>-0.10554371002132187</v>
      </c>
      <c r="BJ460" s="111"/>
      <c r="BK460" s="83"/>
      <c r="BL460" s="83"/>
      <c r="BM460" s="83"/>
      <c r="BN460" s="71"/>
      <c r="BO460" s="103"/>
      <c r="BP460" s="103"/>
      <c r="BQ460" s="130"/>
      <c r="BR460" s="100"/>
      <c r="BS460" s="100"/>
      <c r="BT460" s="77">
        <f>P460-V460/10-120/10</f>
        <v>29</v>
      </c>
      <c r="BU460" s="282">
        <f>BT460-Q460</f>
        <v>-4</v>
      </c>
      <c r="BV460" s="264">
        <f>T460+(O460/100*(P460-BT460))</f>
        <v>1.0212000000000001</v>
      </c>
      <c r="BW460" s="169">
        <f>(AE460-BV460)/AE460</f>
        <v>-1.4302741358760395E-2</v>
      </c>
      <c r="BX460" s="282">
        <f>(PI()*((51/2)^2-(16.545/2)^2)/(BV460/10))/100</f>
        <v>178.98825561181764</v>
      </c>
      <c r="BY460" s="282">
        <f>BX460-AK460</f>
        <v>-2.5600227262715123</v>
      </c>
      <c r="BZ460" s="169">
        <f>BY460/AK460</f>
        <v>-1.4101057579318366E-2</v>
      </c>
      <c r="CA460" s="271"/>
    </row>
    <row r="461" spans="1:79" s="72" customFormat="1">
      <c r="A461" s="13" t="s">
        <v>1810</v>
      </c>
      <c r="B461" s="387" t="s">
        <v>1999</v>
      </c>
      <c r="C461" s="13" t="s">
        <v>895</v>
      </c>
      <c r="D461" s="13" t="s">
        <v>2075</v>
      </c>
      <c r="E461" s="13" t="s">
        <v>118</v>
      </c>
      <c r="F461" s="13" t="s">
        <v>167</v>
      </c>
      <c r="G461" s="13" t="s">
        <v>2082</v>
      </c>
      <c r="H461" s="387" t="s">
        <v>389</v>
      </c>
      <c r="I461" s="13" t="s">
        <v>2077</v>
      </c>
      <c r="J461" s="13" t="s">
        <v>5</v>
      </c>
      <c r="K461" s="13" t="s">
        <v>140</v>
      </c>
      <c r="L461" s="13" t="s">
        <v>132</v>
      </c>
      <c r="M461" s="13" t="s">
        <v>276</v>
      </c>
      <c r="N461" s="13" t="s">
        <v>142</v>
      </c>
      <c r="O461" s="247">
        <v>0.36</v>
      </c>
      <c r="P461" s="13">
        <v>98</v>
      </c>
      <c r="Q461" s="13">
        <v>30</v>
      </c>
      <c r="R461" s="13" t="s">
        <v>127</v>
      </c>
      <c r="S461" s="430" t="str">
        <f t="shared" si="221"/>
        <v>N/A</v>
      </c>
      <c r="T461" s="247">
        <v>0.76</v>
      </c>
      <c r="U461" s="13">
        <v>200</v>
      </c>
      <c r="V461" s="13">
        <v>550</v>
      </c>
      <c r="W461" s="430">
        <f t="shared" si="211"/>
        <v>350</v>
      </c>
      <c r="X461" s="430">
        <f t="shared" si="212"/>
        <v>130</v>
      </c>
      <c r="Y461" s="13"/>
      <c r="Z461" s="13"/>
      <c r="AA461" s="430">
        <f t="shared" si="222"/>
        <v>0</v>
      </c>
      <c r="AB461" s="430">
        <f t="shared" si="223"/>
        <v>680</v>
      </c>
      <c r="AC461" s="430" t="str">
        <f t="shared" si="224"/>
        <v>N/A</v>
      </c>
      <c r="AD461" s="430">
        <f t="shared" si="225"/>
        <v>68</v>
      </c>
      <c r="AE461" s="431">
        <f t="shared" si="226"/>
        <v>1.0047999999999999</v>
      </c>
      <c r="AF461" s="431"/>
      <c r="AG461" s="431">
        <f t="shared" si="227"/>
        <v>0.91986938775510207</v>
      </c>
      <c r="AH461" s="431">
        <f t="shared" si="228"/>
        <v>0.97966089795918365</v>
      </c>
      <c r="AI461" s="432">
        <f t="shared" si="229"/>
        <v>832.94842800000004</v>
      </c>
      <c r="AJ461" s="432">
        <f t="shared" si="230"/>
        <v>166.36714574030458</v>
      </c>
      <c r="AK461" s="432">
        <f t="shared" si="231"/>
        <v>181.90964035707424</v>
      </c>
      <c r="AL461" s="432">
        <f t="shared" si="232"/>
        <v>361.61011583983031</v>
      </c>
      <c r="AM461" s="250">
        <v>150</v>
      </c>
      <c r="AN461" s="432">
        <f t="shared" si="233"/>
        <v>147</v>
      </c>
      <c r="AO461" s="432">
        <f t="shared" si="234"/>
        <v>144.01015200000001</v>
      </c>
      <c r="AP461" s="432">
        <f t="shared" si="235"/>
        <v>480.03384000000005</v>
      </c>
      <c r="AQ461" s="255" t="s">
        <v>2083</v>
      </c>
      <c r="AR461" s="451" t="s">
        <v>2084</v>
      </c>
      <c r="AS461" s="434" t="s">
        <v>2085</v>
      </c>
      <c r="AT461" s="435" t="s">
        <v>2086</v>
      </c>
      <c r="AU461" s="241"/>
      <c r="AV461" s="243" t="s">
        <v>405</v>
      </c>
      <c r="AW461" s="72" t="s">
        <v>127</v>
      </c>
      <c r="AX461" s="243"/>
      <c r="AY461" s="103">
        <f t="shared" si="201"/>
        <v>0.56122448979591832</v>
      </c>
      <c r="BA461" s="13" t="str">
        <f t="shared" si="202"/>
        <v>W50</v>
      </c>
      <c r="BB461" s="72" t="str">
        <f t="shared" si="213"/>
        <v>Clear</v>
      </c>
      <c r="BC461" s="32">
        <f t="shared" si="214"/>
        <v>1.1128</v>
      </c>
      <c r="BD461" s="241">
        <f t="shared" si="215"/>
        <v>164.2548585826637</v>
      </c>
      <c r="BE461" s="241">
        <f t="shared" si="216"/>
        <v>-17.654781774410537</v>
      </c>
      <c r="BF461" s="71">
        <f t="shared" si="217"/>
        <v>-9.7052480230050461E-2</v>
      </c>
      <c r="BG461" s="241">
        <f t="shared" si="218"/>
        <v>326.51495722129891</v>
      </c>
      <c r="BH461" s="241">
        <f t="shared" si="219"/>
        <v>-35.0951586185314</v>
      </c>
      <c r="BI461" s="71">
        <f t="shared" si="220"/>
        <v>-9.7052480230050489E-2</v>
      </c>
      <c r="BJ461" s="111"/>
      <c r="BK461" s="83"/>
      <c r="BL461" s="83"/>
      <c r="BM461" s="83"/>
      <c r="BN461" s="71"/>
      <c r="BO461" s="103"/>
      <c r="BP461" s="103"/>
      <c r="BQ461" s="130"/>
      <c r="BR461" s="100"/>
      <c r="BS461" s="100"/>
      <c r="BT461" s="77">
        <f>P461-V461/10-120/10</f>
        <v>31</v>
      </c>
      <c r="BU461" s="282">
        <f>BT461-Q461</f>
        <v>1</v>
      </c>
      <c r="BV461" s="264">
        <f>T461+(O461/100*(P461-BT461))</f>
        <v>1.0012000000000001</v>
      </c>
      <c r="BW461" s="169">
        <f>(AE461-BV461)/AE461</f>
        <v>3.5828025477705272E-3</v>
      </c>
      <c r="BX461" s="282">
        <f>(PI()*((51/2)^2-(16.545/2)^2)/(BV461/10))/100</f>
        <v>182.56373015460264</v>
      </c>
      <c r="BY461" s="282">
        <f>BX461-AK461</f>
        <v>0.65408979752839969</v>
      </c>
      <c r="BZ461" s="169">
        <f>BY461/AK461</f>
        <v>3.5956851777864721E-3</v>
      </c>
      <c r="CA461" s="271"/>
    </row>
    <row r="462" spans="1:79" s="72" customFormat="1">
      <c r="A462" s="13" t="s">
        <v>1810</v>
      </c>
      <c r="B462" s="387" t="s">
        <v>1999</v>
      </c>
      <c r="C462" s="13" t="s">
        <v>895</v>
      </c>
      <c r="D462" s="429" t="s">
        <v>2087</v>
      </c>
      <c r="E462" s="13" t="s">
        <v>118</v>
      </c>
      <c r="F462" s="13" t="s">
        <v>186</v>
      </c>
      <c r="G462" s="13" t="s">
        <v>2088</v>
      </c>
      <c r="H462" s="13" t="s">
        <v>121</v>
      </c>
      <c r="I462" s="13" t="s">
        <v>122</v>
      </c>
      <c r="J462" s="13" t="s">
        <v>5</v>
      </c>
      <c r="K462" s="13" t="s">
        <v>123</v>
      </c>
      <c r="L462" s="13" t="s">
        <v>2089</v>
      </c>
      <c r="M462" s="13" t="s">
        <v>125</v>
      </c>
      <c r="N462" s="13" t="s">
        <v>12</v>
      </c>
      <c r="O462" s="247">
        <v>0.6</v>
      </c>
      <c r="P462" s="13">
        <v>98</v>
      </c>
      <c r="Q462" s="13">
        <v>25</v>
      </c>
      <c r="R462" s="13" t="s">
        <v>127</v>
      </c>
      <c r="S462" s="430" t="str">
        <f t="shared" si="221"/>
        <v>N/A</v>
      </c>
      <c r="T462" s="247">
        <v>0.8</v>
      </c>
      <c r="U462" s="13">
        <v>200</v>
      </c>
      <c r="V462" s="13">
        <v>600</v>
      </c>
      <c r="W462" s="430">
        <f t="shared" si="211"/>
        <v>400</v>
      </c>
      <c r="X462" s="430">
        <f t="shared" si="212"/>
        <v>130</v>
      </c>
      <c r="Y462" s="13">
        <v>200</v>
      </c>
      <c r="Z462" s="13">
        <v>600</v>
      </c>
      <c r="AA462" s="430">
        <f t="shared" si="222"/>
        <v>400</v>
      </c>
      <c r="AB462" s="430">
        <f t="shared" si="223"/>
        <v>130</v>
      </c>
      <c r="AC462" s="430" t="str">
        <f t="shared" si="224"/>
        <v>N/A</v>
      </c>
      <c r="AD462" s="430">
        <f t="shared" si="225"/>
        <v>73</v>
      </c>
      <c r="AE462" s="431">
        <f t="shared" si="226"/>
        <v>1.238</v>
      </c>
      <c r="AF462" s="431"/>
      <c r="AG462" s="431">
        <f t="shared" si="227"/>
        <v>1.0748673469387757</v>
      </c>
      <c r="AH462" s="431">
        <f t="shared" si="228"/>
        <v>1.1393593877551023</v>
      </c>
      <c r="AI462" s="432">
        <f t="shared" si="229"/>
        <v>887.06312000000003</v>
      </c>
      <c r="AJ462" s="432">
        <f t="shared" si="230"/>
        <v>135.02884332783364</v>
      </c>
      <c r="AK462" s="432">
        <f t="shared" si="231"/>
        <v>147.64362409595168</v>
      </c>
      <c r="AL462" s="432">
        <f t="shared" si="232"/>
        <v>293.49422002896728</v>
      </c>
      <c r="AM462" s="250">
        <v>295</v>
      </c>
      <c r="AN462" s="432">
        <f t="shared" si="233"/>
        <v>289.10000000000002</v>
      </c>
      <c r="AO462" s="432">
        <f t="shared" si="234"/>
        <v>329.38879900000006</v>
      </c>
      <c r="AP462" s="432">
        <f t="shared" si="235"/>
        <v>1317.5551960000003</v>
      </c>
      <c r="AQ462" s="255">
        <v>44949</v>
      </c>
      <c r="AR462" s="13" t="s">
        <v>2090</v>
      </c>
      <c r="AS462" s="436" t="s">
        <v>2091</v>
      </c>
      <c r="AT462" s="429"/>
      <c r="AU462" s="249"/>
      <c r="AV462" s="254"/>
      <c r="AW462" s="38" t="s">
        <v>127</v>
      </c>
      <c r="AX462" s="254"/>
      <c r="AY462" s="102">
        <f t="shared" si="201"/>
        <v>0.61224489795918369</v>
      </c>
      <c r="AZ462" s="308"/>
      <c r="BA462" s="38" t="str">
        <f t="shared" si="202"/>
        <v>W22</v>
      </c>
      <c r="BB462" s="77" t="str">
        <f t="shared" si="213"/>
        <v>Clear</v>
      </c>
      <c r="BC462" s="264">
        <f t="shared" si="214"/>
        <v>1.3879999999999999</v>
      </c>
      <c r="BD462" s="253">
        <f t="shared" si="215"/>
        <v>131.68790103082722</v>
      </c>
      <c r="BE462" s="253">
        <f t="shared" si="216"/>
        <v>-15.955723065124459</v>
      </c>
      <c r="BF462" s="100">
        <f t="shared" si="217"/>
        <v>-0.10806916426512968</v>
      </c>
      <c r="BG462" s="253">
        <f t="shared" si="218"/>
        <v>261.77654495379073</v>
      </c>
      <c r="BH462" s="253">
        <f t="shared" si="219"/>
        <v>-31.717675075176544</v>
      </c>
      <c r="BI462" s="100">
        <f t="shared" si="220"/>
        <v>-0.10806916426512957</v>
      </c>
      <c r="BJ462" s="143"/>
      <c r="BK462" s="139">
        <v>24</v>
      </c>
      <c r="BL462" s="191">
        <f>AH462</f>
        <v>1.1393593877551023</v>
      </c>
      <c r="BM462" s="101">
        <f>BK462/AH462</f>
        <v>21.064468558325199</v>
      </c>
      <c r="BN462" s="162">
        <f>BK462-BM462</f>
        <v>2.9355314416748008</v>
      </c>
      <c r="BO462" s="101">
        <v>17.68</v>
      </c>
      <c r="BP462" s="190">
        <f>BO462-BM462</f>
        <v>-3.3844685583251994</v>
      </c>
      <c r="BQ462" s="115"/>
      <c r="BR462" s="113"/>
      <c r="BS462" s="80"/>
      <c r="BT462" s="22"/>
      <c r="BU462" s="87"/>
      <c r="BV462" s="73"/>
      <c r="BW462" s="109"/>
      <c r="BX462" s="87"/>
      <c r="BY462" s="87"/>
      <c r="BZ462" s="109"/>
      <c r="CA462" s="76"/>
    </row>
    <row r="463" spans="1:79" s="72" customFormat="1">
      <c r="A463" s="13" t="s">
        <v>1810</v>
      </c>
      <c r="B463" s="387" t="s">
        <v>1999</v>
      </c>
      <c r="C463" s="13" t="s">
        <v>895</v>
      </c>
      <c r="D463" s="13" t="s">
        <v>2092</v>
      </c>
      <c r="E463" s="13" t="s">
        <v>118</v>
      </c>
      <c r="F463" s="13" t="s">
        <v>186</v>
      </c>
      <c r="G463" s="13" t="s">
        <v>2093</v>
      </c>
      <c r="H463" s="13" t="s">
        <v>121</v>
      </c>
      <c r="I463" s="13" t="s">
        <v>122</v>
      </c>
      <c r="J463" s="13" t="s">
        <v>5</v>
      </c>
      <c r="K463" s="13" t="s">
        <v>140</v>
      </c>
      <c r="L463" s="13" t="s">
        <v>2094</v>
      </c>
      <c r="M463" s="13" t="s">
        <v>125</v>
      </c>
      <c r="N463" s="13" t="s">
        <v>12</v>
      </c>
      <c r="O463" s="247">
        <v>0.36</v>
      </c>
      <c r="P463" s="13">
        <v>98</v>
      </c>
      <c r="Q463" s="13">
        <v>30</v>
      </c>
      <c r="R463" s="13" t="s">
        <v>127</v>
      </c>
      <c r="S463" s="430" t="str">
        <f t="shared" si="221"/>
        <v>N/A</v>
      </c>
      <c r="T463" s="247">
        <v>0.76</v>
      </c>
      <c r="U463" s="13">
        <v>200</v>
      </c>
      <c r="V463" s="13">
        <v>550</v>
      </c>
      <c r="W463" s="430">
        <f t="shared" si="211"/>
        <v>350</v>
      </c>
      <c r="X463" s="430">
        <f t="shared" si="212"/>
        <v>130</v>
      </c>
      <c r="Y463" s="13">
        <v>150</v>
      </c>
      <c r="Z463" s="13">
        <f>V463</f>
        <v>550</v>
      </c>
      <c r="AA463" s="430">
        <f t="shared" si="222"/>
        <v>400</v>
      </c>
      <c r="AB463" s="430">
        <f t="shared" si="223"/>
        <v>130</v>
      </c>
      <c r="AC463" s="430" t="str">
        <f t="shared" si="224"/>
        <v>N/A</v>
      </c>
      <c r="AD463" s="430">
        <f t="shared" si="225"/>
        <v>68</v>
      </c>
      <c r="AE463" s="431">
        <f t="shared" si="226"/>
        <v>1.0047999999999999</v>
      </c>
      <c r="AF463" s="431"/>
      <c r="AG463" s="431">
        <f t="shared" si="227"/>
        <v>0.91986938775510207</v>
      </c>
      <c r="AH463" s="431">
        <f t="shared" si="228"/>
        <v>0.97966089795918365</v>
      </c>
      <c r="AI463" s="432">
        <f t="shared" si="229"/>
        <v>832.94842800000004</v>
      </c>
      <c r="AJ463" s="432">
        <f t="shared" si="230"/>
        <v>166.36714574030458</v>
      </c>
      <c r="AK463" s="432">
        <f t="shared" si="231"/>
        <v>181.90964035707424</v>
      </c>
      <c r="AL463" s="432">
        <f t="shared" si="232"/>
        <v>361.61011583983031</v>
      </c>
      <c r="AM463" s="250">
        <v>362</v>
      </c>
      <c r="AN463" s="432">
        <f t="shared" si="233"/>
        <v>354.76</v>
      </c>
      <c r="AO463" s="432">
        <f t="shared" si="234"/>
        <v>347.54450015999998</v>
      </c>
      <c r="AP463" s="432">
        <f t="shared" si="235"/>
        <v>1158.4816671999999</v>
      </c>
      <c r="AQ463" s="255">
        <v>44256</v>
      </c>
      <c r="AR463" s="13" t="s">
        <v>2026</v>
      </c>
      <c r="AS463" s="298" t="s">
        <v>2095</v>
      </c>
      <c r="AT463" s="429"/>
      <c r="AU463" s="249">
        <v>6</v>
      </c>
      <c r="AV463" s="254"/>
      <c r="AW463" s="38" t="s">
        <v>127</v>
      </c>
      <c r="AX463" s="254"/>
      <c r="AY463" s="103">
        <f t="shared" si="201"/>
        <v>0.56122448979591832</v>
      </c>
      <c r="AZ463" s="308">
        <f>1000/1.6</f>
        <v>625</v>
      </c>
      <c r="BA463" s="13" t="str">
        <f t="shared" si="202"/>
        <v>W20</v>
      </c>
      <c r="BB463" s="72" t="str">
        <f t="shared" si="213"/>
        <v>Clear</v>
      </c>
      <c r="BC463" s="303">
        <f t="shared" si="214"/>
        <v>1.1128</v>
      </c>
      <c r="BD463" s="251">
        <f t="shared" si="215"/>
        <v>164.2548585826637</v>
      </c>
      <c r="BE463" s="251">
        <f t="shared" si="216"/>
        <v>-17.654781774410537</v>
      </c>
      <c r="BF463" s="231">
        <f t="shared" si="217"/>
        <v>-9.7052480230050461E-2</v>
      </c>
      <c r="BG463" s="251">
        <f t="shared" si="218"/>
        <v>326.51495722129891</v>
      </c>
      <c r="BH463" s="251">
        <f t="shared" si="219"/>
        <v>-35.0951586185314</v>
      </c>
      <c r="BI463" s="231">
        <f t="shared" si="220"/>
        <v>-9.7052480230050489E-2</v>
      </c>
      <c r="BJ463" s="139">
        <f>16*$BK$2</f>
        <v>18.239999999999998</v>
      </c>
      <c r="BK463" s="139"/>
      <c r="BL463" s="112"/>
      <c r="BM463" s="101"/>
      <c r="BN463" s="231"/>
      <c r="BO463" s="102"/>
      <c r="BP463" s="102"/>
      <c r="BQ463" s="151"/>
      <c r="BR463" s="113"/>
      <c r="BS463" s="80"/>
      <c r="BT463" s="22"/>
      <c r="BU463" s="87"/>
      <c r="BV463" s="73"/>
      <c r="BW463" s="109"/>
      <c r="BX463" s="87"/>
      <c r="BY463" s="87"/>
      <c r="BZ463" s="109"/>
      <c r="CA463" s="76"/>
    </row>
    <row r="464" spans="1:79" s="72" customFormat="1">
      <c r="A464" s="13" t="s">
        <v>1810</v>
      </c>
      <c r="B464" s="387" t="s">
        <v>1999</v>
      </c>
      <c r="C464" s="13" t="s">
        <v>895</v>
      </c>
      <c r="D464" s="13" t="s">
        <v>2092</v>
      </c>
      <c r="E464" s="13" t="s">
        <v>118</v>
      </c>
      <c r="F464" s="13" t="s">
        <v>119</v>
      </c>
      <c r="G464" s="13" t="s">
        <v>2096</v>
      </c>
      <c r="H464" s="13" t="s">
        <v>121</v>
      </c>
      <c r="I464" s="13" t="s">
        <v>122</v>
      </c>
      <c r="J464" s="13" t="s">
        <v>5</v>
      </c>
      <c r="K464" s="13" t="s">
        <v>123</v>
      </c>
      <c r="L464" s="13" t="s">
        <v>2097</v>
      </c>
      <c r="M464" s="13" t="s">
        <v>125</v>
      </c>
      <c r="N464" s="13" t="s">
        <v>12</v>
      </c>
      <c r="O464" s="247">
        <v>0.36</v>
      </c>
      <c r="P464" s="13">
        <v>98</v>
      </c>
      <c r="Q464" s="13">
        <v>30</v>
      </c>
      <c r="R464" s="13" t="s">
        <v>127</v>
      </c>
      <c r="S464" s="430" t="str">
        <f t="shared" si="221"/>
        <v>N/A</v>
      </c>
      <c r="T464" s="247">
        <v>0.8</v>
      </c>
      <c r="U464" s="13">
        <v>200</v>
      </c>
      <c r="V464" s="13">
        <v>550</v>
      </c>
      <c r="W464" s="430">
        <f t="shared" si="211"/>
        <v>350</v>
      </c>
      <c r="X464" s="430">
        <f t="shared" si="212"/>
        <v>130</v>
      </c>
      <c r="Y464" s="13">
        <v>150</v>
      </c>
      <c r="Z464" s="13">
        <f>V464</f>
        <v>550</v>
      </c>
      <c r="AA464" s="430">
        <f t="shared" si="222"/>
        <v>400</v>
      </c>
      <c r="AB464" s="430">
        <f t="shared" si="223"/>
        <v>130</v>
      </c>
      <c r="AC464" s="430" t="str">
        <f t="shared" si="224"/>
        <v>N/A</v>
      </c>
      <c r="AD464" s="430">
        <f t="shared" si="225"/>
        <v>68</v>
      </c>
      <c r="AE464" s="431">
        <f t="shared" si="226"/>
        <v>1.0448</v>
      </c>
      <c r="AF464" s="431"/>
      <c r="AG464" s="431">
        <f t="shared" si="227"/>
        <v>0.959869387755102</v>
      </c>
      <c r="AH464" s="431">
        <f t="shared" si="228"/>
        <v>1.0174615510204081</v>
      </c>
      <c r="AI464" s="432">
        <f t="shared" si="229"/>
        <v>871.43787200000008</v>
      </c>
      <c r="AJ464" s="432">
        <f t="shared" si="230"/>
        <v>159.99780631686261</v>
      </c>
      <c r="AK464" s="432">
        <f t="shared" si="231"/>
        <v>174.94525902640521</v>
      </c>
      <c r="AL464" s="432">
        <f t="shared" si="232"/>
        <v>347.76593070048</v>
      </c>
      <c r="AM464" s="250">
        <v>175</v>
      </c>
      <c r="AN464" s="432">
        <f t="shared" si="233"/>
        <v>171.5</v>
      </c>
      <c r="AO464" s="432">
        <f t="shared" si="234"/>
        <v>174.49465599999999</v>
      </c>
      <c r="AP464" s="432">
        <f t="shared" si="235"/>
        <v>581.64885333333336</v>
      </c>
      <c r="AQ464" s="255">
        <v>44501</v>
      </c>
      <c r="AR464" s="13" t="s">
        <v>2098</v>
      </c>
      <c r="AS464" s="250" t="s">
        <v>2099</v>
      </c>
      <c r="AT464" s="429" t="s">
        <v>2100</v>
      </c>
      <c r="AU464" s="250">
        <v>4</v>
      </c>
      <c r="AV464" s="255"/>
      <c r="AW464" s="13" t="s">
        <v>127</v>
      </c>
      <c r="AX464" s="255"/>
      <c r="AY464" s="103">
        <f t="shared" si="201"/>
        <v>0.56122448979591832</v>
      </c>
      <c r="AZ464" s="305"/>
      <c r="BA464" s="13" t="str">
        <f t="shared" si="202"/>
        <v>W22</v>
      </c>
      <c r="BB464" s="72" t="str">
        <f t="shared" si="213"/>
        <v>Clear</v>
      </c>
      <c r="BC464" s="299">
        <f t="shared" si="214"/>
        <v>1.1528</v>
      </c>
      <c r="BD464" s="242">
        <f t="shared" si="215"/>
        <v>158.55552275398003</v>
      </c>
      <c r="BE464" s="242">
        <f t="shared" si="216"/>
        <v>-16.389736272425182</v>
      </c>
      <c r="BF464" s="177">
        <f t="shared" si="217"/>
        <v>-9.3684941013185224E-2</v>
      </c>
      <c r="BG464" s="242">
        <f t="shared" si="218"/>
        <v>315.18549999640999</v>
      </c>
      <c r="BH464" s="242">
        <f t="shared" si="219"/>
        <v>-32.580430704070011</v>
      </c>
      <c r="BI464" s="177">
        <f t="shared" si="220"/>
        <v>-9.368494101318546E-2</v>
      </c>
      <c r="BJ464" s="114">
        <v>25.08</v>
      </c>
      <c r="BK464" s="111">
        <v>24</v>
      </c>
      <c r="BL464" s="112">
        <f>AH464</f>
        <v>1.0174615510204081</v>
      </c>
      <c r="BM464" s="83">
        <f>BK464/AH464</f>
        <v>23.588114927714464</v>
      </c>
      <c r="BN464" s="123">
        <f>BK464-BM464</f>
        <v>0.41188507228553561</v>
      </c>
      <c r="BO464" s="83"/>
      <c r="BP464" s="83"/>
      <c r="BQ464" s="80"/>
      <c r="BR464" s="80"/>
      <c r="BS464" s="80"/>
      <c r="BT464" s="22"/>
      <c r="BU464" s="87"/>
      <c r="BV464" s="73"/>
      <c r="BW464" s="109"/>
      <c r="BX464" s="87"/>
      <c r="BY464" s="87"/>
      <c r="BZ464" s="109"/>
      <c r="CA464" s="76"/>
    </row>
    <row r="465" spans="1:79" s="72" customFormat="1">
      <c r="A465" s="13" t="s">
        <v>1810</v>
      </c>
      <c r="B465" s="387" t="s">
        <v>1999</v>
      </c>
      <c r="C465" s="13" t="s">
        <v>895</v>
      </c>
      <c r="D465" s="429" t="s">
        <v>2101</v>
      </c>
      <c r="E465" s="13" t="s">
        <v>118</v>
      </c>
      <c r="F465" s="13" t="s">
        <v>167</v>
      </c>
      <c r="G465" s="13" t="s">
        <v>2102</v>
      </c>
      <c r="H465" s="13" t="s">
        <v>121</v>
      </c>
      <c r="I465" s="13" t="s">
        <v>122</v>
      </c>
      <c r="J465" s="13" t="s">
        <v>5</v>
      </c>
      <c r="K465" s="13" t="s">
        <v>123</v>
      </c>
      <c r="L465" s="13" t="s">
        <v>2103</v>
      </c>
      <c r="M465" s="13" t="s">
        <v>125</v>
      </c>
      <c r="N465" s="13" t="s">
        <v>12</v>
      </c>
      <c r="O465" s="247">
        <v>0.52</v>
      </c>
      <c r="P465" s="13">
        <v>98</v>
      </c>
      <c r="Q465" s="13">
        <v>26</v>
      </c>
      <c r="R465" s="13" t="s">
        <v>127</v>
      </c>
      <c r="S465" s="430" t="str">
        <f t="shared" si="221"/>
        <v>N/A</v>
      </c>
      <c r="T465" s="247">
        <v>0.8</v>
      </c>
      <c r="U465" s="13">
        <v>200</v>
      </c>
      <c r="V465" s="13">
        <v>600</v>
      </c>
      <c r="W465" s="430">
        <f t="shared" si="211"/>
        <v>400</v>
      </c>
      <c r="X465" s="430">
        <f t="shared" si="212"/>
        <v>120</v>
      </c>
      <c r="Y465" s="13">
        <f>U465</f>
        <v>200</v>
      </c>
      <c r="Z465" s="13">
        <f>V465</f>
        <v>600</v>
      </c>
      <c r="AA465" s="430">
        <f t="shared" si="222"/>
        <v>400</v>
      </c>
      <c r="AB465" s="430">
        <f t="shared" si="223"/>
        <v>120</v>
      </c>
      <c r="AC465" s="430" t="str">
        <f t="shared" si="224"/>
        <v>N/A</v>
      </c>
      <c r="AD465" s="430">
        <f t="shared" si="225"/>
        <v>72</v>
      </c>
      <c r="AE465" s="431">
        <f t="shared" si="226"/>
        <v>1.1743999999999999</v>
      </c>
      <c r="AF465" s="431"/>
      <c r="AG465" s="431">
        <f t="shared" si="227"/>
        <v>1.0368653061224489</v>
      </c>
      <c r="AH465" s="431">
        <f t="shared" si="228"/>
        <v>1.0990772244897957</v>
      </c>
      <c r="AI465" s="432">
        <f t="shared" si="229"/>
        <v>881.85470400000008</v>
      </c>
      <c r="AJ465" s="432">
        <f t="shared" si="230"/>
        <v>142.34137264974288</v>
      </c>
      <c r="AK465" s="432">
        <f t="shared" si="231"/>
        <v>155.63931082321881</v>
      </c>
      <c r="AL465" s="432">
        <f t="shared" si="232"/>
        <v>309.38849148148967</v>
      </c>
      <c r="AM465" s="250">
        <v>155</v>
      </c>
      <c r="AN465" s="432">
        <f t="shared" si="233"/>
        <v>151.9</v>
      </c>
      <c r="AO465" s="432">
        <f t="shared" si="234"/>
        <v>166.94983039999997</v>
      </c>
      <c r="AP465" s="432">
        <f t="shared" si="235"/>
        <v>642.11473230769218</v>
      </c>
      <c r="AQ465" s="255">
        <v>44287</v>
      </c>
      <c r="AR465" s="13" t="s">
        <v>2104</v>
      </c>
      <c r="AS465" s="436"/>
      <c r="AT465" s="429"/>
      <c r="AU465" s="241">
        <v>4</v>
      </c>
      <c r="AV465" s="243"/>
      <c r="AW465" s="72" t="s">
        <v>127</v>
      </c>
      <c r="AX465" s="243"/>
      <c r="AY465" s="103">
        <f t="shared" si="201"/>
        <v>0.61224489795918369</v>
      </c>
      <c r="AZ465" s="310"/>
      <c r="BA465" s="13" t="str">
        <f t="shared" si="202"/>
        <v>W22</v>
      </c>
      <c r="BB465" s="72" t="str">
        <f t="shared" si="213"/>
        <v>Clear</v>
      </c>
      <c r="BC465" s="32">
        <f t="shared" si="214"/>
        <v>1.3096000000000001</v>
      </c>
      <c r="BD465" s="241">
        <f t="shared" si="215"/>
        <v>139.57147726846989</v>
      </c>
      <c r="BE465" s="241">
        <f t="shared" si="216"/>
        <v>-16.067833554748916</v>
      </c>
      <c r="BF465" s="71">
        <f t="shared" si="217"/>
        <v>-0.10323762981062919</v>
      </c>
      <c r="BG465" s="241">
        <f t="shared" si="218"/>
        <v>277.44795693025458</v>
      </c>
      <c r="BH465" s="241">
        <f t="shared" si="219"/>
        <v>-31.940534551235089</v>
      </c>
      <c r="BI465" s="71">
        <f t="shared" si="220"/>
        <v>-0.10323762981062937</v>
      </c>
      <c r="BJ465" s="123">
        <v>25.08</v>
      </c>
      <c r="BK465" s="123"/>
      <c r="BL465" s="126"/>
      <c r="BM465" s="130"/>
      <c r="BN465" s="100"/>
      <c r="BO465" s="130"/>
      <c r="BP465" s="130"/>
      <c r="BQ465" s="151"/>
      <c r="BR465" s="150">
        <v>1448</v>
      </c>
      <c r="BS465" s="80"/>
      <c r="BT465" s="22"/>
      <c r="BU465" s="87"/>
      <c r="BV465" s="73"/>
      <c r="BW465" s="109"/>
      <c r="BX465" s="87"/>
      <c r="BY465" s="87"/>
      <c r="BZ465" s="109"/>
      <c r="CA465" s="76"/>
    </row>
    <row r="466" spans="1:79" s="262" customFormat="1">
      <c r="A466" s="13" t="s">
        <v>1810</v>
      </c>
      <c r="B466" s="429" t="s">
        <v>2105</v>
      </c>
      <c r="C466" s="13" t="s">
        <v>127</v>
      </c>
      <c r="D466" s="13" t="s">
        <v>127</v>
      </c>
      <c r="E466" s="13" t="s">
        <v>127</v>
      </c>
      <c r="F466" s="13" t="s">
        <v>167</v>
      </c>
      <c r="G466" s="13" t="s">
        <v>2106</v>
      </c>
      <c r="H466" s="13" t="s">
        <v>389</v>
      </c>
      <c r="I466" s="13" t="s">
        <v>2077</v>
      </c>
      <c r="J466" s="13" t="s">
        <v>5</v>
      </c>
      <c r="K466" s="13" t="s">
        <v>140</v>
      </c>
      <c r="L466" s="13" t="s">
        <v>2107</v>
      </c>
      <c r="M466" s="13"/>
      <c r="N466" s="13" t="s">
        <v>142</v>
      </c>
      <c r="O466" s="247">
        <v>0.45</v>
      </c>
      <c r="P466" s="13">
        <v>98</v>
      </c>
      <c r="Q466" s="13"/>
      <c r="R466" s="13" t="s">
        <v>127</v>
      </c>
      <c r="S466" s="430" t="str">
        <f t="shared" si="221"/>
        <v>N/A</v>
      </c>
      <c r="T466" s="247"/>
      <c r="U466" s="13"/>
      <c r="V466" s="13"/>
      <c r="W466" s="430">
        <f t="shared" si="211"/>
        <v>0</v>
      </c>
      <c r="X466" s="430">
        <f t="shared" si="212"/>
        <v>980</v>
      </c>
      <c r="Y466" s="13"/>
      <c r="Z466" s="13"/>
      <c r="AA466" s="430">
        <f t="shared" si="222"/>
        <v>0</v>
      </c>
      <c r="AB466" s="430">
        <f t="shared" si="223"/>
        <v>980</v>
      </c>
      <c r="AC466" s="430" t="str">
        <f t="shared" si="224"/>
        <v>N/A</v>
      </c>
      <c r="AD466" s="430">
        <f t="shared" si="225"/>
        <v>98</v>
      </c>
      <c r="AE466" s="431">
        <f t="shared" si="226"/>
        <v>0.44100000000000006</v>
      </c>
      <c r="AF466" s="431"/>
      <c r="AG466" s="431">
        <f t="shared" si="227"/>
        <v>0.22050000000000003</v>
      </c>
      <c r="AH466" s="431">
        <f t="shared" si="228"/>
        <v>0.23483250000000003</v>
      </c>
      <c r="AI466" s="432">
        <f t="shared" si="229"/>
        <v>29.435535000000002</v>
      </c>
      <c r="AJ466" s="432">
        <f t="shared" si="230"/>
        <v>379.06056244865761</v>
      </c>
      <c r="AK466" s="432">
        <f t="shared" si="231"/>
        <v>414.47348442355587</v>
      </c>
      <c r="AL466" s="432">
        <f t="shared" si="232"/>
        <v>823.9134793556949</v>
      </c>
      <c r="AM466" s="250" t="s">
        <v>2108</v>
      </c>
      <c r="AN466" s="432" t="e">
        <f t="shared" si="233"/>
        <v>#VALUE!</v>
      </c>
      <c r="AO466" s="432" t="e">
        <f t="shared" si="234"/>
        <v>#VALUE!</v>
      </c>
      <c r="AP466" s="432" t="e">
        <f t="shared" si="235"/>
        <v>#VALUE!</v>
      </c>
      <c r="AQ466" s="255">
        <v>43313</v>
      </c>
      <c r="AR466" s="255" t="s">
        <v>238</v>
      </c>
      <c r="AS466" s="434"/>
      <c r="AT466" s="429" t="s">
        <v>2109</v>
      </c>
      <c r="AU466" s="241"/>
      <c r="AV466" s="243"/>
      <c r="AW466" s="72" t="s">
        <v>127</v>
      </c>
      <c r="AX466" s="243"/>
      <c r="AY466" s="103"/>
      <c r="AZ466" s="72"/>
      <c r="BA466" s="13" t="str">
        <f t="shared" si="202"/>
        <v>W50</v>
      </c>
      <c r="BB466" s="72" t="str">
        <f t="shared" si="213"/>
        <v>Clear</v>
      </c>
      <c r="BC466" s="32" t="str">
        <f t="shared" si="214"/>
        <v/>
      </c>
      <c r="BD466" s="241" t="str">
        <f t="shared" si="215"/>
        <v/>
      </c>
      <c r="BE466" s="241" t="str">
        <f t="shared" si="216"/>
        <v/>
      </c>
      <c r="BF466" s="71" t="str">
        <f t="shared" si="217"/>
        <v/>
      </c>
      <c r="BG466" s="241" t="str">
        <f t="shared" si="218"/>
        <v/>
      </c>
      <c r="BH466" s="241" t="str">
        <f t="shared" si="219"/>
        <v/>
      </c>
      <c r="BI466" s="71" t="str">
        <f t="shared" si="220"/>
        <v/>
      </c>
      <c r="BJ466" s="111"/>
      <c r="BK466" s="83"/>
      <c r="BL466" s="83"/>
      <c r="BM466" s="83"/>
      <c r="BN466" s="71"/>
      <c r="BO466" s="103"/>
      <c r="BP466" s="103"/>
      <c r="BQ466" s="124"/>
      <c r="BR466" s="124"/>
      <c r="BS466" s="71"/>
      <c r="BT466" s="72"/>
      <c r="BU466" s="78"/>
      <c r="BV466" s="32"/>
      <c r="BW466" s="127"/>
      <c r="BX466" s="78"/>
      <c r="BY466" s="78"/>
      <c r="BZ466" s="127"/>
      <c r="CA466" s="76"/>
    </row>
    <row r="467" spans="1:79" s="22" customFormat="1">
      <c r="A467" s="13" t="s">
        <v>2110</v>
      </c>
      <c r="B467" s="387" t="s">
        <v>2111</v>
      </c>
      <c r="C467" s="13" t="s">
        <v>132</v>
      </c>
      <c r="D467" s="13" t="s">
        <v>132</v>
      </c>
      <c r="E467" s="13" t="s">
        <v>118</v>
      </c>
      <c r="F467" s="13" t="s">
        <v>167</v>
      </c>
      <c r="G467" s="13" t="s">
        <v>2112</v>
      </c>
      <c r="H467" s="13" t="s">
        <v>119</v>
      </c>
      <c r="I467" s="13" t="s">
        <v>147</v>
      </c>
      <c r="J467" s="13" t="s">
        <v>5</v>
      </c>
      <c r="K467" s="13" t="s">
        <v>140</v>
      </c>
      <c r="L467" s="13" t="s">
        <v>127</v>
      </c>
      <c r="M467" s="13"/>
      <c r="N467" s="13" t="s">
        <v>142</v>
      </c>
      <c r="O467" s="247">
        <v>0.22</v>
      </c>
      <c r="P467" s="438">
        <v>183</v>
      </c>
      <c r="Q467" s="13">
        <v>60</v>
      </c>
      <c r="R467" s="13" t="s">
        <v>127</v>
      </c>
      <c r="S467" s="430" t="str">
        <f t="shared" si="221"/>
        <v>N/A</v>
      </c>
      <c r="T467" s="247">
        <v>0.38</v>
      </c>
      <c r="U467" s="13">
        <v>240</v>
      </c>
      <c r="V467" s="13">
        <v>740</v>
      </c>
      <c r="W467" s="430">
        <f t="shared" si="211"/>
        <v>500</v>
      </c>
      <c r="X467" s="430">
        <f t="shared" si="212"/>
        <v>490</v>
      </c>
      <c r="Y467" s="13">
        <v>240</v>
      </c>
      <c r="Z467" s="13">
        <v>740</v>
      </c>
      <c r="AA467" s="430">
        <f t="shared" si="222"/>
        <v>500</v>
      </c>
      <c r="AB467" s="430">
        <f t="shared" si="223"/>
        <v>490</v>
      </c>
      <c r="AC467" s="430" t="str">
        <f t="shared" si="224"/>
        <v>N/A</v>
      </c>
      <c r="AD467" s="430">
        <f t="shared" si="225"/>
        <v>123</v>
      </c>
      <c r="AE467" s="431">
        <f t="shared" si="226"/>
        <v>0.65060000000000007</v>
      </c>
      <c r="AF467" s="431"/>
      <c r="AG467" s="431">
        <f t="shared" si="227"/>
        <v>0.55966065573770496</v>
      </c>
      <c r="AH467" s="431">
        <f t="shared" si="228"/>
        <v>0.59603859836065576</v>
      </c>
      <c r="AI467" s="432">
        <f t="shared" si="229"/>
        <v>419.09070600000001</v>
      </c>
      <c r="AJ467" s="432">
        <f t="shared" si="230"/>
        <v>256.94083621250849</v>
      </c>
      <c r="AK467" s="432">
        <f t="shared" si="231"/>
        <v>280.94498406207833</v>
      </c>
      <c r="AL467" s="432">
        <f t="shared" si="232"/>
        <v>558.47808852730009</v>
      </c>
      <c r="AM467" s="250">
        <v>281</v>
      </c>
      <c r="AN467" s="432">
        <f t="shared" si="233"/>
        <v>514.23</v>
      </c>
      <c r="AO467" s="432">
        <f t="shared" si="234"/>
        <v>306.50092843500005</v>
      </c>
      <c r="AP467" s="432">
        <f t="shared" si="235"/>
        <v>510.83488072500012</v>
      </c>
      <c r="AQ467" s="255" t="s">
        <v>170</v>
      </c>
      <c r="AR467" s="18" t="s">
        <v>2113</v>
      </c>
      <c r="AS467" s="433"/>
      <c r="AT467" s="429" t="s">
        <v>2114</v>
      </c>
      <c r="AU467" s="241"/>
      <c r="AV467" s="243"/>
      <c r="AW467" s="72"/>
      <c r="AX467" s="243"/>
      <c r="AY467" s="103">
        <f t="shared" ref="AY467:AY480" si="236">(V467/10)/P467</f>
        <v>0.40437158469945356</v>
      </c>
      <c r="AZ467" s="72"/>
      <c r="BA467" s="13" t="str">
        <f t="shared" si="202"/>
        <v>W50</v>
      </c>
      <c r="BB467" s="72"/>
      <c r="BC467" s="32"/>
      <c r="BD467" s="241"/>
      <c r="BE467" s="241"/>
      <c r="BF467" s="71"/>
      <c r="BG467" s="241"/>
      <c r="BH467" s="241"/>
      <c r="BI467" s="71"/>
      <c r="BJ467" s="123"/>
      <c r="BK467" s="123"/>
      <c r="BL467" s="126"/>
      <c r="BM467" s="108"/>
      <c r="BN467" s="123"/>
      <c r="BO467" s="108"/>
      <c r="BP467" s="123"/>
      <c r="BQ467" s="115"/>
      <c r="BR467" s="113"/>
      <c r="BS467" s="80"/>
      <c r="BU467" s="87"/>
      <c r="BV467" s="73"/>
      <c r="BW467" s="109"/>
      <c r="BX467" s="87"/>
      <c r="BY467" s="87"/>
      <c r="BZ467" s="109"/>
      <c r="CA467" s="76"/>
    </row>
    <row r="468" spans="1:79" s="22" customFormat="1" ht="15" customHeight="1">
      <c r="A468" s="13" t="s">
        <v>2110</v>
      </c>
      <c r="B468" s="387" t="s">
        <v>2111</v>
      </c>
      <c r="C468" s="13" t="s">
        <v>132</v>
      </c>
      <c r="D468" s="13" t="s">
        <v>132</v>
      </c>
      <c r="E468" s="13"/>
      <c r="F468" s="13" t="s">
        <v>167</v>
      </c>
      <c r="G468" s="13" t="s">
        <v>2115</v>
      </c>
      <c r="H468" s="13" t="s">
        <v>146</v>
      </c>
      <c r="I468" s="13" t="s">
        <v>147</v>
      </c>
      <c r="J468" s="13" t="s">
        <v>5</v>
      </c>
      <c r="K468" s="13" t="s">
        <v>123</v>
      </c>
      <c r="L468" s="429" t="s">
        <v>2116</v>
      </c>
      <c r="M468" s="13" t="s">
        <v>125</v>
      </c>
      <c r="N468" s="13" t="s">
        <v>12</v>
      </c>
      <c r="O468" s="247">
        <v>0.72</v>
      </c>
      <c r="P468" s="13">
        <v>118</v>
      </c>
      <c r="Q468" s="13">
        <v>30</v>
      </c>
      <c r="R468" s="13" t="s">
        <v>127</v>
      </c>
      <c r="S468" s="430" t="str">
        <f t="shared" si="221"/>
        <v>N/A</v>
      </c>
      <c r="T468" s="247">
        <v>0.8</v>
      </c>
      <c r="U468" s="13">
        <v>240</v>
      </c>
      <c r="V468" s="13">
        <v>630</v>
      </c>
      <c r="W468" s="430">
        <f t="shared" si="211"/>
        <v>390</v>
      </c>
      <c r="X468" s="430">
        <f t="shared" si="212"/>
        <v>250</v>
      </c>
      <c r="Y468" s="13">
        <v>240</v>
      </c>
      <c r="Z468" s="13">
        <v>640</v>
      </c>
      <c r="AA468" s="430">
        <f t="shared" si="222"/>
        <v>400</v>
      </c>
      <c r="AB468" s="430">
        <f t="shared" si="223"/>
        <v>240</v>
      </c>
      <c r="AC468" s="430" t="str">
        <f t="shared" si="224"/>
        <v>N/A</v>
      </c>
      <c r="AD468" s="430">
        <f t="shared" si="225"/>
        <v>88</v>
      </c>
      <c r="AE468" s="431">
        <f t="shared" si="226"/>
        <v>1.4336</v>
      </c>
      <c r="AF468" s="431"/>
      <c r="AG468" s="431">
        <f t="shared" si="227"/>
        <v>1.1973423728813561</v>
      </c>
      <c r="AH468" s="431">
        <f t="shared" si="228"/>
        <v>1.2691829152542375</v>
      </c>
      <c r="AI468" s="432">
        <f t="shared" si="229"/>
        <v>894.87574400000005</v>
      </c>
      <c r="AJ468" s="432">
        <f t="shared" si="230"/>
        <v>116.60554411262419</v>
      </c>
      <c r="AK468" s="432">
        <f t="shared" si="231"/>
        <v>127.49916757169935</v>
      </c>
      <c r="AL468" s="432">
        <f t="shared" si="232"/>
        <v>253.44994726273819</v>
      </c>
      <c r="AM468" s="250">
        <v>253</v>
      </c>
      <c r="AN468" s="432">
        <f t="shared" si="233"/>
        <v>298.54000000000002</v>
      </c>
      <c r="AO468" s="432">
        <f t="shared" si="234"/>
        <v>378.90186752000011</v>
      </c>
      <c r="AP468" s="432">
        <f t="shared" si="235"/>
        <v>1263.0062250666672</v>
      </c>
      <c r="AQ468" s="255" t="s">
        <v>170</v>
      </c>
      <c r="AR468" s="13" t="s">
        <v>2117</v>
      </c>
      <c r="AS468" s="433" t="s">
        <v>2118</v>
      </c>
      <c r="AT468" s="429" t="s">
        <v>2119</v>
      </c>
      <c r="AU468" s="241"/>
      <c r="AV468" s="243"/>
      <c r="AW468" s="72"/>
      <c r="AX468" s="243"/>
      <c r="AY468" s="103">
        <f t="shared" si="236"/>
        <v>0.53389830508474578</v>
      </c>
      <c r="AZ468" s="72"/>
      <c r="BA468" s="13" t="str">
        <f t="shared" si="202"/>
        <v>W22</v>
      </c>
      <c r="BB468" s="72"/>
      <c r="BC468" s="32"/>
      <c r="BD468" s="241"/>
      <c r="BE468" s="241"/>
      <c r="BF468" s="71"/>
      <c r="BG468" s="241"/>
      <c r="BH468" s="241"/>
      <c r="BI468" s="71"/>
      <c r="BJ468" s="123"/>
      <c r="BK468" s="123"/>
      <c r="BL468" s="126"/>
      <c r="BM468" s="108"/>
      <c r="BN468" s="123"/>
      <c r="BO468" s="108"/>
      <c r="BP468" s="123"/>
      <c r="BQ468" s="141"/>
      <c r="BR468" s="71"/>
      <c r="BS468" s="71"/>
      <c r="BT468" s="13">
        <f>P468-V468/10-120/10</f>
        <v>43</v>
      </c>
      <c r="BU468" s="79">
        <f>BT468-Q468</f>
        <v>13</v>
      </c>
      <c r="BV468" s="29">
        <f>T468+(O468/100*(P468-BT468))</f>
        <v>1.34</v>
      </c>
      <c r="BW468" s="86">
        <f>(AE468-BV468)/AE468</f>
        <v>6.5290178571428506E-2</v>
      </c>
      <c r="BX468" s="79">
        <f>(PI()*((51/2)^2-(16.545/2)^2)/(BV468/10))/100</f>
        <v>136.40507957521504</v>
      </c>
      <c r="BY468" s="79">
        <f>BX468-AK468</f>
        <v>8.9059120035156951</v>
      </c>
      <c r="BZ468" s="86">
        <f>BY468/AK468</f>
        <v>6.9850746268656561E-2</v>
      </c>
      <c r="CA468" s="76"/>
    </row>
    <row r="469" spans="1:79" s="22" customFormat="1" ht="15" customHeight="1">
      <c r="A469" s="13" t="s">
        <v>2110</v>
      </c>
      <c r="B469" s="387" t="s">
        <v>2111</v>
      </c>
      <c r="C469" s="13" t="s">
        <v>151</v>
      </c>
      <c r="D469" s="13" t="s">
        <v>2120</v>
      </c>
      <c r="E469" s="13" t="s">
        <v>118</v>
      </c>
      <c r="F469" s="13" t="s">
        <v>119</v>
      </c>
      <c r="G469" s="13" t="s">
        <v>2121</v>
      </c>
      <c r="H469" s="13" t="s">
        <v>146</v>
      </c>
      <c r="I469" s="13" t="s">
        <v>147</v>
      </c>
      <c r="J469" s="13" t="s">
        <v>5</v>
      </c>
      <c r="K469" s="13" t="s">
        <v>123</v>
      </c>
      <c r="L469" s="13" t="s">
        <v>2122</v>
      </c>
      <c r="M469" s="13" t="s">
        <v>125</v>
      </c>
      <c r="N469" s="13" t="s">
        <v>12</v>
      </c>
      <c r="O469" s="247">
        <v>0.44</v>
      </c>
      <c r="P469" s="13">
        <v>92</v>
      </c>
      <c r="Q469" s="13">
        <v>22</v>
      </c>
      <c r="R469" s="13" t="s">
        <v>127</v>
      </c>
      <c r="S469" s="430" t="str">
        <f t="shared" si="221"/>
        <v>N/A</v>
      </c>
      <c r="T469" s="247">
        <v>0.8</v>
      </c>
      <c r="U469" s="13">
        <v>220</v>
      </c>
      <c r="V469" s="13">
        <v>570</v>
      </c>
      <c r="W469" s="430">
        <f t="shared" si="211"/>
        <v>350</v>
      </c>
      <c r="X469" s="430">
        <f t="shared" si="212"/>
        <v>130</v>
      </c>
      <c r="Y469" s="13">
        <v>200</v>
      </c>
      <c r="Z469" s="13">
        <v>600</v>
      </c>
      <c r="AA469" s="430">
        <f t="shared" si="222"/>
        <v>400</v>
      </c>
      <c r="AB469" s="430">
        <f t="shared" si="223"/>
        <v>100</v>
      </c>
      <c r="AC469" s="430" t="str">
        <f t="shared" si="224"/>
        <v>N/A</v>
      </c>
      <c r="AD469" s="430">
        <f t="shared" si="225"/>
        <v>70</v>
      </c>
      <c r="AE469" s="431">
        <f t="shared" si="226"/>
        <v>1.1080000000000001</v>
      </c>
      <c r="AF469" s="431"/>
      <c r="AG469" s="431">
        <f t="shared" si="227"/>
        <v>0.99082608695652186</v>
      </c>
      <c r="AH469" s="431">
        <f t="shared" si="228"/>
        <v>1.0502756521739132</v>
      </c>
      <c r="AI469" s="432">
        <f t="shared" si="229"/>
        <v>876.64628800000003</v>
      </c>
      <c r="AJ469" s="432">
        <f t="shared" si="230"/>
        <v>150.87157765330147</v>
      </c>
      <c r="AK469" s="432">
        <f t="shared" si="231"/>
        <v>164.96643197724563</v>
      </c>
      <c r="AL469" s="432">
        <f t="shared" si="232"/>
        <v>327.92946245113848</v>
      </c>
      <c r="AM469" s="250">
        <v>163</v>
      </c>
      <c r="AN469" s="432">
        <f t="shared" si="233"/>
        <v>149.96</v>
      </c>
      <c r="AO469" s="432">
        <f t="shared" si="234"/>
        <v>157.49933680000004</v>
      </c>
      <c r="AP469" s="432">
        <f t="shared" si="235"/>
        <v>715.90607636363654</v>
      </c>
      <c r="AQ469" s="255">
        <v>45444</v>
      </c>
      <c r="AR469" s="13" t="s">
        <v>2123</v>
      </c>
      <c r="AS469" s="433" t="s">
        <v>2124</v>
      </c>
      <c r="AT469" s="429"/>
      <c r="AU469" s="250"/>
      <c r="AV469" s="255"/>
      <c r="AW469" s="13"/>
      <c r="AX469" s="255"/>
      <c r="AY469" s="103">
        <f t="shared" si="236"/>
        <v>0.61956521739130432</v>
      </c>
      <c r="BA469" s="13"/>
      <c r="BB469" s="72"/>
      <c r="BC469" s="73"/>
      <c r="BD469" s="252"/>
      <c r="BE469" s="252"/>
      <c r="BF469" s="80"/>
      <c r="BG469" s="252"/>
      <c r="BH469" s="252"/>
      <c r="BI469" s="80"/>
      <c r="BJ469" s="114"/>
      <c r="BK469" s="114"/>
      <c r="BL469" s="128"/>
      <c r="BM469" s="88"/>
      <c r="BN469" s="114"/>
      <c r="BO469" s="88"/>
      <c r="BP469" s="114"/>
      <c r="BQ469" s="115"/>
      <c r="BR469" s="113">
        <v>1896</v>
      </c>
      <c r="BS469" s="80"/>
      <c r="BU469" s="87"/>
      <c r="BV469" s="73"/>
      <c r="BW469" s="109"/>
      <c r="BX469" s="87"/>
      <c r="BY469" s="87"/>
      <c r="BZ469" s="109"/>
      <c r="CA469" s="76"/>
    </row>
    <row r="470" spans="1:79" s="72" customFormat="1">
      <c r="A470" s="13" t="s">
        <v>2110</v>
      </c>
      <c r="B470" s="387" t="s">
        <v>2111</v>
      </c>
      <c r="C470" s="13" t="s">
        <v>151</v>
      </c>
      <c r="D470" s="13" t="s">
        <v>2120</v>
      </c>
      <c r="E470" s="13" t="s">
        <v>118</v>
      </c>
      <c r="F470" s="13" t="s">
        <v>119</v>
      </c>
      <c r="G470" s="13" t="s">
        <v>2125</v>
      </c>
      <c r="H470" s="13" t="s">
        <v>146</v>
      </c>
      <c r="I470" s="13" t="s">
        <v>147</v>
      </c>
      <c r="J470" s="13" t="s">
        <v>5</v>
      </c>
      <c r="K470" s="13" t="s">
        <v>123</v>
      </c>
      <c r="L470" s="13" t="s">
        <v>2126</v>
      </c>
      <c r="M470" s="13" t="s">
        <v>125</v>
      </c>
      <c r="N470" s="13" t="s">
        <v>12</v>
      </c>
      <c r="O470" s="247">
        <v>0.5</v>
      </c>
      <c r="P470" s="13">
        <v>87</v>
      </c>
      <c r="Q470" s="13">
        <v>17</v>
      </c>
      <c r="R470" s="13" t="s">
        <v>127</v>
      </c>
      <c r="S470" s="430" t="str">
        <f t="shared" si="221"/>
        <v>N/A</v>
      </c>
      <c r="T470" s="247">
        <v>0.8</v>
      </c>
      <c r="U470" s="13">
        <v>220</v>
      </c>
      <c r="V470" s="13">
        <v>570</v>
      </c>
      <c r="W470" s="430">
        <f t="shared" si="211"/>
        <v>350</v>
      </c>
      <c r="X470" s="430">
        <f t="shared" si="212"/>
        <v>130</v>
      </c>
      <c r="Y470" s="13">
        <v>200</v>
      </c>
      <c r="Z470" s="13">
        <v>600</v>
      </c>
      <c r="AA470" s="430">
        <f t="shared" si="222"/>
        <v>400</v>
      </c>
      <c r="AB470" s="430">
        <f t="shared" si="223"/>
        <v>100</v>
      </c>
      <c r="AC470" s="430" t="str">
        <f t="shared" si="224"/>
        <v>N/A</v>
      </c>
      <c r="AD470" s="430">
        <f t="shared" si="225"/>
        <v>70</v>
      </c>
      <c r="AE470" s="431">
        <f t="shared" si="226"/>
        <v>1.1500000000000001</v>
      </c>
      <c r="AF470" s="431"/>
      <c r="AG470" s="431">
        <f t="shared" si="227"/>
        <v>1.0091954022988505</v>
      </c>
      <c r="AH470" s="431">
        <f t="shared" si="228"/>
        <v>1.0697471264367815</v>
      </c>
      <c r="AI470" s="432">
        <f t="shared" si="229"/>
        <v>880.5526000000001</v>
      </c>
      <c r="AJ470" s="432">
        <f t="shared" si="230"/>
        <v>145.36148525205044</v>
      </c>
      <c r="AK470" s="432">
        <f t="shared" si="231"/>
        <v>158.94157098329404</v>
      </c>
      <c r="AL470" s="432">
        <f t="shared" si="232"/>
        <v>315.95290817031423</v>
      </c>
      <c r="AM470" s="250">
        <v>157</v>
      </c>
      <c r="AN470" s="432">
        <f t="shared" si="233"/>
        <v>136.59</v>
      </c>
      <c r="AO470" s="432">
        <f t="shared" si="234"/>
        <v>146.11676</v>
      </c>
      <c r="AP470" s="432">
        <f t="shared" si="235"/>
        <v>859.51035294117639</v>
      </c>
      <c r="AQ470" s="255">
        <v>45444</v>
      </c>
      <c r="AR470" s="13" t="s">
        <v>2123</v>
      </c>
      <c r="AS470" s="433" t="s">
        <v>2127</v>
      </c>
      <c r="AT470" s="429"/>
      <c r="AU470" s="250"/>
      <c r="AV470" s="255"/>
      <c r="AW470" s="13"/>
      <c r="AX470" s="255"/>
      <c r="AY470" s="103">
        <f t="shared" si="236"/>
        <v>0.65517241379310343</v>
      </c>
      <c r="AZ470" s="22"/>
      <c r="BA470" s="13" t="str">
        <f t="shared" ref="BA470:BA480" si="237">LEFT(G470,3)</f>
        <v>W22</v>
      </c>
      <c r="BC470" s="73"/>
      <c r="BD470" s="252"/>
      <c r="BE470" s="252"/>
      <c r="BF470" s="80"/>
      <c r="BG470" s="252"/>
      <c r="BH470" s="252"/>
      <c r="BI470" s="80"/>
      <c r="BJ470" s="114"/>
      <c r="BK470" s="114"/>
      <c r="BL470" s="128"/>
      <c r="BM470" s="88"/>
      <c r="BN470" s="114"/>
      <c r="BO470" s="88"/>
      <c r="BP470" s="114"/>
      <c r="BQ470" s="123"/>
      <c r="BR470" s="167"/>
      <c r="BS470" s="167"/>
      <c r="BT470" s="72">
        <f>P470-V470/10-120/10</f>
        <v>18</v>
      </c>
      <c r="BU470" s="78">
        <f>BT470-Q470</f>
        <v>1</v>
      </c>
      <c r="BV470" s="32">
        <f>T470+(O470/100*(P470-BT470))</f>
        <v>1.145</v>
      </c>
      <c r="BW470" s="127"/>
      <c r="BX470" s="78">
        <f>(PI()*((51/2)^2-(16.545/2)^2)/(BV470/10))/100</f>
        <v>159.6356389788543</v>
      </c>
      <c r="BY470" s="78"/>
      <c r="BZ470" s="127"/>
      <c r="CA470" s="76"/>
    </row>
    <row r="471" spans="1:79" s="72" customFormat="1" ht="15" customHeight="1">
      <c r="A471" s="13" t="s">
        <v>2110</v>
      </c>
      <c r="B471" s="387" t="s">
        <v>2111</v>
      </c>
      <c r="C471" s="13" t="s">
        <v>151</v>
      </c>
      <c r="D471" s="429" t="s">
        <v>2128</v>
      </c>
      <c r="E471" s="387" t="s">
        <v>118</v>
      </c>
      <c r="F471" s="13" t="s">
        <v>119</v>
      </c>
      <c r="G471" s="13" t="s">
        <v>2129</v>
      </c>
      <c r="H471" s="13" t="s">
        <v>146</v>
      </c>
      <c r="I471" s="13" t="s">
        <v>147</v>
      </c>
      <c r="J471" s="13" t="s">
        <v>5</v>
      </c>
      <c r="K471" s="13" t="s">
        <v>123</v>
      </c>
      <c r="L471" s="13"/>
      <c r="M471" s="13" t="s">
        <v>125</v>
      </c>
      <c r="N471" s="13" t="s">
        <v>251</v>
      </c>
      <c r="O471" s="247">
        <v>0.41</v>
      </c>
      <c r="P471" s="13">
        <v>92</v>
      </c>
      <c r="Q471" s="13">
        <v>22</v>
      </c>
      <c r="R471" s="13" t="s">
        <v>127</v>
      </c>
      <c r="S471" s="430" t="str">
        <f t="shared" si="221"/>
        <v>N/A</v>
      </c>
      <c r="T471" s="247">
        <v>0.8</v>
      </c>
      <c r="U471" s="13">
        <v>210</v>
      </c>
      <c r="V471" s="13">
        <v>560</v>
      </c>
      <c r="W471" s="430">
        <f t="shared" si="211"/>
        <v>350</v>
      </c>
      <c r="X471" s="430">
        <f t="shared" si="212"/>
        <v>140</v>
      </c>
      <c r="Y471" s="13">
        <v>210</v>
      </c>
      <c r="Z471" s="13">
        <v>610</v>
      </c>
      <c r="AA471" s="430">
        <f t="shared" si="222"/>
        <v>400</v>
      </c>
      <c r="AB471" s="430">
        <f t="shared" si="223"/>
        <v>90</v>
      </c>
      <c r="AC471" s="430" t="str">
        <f t="shared" si="224"/>
        <v>N/A</v>
      </c>
      <c r="AD471" s="430">
        <f t="shared" si="225"/>
        <v>70</v>
      </c>
      <c r="AE471" s="431">
        <f t="shared" si="226"/>
        <v>1.087</v>
      </c>
      <c r="AF471" s="431"/>
      <c r="AG471" s="431">
        <f t="shared" si="227"/>
        <v>0.97781521739130439</v>
      </c>
      <c r="AH471" s="431">
        <f t="shared" si="228"/>
        <v>1.0364841304347825</v>
      </c>
      <c r="AI471" s="432">
        <f t="shared" si="229"/>
        <v>874.69313200000011</v>
      </c>
      <c r="AJ471" s="432">
        <f t="shared" si="230"/>
        <v>153.78629994467161</v>
      </c>
      <c r="AK471" s="432">
        <f t="shared" si="231"/>
        <v>168.15345596208667</v>
      </c>
      <c r="AL471" s="432">
        <f t="shared" si="232"/>
        <v>334.2648062519425</v>
      </c>
      <c r="AM471" s="250">
        <v>168</v>
      </c>
      <c r="AN471" s="432">
        <f t="shared" si="233"/>
        <v>154.56</v>
      </c>
      <c r="AO471" s="432">
        <f t="shared" si="234"/>
        <v>160.19898719999998</v>
      </c>
      <c r="AP471" s="432">
        <f t="shared" si="235"/>
        <v>728.17721454545449</v>
      </c>
      <c r="AQ471" s="255" t="s">
        <v>132</v>
      </c>
      <c r="AR471" s="13" t="s">
        <v>2130</v>
      </c>
      <c r="AS471" s="433"/>
      <c r="AT471" s="429"/>
      <c r="AU471" s="250"/>
      <c r="AV471" s="255"/>
      <c r="AW471" s="13"/>
      <c r="AX471" s="255"/>
      <c r="AY471" s="103">
        <f t="shared" si="236"/>
        <v>0.60869565217391308</v>
      </c>
      <c r="AZ471" s="22"/>
      <c r="BA471" s="13" t="str">
        <f t="shared" si="237"/>
        <v>W22</v>
      </c>
      <c r="BC471" s="73"/>
      <c r="BD471" s="252"/>
      <c r="BE471" s="252"/>
      <c r="BF471" s="80"/>
      <c r="BG471" s="252"/>
      <c r="BH471" s="252"/>
      <c r="BI471" s="80"/>
      <c r="BJ471" s="114"/>
      <c r="BK471" s="114"/>
      <c r="BL471" s="128"/>
      <c r="BM471" s="88"/>
      <c r="BN471" s="114"/>
      <c r="BO471" s="88"/>
      <c r="BP471" s="114"/>
      <c r="BQ471" s="124"/>
      <c r="BR471" s="124">
        <v>177</v>
      </c>
      <c r="BS471" s="71"/>
      <c r="BU471" s="78"/>
      <c r="BV471" s="32"/>
      <c r="BW471" s="127"/>
      <c r="BX471" s="78"/>
      <c r="BY471" s="78"/>
      <c r="BZ471" s="127"/>
      <c r="CA471" s="76"/>
    </row>
    <row r="472" spans="1:79" s="72" customFormat="1" ht="15" customHeight="1">
      <c r="A472" s="13" t="s">
        <v>2110</v>
      </c>
      <c r="B472" s="387" t="s">
        <v>2111</v>
      </c>
      <c r="C472" s="13" t="s">
        <v>151</v>
      </c>
      <c r="D472" s="13" t="s">
        <v>2120</v>
      </c>
      <c r="E472" s="387" t="s">
        <v>118</v>
      </c>
      <c r="F472" s="13" t="s">
        <v>119</v>
      </c>
      <c r="G472" s="13" t="s">
        <v>2131</v>
      </c>
      <c r="H472" s="13" t="s">
        <v>146</v>
      </c>
      <c r="I472" s="13" t="s">
        <v>147</v>
      </c>
      <c r="J472" s="13" t="s">
        <v>5</v>
      </c>
      <c r="K472" s="13" t="s">
        <v>123</v>
      </c>
      <c r="L472" s="13"/>
      <c r="M472" s="13" t="s">
        <v>125</v>
      </c>
      <c r="N472" s="13" t="s">
        <v>126</v>
      </c>
      <c r="O472" s="247">
        <v>0.45</v>
      </c>
      <c r="P472" s="13">
        <v>110</v>
      </c>
      <c r="Q472" s="13">
        <v>30</v>
      </c>
      <c r="R472" s="13" t="s">
        <v>127</v>
      </c>
      <c r="S472" s="430" t="str">
        <f t="shared" si="221"/>
        <v>N/A</v>
      </c>
      <c r="T472" s="247">
        <v>0.8</v>
      </c>
      <c r="U472" s="13">
        <v>235</v>
      </c>
      <c r="V472" s="13">
        <v>635</v>
      </c>
      <c r="W472" s="430">
        <f t="shared" si="211"/>
        <v>400</v>
      </c>
      <c r="X472" s="430">
        <f t="shared" si="212"/>
        <v>165</v>
      </c>
      <c r="Y472" s="13">
        <v>235</v>
      </c>
      <c r="Z472" s="13">
        <v>635</v>
      </c>
      <c r="AA472" s="430">
        <f t="shared" si="222"/>
        <v>400</v>
      </c>
      <c r="AB472" s="430">
        <f t="shared" si="223"/>
        <v>165</v>
      </c>
      <c r="AC472" s="430" t="str">
        <f t="shared" si="224"/>
        <v>N/A</v>
      </c>
      <c r="AD472" s="430">
        <f t="shared" si="225"/>
        <v>80</v>
      </c>
      <c r="AE472" s="431">
        <f t="shared" si="226"/>
        <v>1.1600000000000001</v>
      </c>
      <c r="AF472" s="431"/>
      <c r="AG472" s="431">
        <f t="shared" si="227"/>
        <v>1.0290909090909093</v>
      </c>
      <c r="AH472" s="431">
        <f t="shared" si="228"/>
        <v>1.0908363636363638</v>
      </c>
      <c r="AI472" s="432">
        <f t="shared" si="229"/>
        <v>877.29733999999996</v>
      </c>
      <c r="AJ472" s="432">
        <f t="shared" si="230"/>
        <v>144.1083689998776</v>
      </c>
      <c r="AK472" s="432">
        <f t="shared" si="231"/>
        <v>157.57138502654149</v>
      </c>
      <c r="AL472" s="432">
        <f t="shared" si="232"/>
        <v>313.22917620332879</v>
      </c>
      <c r="AM472" s="250">
        <v>158</v>
      </c>
      <c r="AN472" s="432">
        <f t="shared" si="233"/>
        <v>173.8</v>
      </c>
      <c r="AO472" s="432">
        <f t="shared" si="234"/>
        <v>189.58736000000005</v>
      </c>
      <c r="AP472" s="432">
        <f t="shared" si="235"/>
        <v>631.95786666666686</v>
      </c>
      <c r="AQ472" s="255"/>
      <c r="AR472" s="13"/>
      <c r="AS472" s="433"/>
      <c r="AT472" s="429"/>
      <c r="AU472" s="250"/>
      <c r="AV472" s="255"/>
      <c r="AW472" s="13"/>
      <c r="AX472" s="255"/>
      <c r="AY472" s="103"/>
      <c r="AZ472" s="22"/>
      <c r="BA472" s="13"/>
      <c r="BC472" s="73"/>
      <c r="BD472" s="252"/>
      <c r="BE472" s="252"/>
      <c r="BF472" s="80"/>
      <c r="BG472" s="252"/>
      <c r="BH472" s="252"/>
      <c r="BI472" s="80"/>
      <c r="BJ472" s="114"/>
      <c r="BK472" s="114"/>
      <c r="BL472" s="128"/>
      <c r="BM472" s="88"/>
      <c r="BN472" s="114"/>
      <c r="BO472" s="88"/>
      <c r="BP472" s="114"/>
      <c r="BQ472" s="124"/>
      <c r="BR472" s="124"/>
      <c r="BS472" s="71"/>
      <c r="BU472" s="78"/>
      <c r="BV472" s="32"/>
      <c r="BW472" s="127"/>
      <c r="BX472" s="78"/>
      <c r="BY472" s="78"/>
      <c r="BZ472" s="127"/>
      <c r="CA472" s="76"/>
    </row>
    <row r="473" spans="1:79" s="13" customFormat="1">
      <c r="A473" s="13" t="s">
        <v>2110</v>
      </c>
      <c r="B473" s="387" t="s">
        <v>2111</v>
      </c>
      <c r="C473" s="13" t="s">
        <v>2132</v>
      </c>
      <c r="D473" s="429" t="s">
        <v>2133</v>
      </c>
      <c r="E473" s="13" t="s">
        <v>118</v>
      </c>
      <c r="F473" s="13" t="s">
        <v>186</v>
      </c>
      <c r="G473" s="13" t="s">
        <v>2134</v>
      </c>
      <c r="H473" s="13" t="s">
        <v>146</v>
      </c>
      <c r="I473" s="13" t="s">
        <v>147</v>
      </c>
      <c r="J473" s="13" t="s">
        <v>5</v>
      </c>
      <c r="K473" s="13" t="s">
        <v>123</v>
      </c>
      <c r="L473" s="13" t="s">
        <v>2135</v>
      </c>
      <c r="M473" s="13" t="s">
        <v>125</v>
      </c>
      <c r="N473" s="13" t="s">
        <v>12</v>
      </c>
      <c r="O473" s="247">
        <v>0.64</v>
      </c>
      <c r="P473" s="13">
        <v>116</v>
      </c>
      <c r="Q473" s="13">
        <v>30</v>
      </c>
      <c r="R473" s="13" t="s">
        <v>127</v>
      </c>
      <c r="S473" s="430" t="str">
        <f t="shared" si="221"/>
        <v>N/A</v>
      </c>
      <c r="T473" s="247">
        <v>0.8</v>
      </c>
      <c r="U473" s="13">
        <v>240</v>
      </c>
      <c r="V473" s="13">
        <v>630</v>
      </c>
      <c r="W473" s="430">
        <f t="shared" si="211"/>
        <v>390</v>
      </c>
      <c r="X473" s="430">
        <f t="shared" si="212"/>
        <v>230</v>
      </c>
      <c r="Y473" s="13">
        <v>230</v>
      </c>
      <c r="Z473" s="13">
        <f>V473</f>
        <v>630</v>
      </c>
      <c r="AA473" s="430">
        <f t="shared" si="222"/>
        <v>400</v>
      </c>
      <c r="AB473" s="430">
        <f t="shared" si="223"/>
        <v>230</v>
      </c>
      <c r="AC473" s="430" t="str">
        <f t="shared" si="224"/>
        <v>N/A</v>
      </c>
      <c r="AD473" s="430">
        <f t="shared" si="225"/>
        <v>86</v>
      </c>
      <c r="AE473" s="431">
        <f t="shared" si="226"/>
        <v>1.3504</v>
      </c>
      <c r="AF473" s="431"/>
      <c r="AG473" s="431">
        <f t="shared" si="227"/>
        <v>1.1463724137931037</v>
      </c>
      <c r="AH473" s="431">
        <f t="shared" si="228"/>
        <v>1.2151547586206901</v>
      </c>
      <c r="AI473" s="432">
        <f t="shared" si="229"/>
        <v>889.66732800000011</v>
      </c>
      <c r="AJ473" s="432">
        <f t="shared" si="230"/>
        <v>123.78977194894701</v>
      </c>
      <c r="AK473" s="432">
        <f t="shared" si="231"/>
        <v>135.35456652161446</v>
      </c>
      <c r="AL473" s="432">
        <f t="shared" si="232"/>
        <v>269.06534685712495</v>
      </c>
      <c r="AM473" s="250">
        <v>269</v>
      </c>
      <c r="AN473" s="432">
        <f t="shared" si="233"/>
        <v>312.04000000000002</v>
      </c>
      <c r="AO473" s="432">
        <f t="shared" si="234"/>
        <v>379.17689088000014</v>
      </c>
      <c r="AP473" s="432">
        <f t="shared" si="235"/>
        <v>1263.9229696000004</v>
      </c>
      <c r="AQ473" s="255">
        <v>44075</v>
      </c>
      <c r="AR473" s="255" t="s">
        <v>2136</v>
      </c>
      <c r="AS473" s="429" t="s">
        <v>2137</v>
      </c>
      <c r="AT473" s="429"/>
      <c r="AU473" s="249" t="s">
        <v>2138</v>
      </c>
      <c r="AV473" s="254" t="s">
        <v>405</v>
      </c>
      <c r="AW473" s="38" t="s">
        <v>127</v>
      </c>
      <c r="AX473" s="254"/>
      <c r="AY473" s="103">
        <f t="shared" si="236"/>
        <v>0.5431034482758621</v>
      </c>
      <c r="AZ473" s="38">
        <v>50</v>
      </c>
      <c r="BA473" s="13" t="str">
        <f t="shared" si="237"/>
        <v>W22</v>
      </c>
      <c r="BB473" s="72" t="str">
        <f t="shared" ref="BB473:BB480" si="238">IF(R473="n/a","Clear","S/B")</f>
        <v>Clear</v>
      </c>
      <c r="BC473" s="264">
        <f>IF(Q473="","",((P473/100*O473)+T473))</f>
        <v>1.5424</v>
      </c>
      <c r="BD473" s="253">
        <f>IF(BC473="","",((PI()*((51/2)^2-(16.545/2)^2)/(BC473/10))/100))</f>
        <v>118.50545035709814</v>
      </c>
      <c r="BE473" s="253">
        <f>IF(BC473="","",(BD473-AK473))</f>
        <v>-16.849116164516317</v>
      </c>
      <c r="BF473" s="100">
        <f>IF(BC473="","",(BE473/AK473))</f>
        <v>-0.12448132780082984</v>
      </c>
      <c r="BG473" s="253">
        <f>IF(BF473="","",((PI()*((70/2)^2-(16.545/2)^2)/(BC473/10))/100))</f>
        <v>235.57173521515918</v>
      </c>
      <c r="BH473" s="253">
        <f>IF(BF473="","",(BG473-AL473))</f>
        <v>-33.493611641965771</v>
      </c>
      <c r="BI473" s="100">
        <f>IF(BG473="","",(BH473/AL473))</f>
        <v>-0.12448132780082991</v>
      </c>
      <c r="BJ473" s="114">
        <v>20.54</v>
      </c>
      <c r="BK473" s="111">
        <v>20.75</v>
      </c>
      <c r="BL473" s="312">
        <f>AH473</f>
        <v>1.2151547586206901</v>
      </c>
      <c r="BM473" s="83">
        <f>BK473/AH473</f>
        <v>17.076014271262959</v>
      </c>
      <c r="BN473" s="123">
        <f>BK473-BM473</f>
        <v>3.6739857287370405</v>
      </c>
      <c r="BO473" s="83">
        <v>16.46</v>
      </c>
      <c r="BP473" s="111">
        <f>BO473-BM473</f>
        <v>-0.6160142712629586</v>
      </c>
      <c r="BQ473" s="115"/>
      <c r="BR473" s="113"/>
      <c r="BS473" s="80"/>
      <c r="BT473" s="22"/>
      <c r="BU473" s="87"/>
      <c r="BV473" s="73"/>
      <c r="BW473" s="109"/>
      <c r="BX473" s="87"/>
      <c r="BY473" s="87"/>
      <c r="BZ473" s="109"/>
      <c r="CA473" s="76"/>
    </row>
    <row r="474" spans="1:79" s="262" customFormat="1">
      <c r="A474" s="13" t="s">
        <v>2110</v>
      </c>
      <c r="B474" s="387" t="s">
        <v>2111</v>
      </c>
      <c r="C474" s="13" t="s">
        <v>2132</v>
      </c>
      <c r="D474" s="429" t="s">
        <v>2133</v>
      </c>
      <c r="E474" s="13" t="s">
        <v>118</v>
      </c>
      <c r="F474" s="13" t="s">
        <v>167</v>
      </c>
      <c r="G474" s="13" t="s">
        <v>2139</v>
      </c>
      <c r="H474" s="13" t="s">
        <v>146</v>
      </c>
      <c r="I474" s="13" t="s">
        <v>147</v>
      </c>
      <c r="J474" s="13" t="s">
        <v>5</v>
      </c>
      <c r="K474" s="13" t="s">
        <v>123</v>
      </c>
      <c r="L474" s="13" t="s">
        <v>2140</v>
      </c>
      <c r="M474" s="13" t="s">
        <v>125</v>
      </c>
      <c r="N474" s="13" t="s">
        <v>12</v>
      </c>
      <c r="O474" s="247">
        <v>0.67</v>
      </c>
      <c r="P474" s="13">
        <v>116</v>
      </c>
      <c r="Q474" s="13">
        <v>30</v>
      </c>
      <c r="R474" s="13" t="s">
        <v>127</v>
      </c>
      <c r="S474" s="430" t="str">
        <f t="shared" si="221"/>
        <v>N/A</v>
      </c>
      <c r="T474" s="247">
        <v>0.8</v>
      </c>
      <c r="U474" s="13">
        <v>240</v>
      </c>
      <c r="V474" s="13">
        <v>630</v>
      </c>
      <c r="W474" s="430">
        <f t="shared" si="211"/>
        <v>390</v>
      </c>
      <c r="X474" s="430">
        <f t="shared" si="212"/>
        <v>230</v>
      </c>
      <c r="Y474" s="13">
        <v>230</v>
      </c>
      <c r="Z474" s="13">
        <v>630</v>
      </c>
      <c r="AA474" s="430">
        <f t="shared" si="222"/>
        <v>400</v>
      </c>
      <c r="AB474" s="430">
        <f t="shared" si="223"/>
        <v>230</v>
      </c>
      <c r="AC474" s="430" t="str">
        <f t="shared" si="224"/>
        <v>N/A</v>
      </c>
      <c r="AD474" s="430">
        <f t="shared" si="225"/>
        <v>86</v>
      </c>
      <c r="AE474" s="431">
        <f t="shared" si="226"/>
        <v>1.3762000000000001</v>
      </c>
      <c r="AF474" s="431"/>
      <c r="AG474" s="431">
        <f t="shared" si="227"/>
        <v>1.1626086206896551</v>
      </c>
      <c r="AH474" s="431">
        <f t="shared" si="228"/>
        <v>1.2323651379310345</v>
      </c>
      <c r="AI474" s="432">
        <f t="shared" si="229"/>
        <v>891.62048400000003</v>
      </c>
      <c r="AJ474" s="432">
        <f t="shared" si="230"/>
        <v>121.46905103898999</v>
      </c>
      <c r="AK474" s="432">
        <f t="shared" si="231"/>
        <v>132.81703722626665</v>
      </c>
      <c r="AL474" s="432">
        <f t="shared" si="232"/>
        <v>264.02110477827455</v>
      </c>
      <c r="AM474" s="250">
        <v>133</v>
      </c>
      <c r="AN474" s="432">
        <f t="shared" si="233"/>
        <v>154.28</v>
      </c>
      <c r="AO474" s="432">
        <f t="shared" si="234"/>
        <v>190.12929348</v>
      </c>
      <c r="AP474" s="432">
        <f t="shared" si="235"/>
        <v>633.76431160000004</v>
      </c>
      <c r="AQ474" s="255">
        <v>44713</v>
      </c>
      <c r="AR474" s="13" t="s">
        <v>2141</v>
      </c>
      <c r="AS474" s="436" t="s">
        <v>2142</v>
      </c>
      <c r="AT474" s="429" t="s">
        <v>2143</v>
      </c>
      <c r="AU474" s="241"/>
      <c r="AV474" s="243"/>
      <c r="AW474" s="72" t="s">
        <v>127</v>
      </c>
      <c r="AX474" s="243"/>
      <c r="AY474" s="103">
        <f t="shared" si="236"/>
        <v>0.5431034482758621</v>
      </c>
      <c r="AZ474" s="72"/>
      <c r="BA474" s="13" t="str">
        <f t="shared" si="237"/>
        <v>W22</v>
      </c>
      <c r="BB474" s="72" t="str">
        <f t="shared" si="238"/>
        <v>Clear</v>
      </c>
      <c r="BC474" s="32">
        <f>IF(Q474="","",((P474/100*O474)+T474))</f>
        <v>1.5771999999999999</v>
      </c>
      <c r="BD474" s="241">
        <f>IF(BC474="","",((PI()*((51/2)^2-(16.545/2)^2)/(BC474/10))/100))</f>
        <v>115.89069657037038</v>
      </c>
      <c r="BE474" s="241">
        <f>IF(BC474="","",(BD474-AK474))</f>
        <v>-16.926340655896269</v>
      </c>
      <c r="BF474" s="71">
        <f>IF(BC474="","",(BE474/AK474))</f>
        <v>-0.12744103474511792</v>
      </c>
      <c r="BG474" s="241">
        <f>IF(BF474="","",((PI()*((70/2)^2-(16.545/2)^2)/(BC474/10))/100))</f>
        <v>230.37398199078206</v>
      </c>
      <c r="BH474" s="241">
        <f>IF(BF474="","",(BG474-AL474))</f>
        <v>-33.647122787492492</v>
      </c>
      <c r="BI474" s="71">
        <f>IF(BG474="","",(BH474/AL474))</f>
        <v>-0.12744103474511786</v>
      </c>
      <c r="BJ474" s="123"/>
      <c r="BK474" s="123"/>
      <c r="BL474" s="126"/>
      <c r="BM474" s="130"/>
      <c r="BN474" s="123"/>
      <c r="BO474" s="108"/>
      <c r="BP474" s="108"/>
      <c r="BQ474" s="115"/>
      <c r="BR474" s="113"/>
      <c r="BS474" s="80"/>
      <c r="BT474" s="22"/>
      <c r="BU474" s="87"/>
      <c r="BV474" s="73"/>
      <c r="BW474" s="109"/>
      <c r="BX474" s="87"/>
      <c r="BY474" s="87"/>
      <c r="BZ474" s="109"/>
      <c r="CA474" s="76"/>
    </row>
    <row r="475" spans="1:79" s="262" customFormat="1">
      <c r="A475" s="13" t="s">
        <v>2110</v>
      </c>
      <c r="B475" s="387" t="s">
        <v>2111</v>
      </c>
      <c r="C475" s="13" t="s">
        <v>548</v>
      </c>
      <c r="D475" s="13" t="s">
        <v>2144</v>
      </c>
      <c r="E475" s="13" t="s">
        <v>118</v>
      </c>
      <c r="F475" s="13" t="s">
        <v>167</v>
      </c>
      <c r="G475" s="13" t="s">
        <v>2145</v>
      </c>
      <c r="H475" s="13" t="s">
        <v>146</v>
      </c>
      <c r="I475" s="13" t="s">
        <v>147</v>
      </c>
      <c r="J475" s="13" t="s">
        <v>5</v>
      </c>
      <c r="K475" s="13" t="s">
        <v>123</v>
      </c>
      <c r="L475" s="429" t="s">
        <v>2146</v>
      </c>
      <c r="M475" s="13" t="s">
        <v>125</v>
      </c>
      <c r="N475" s="13" t="s">
        <v>126</v>
      </c>
      <c r="O475" s="247">
        <v>0.62</v>
      </c>
      <c r="P475" s="13">
        <v>93</v>
      </c>
      <c r="Q475" s="13">
        <v>30</v>
      </c>
      <c r="R475" s="13" t="s">
        <v>127</v>
      </c>
      <c r="S475" s="430" t="str">
        <f t="shared" si="221"/>
        <v>N/A</v>
      </c>
      <c r="T475" s="247">
        <v>0.8</v>
      </c>
      <c r="U475" s="13">
        <v>250</v>
      </c>
      <c r="V475" s="13">
        <v>480</v>
      </c>
      <c r="W475" s="430">
        <f t="shared" si="211"/>
        <v>230</v>
      </c>
      <c r="X475" s="430">
        <f t="shared" si="212"/>
        <v>150</v>
      </c>
      <c r="Y475" s="13">
        <v>110</v>
      </c>
      <c r="Z475" s="13">
        <v>510</v>
      </c>
      <c r="AA475" s="430">
        <f t="shared" si="222"/>
        <v>400</v>
      </c>
      <c r="AB475" s="430">
        <f t="shared" si="223"/>
        <v>120</v>
      </c>
      <c r="AC475" s="430" t="str">
        <f t="shared" si="224"/>
        <v>N/A</v>
      </c>
      <c r="AD475" s="430">
        <f t="shared" si="225"/>
        <v>63</v>
      </c>
      <c r="AE475" s="431">
        <f t="shared" si="226"/>
        <v>1.1906000000000001</v>
      </c>
      <c r="AF475" s="431"/>
      <c r="AG475" s="431">
        <f t="shared" si="227"/>
        <v>1.0583</v>
      </c>
      <c r="AH475" s="431">
        <f t="shared" si="228"/>
        <v>1.1217980000000001</v>
      </c>
      <c r="AI475" s="432">
        <f t="shared" si="229"/>
        <v>888.36522400000001</v>
      </c>
      <c r="AJ475" s="432">
        <f t="shared" si="230"/>
        <v>140.40459267584245</v>
      </c>
      <c r="AK475" s="432">
        <f t="shared" si="231"/>
        <v>153.52159132436429</v>
      </c>
      <c r="AL475" s="432">
        <f t="shared" si="232"/>
        <v>305.17877070037076</v>
      </c>
      <c r="AM475" s="250">
        <v>250</v>
      </c>
      <c r="AN475" s="432">
        <f t="shared" si="233"/>
        <v>232.5</v>
      </c>
      <c r="AO475" s="432">
        <f t="shared" si="234"/>
        <v>260.81803500000001</v>
      </c>
      <c r="AP475" s="432">
        <f t="shared" si="235"/>
        <v>869.39345000000003</v>
      </c>
      <c r="AQ475" s="255" t="s">
        <v>170</v>
      </c>
      <c r="AR475" s="453" t="s">
        <v>2147</v>
      </c>
      <c r="AS475" s="18" t="s">
        <v>2148</v>
      </c>
      <c r="AT475" s="429"/>
      <c r="AU475" s="241"/>
      <c r="AV475" s="243"/>
      <c r="AW475" s="72" t="s">
        <v>127</v>
      </c>
      <c r="AX475" s="243"/>
      <c r="AY475" s="103">
        <f t="shared" si="236"/>
        <v>0.5161290322580645</v>
      </c>
      <c r="AZ475" s="72"/>
      <c r="BA475" s="13" t="str">
        <f t="shared" si="237"/>
        <v>W22</v>
      </c>
      <c r="BB475" s="72" t="str">
        <f t="shared" si="238"/>
        <v>Clear</v>
      </c>
      <c r="BC475" s="32">
        <f>IF(Q475="","",((P475/100*O475)+T475))</f>
        <v>1.3766</v>
      </c>
      <c r="BD475" s="241">
        <f>IF(BC475="","",((PI()*((51/2)^2-(16.545/2)^2)/(BC475/10))/100))</f>
        <v>132.77844445066697</v>
      </c>
      <c r="BE475" s="241">
        <f>IF(BC475="","",(BD475-AK475))</f>
        <v>-20.743146873697327</v>
      </c>
      <c r="BF475" s="71">
        <f>IF(BC475="","",(BE475/AK475))</f>
        <v>-0.13511550196135397</v>
      </c>
      <c r="BG475" s="241">
        <f>IF(BF475="","",((PI()*((70/2)^2-(16.545/2)^2)/(BC475/10))/100))</f>
        <v>263.94438790924124</v>
      </c>
      <c r="BH475" s="241">
        <f>IF(BF475="","",(BG475-AL475))</f>
        <v>-41.234382791129519</v>
      </c>
      <c r="BI475" s="71">
        <f>IF(BG475="","",(BH475/AL475))</f>
        <v>-0.13511550196135391</v>
      </c>
      <c r="BJ475" s="123"/>
      <c r="BK475" s="123"/>
      <c r="BL475" s="126"/>
      <c r="BM475" s="108"/>
      <c r="BN475" s="123"/>
      <c r="BO475" s="108"/>
      <c r="BP475" s="108"/>
      <c r="BQ475" s="124"/>
      <c r="BR475" s="124"/>
      <c r="BS475" s="71"/>
      <c r="BT475" s="72"/>
      <c r="BU475" s="78"/>
      <c r="BV475" s="32"/>
      <c r="BW475" s="127"/>
      <c r="BX475" s="78"/>
      <c r="BY475" s="78"/>
      <c r="BZ475" s="127"/>
      <c r="CA475" s="76"/>
    </row>
    <row r="476" spans="1:79" s="22" customFormat="1">
      <c r="A476" s="13" t="s">
        <v>2110</v>
      </c>
      <c r="B476" s="387" t="s">
        <v>2111</v>
      </c>
      <c r="C476" s="13" t="s">
        <v>548</v>
      </c>
      <c r="D476" s="13" t="s">
        <v>2144</v>
      </c>
      <c r="E476" s="13" t="s">
        <v>118</v>
      </c>
      <c r="F476" s="13" t="s">
        <v>167</v>
      </c>
      <c r="G476" s="13" t="s">
        <v>2149</v>
      </c>
      <c r="H476" s="13" t="s">
        <v>146</v>
      </c>
      <c r="I476" s="13" t="s">
        <v>147</v>
      </c>
      <c r="J476" s="13" t="s">
        <v>5</v>
      </c>
      <c r="K476" s="13" t="s">
        <v>123</v>
      </c>
      <c r="L476" s="13" t="s">
        <v>2150</v>
      </c>
      <c r="M476" s="13" t="s">
        <v>125</v>
      </c>
      <c r="N476" s="13" t="s">
        <v>126</v>
      </c>
      <c r="O476" s="247">
        <v>0.64</v>
      </c>
      <c r="P476" s="13">
        <v>96</v>
      </c>
      <c r="Q476" s="13">
        <v>30</v>
      </c>
      <c r="R476" s="13" t="s">
        <v>127</v>
      </c>
      <c r="S476" s="430" t="str">
        <f t="shared" si="221"/>
        <v>N/A</v>
      </c>
      <c r="T476" s="247">
        <v>0.8</v>
      </c>
      <c r="U476" s="13">
        <v>262</v>
      </c>
      <c r="V476" s="13">
        <v>502</v>
      </c>
      <c r="W476" s="430">
        <f t="shared" si="211"/>
        <v>240</v>
      </c>
      <c r="X476" s="430">
        <f t="shared" si="212"/>
        <v>158</v>
      </c>
      <c r="Y476" s="13">
        <v>120</v>
      </c>
      <c r="Z476" s="13">
        <v>580</v>
      </c>
      <c r="AA476" s="430">
        <f t="shared" si="222"/>
        <v>460</v>
      </c>
      <c r="AB476" s="430">
        <f t="shared" si="223"/>
        <v>80</v>
      </c>
      <c r="AC476" s="430" t="str">
        <f t="shared" si="224"/>
        <v>N/A</v>
      </c>
      <c r="AD476" s="430">
        <f t="shared" si="225"/>
        <v>66</v>
      </c>
      <c r="AE476" s="431">
        <f t="shared" si="226"/>
        <v>1.2223999999999999</v>
      </c>
      <c r="AF476" s="431"/>
      <c r="AG476" s="431">
        <f t="shared" si="227"/>
        <v>1.0772000000000002</v>
      </c>
      <c r="AH476" s="431">
        <f t="shared" si="228"/>
        <v>1.1418320000000002</v>
      </c>
      <c r="AI476" s="432">
        <f t="shared" si="229"/>
        <v>889.66732800000011</v>
      </c>
      <c r="AJ476" s="432">
        <f t="shared" si="230"/>
        <v>136.75205173417709</v>
      </c>
      <c r="AK476" s="432">
        <f t="shared" si="231"/>
        <v>149.52781956052698</v>
      </c>
      <c r="AL476" s="432">
        <f t="shared" si="232"/>
        <v>297.23972872698096</v>
      </c>
      <c r="AM476" s="250">
        <v>150</v>
      </c>
      <c r="AN476" s="432">
        <f t="shared" si="233"/>
        <v>144</v>
      </c>
      <c r="AO476" s="432">
        <f t="shared" si="234"/>
        <v>164.42380800000004</v>
      </c>
      <c r="AP476" s="432">
        <f t="shared" si="235"/>
        <v>548.07936000000018</v>
      </c>
      <c r="AQ476" s="255">
        <v>44927</v>
      </c>
      <c r="AR476" s="13" t="s">
        <v>2151</v>
      </c>
      <c r="AS476" s="433" t="s">
        <v>2152</v>
      </c>
      <c r="AT476" s="429" t="s">
        <v>2153</v>
      </c>
      <c r="AU476" s="241"/>
      <c r="AV476" s="243"/>
      <c r="AW476" s="72" t="s">
        <v>127</v>
      </c>
      <c r="AX476" s="243"/>
      <c r="AY476" s="103">
        <f t="shared" si="236"/>
        <v>0.5229166666666667</v>
      </c>
      <c r="AZ476" s="72"/>
      <c r="BA476" s="13" t="str">
        <f t="shared" si="237"/>
        <v>W22</v>
      </c>
      <c r="BB476" s="72" t="str">
        <f t="shared" si="238"/>
        <v>Clear</v>
      </c>
      <c r="BC476" s="32">
        <f>IF(Q476="","",((P476/100*O476)+T476))</f>
        <v>1.4144000000000001</v>
      </c>
      <c r="BD476" s="241">
        <f>IF(BC476="","",((PI()*((51/2)^2-(16.545/2)^2)/(BC476/10))/100))</f>
        <v>129.22992550253687</v>
      </c>
      <c r="BE476" s="241">
        <f>IF(BC476="","",(BD476-AK476))</f>
        <v>-20.297894057990106</v>
      </c>
      <c r="BF476" s="71">
        <f>IF(BC476="","",(BE476/AK476))</f>
        <v>-0.13574660633484176</v>
      </c>
      <c r="BG476" s="241">
        <f>IF(BF476="","",((PI()*((70/2)^2-(16.545/2)^2)/(BC476/10))/100))</f>
        <v>256.89044428440428</v>
      </c>
      <c r="BH476" s="241">
        <f>IF(BF476="","",(BG476-AL476))</f>
        <v>-40.349284442576675</v>
      </c>
      <c r="BI476" s="71">
        <f>IF(BG476="","",(BH476/AL476))</f>
        <v>-0.13574660633484187</v>
      </c>
      <c r="BJ476" s="123"/>
      <c r="BK476" s="111"/>
      <c r="BL476" s="112"/>
      <c r="BM476" s="111"/>
      <c r="BN476" s="123"/>
      <c r="BO476" s="123"/>
      <c r="BP476" s="111"/>
      <c r="BQ476" s="124"/>
      <c r="BR476" s="124"/>
      <c r="BS476" s="71"/>
      <c r="BT476" s="72"/>
      <c r="BU476" s="78"/>
      <c r="BV476" s="32"/>
      <c r="BW476" s="127"/>
      <c r="BX476" s="78"/>
      <c r="BY476" s="78"/>
      <c r="BZ476" s="127"/>
      <c r="CA476" s="76"/>
    </row>
    <row r="477" spans="1:79" s="262" customFormat="1">
      <c r="A477" s="13" t="s">
        <v>2110</v>
      </c>
      <c r="B477" s="387" t="s">
        <v>2111</v>
      </c>
      <c r="C477" s="13" t="s">
        <v>548</v>
      </c>
      <c r="D477" s="13" t="s">
        <v>2144</v>
      </c>
      <c r="E477" s="13" t="s">
        <v>118</v>
      </c>
      <c r="F477" s="13" t="s">
        <v>167</v>
      </c>
      <c r="G477" s="13" t="s">
        <v>2154</v>
      </c>
      <c r="H477" s="13" t="s">
        <v>146</v>
      </c>
      <c r="I477" s="13" t="s">
        <v>147</v>
      </c>
      <c r="J477" s="13" t="s">
        <v>5</v>
      </c>
      <c r="K477" s="13" t="s">
        <v>123</v>
      </c>
      <c r="L477" s="429" t="s">
        <v>2155</v>
      </c>
      <c r="M477" s="13" t="s">
        <v>125</v>
      </c>
      <c r="N477" s="13" t="s">
        <v>126</v>
      </c>
      <c r="O477" s="247">
        <v>0.72</v>
      </c>
      <c r="P477" s="13">
        <v>96</v>
      </c>
      <c r="Q477" s="13">
        <v>30</v>
      </c>
      <c r="R477" s="13" t="s">
        <v>127</v>
      </c>
      <c r="S477" s="430" t="str">
        <f t="shared" si="221"/>
        <v>N/A</v>
      </c>
      <c r="T477" s="247">
        <v>0.8</v>
      </c>
      <c r="U477" s="13">
        <v>267</v>
      </c>
      <c r="V477" s="13">
        <v>494</v>
      </c>
      <c r="W477" s="430">
        <f t="shared" si="211"/>
        <v>227</v>
      </c>
      <c r="X477" s="430">
        <f t="shared" si="212"/>
        <v>166</v>
      </c>
      <c r="Y477" s="13">
        <v>120</v>
      </c>
      <c r="Z477" s="13">
        <v>580</v>
      </c>
      <c r="AA477" s="430">
        <f t="shared" si="222"/>
        <v>460</v>
      </c>
      <c r="AB477" s="430">
        <f t="shared" si="223"/>
        <v>80</v>
      </c>
      <c r="AC477" s="430" t="str">
        <f t="shared" si="224"/>
        <v>N/A</v>
      </c>
      <c r="AD477" s="430">
        <f t="shared" si="225"/>
        <v>66</v>
      </c>
      <c r="AE477" s="431">
        <f t="shared" si="226"/>
        <v>1.2752000000000001</v>
      </c>
      <c r="AF477" s="431"/>
      <c r="AG477" s="431">
        <f t="shared" si="227"/>
        <v>1.11185</v>
      </c>
      <c r="AH477" s="431">
        <f t="shared" si="228"/>
        <v>1.178561</v>
      </c>
      <c r="AI477" s="432">
        <f t="shared" si="229"/>
        <v>894.87574400000005</v>
      </c>
      <c r="AJ477" s="432">
        <f t="shared" si="230"/>
        <v>131.08979614167032</v>
      </c>
      <c r="AK477" s="432">
        <f t="shared" si="231"/>
        <v>143.33657985475858</v>
      </c>
      <c r="AL477" s="432">
        <f t="shared" si="232"/>
        <v>284.93243757517359</v>
      </c>
      <c r="AM477" s="250">
        <v>143</v>
      </c>
      <c r="AN477" s="432">
        <f t="shared" si="233"/>
        <v>137.28</v>
      </c>
      <c r="AO477" s="432">
        <f t="shared" si="234"/>
        <v>161.79285407999998</v>
      </c>
      <c r="AP477" s="432">
        <f t="shared" si="235"/>
        <v>539.30951359999995</v>
      </c>
      <c r="AQ477" s="255" t="s">
        <v>170</v>
      </c>
      <c r="AR477" s="13" t="s">
        <v>2156</v>
      </c>
      <c r="AS477" s="454" t="s">
        <v>2157</v>
      </c>
      <c r="AT477" s="429" t="s">
        <v>2158</v>
      </c>
      <c r="AU477" s="241"/>
      <c r="AV477" s="243"/>
      <c r="AW477" s="72" t="s">
        <v>127</v>
      </c>
      <c r="AX477" s="243"/>
      <c r="AY477" s="103">
        <f t="shared" si="236"/>
        <v>0.51458333333333328</v>
      </c>
      <c r="AZ477" s="72"/>
      <c r="BA477" s="13" t="str">
        <f t="shared" si="237"/>
        <v>W22</v>
      </c>
      <c r="BB477" s="72" t="str">
        <f t="shared" si="238"/>
        <v>Clear</v>
      </c>
      <c r="BC477" s="32">
        <f>IF(Q477="","",((P477/100*O477)+T477))</f>
        <v>1.4912000000000001</v>
      </c>
      <c r="BD477" s="241">
        <f>IF(BC477="","",((PI()*((51/2)^2-(16.545/2)^2)/(BC477/10))/100))</f>
        <v>122.57430702171955</v>
      </c>
      <c r="BE477" s="241">
        <f>IF(BC477="","",(BD477-AK477))</f>
        <v>-20.762272833039034</v>
      </c>
      <c r="BF477" s="71">
        <f>IF(BC477="","",(BE477/AK477))</f>
        <v>-0.14484978540772511</v>
      </c>
      <c r="BG477" s="241">
        <f>IF(BF477="","",((PI()*((70/2)^2-(16.545/2)^2)/(BC477/10))/100))</f>
        <v>243.66003513670967</v>
      </c>
      <c r="BH477" s="241">
        <f>IF(BF477="","",(BG477-AL477))</f>
        <v>-41.272402438463928</v>
      </c>
      <c r="BI477" s="71">
        <f>IF(BG477="","",(BH477/AL477))</f>
        <v>-0.14484978540772511</v>
      </c>
      <c r="BJ477" s="123"/>
      <c r="BK477" s="123"/>
      <c r="BL477" s="126"/>
      <c r="BM477" s="108"/>
      <c r="BN477" s="123"/>
      <c r="BO477" s="108"/>
      <c r="BP477" s="108"/>
      <c r="BQ477" s="159"/>
      <c r="BR477" s="159"/>
      <c r="BS477" s="100"/>
      <c r="BT477" s="77"/>
      <c r="BU477" s="282"/>
      <c r="BV477" s="264"/>
      <c r="BW477" s="169"/>
      <c r="BX477" s="282"/>
      <c r="BY477" s="282"/>
      <c r="BZ477" s="169"/>
      <c r="CA477" s="271"/>
    </row>
    <row r="478" spans="1:79" s="22" customFormat="1">
      <c r="A478" s="13" t="s">
        <v>2110</v>
      </c>
      <c r="B478" s="387" t="s">
        <v>2111</v>
      </c>
      <c r="C478" s="13" t="s">
        <v>548</v>
      </c>
      <c r="D478" s="13" t="s">
        <v>2144</v>
      </c>
      <c r="E478" s="13" t="s">
        <v>118</v>
      </c>
      <c r="F478" s="13" t="s">
        <v>186</v>
      </c>
      <c r="G478" s="13" t="s">
        <v>2159</v>
      </c>
      <c r="H478" s="13" t="s">
        <v>146</v>
      </c>
      <c r="I478" s="13" t="s">
        <v>147</v>
      </c>
      <c r="J478" s="13" t="s">
        <v>5</v>
      </c>
      <c r="K478" s="13" t="s">
        <v>123</v>
      </c>
      <c r="L478" s="13" t="s">
        <v>2160</v>
      </c>
      <c r="M478" s="13" t="s">
        <v>125</v>
      </c>
      <c r="N478" s="13" t="s">
        <v>12</v>
      </c>
      <c r="O478" s="247">
        <v>0.72</v>
      </c>
      <c r="P478" s="13">
        <v>96</v>
      </c>
      <c r="Q478" s="13">
        <v>30</v>
      </c>
      <c r="R478" s="13" t="s">
        <v>127</v>
      </c>
      <c r="S478" s="430" t="str">
        <f t="shared" si="221"/>
        <v>N/A</v>
      </c>
      <c r="T478" s="247">
        <v>0.8</v>
      </c>
      <c r="U478" s="13">
        <v>267</v>
      </c>
      <c r="V478" s="13">
        <v>494</v>
      </c>
      <c r="W478" s="430">
        <f t="shared" si="211"/>
        <v>227</v>
      </c>
      <c r="X478" s="430">
        <f t="shared" si="212"/>
        <v>166</v>
      </c>
      <c r="Y478" s="13">
        <v>120</v>
      </c>
      <c r="Z478" s="13">
        <v>580</v>
      </c>
      <c r="AA478" s="430">
        <f t="shared" si="222"/>
        <v>460</v>
      </c>
      <c r="AB478" s="430">
        <f t="shared" si="223"/>
        <v>80</v>
      </c>
      <c r="AC478" s="430" t="str">
        <f t="shared" si="224"/>
        <v>N/A</v>
      </c>
      <c r="AD478" s="430">
        <f t="shared" si="225"/>
        <v>66</v>
      </c>
      <c r="AE478" s="431">
        <f t="shared" si="226"/>
        <v>1.2752000000000001</v>
      </c>
      <c r="AF478" s="431"/>
      <c r="AG478" s="431">
        <f t="shared" si="227"/>
        <v>1.11185</v>
      </c>
      <c r="AH478" s="431">
        <f t="shared" si="228"/>
        <v>1.178561</v>
      </c>
      <c r="AI478" s="432">
        <f t="shared" si="229"/>
        <v>894.87574400000005</v>
      </c>
      <c r="AJ478" s="432">
        <f t="shared" si="230"/>
        <v>131.08979614167032</v>
      </c>
      <c r="AK478" s="432">
        <f t="shared" si="231"/>
        <v>143.33657985475858</v>
      </c>
      <c r="AL478" s="432">
        <f t="shared" si="232"/>
        <v>284.93243757517359</v>
      </c>
      <c r="AM478" s="250">
        <v>143</v>
      </c>
      <c r="AN478" s="432">
        <f t="shared" si="233"/>
        <v>137.28</v>
      </c>
      <c r="AO478" s="432">
        <f t="shared" si="234"/>
        <v>161.79285407999998</v>
      </c>
      <c r="AP478" s="432">
        <f t="shared" si="235"/>
        <v>539.30951359999995</v>
      </c>
      <c r="AQ478" s="255">
        <v>44949</v>
      </c>
      <c r="AR478" s="13" t="s">
        <v>2161</v>
      </c>
      <c r="AS478" s="433" t="s">
        <v>2162</v>
      </c>
      <c r="AT478" s="429" t="s">
        <v>2163</v>
      </c>
      <c r="AU478" s="257"/>
      <c r="AV478" s="259"/>
      <c r="AW478" s="38" t="s">
        <v>127</v>
      </c>
      <c r="AX478" s="259"/>
      <c r="AY478" s="103">
        <f t="shared" si="236"/>
        <v>0.51458333333333328</v>
      </c>
      <c r="AZ478" s="262"/>
      <c r="BA478" s="13" t="str">
        <f t="shared" si="237"/>
        <v>W22</v>
      </c>
      <c r="BB478" s="72" t="str">
        <f t="shared" si="238"/>
        <v>Clear</v>
      </c>
      <c r="BC478" s="263"/>
      <c r="BD478" s="257"/>
      <c r="BE478" s="257"/>
      <c r="BF478" s="106"/>
      <c r="BG478" s="257"/>
      <c r="BH478" s="257"/>
      <c r="BI478" s="106"/>
      <c r="BJ478" s="143"/>
      <c r="BK478" s="111">
        <v>20.75</v>
      </c>
      <c r="BL478" s="112">
        <f>AH478</f>
        <v>1.178561</v>
      </c>
      <c r="BM478" s="101">
        <f>BK478/AH478</f>
        <v>17.60621639439961</v>
      </c>
      <c r="BN478" s="123">
        <f>BK478-BM478</f>
        <v>3.1437836056003903</v>
      </c>
      <c r="BO478" s="101"/>
      <c r="BP478" s="111"/>
      <c r="BQ478" s="108"/>
      <c r="BR478" s="71"/>
      <c r="BS478" s="71"/>
      <c r="BT478" s="72"/>
      <c r="BU478" s="78"/>
      <c r="BV478" s="32"/>
      <c r="BW478" s="127"/>
      <c r="BX478" s="78"/>
      <c r="BY478" s="78"/>
      <c r="BZ478" s="127"/>
      <c r="CA478" s="76"/>
    </row>
    <row r="479" spans="1:79" s="22" customFormat="1">
      <c r="A479" s="13" t="s">
        <v>2110</v>
      </c>
      <c r="B479" s="387" t="s">
        <v>2111</v>
      </c>
      <c r="C479" s="13" t="s">
        <v>548</v>
      </c>
      <c r="D479" s="13" t="s">
        <v>2144</v>
      </c>
      <c r="E479" s="13" t="s">
        <v>118</v>
      </c>
      <c r="F479" s="13" t="s">
        <v>186</v>
      </c>
      <c r="G479" s="13" t="s">
        <v>2164</v>
      </c>
      <c r="H479" s="13" t="s">
        <v>146</v>
      </c>
      <c r="I479" s="13" t="s">
        <v>147</v>
      </c>
      <c r="J479" s="13" t="s">
        <v>5</v>
      </c>
      <c r="K479" s="13" t="s">
        <v>123</v>
      </c>
      <c r="L479" s="13"/>
      <c r="M479" s="13" t="s">
        <v>125</v>
      </c>
      <c r="N479" s="13" t="s">
        <v>126</v>
      </c>
      <c r="O479" s="247">
        <v>0.72</v>
      </c>
      <c r="P479" s="13">
        <v>96</v>
      </c>
      <c r="Q479" s="13">
        <v>30</v>
      </c>
      <c r="R479" s="13" t="s">
        <v>127</v>
      </c>
      <c r="S479" s="430" t="str">
        <f t="shared" si="221"/>
        <v>N/A</v>
      </c>
      <c r="T479" s="247">
        <v>0.8</v>
      </c>
      <c r="U479" s="13">
        <v>267</v>
      </c>
      <c r="V479" s="13">
        <v>494</v>
      </c>
      <c r="W479" s="430">
        <f t="shared" si="211"/>
        <v>227</v>
      </c>
      <c r="X479" s="430">
        <f t="shared" si="212"/>
        <v>166</v>
      </c>
      <c r="Y479" s="13">
        <v>120</v>
      </c>
      <c r="Z479" s="13">
        <v>570</v>
      </c>
      <c r="AA479" s="430">
        <f t="shared" si="222"/>
        <v>450</v>
      </c>
      <c r="AB479" s="430">
        <f t="shared" si="223"/>
        <v>90</v>
      </c>
      <c r="AC479" s="430" t="str">
        <f t="shared" si="224"/>
        <v>N/A</v>
      </c>
      <c r="AD479" s="430">
        <f t="shared" si="225"/>
        <v>66</v>
      </c>
      <c r="AE479" s="431">
        <f t="shared" si="226"/>
        <v>1.2752000000000001</v>
      </c>
      <c r="AF479" s="431"/>
      <c r="AG479" s="431">
        <f t="shared" si="227"/>
        <v>1.11185</v>
      </c>
      <c r="AH479" s="431">
        <f t="shared" si="228"/>
        <v>1.178561</v>
      </c>
      <c r="AI479" s="432">
        <f t="shared" si="229"/>
        <v>894.87574400000005</v>
      </c>
      <c r="AJ479" s="432">
        <f t="shared" si="230"/>
        <v>131.08979614167032</v>
      </c>
      <c r="AK479" s="432">
        <f t="shared" si="231"/>
        <v>143.33657985475858</v>
      </c>
      <c r="AL479" s="432">
        <f t="shared" si="232"/>
        <v>284.93243757517359</v>
      </c>
      <c r="AM479" s="250">
        <v>285</v>
      </c>
      <c r="AN479" s="432">
        <f t="shared" si="233"/>
        <v>273.60000000000002</v>
      </c>
      <c r="AO479" s="432">
        <f t="shared" si="234"/>
        <v>322.45428960000004</v>
      </c>
      <c r="AP479" s="432">
        <f t="shared" si="235"/>
        <v>1074.8476320000002</v>
      </c>
      <c r="AQ479" s="255"/>
      <c r="AR479" s="13"/>
      <c r="AS479" s="433"/>
      <c r="AT479" s="429"/>
      <c r="AU479" s="257"/>
      <c r="AV479" s="259"/>
      <c r="AW479" s="38"/>
      <c r="AX479" s="259"/>
      <c r="AY479" s="103"/>
      <c r="AZ479" s="262"/>
      <c r="BA479" s="13" t="str">
        <f>LEFT(G479,3)</f>
        <v>W22</v>
      </c>
      <c r="BB479" s="72"/>
      <c r="BC479" s="263"/>
      <c r="BD479" s="257"/>
      <c r="BE479" s="257"/>
      <c r="BF479" s="106"/>
      <c r="BG479" s="257"/>
      <c r="BH479" s="257"/>
      <c r="BI479" s="106"/>
      <c r="BJ479" s="143"/>
      <c r="BK479" s="111"/>
      <c r="BL479" s="112"/>
      <c r="BM479" s="101"/>
      <c r="BN479" s="123"/>
      <c r="BO479" s="101"/>
      <c r="BP479" s="111"/>
      <c r="BQ479" s="108"/>
      <c r="BR479" s="71"/>
      <c r="BS479" s="71"/>
      <c r="BT479" s="72"/>
      <c r="BU479" s="78"/>
      <c r="BV479" s="32"/>
      <c r="BW479" s="127"/>
      <c r="BX479" s="78"/>
      <c r="BY479" s="78"/>
      <c r="BZ479" s="127"/>
      <c r="CA479" s="76"/>
    </row>
    <row r="480" spans="1:79" s="72" customFormat="1">
      <c r="A480" s="13" t="s">
        <v>2110</v>
      </c>
      <c r="B480" s="387" t="s">
        <v>2111</v>
      </c>
      <c r="C480" s="13" t="s">
        <v>548</v>
      </c>
      <c r="D480" s="13" t="s">
        <v>2165</v>
      </c>
      <c r="E480" s="13" t="s">
        <v>118</v>
      </c>
      <c r="F480" s="13" t="s">
        <v>186</v>
      </c>
      <c r="G480" s="13" t="s">
        <v>2166</v>
      </c>
      <c r="H480" s="13" t="s">
        <v>146</v>
      </c>
      <c r="I480" s="13" t="s">
        <v>147</v>
      </c>
      <c r="J480" s="13" t="s">
        <v>5</v>
      </c>
      <c r="K480" s="13" t="s">
        <v>123</v>
      </c>
      <c r="L480" s="13" t="s">
        <v>2167</v>
      </c>
      <c r="M480" s="13" t="s">
        <v>125</v>
      </c>
      <c r="N480" s="13" t="s">
        <v>12</v>
      </c>
      <c r="O480" s="247">
        <v>0.54</v>
      </c>
      <c r="P480" s="13">
        <v>99</v>
      </c>
      <c r="Q480" s="13">
        <v>28</v>
      </c>
      <c r="R480" s="13" t="s">
        <v>127</v>
      </c>
      <c r="S480" s="430" t="str">
        <f t="shared" si="221"/>
        <v>N/A</v>
      </c>
      <c r="T480" s="247">
        <v>0.8</v>
      </c>
      <c r="U480" s="13">
        <v>325</v>
      </c>
      <c r="V480" s="13">
        <v>585</v>
      </c>
      <c r="W480" s="430">
        <f t="shared" si="211"/>
        <v>260</v>
      </c>
      <c r="X480" s="430">
        <f t="shared" si="212"/>
        <v>125</v>
      </c>
      <c r="Y480" s="13">
        <v>185</v>
      </c>
      <c r="Z480" s="13">
        <v>585</v>
      </c>
      <c r="AA480" s="430">
        <f t="shared" si="222"/>
        <v>400</v>
      </c>
      <c r="AB480" s="430">
        <f t="shared" si="223"/>
        <v>125</v>
      </c>
      <c r="AC480" s="430" t="str">
        <f t="shared" si="224"/>
        <v>N/A</v>
      </c>
      <c r="AD480" s="430">
        <f t="shared" si="225"/>
        <v>71</v>
      </c>
      <c r="AE480" s="431">
        <f t="shared" si="226"/>
        <v>1.1834</v>
      </c>
      <c r="AF480" s="431"/>
      <c r="AG480" s="431">
        <f t="shared" si="227"/>
        <v>1.0459181818181817</v>
      </c>
      <c r="AH480" s="431">
        <f t="shared" si="228"/>
        <v>1.1086732727272726</v>
      </c>
      <c r="AI480" s="432">
        <f t="shared" si="229"/>
        <v>883.15680800000007</v>
      </c>
      <c r="AJ480" s="432">
        <f t="shared" si="230"/>
        <v>141.25883728228666</v>
      </c>
      <c r="AK480" s="432">
        <f t="shared" si="231"/>
        <v>154.45564190534745</v>
      </c>
      <c r="AL480" s="432">
        <f t="shared" si="232"/>
        <v>307.03552847377176</v>
      </c>
      <c r="AM480" s="250">
        <v>154</v>
      </c>
      <c r="AN480" s="432">
        <f t="shared" si="233"/>
        <v>152.46</v>
      </c>
      <c r="AO480" s="432">
        <f t="shared" si="234"/>
        <v>169.02832715999998</v>
      </c>
      <c r="AP480" s="432">
        <f t="shared" si="235"/>
        <v>603.67259699999988</v>
      </c>
      <c r="AQ480" s="255">
        <v>45078</v>
      </c>
      <c r="AR480" s="13" t="s">
        <v>2168</v>
      </c>
      <c r="AS480" s="433" t="s">
        <v>2169</v>
      </c>
      <c r="AT480" s="429"/>
      <c r="AU480" s="249"/>
      <c r="AV480" s="254"/>
      <c r="AW480" s="38" t="s">
        <v>127</v>
      </c>
      <c r="AX480" s="254"/>
      <c r="AY480" s="102">
        <f t="shared" si="236"/>
        <v>0.59090909090909094</v>
      </c>
      <c r="AZ480" s="262"/>
      <c r="BA480" s="38" t="str">
        <f t="shared" si="237"/>
        <v>W22</v>
      </c>
      <c r="BB480" s="77" t="str">
        <f t="shared" si="238"/>
        <v>Clear</v>
      </c>
      <c r="BC480" s="263"/>
      <c r="BD480" s="257"/>
      <c r="BE480" s="257"/>
      <c r="BF480" s="106"/>
      <c r="BG480" s="257"/>
      <c r="BH480" s="257"/>
      <c r="BI480" s="106"/>
      <c r="BJ480" s="143"/>
      <c r="BK480" s="143"/>
      <c r="BL480" s="170"/>
      <c r="BM480" s="105"/>
      <c r="BN480" s="143"/>
      <c r="BO480" s="105"/>
      <c r="BP480" s="143"/>
      <c r="BQ480" s="83"/>
      <c r="BR480" s="71"/>
      <c r="BS480" s="71"/>
      <c r="BU480" s="78"/>
      <c r="BV480" s="32"/>
      <c r="BW480" s="127"/>
      <c r="BX480" s="78"/>
      <c r="BY480" s="78"/>
      <c r="BZ480" s="127"/>
      <c r="CA480" s="76"/>
    </row>
    <row r="481" spans="1:79" s="72" customFormat="1">
      <c r="A481" s="13" t="s">
        <v>2110</v>
      </c>
      <c r="B481" s="387" t="s">
        <v>2111</v>
      </c>
      <c r="C481" s="13" t="s">
        <v>548</v>
      </c>
      <c r="D481" s="13" t="s">
        <v>2165</v>
      </c>
      <c r="E481" s="13" t="s">
        <v>118</v>
      </c>
      <c r="F481" s="13" t="s">
        <v>186</v>
      </c>
      <c r="G481" s="13" t="s">
        <v>2170</v>
      </c>
      <c r="H481" s="13" t="s">
        <v>146</v>
      </c>
      <c r="I481" s="13" t="s">
        <v>147</v>
      </c>
      <c r="J481" s="13" t="s">
        <v>5</v>
      </c>
      <c r="K481" s="13" t="s">
        <v>123</v>
      </c>
      <c r="L481" s="13"/>
      <c r="M481" s="13" t="s">
        <v>125</v>
      </c>
      <c r="N481" s="13" t="s">
        <v>126</v>
      </c>
      <c r="O481" s="247">
        <v>0.54</v>
      </c>
      <c r="P481" s="13">
        <v>99</v>
      </c>
      <c r="Q481" s="13">
        <v>27</v>
      </c>
      <c r="R481" s="13" t="s">
        <v>127</v>
      </c>
      <c r="S481" s="430" t="str">
        <f t="shared" si="221"/>
        <v>N/A</v>
      </c>
      <c r="T481" s="247">
        <v>0.8</v>
      </c>
      <c r="U481" s="13">
        <v>325</v>
      </c>
      <c r="V481" s="13">
        <v>585</v>
      </c>
      <c r="W481" s="430">
        <f t="shared" si="211"/>
        <v>260</v>
      </c>
      <c r="X481" s="430">
        <f t="shared" si="212"/>
        <v>135</v>
      </c>
      <c r="Y481" s="13">
        <v>185</v>
      </c>
      <c r="Z481" s="13">
        <v>585</v>
      </c>
      <c r="AA481" s="430">
        <f t="shared" si="222"/>
        <v>400</v>
      </c>
      <c r="AB481" s="430">
        <f t="shared" si="223"/>
        <v>135</v>
      </c>
      <c r="AC481" s="430" t="str">
        <f t="shared" si="224"/>
        <v>N/A</v>
      </c>
      <c r="AD481" s="430">
        <f t="shared" si="225"/>
        <v>72</v>
      </c>
      <c r="AE481" s="431">
        <f t="shared" si="226"/>
        <v>1.1888000000000001</v>
      </c>
      <c r="AF481" s="431"/>
      <c r="AG481" s="431">
        <f t="shared" si="227"/>
        <v>1.0474181818181818</v>
      </c>
      <c r="AH481" s="431">
        <f t="shared" si="228"/>
        <v>1.1102632727272728</v>
      </c>
      <c r="AI481" s="432">
        <f t="shared" si="229"/>
        <v>883.15680800000007</v>
      </c>
      <c r="AJ481" s="432">
        <f t="shared" si="230"/>
        <v>140.61718374819819</v>
      </c>
      <c r="AK481" s="432">
        <f t="shared" si="231"/>
        <v>153.75404326277604</v>
      </c>
      <c r="AL481" s="432">
        <f t="shared" si="232"/>
        <v>305.64085161159272</v>
      </c>
      <c r="AM481" s="250">
        <v>154</v>
      </c>
      <c r="AN481" s="432">
        <f t="shared" si="233"/>
        <v>152.46</v>
      </c>
      <c r="AO481" s="432">
        <f t="shared" si="234"/>
        <v>169.27073856000001</v>
      </c>
      <c r="AP481" s="432">
        <f t="shared" si="235"/>
        <v>626.92866133333337</v>
      </c>
      <c r="AQ481" s="255"/>
      <c r="AR481" s="13"/>
      <c r="AS481" s="433"/>
      <c r="AT481" s="429"/>
      <c r="AU481" s="249"/>
      <c r="AV481" s="254"/>
      <c r="AW481" s="38"/>
      <c r="AX481" s="254"/>
      <c r="AY481" s="102"/>
      <c r="AZ481" s="262"/>
      <c r="BA481" s="38"/>
      <c r="BB481" s="77" t="str">
        <f>IF(R481="n/a","Clear","S/B")</f>
        <v>Clear</v>
      </c>
      <c r="BC481" s="263"/>
      <c r="BD481" s="257"/>
      <c r="BE481" s="257"/>
      <c r="BF481" s="106"/>
      <c r="BG481" s="257"/>
      <c r="BH481" s="257"/>
      <c r="BI481" s="106"/>
      <c r="BJ481" s="143"/>
      <c r="BK481" s="143"/>
      <c r="BL481" s="170"/>
      <c r="BM481" s="105"/>
      <c r="BN481" s="143"/>
      <c r="BO481" s="105"/>
      <c r="BP481" s="143"/>
      <c r="BQ481" s="83"/>
      <c r="BR481" s="71"/>
      <c r="BS481" s="71"/>
      <c r="BU481" s="78"/>
      <c r="BV481" s="32"/>
      <c r="BW481" s="127"/>
      <c r="BX481" s="78"/>
      <c r="BY481" s="78"/>
      <c r="BZ481" s="127"/>
      <c r="CA481" s="76"/>
    </row>
    <row r="482" spans="1:79" s="22" customFormat="1">
      <c r="A482" s="13" t="s">
        <v>2110</v>
      </c>
      <c r="B482" s="429" t="s">
        <v>2171</v>
      </c>
      <c r="C482" s="13" t="s">
        <v>2172</v>
      </c>
      <c r="D482" s="13" t="s">
        <v>2173</v>
      </c>
      <c r="E482" s="13" t="s">
        <v>118</v>
      </c>
      <c r="F482" s="13" t="s">
        <v>119</v>
      </c>
      <c r="G482" s="13" t="s">
        <v>2174</v>
      </c>
      <c r="H482" s="13" t="s">
        <v>146</v>
      </c>
      <c r="I482" s="13" t="s">
        <v>147</v>
      </c>
      <c r="J482" s="13" t="s">
        <v>5</v>
      </c>
      <c r="K482" s="13" t="s">
        <v>123</v>
      </c>
      <c r="L482" s="13" t="s">
        <v>2175</v>
      </c>
      <c r="M482" s="13" t="s">
        <v>125</v>
      </c>
      <c r="N482" s="13" t="s">
        <v>12</v>
      </c>
      <c r="O482" s="247">
        <v>0.2</v>
      </c>
      <c r="P482" s="13">
        <v>103</v>
      </c>
      <c r="Q482" s="13">
        <v>20</v>
      </c>
      <c r="R482" s="13" t="s">
        <v>127</v>
      </c>
      <c r="S482" s="430" t="str">
        <f t="shared" si="221"/>
        <v>N/A</v>
      </c>
      <c r="T482" s="247">
        <v>0.8</v>
      </c>
      <c r="U482" s="13">
        <v>270</v>
      </c>
      <c r="V482" s="13">
        <v>660</v>
      </c>
      <c r="W482" s="430">
        <f t="shared" si="211"/>
        <v>390</v>
      </c>
      <c r="X482" s="430">
        <f t="shared" si="212"/>
        <v>170</v>
      </c>
      <c r="Y482" s="13">
        <v>260</v>
      </c>
      <c r="Z482" s="13">
        <v>660</v>
      </c>
      <c r="AA482" s="430">
        <f t="shared" si="222"/>
        <v>400</v>
      </c>
      <c r="AB482" s="430">
        <f t="shared" si="223"/>
        <v>170</v>
      </c>
      <c r="AC482" s="430" t="str">
        <f t="shared" si="224"/>
        <v>N/A</v>
      </c>
      <c r="AD482" s="430">
        <f t="shared" si="225"/>
        <v>83</v>
      </c>
      <c r="AE482" s="431">
        <f t="shared" si="226"/>
        <v>0.96600000000000008</v>
      </c>
      <c r="AF482" s="431"/>
      <c r="AG482" s="431">
        <f t="shared" si="227"/>
        <v>0.899116504854369</v>
      </c>
      <c r="AH482" s="431">
        <f t="shared" si="228"/>
        <v>0.95306349514563116</v>
      </c>
      <c r="AI482" s="432">
        <f t="shared" si="229"/>
        <v>861.02103999999997</v>
      </c>
      <c r="AJ482" s="432">
        <f t="shared" si="230"/>
        <v>173.04938720482198</v>
      </c>
      <c r="AK482" s="432">
        <f t="shared" si="231"/>
        <v>189.21615593249291</v>
      </c>
      <c r="AL482" s="432">
        <f t="shared" si="232"/>
        <v>376.13441448846942</v>
      </c>
      <c r="AM482" s="250">
        <v>376</v>
      </c>
      <c r="AN482" s="432">
        <f t="shared" si="233"/>
        <v>387.28</v>
      </c>
      <c r="AO482" s="432">
        <f t="shared" si="234"/>
        <v>369.1024304</v>
      </c>
      <c r="AP482" s="432">
        <f t="shared" si="235"/>
        <v>1845.512152</v>
      </c>
      <c r="AQ482" s="255">
        <v>45627</v>
      </c>
      <c r="AR482" s="255" t="s">
        <v>2176</v>
      </c>
      <c r="AS482" s="434"/>
      <c r="AT482" s="429"/>
      <c r="AU482" s="241"/>
      <c r="AV482" s="243"/>
      <c r="AW482" s="72"/>
      <c r="AX482" s="243"/>
      <c r="AY482" s="103"/>
      <c r="AZ482" s="72"/>
      <c r="BA482" s="13"/>
      <c r="BB482" s="72"/>
      <c r="BC482" s="32"/>
      <c r="BD482" s="241"/>
      <c r="BE482" s="241"/>
      <c r="BF482" s="71"/>
      <c r="BG482" s="241"/>
      <c r="BH482" s="241"/>
      <c r="BI482" s="71"/>
      <c r="BJ482" s="111"/>
      <c r="BK482" s="83"/>
      <c r="BL482" s="83"/>
      <c r="BM482" s="83"/>
      <c r="BN482" s="71"/>
      <c r="BO482" s="103"/>
      <c r="BP482" s="103"/>
      <c r="BQ482" s="108"/>
      <c r="BR482" s="71"/>
      <c r="BS482" s="71"/>
      <c r="BT482" s="72"/>
      <c r="BU482" s="78"/>
      <c r="BV482" s="32"/>
      <c r="BW482" s="127"/>
      <c r="BX482" s="78"/>
      <c r="BY482" s="78"/>
      <c r="BZ482" s="127"/>
      <c r="CA482" s="76"/>
    </row>
    <row r="483" spans="1:79" s="22" customFormat="1">
      <c r="A483" s="13" t="s">
        <v>2110</v>
      </c>
      <c r="B483" s="429" t="s">
        <v>2171</v>
      </c>
      <c r="C483" s="13" t="s">
        <v>463</v>
      </c>
      <c r="D483" s="13" t="s">
        <v>2177</v>
      </c>
      <c r="E483" s="13" t="s">
        <v>118</v>
      </c>
      <c r="F483" s="13" t="s">
        <v>119</v>
      </c>
      <c r="G483" s="13" t="s">
        <v>2178</v>
      </c>
      <c r="H483" s="13" t="s">
        <v>146</v>
      </c>
      <c r="I483" s="13" t="s">
        <v>122</v>
      </c>
      <c r="J483" s="13" t="s">
        <v>5</v>
      </c>
      <c r="K483" s="13" t="s">
        <v>123</v>
      </c>
      <c r="L483" s="13" t="s">
        <v>228</v>
      </c>
      <c r="M483" s="13" t="s">
        <v>125</v>
      </c>
      <c r="N483" s="13" t="s">
        <v>12</v>
      </c>
      <c r="O483" s="247">
        <v>0.22</v>
      </c>
      <c r="P483" s="13">
        <v>121</v>
      </c>
      <c r="Q483" s="13">
        <v>20</v>
      </c>
      <c r="R483" s="13" t="s">
        <v>127</v>
      </c>
      <c r="S483" s="430" t="str">
        <f t="shared" si="221"/>
        <v>N/A</v>
      </c>
      <c r="T483" s="247">
        <v>0.8</v>
      </c>
      <c r="U483" s="13">
        <v>230</v>
      </c>
      <c r="V483" s="13">
        <v>860</v>
      </c>
      <c r="W483" s="430">
        <f t="shared" si="211"/>
        <v>630</v>
      </c>
      <c r="X483" s="430">
        <f t="shared" si="212"/>
        <v>150</v>
      </c>
      <c r="Y483" s="13">
        <v>230</v>
      </c>
      <c r="Z483" s="13">
        <v>860</v>
      </c>
      <c r="AA483" s="430">
        <f t="shared" si="222"/>
        <v>630</v>
      </c>
      <c r="AB483" s="430">
        <f t="shared" si="223"/>
        <v>150</v>
      </c>
      <c r="AC483" s="430" t="str">
        <f t="shared" si="224"/>
        <v>N/A</v>
      </c>
      <c r="AD483" s="430">
        <f t="shared" si="225"/>
        <v>101</v>
      </c>
      <c r="AE483" s="431">
        <f t="shared" si="226"/>
        <v>1.0222</v>
      </c>
      <c r="AF483" s="431"/>
      <c r="AG483" s="431">
        <f t="shared" si="227"/>
        <v>0.92946363636363638</v>
      </c>
      <c r="AH483" s="431">
        <f t="shared" si="228"/>
        <v>0.98523145454545458</v>
      </c>
      <c r="AI483" s="432">
        <f t="shared" si="229"/>
        <v>862.32314400000007</v>
      </c>
      <c r="AJ483" s="432">
        <f t="shared" si="230"/>
        <v>163.53522602216594</v>
      </c>
      <c r="AK483" s="432">
        <f t="shared" si="231"/>
        <v>178.81315459869708</v>
      </c>
      <c r="AL483" s="432">
        <f t="shared" si="232"/>
        <v>355.4547489687551</v>
      </c>
      <c r="AM483" s="250">
        <v>179</v>
      </c>
      <c r="AN483" s="432">
        <f t="shared" si="233"/>
        <v>216.59</v>
      </c>
      <c r="AO483" s="432">
        <f t="shared" si="234"/>
        <v>213.39128074000001</v>
      </c>
      <c r="AP483" s="432">
        <f t="shared" si="235"/>
        <v>1066.9564037</v>
      </c>
      <c r="AQ483" s="255" t="s">
        <v>132</v>
      </c>
      <c r="AR483" s="255" t="s">
        <v>2179</v>
      </c>
      <c r="AS483" s="434"/>
      <c r="AT483" s="429"/>
      <c r="AU483" s="241"/>
      <c r="AV483" s="243"/>
      <c r="AW483" s="72"/>
      <c r="AX483" s="243"/>
      <c r="AY483" s="103"/>
      <c r="AZ483" s="72"/>
      <c r="BA483" s="13"/>
      <c r="BB483" s="72"/>
      <c r="BC483" s="32"/>
      <c r="BD483" s="241"/>
      <c r="BE483" s="241"/>
      <c r="BF483" s="71"/>
      <c r="BG483" s="241"/>
      <c r="BH483" s="241"/>
      <c r="BI483" s="71"/>
      <c r="BJ483" s="111"/>
      <c r="BK483" s="83"/>
      <c r="BL483" s="83"/>
      <c r="BM483" s="83"/>
      <c r="BN483" s="71"/>
      <c r="BO483" s="103"/>
      <c r="BP483" s="103"/>
      <c r="BQ483" s="108"/>
      <c r="BR483" s="71"/>
      <c r="BS483" s="71"/>
      <c r="BT483" s="72"/>
      <c r="BU483" s="78"/>
      <c r="BV483" s="32"/>
      <c r="BW483" s="127"/>
      <c r="BX483" s="78"/>
      <c r="BY483" s="78"/>
      <c r="BZ483" s="127"/>
      <c r="CA483" s="76"/>
    </row>
    <row r="484" spans="1:79" s="22" customFormat="1" ht="29.1">
      <c r="A484" s="13" t="s">
        <v>2110</v>
      </c>
      <c r="B484" s="429" t="s">
        <v>2171</v>
      </c>
      <c r="C484" s="13" t="s">
        <v>548</v>
      </c>
      <c r="D484" s="13" t="s">
        <v>2180</v>
      </c>
      <c r="E484" s="13" t="s">
        <v>118</v>
      </c>
      <c r="F484" s="13" t="s">
        <v>119</v>
      </c>
      <c r="G484" s="13" t="s">
        <v>2181</v>
      </c>
      <c r="H484" s="13" t="s">
        <v>146</v>
      </c>
      <c r="I484" s="13" t="s">
        <v>147</v>
      </c>
      <c r="J484" s="13" t="s">
        <v>5</v>
      </c>
      <c r="K484" s="13" t="s">
        <v>123</v>
      </c>
      <c r="L484" s="13" t="s">
        <v>2182</v>
      </c>
      <c r="M484" s="13" t="s">
        <v>125</v>
      </c>
      <c r="N484" s="387" t="s">
        <v>251</v>
      </c>
      <c r="O484" s="247">
        <v>0.25</v>
      </c>
      <c r="P484" s="13">
        <v>119</v>
      </c>
      <c r="Q484" s="13">
        <v>20</v>
      </c>
      <c r="R484" s="13" t="s">
        <v>127</v>
      </c>
      <c r="S484" s="430" t="str">
        <f t="shared" si="221"/>
        <v>N/A</v>
      </c>
      <c r="T484" s="247">
        <v>0.8</v>
      </c>
      <c r="U484" s="13">
        <v>238</v>
      </c>
      <c r="V484" s="13">
        <v>854</v>
      </c>
      <c r="W484" s="430">
        <f t="shared" si="211"/>
        <v>616</v>
      </c>
      <c r="X484" s="430">
        <f t="shared" si="212"/>
        <v>136</v>
      </c>
      <c r="Y484" s="13">
        <v>230</v>
      </c>
      <c r="Z484" s="13">
        <v>860</v>
      </c>
      <c r="AA484" s="430">
        <f t="shared" si="222"/>
        <v>630</v>
      </c>
      <c r="AB484" s="430">
        <f t="shared" si="223"/>
        <v>130</v>
      </c>
      <c r="AC484" s="430" t="str">
        <f t="shared" si="224"/>
        <v>N/A</v>
      </c>
      <c r="AD484" s="430">
        <f t="shared" si="225"/>
        <v>99</v>
      </c>
      <c r="AE484" s="431">
        <f t="shared" si="226"/>
        <v>1.0475000000000001</v>
      </c>
      <c r="AF484" s="431"/>
      <c r="AG484" s="431">
        <f t="shared" si="227"/>
        <v>0.94454831932773109</v>
      </c>
      <c r="AH484" s="431">
        <f t="shared" si="228"/>
        <v>1.001221218487395</v>
      </c>
      <c r="AI484" s="432">
        <f t="shared" si="229"/>
        <v>864.27630000000011</v>
      </c>
      <c r="AJ484" s="432">
        <f t="shared" si="230"/>
        <v>159.58540147003151</v>
      </c>
      <c r="AK484" s="432">
        <f t="shared" si="231"/>
        <v>174.49432613917725</v>
      </c>
      <c r="AL484" s="432">
        <f t="shared" si="232"/>
        <v>346.86954118936649</v>
      </c>
      <c r="AM484" s="250">
        <v>347</v>
      </c>
      <c r="AN484" s="432">
        <f t="shared" si="233"/>
        <v>412.93</v>
      </c>
      <c r="AO484" s="432">
        <f t="shared" si="234"/>
        <v>413.43427775000004</v>
      </c>
      <c r="AP484" s="432">
        <f t="shared" si="235"/>
        <v>2067.17138875</v>
      </c>
      <c r="AQ484" s="255">
        <v>45627</v>
      </c>
      <c r="AR484" s="255" t="s">
        <v>2176</v>
      </c>
      <c r="AS484" s="434"/>
      <c r="AT484" s="429"/>
      <c r="AU484" s="241"/>
      <c r="AV484" s="243"/>
      <c r="AW484" s="72"/>
      <c r="AX484" s="243"/>
      <c r="AY484" s="103"/>
      <c r="AZ484" s="72"/>
      <c r="BA484" s="13"/>
      <c r="BB484" s="72"/>
      <c r="BC484" s="32"/>
      <c r="BD484" s="241"/>
      <c r="BE484" s="241"/>
      <c r="BF484" s="71"/>
      <c r="BG484" s="241"/>
      <c r="BH484" s="241"/>
      <c r="BI484" s="71"/>
      <c r="BJ484" s="111"/>
      <c r="BK484" s="83"/>
      <c r="BL484" s="83"/>
      <c r="BM484" s="83"/>
      <c r="BN484" s="71"/>
      <c r="BO484" s="103"/>
      <c r="BP484" s="103"/>
      <c r="BQ484" s="144"/>
      <c r="BR484" s="140"/>
      <c r="BS484" s="106"/>
      <c r="BT484" s="262"/>
      <c r="BU484" s="269"/>
      <c r="BV484" s="263"/>
      <c r="BW484" s="132"/>
      <c r="BX484" s="269"/>
      <c r="BY484" s="269"/>
      <c r="BZ484" s="132"/>
      <c r="CA484" s="271"/>
    </row>
    <row r="485" spans="1:79" s="22" customFormat="1" ht="29.1">
      <c r="A485" s="13" t="s">
        <v>2110</v>
      </c>
      <c r="B485" s="429" t="s">
        <v>2171</v>
      </c>
      <c r="C485" s="13" t="s">
        <v>548</v>
      </c>
      <c r="D485" s="13" t="s">
        <v>2183</v>
      </c>
      <c r="E485" s="13" t="s">
        <v>118</v>
      </c>
      <c r="F485" s="13" t="s">
        <v>119</v>
      </c>
      <c r="G485" s="13" t="s">
        <v>2184</v>
      </c>
      <c r="H485" s="13" t="s">
        <v>146</v>
      </c>
      <c r="I485" s="13" t="s">
        <v>147</v>
      </c>
      <c r="J485" s="13" t="s">
        <v>5</v>
      </c>
      <c r="K485" s="13" t="s">
        <v>123</v>
      </c>
      <c r="L485" s="13" t="s">
        <v>2185</v>
      </c>
      <c r="M485" s="13" t="s">
        <v>125</v>
      </c>
      <c r="N485" s="387" t="s">
        <v>251</v>
      </c>
      <c r="O485" s="247">
        <v>0.54</v>
      </c>
      <c r="P485" s="13">
        <v>104</v>
      </c>
      <c r="Q485" s="13">
        <v>30</v>
      </c>
      <c r="R485" s="13" t="s">
        <v>127</v>
      </c>
      <c r="S485" s="430" t="str">
        <f t="shared" si="221"/>
        <v>N/A</v>
      </c>
      <c r="T485" s="247">
        <v>0.8</v>
      </c>
      <c r="U485" s="13">
        <v>300</v>
      </c>
      <c r="V485" s="13">
        <v>580</v>
      </c>
      <c r="W485" s="430">
        <f t="shared" si="211"/>
        <v>280</v>
      </c>
      <c r="X485" s="430">
        <f t="shared" si="212"/>
        <v>160</v>
      </c>
      <c r="Y485" s="13">
        <v>250</v>
      </c>
      <c r="Z485" s="13">
        <v>650</v>
      </c>
      <c r="AA485" s="430">
        <f t="shared" si="222"/>
        <v>400</v>
      </c>
      <c r="AB485" s="430">
        <f t="shared" si="223"/>
        <v>90</v>
      </c>
      <c r="AC485" s="430" t="str">
        <f t="shared" si="224"/>
        <v>N/A</v>
      </c>
      <c r="AD485" s="430">
        <f t="shared" si="225"/>
        <v>74</v>
      </c>
      <c r="AE485" s="431">
        <f t="shared" si="226"/>
        <v>1.1996</v>
      </c>
      <c r="AF485" s="431"/>
      <c r="AG485" s="431">
        <f t="shared" si="227"/>
        <v>1.0574346153846155</v>
      </c>
      <c r="AH485" s="431">
        <f t="shared" si="228"/>
        <v>1.1208806923076924</v>
      </c>
      <c r="AI485" s="432">
        <f t="shared" si="229"/>
        <v>883.15680800000007</v>
      </c>
      <c r="AJ485" s="432">
        <f t="shared" si="230"/>
        <v>139.35120710224911</v>
      </c>
      <c r="AK485" s="432">
        <f t="shared" si="231"/>
        <v>152.36979545747599</v>
      </c>
      <c r="AL485" s="432">
        <f t="shared" si="232"/>
        <v>302.88916671879082</v>
      </c>
      <c r="AM485" s="250">
        <v>303</v>
      </c>
      <c r="AN485" s="432">
        <f t="shared" si="233"/>
        <v>315.12</v>
      </c>
      <c r="AO485" s="432">
        <f t="shared" si="234"/>
        <v>353.21192376000005</v>
      </c>
      <c r="AP485" s="432">
        <f t="shared" si="235"/>
        <v>1177.3730792000001</v>
      </c>
      <c r="AQ485" s="255">
        <v>45627</v>
      </c>
      <c r="AR485" s="255" t="s">
        <v>2176</v>
      </c>
      <c r="AS485" s="434"/>
      <c r="AT485" s="429"/>
      <c r="AU485" s="241"/>
      <c r="AV485" s="243"/>
      <c r="AW485" s="72"/>
      <c r="AX485" s="243"/>
      <c r="AY485" s="103"/>
      <c r="AZ485" s="72"/>
      <c r="BA485" s="13"/>
      <c r="BB485" s="72"/>
      <c r="BC485" s="32"/>
      <c r="BD485" s="241"/>
      <c r="BE485" s="241"/>
      <c r="BF485" s="71"/>
      <c r="BG485" s="241"/>
      <c r="BH485" s="241"/>
      <c r="BI485" s="71"/>
      <c r="BJ485" s="111"/>
      <c r="BK485" s="83"/>
      <c r="BL485" s="83"/>
      <c r="BM485" s="83"/>
      <c r="BN485" s="71"/>
      <c r="BO485" s="103"/>
      <c r="BP485" s="103"/>
      <c r="BQ485" s="111"/>
      <c r="BR485" s="193"/>
      <c r="BS485" s="193"/>
      <c r="BT485" s="13"/>
      <c r="BU485" s="79"/>
      <c r="BV485" s="29"/>
      <c r="BW485" s="86"/>
      <c r="BX485" s="79"/>
      <c r="BY485" s="79"/>
      <c r="BZ485" s="86"/>
      <c r="CA485" s="76"/>
    </row>
    <row r="486" spans="1:79" s="22" customFormat="1">
      <c r="A486" s="13" t="s">
        <v>2110</v>
      </c>
      <c r="B486" s="13" t="s">
        <v>2186</v>
      </c>
      <c r="C486" s="13" t="s">
        <v>430</v>
      </c>
      <c r="D486" s="13" t="s">
        <v>2187</v>
      </c>
      <c r="E486" s="13" t="s">
        <v>118</v>
      </c>
      <c r="F486" s="13" t="s">
        <v>119</v>
      </c>
      <c r="G486" s="13" t="s">
        <v>2188</v>
      </c>
      <c r="H486" s="13" t="s">
        <v>146</v>
      </c>
      <c r="I486" s="13" t="s">
        <v>147</v>
      </c>
      <c r="J486" s="13" t="s">
        <v>5</v>
      </c>
      <c r="K486" s="13" t="s">
        <v>123</v>
      </c>
      <c r="L486" s="13" t="s">
        <v>2189</v>
      </c>
      <c r="M486" s="13" t="s">
        <v>125</v>
      </c>
      <c r="N486" s="13" t="s">
        <v>12</v>
      </c>
      <c r="O486" s="247">
        <v>0.4</v>
      </c>
      <c r="P486" s="13">
        <v>98</v>
      </c>
      <c r="Q486" s="13">
        <v>26</v>
      </c>
      <c r="R486" s="13" t="s">
        <v>127</v>
      </c>
      <c r="S486" s="430" t="str">
        <f t="shared" si="221"/>
        <v>N/A</v>
      </c>
      <c r="T486" s="247">
        <v>0.8</v>
      </c>
      <c r="U486" s="13">
        <v>215</v>
      </c>
      <c r="V486" s="13">
        <f>215+381</f>
        <v>596</v>
      </c>
      <c r="W486" s="430">
        <f t="shared" si="211"/>
        <v>381</v>
      </c>
      <c r="X486" s="430">
        <f t="shared" si="212"/>
        <v>124</v>
      </c>
      <c r="Y486" s="13">
        <v>196</v>
      </c>
      <c r="Z486" s="13">
        <f>V486</f>
        <v>596</v>
      </c>
      <c r="AA486" s="430">
        <f t="shared" si="222"/>
        <v>400</v>
      </c>
      <c r="AB486" s="430">
        <f t="shared" si="223"/>
        <v>124</v>
      </c>
      <c r="AC486" s="430" t="str">
        <f t="shared" si="224"/>
        <v>N/A</v>
      </c>
      <c r="AD486" s="430">
        <f t="shared" si="225"/>
        <v>72</v>
      </c>
      <c r="AE486" s="431">
        <f t="shared" si="226"/>
        <v>1.0880000000000001</v>
      </c>
      <c r="AF486" s="431"/>
      <c r="AG486" s="431">
        <f t="shared" si="227"/>
        <v>0.98220408163265305</v>
      </c>
      <c r="AH486" s="431">
        <f t="shared" si="228"/>
        <v>1.0411363265306122</v>
      </c>
      <c r="AI486" s="432">
        <f t="shared" si="229"/>
        <v>874.04208000000006</v>
      </c>
      <c r="AJ486" s="432">
        <f t="shared" si="230"/>
        <v>153.64495224251655</v>
      </c>
      <c r="AK486" s="432">
        <f t="shared" si="231"/>
        <v>167.99890315329793</v>
      </c>
      <c r="AL486" s="432">
        <f t="shared" si="232"/>
        <v>333.95757756972563</v>
      </c>
      <c r="AM486" s="250">
        <v>168</v>
      </c>
      <c r="AN486" s="432">
        <f t="shared" si="233"/>
        <v>164.64</v>
      </c>
      <c r="AO486" s="432">
        <f t="shared" si="234"/>
        <v>171.41268479999997</v>
      </c>
      <c r="AP486" s="432">
        <f t="shared" si="235"/>
        <v>659.27955692307671</v>
      </c>
      <c r="AQ486" s="255">
        <v>44593</v>
      </c>
      <c r="AR486" s="255" t="s">
        <v>2190</v>
      </c>
      <c r="AS486" s="429"/>
      <c r="AT486" s="429" t="s">
        <v>2191</v>
      </c>
      <c r="AU486" s="250"/>
      <c r="AV486" s="255"/>
      <c r="AW486" s="13" t="s">
        <v>127</v>
      </c>
      <c r="AX486" s="243"/>
      <c r="AY486" s="103">
        <f t="shared" ref="AY486:AY502" si="239">(V486/10)/P486</f>
        <v>0.60816326530612241</v>
      </c>
      <c r="AZ486" s="72"/>
      <c r="BA486" s="13" t="str">
        <f t="shared" ref="BA486:BA500" si="240">LEFT(G486,3)</f>
        <v>W22</v>
      </c>
      <c r="BB486" s="72" t="str">
        <f>IF(R486="n/a","Clear","S/B")</f>
        <v>Clear</v>
      </c>
      <c r="BC486" s="32">
        <f>IF(Q486="","",((P486/100*O486)+T486))</f>
        <v>1.1920000000000002</v>
      </c>
      <c r="BD486" s="241">
        <f>IF(BC486="","",((PI()*((51/2)^2-(16.545/2)^2)/(BC486/10))/100))</f>
        <v>153.34128073052699</v>
      </c>
      <c r="BE486" s="241">
        <f>IF(BC486="","",(BD486-AK486))</f>
        <v>-14.657622422770942</v>
      </c>
      <c r="BF486" s="71">
        <f>IF(BC486="","",(BE486/AK486))</f>
        <v>-8.7248322147650895E-2</v>
      </c>
      <c r="BG486" s="241">
        <f>IF(BF486="","",((PI()*((70/2)^2-(16.545/2)^2)/(BC486/10))/100))</f>
        <v>304.82033925827301</v>
      </c>
      <c r="BH486" s="241">
        <f>IF(BF486="","",(BG486-AL486))</f>
        <v>-29.13723831145262</v>
      </c>
      <c r="BI486" s="71">
        <f>IF(BG486="","",(BH486/AL486))</f>
        <v>-8.7248322147651158E-2</v>
      </c>
      <c r="BJ486" s="114">
        <v>18.53</v>
      </c>
      <c r="BK486" s="111"/>
      <c r="BL486" s="112"/>
      <c r="BM486" s="101"/>
      <c r="BN486" s="123"/>
      <c r="BO486" s="83"/>
      <c r="BP486" s="83"/>
      <c r="BQ486" s="108"/>
      <c r="BR486" s="71"/>
      <c r="BS486" s="71"/>
      <c r="BT486" s="72"/>
      <c r="BU486" s="78"/>
      <c r="BV486" s="32"/>
      <c r="BW486" s="127"/>
      <c r="BX486" s="78"/>
      <c r="BY486" s="78"/>
      <c r="BZ486" s="127"/>
      <c r="CA486" s="76"/>
    </row>
    <row r="487" spans="1:79" s="22" customFormat="1">
      <c r="A487" s="13" t="s">
        <v>2110</v>
      </c>
      <c r="B487" s="13" t="s">
        <v>2186</v>
      </c>
      <c r="C487" s="13" t="s">
        <v>151</v>
      </c>
      <c r="D487" s="429" t="s">
        <v>2192</v>
      </c>
      <c r="E487" s="13" t="s">
        <v>137</v>
      </c>
      <c r="F487" s="13" t="s">
        <v>119</v>
      </c>
      <c r="G487" s="13" t="s">
        <v>2193</v>
      </c>
      <c r="H487" s="13" t="s">
        <v>146</v>
      </c>
      <c r="I487" s="13" t="s">
        <v>147</v>
      </c>
      <c r="J487" s="13" t="s">
        <v>5</v>
      </c>
      <c r="K487" s="13" t="s">
        <v>140</v>
      </c>
      <c r="L487" s="13"/>
      <c r="M487" s="13" t="s">
        <v>125</v>
      </c>
      <c r="N487" s="13" t="s">
        <v>12</v>
      </c>
      <c r="O487" s="247">
        <v>0.41</v>
      </c>
      <c r="P487" s="13">
        <v>105</v>
      </c>
      <c r="Q487" s="13">
        <v>25</v>
      </c>
      <c r="R487" s="13" t="s">
        <v>127</v>
      </c>
      <c r="S487" s="430" t="str">
        <f t="shared" si="221"/>
        <v>N/A</v>
      </c>
      <c r="T487" s="247">
        <v>0.76</v>
      </c>
      <c r="U487" s="13">
        <v>235</v>
      </c>
      <c r="V487" s="13">
        <v>615</v>
      </c>
      <c r="W487" s="430">
        <f t="shared" si="211"/>
        <v>380</v>
      </c>
      <c r="X487" s="430">
        <f t="shared" si="212"/>
        <v>185</v>
      </c>
      <c r="Y487" s="13">
        <v>220</v>
      </c>
      <c r="Z487" s="13">
        <v>620</v>
      </c>
      <c r="AA487" s="430">
        <f t="shared" si="222"/>
        <v>400</v>
      </c>
      <c r="AB487" s="430">
        <f t="shared" si="223"/>
        <v>180</v>
      </c>
      <c r="AC487" s="430" t="str">
        <f t="shared" si="224"/>
        <v>N/A</v>
      </c>
      <c r="AD487" s="430">
        <f t="shared" si="225"/>
        <v>80</v>
      </c>
      <c r="AE487" s="431">
        <f t="shared" si="226"/>
        <v>1.0880000000000001</v>
      </c>
      <c r="AF487" s="431"/>
      <c r="AG487" s="431">
        <f t="shared" si="227"/>
        <v>0.96304761904761904</v>
      </c>
      <c r="AH487" s="431">
        <f t="shared" si="228"/>
        <v>1.0256457142857143</v>
      </c>
      <c r="AI487" s="432">
        <f t="shared" si="229"/>
        <v>836.21904300000006</v>
      </c>
      <c r="AJ487" s="432">
        <f t="shared" si="230"/>
        <v>153.64495224251655</v>
      </c>
      <c r="AK487" s="432">
        <f t="shared" si="231"/>
        <v>167.99890315329793</v>
      </c>
      <c r="AL487" s="432">
        <f t="shared" si="232"/>
        <v>333.95757756972563</v>
      </c>
      <c r="AM487" s="250">
        <v>334</v>
      </c>
      <c r="AN487" s="432">
        <f t="shared" si="233"/>
        <v>350.7</v>
      </c>
      <c r="AO487" s="432">
        <f t="shared" si="234"/>
        <v>359.69395199999997</v>
      </c>
      <c r="AP487" s="432">
        <f t="shared" si="235"/>
        <v>1438.7758079999999</v>
      </c>
      <c r="AQ487" s="255" t="s">
        <v>132</v>
      </c>
      <c r="AR487" s="13" t="s">
        <v>2194</v>
      </c>
      <c r="AS487" s="429"/>
      <c r="AT487" s="429"/>
      <c r="AU487" s="298"/>
      <c r="AV487" s="255"/>
      <c r="AW487" s="13"/>
      <c r="AX487" s="255"/>
      <c r="AY487" s="103">
        <f t="shared" si="239"/>
        <v>0.58571428571428574</v>
      </c>
      <c r="AZ487" s="13"/>
      <c r="BA487" s="13" t="str">
        <f t="shared" si="240"/>
        <v>W20</v>
      </c>
      <c r="BB487" s="13"/>
      <c r="BC487" s="29"/>
      <c r="BD487" s="250"/>
      <c r="BE487" s="250"/>
      <c r="BF487" s="103"/>
      <c r="BG487" s="250"/>
      <c r="BH487" s="250"/>
      <c r="BI487" s="103"/>
      <c r="BJ487" s="111"/>
      <c r="BK487" s="111"/>
      <c r="BL487" s="83"/>
      <c r="BM487" s="83"/>
      <c r="BN487" s="103"/>
      <c r="BO487" s="83"/>
      <c r="BP487" s="83"/>
      <c r="BQ487" s="115"/>
      <c r="BR487" s="113"/>
      <c r="BS487" s="80"/>
      <c r="BU487" s="87"/>
      <c r="BV487" s="73"/>
      <c r="BW487" s="109"/>
      <c r="BX487" s="87"/>
      <c r="BY487" s="87"/>
      <c r="BZ487" s="109"/>
      <c r="CA487" s="76"/>
    </row>
    <row r="488" spans="1:79" s="22" customFormat="1" ht="29.1">
      <c r="A488" s="13" t="s">
        <v>2110</v>
      </c>
      <c r="B488" s="13" t="s">
        <v>2186</v>
      </c>
      <c r="C488" s="13" t="s">
        <v>2195</v>
      </c>
      <c r="D488" s="429" t="s">
        <v>2196</v>
      </c>
      <c r="E488" s="13" t="s">
        <v>118</v>
      </c>
      <c r="F488" s="13" t="s">
        <v>186</v>
      </c>
      <c r="G488" s="13" t="s">
        <v>2197</v>
      </c>
      <c r="H488" s="13" t="s">
        <v>146</v>
      </c>
      <c r="I488" s="13" t="s">
        <v>147</v>
      </c>
      <c r="J488" s="13" t="s">
        <v>5</v>
      </c>
      <c r="K488" s="13" t="s">
        <v>123</v>
      </c>
      <c r="L488" s="13" t="s">
        <v>2198</v>
      </c>
      <c r="M488" s="13" t="s">
        <v>125</v>
      </c>
      <c r="N488" s="387" t="s">
        <v>251</v>
      </c>
      <c r="O488" s="247">
        <v>0.67</v>
      </c>
      <c r="P488" s="13">
        <v>110</v>
      </c>
      <c r="Q488" s="13">
        <v>30</v>
      </c>
      <c r="R488" s="13" t="s">
        <v>127</v>
      </c>
      <c r="S488" s="430" t="str">
        <f t="shared" si="221"/>
        <v>N/A</v>
      </c>
      <c r="T488" s="247">
        <v>0.8</v>
      </c>
      <c r="U488" s="13">
        <v>280</v>
      </c>
      <c r="V488" s="13">
        <v>600</v>
      </c>
      <c r="W488" s="430">
        <f t="shared" si="211"/>
        <v>320</v>
      </c>
      <c r="X488" s="430">
        <f t="shared" si="212"/>
        <v>200</v>
      </c>
      <c r="Y488" s="13">
        <v>200</v>
      </c>
      <c r="Z488" s="13">
        <v>600</v>
      </c>
      <c r="AA488" s="430">
        <f t="shared" si="222"/>
        <v>400</v>
      </c>
      <c r="AB488" s="430">
        <f t="shared" si="223"/>
        <v>200</v>
      </c>
      <c r="AC488" s="430" t="str">
        <f t="shared" si="224"/>
        <v>N/A</v>
      </c>
      <c r="AD488" s="430">
        <f t="shared" si="225"/>
        <v>80</v>
      </c>
      <c r="AE488" s="431">
        <f t="shared" si="226"/>
        <v>1.3360000000000001</v>
      </c>
      <c r="AF488" s="431"/>
      <c r="AG488" s="431">
        <f t="shared" si="227"/>
        <v>1.1410909090909092</v>
      </c>
      <c r="AH488" s="431">
        <f t="shared" si="228"/>
        <v>1.2095563636363635</v>
      </c>
      <c r="AI488" s="432">
        <f t="shared" si="229"/>
        <v>891.62048400000003</v>
      </c>
      <c r="AJ488" s="432">
        <f t="shared" si="230"/>
        <v>125.1240329639656</v>
      </c>
      <c r="AK488" s="432">
        <f t="shared" si="231"/>
        <v>136.81347801705704</v>
      </c>
      <c r="AL488" s="432">
        <f t="shared" si="232"/>
        <v>271.9654523921119</v>
      </c>
      <c r="AM488" s="250">
        <v>272</v>
      </c>
      <c r="AN488" s="432">
        <f t="shared" si="233"/>
        <v>299.2</v>
      </c>
      <c r="AO488" s="432">
        <f t="shared" si="234"/>
        <v>361.89926399999996</v>
      </c>
      <c r="AP488" s="432">
        <f t="shared" si="235"/>
        <v>1206.33088</v>
      </c>
      <c r="AQ488" s="255">
        <v>45261</v>
      </c>
      <c r="AR488" s="255" t="s">
        <v>2199</v>
      </c>
      <c r="AS488" s="429" t="s">
        <v>2200</v>
      </c>
      <c r="AT488" s="429"/>
      <c r="AU488" s="257"/>
      <c r="AV488" s="259"/>
      <c r="AW488" s="262"/>
      <c r="AX488" s="259"/>
      <c r="AY488" s="102">
        <f t="shared" si="239"/>
        <v>0.54545454545454541</v>
      </c>
      <c r="AZ488" s="262"/>
      <c r="BA488" s="38" t="str">
        <f t="shared" si="240"/>
        <v>W22</v>
      </c>
      <c r="BB488" s="77"/>
      <c r="BC488" s="264"/>
      <c r="BD488" s="253"/>
      <c r="BE488" s="253"/>
      <c r="BF488" s="100"/>
      <c r="BG488" s="253"/>
      <c r="BH488" s="253"/>
      <c r="BI488" s="100"/>
      <c r="BJ488" s="143"/>
      <c r="BK488" s="139"/>
      <c r="BL488" s="191"/>
      <c r="BM488" s="101"/>
      <c r="BN488" s="162"/>
      <c r="BO488" s="101"/>
      <c r="BP488" s="139"/>
      <c r="BQ488" s="115"/>
      <c r="BR488" s="113"/>
      <c r="BS488" s="80"/>
      <c r="BU488" s="87"/>
      <c r="BV488" s="73"/>
      <c r="BW488" s="109"/>
      <c r="BX488" s="87"/>
      <c r="BY488" s="87"/>
      <c r="BZ488" s="109"/>
      <c r="CA488" s="76"/>
    </row>
    <row r="489" spans="1:79" s="22" customFormat="1" ht="29.1">
      <c r="A489" s="13" t="s">
        <v>2110</v>
      </c>
      <c r="B489" s="13" t="s">
        <v>2186</v>
      </c>
      <c r="C489" s="13" t="s">
        <v>2195</v>
      </c>
      <c r="D489" s="429" t="s">
        <v>2201</v>
      </c>
      <c r="E489" s="13" t="s">
        <v>118</v>
      </c>
      <c r="F489" s="13" t="s">
        <v>186</v>
      </c>
      <c r="G489" s="13" t="s">
        <v>2202</v>
      </c>
      <c r="H489" s="13" t="s">
        <v>146</v>
      </c>
      <c r="I489" s="13" t="s">
        <v>147</v>
      </c>
      <c r="J489" s="13" t="s">
        <v>5</v>
      </c>
      <c r="K489" s="13" t="s">
        <v>123</v>
      </c>
      <c r="L489" s="13" t="s">
        <v>2203</v>
      </c>
      <c r="M489" s="13" t="s">
        <v>125</v>
      </c>
      <c r="N489" s="387" t="s">
        <v>251</v>
      </c>
      <c r="O489" s="247">
        <v>0.6</v>
      </c>
      <c r="P489" s="13">
        <v>110</v>
      </c>
      <c r="Q489" s="13">
        <v>30</v>
      </c>
      <c r="R489" s="13" t="s">
        <v>127</v>
      </c>
      <c r="S489" s="430" t="str">
        <f t="shared" si="221"/>
        <v>N/A</v>
      </c>
      <c r="T489" s="247">
        <v>0.8</v>
      </c>
      <c r="U489" s="13">
        <v>280</v>
      </c>
      <c r="V489" s="13">
        <v>600</v>
      </c>
      <c r="W489" s="430">
        <f t="shared" si="211"/>
        <v>320</v>
      </c>
      <c r="X489" s="430">
        <f t="shared" si="212"/>
        <v>200</v>
      </c>
      <c r="Y489" s="13">
        <v>200</v>
      </c>
      <c r="Z489" s="13">
        <v>600</v>
      </c>
      <c r="AA489" s="430">
        <f t="shared" si="222"/>
        <v>400</v>
      </c>
      <c r="AB489" s="430">
        <f t="shared" si="223"/>
        <v>200</v>
      </c>
      <c r="AC489" s="430" t="str">
        <f t="shared" si="224"/>
        <v>N/A</v>
      </c>
      <c r="AD489" s="430">
        <f t="shared" si="225"/>
        <v>80</v>
      </c>
      <c r="AE489" s="431">
        <f t="shared" si="226"/>
        <v>1.28</v>
      </c>
      <c r="AF489" s="431"/>
      <c r="AG489" s="431">
        <f t="shared" si="227"/>
        <v>1.1054545454545455</v>
      </c>
      <c r="AH489" s="431">
        <f t="shared" si="228"/>
        <v>1.1717818181818183</v>
      </c>
      <c r="AI489" s="432">
        <f t="shared" si="229"/>
        <v>887.06312000000003</v>
      </c>
      <c r="AJ489" s="432">
        <f t="shared" si="230"/>
        <v>130.59820940613909</v>
      </c>
      <c r="AK489" s="432">
        <f t="shared" si="231"/>
        <v>142.79906768030324</v>
      </c>
      <c r="AL489" s="432">
        <f t="shared" si="232"/>
        <v>283.86394093426674</v>
      </c>
      <c r="AM489" s="250">
        <v>284</v>
      </c>
      <c r="AN489" s="432">
        <f t="shared" si="233"/>
        <v>312.39999999999998</v>
      </c>
      <c r="AO489" s="432">
        <f t="shared" si="234"/>
        <v>366.06464</v>
      </c>
      <c r="AP489" s="432">
        <f t="shared" si="235"/>
        <v>1220.2154666666668</v>
      </c>
      <c r="AQ489" s="255">
        <v>45261</v>
      </c>
      <c r="AR489" s="255" t="s">
        <v>2199</v>
      </c>
      <c r="AS489" s="429" t="s">
        <v>2204</v>
      </c>
      <c r="AT489" s="429"/>
      <c r="AU489" s="257"/>
      <c r="AV489" s="259"/>
      <c r="AW489" s="262"/>
      <c r="AX489" s="259"/>
      <c r="AY489" s="102">
        <f t="shared" si="239"/>
        <v>0.54545454545454541</v>
      </c>
      <c r="AZ489" s="262"/>
      <c r="BA489" s="38" t="str">
        <f t="shared" si="240"/>
        <v>W22</v>
      </c>
      <c r="BB489" s="77"/>
      <c r="BC489" s="264"/>
      <c r="BD489" s="253"/>
      <c r="BE489" s="253"/>
      <c r="BF489" s="100"/>
      <c r="BG489" s="253"/>
      <c r="BH489" s="253"/>
      <c r="BI489" s="100"/>
      <c r="BJ489" s="143"/>
      <c r="BK489" s="139"/>
      <c r="BL489" s="191"/>
      <c r="BM489" s="101"/>
      <c r="BN489" s="162"/>
      <c r="BO489" s="101"/>
      <c r="BP489" s="139"/>
      <c r="BQ489" s="115"/>
      <c r="BR489" s="113"/>
      <c r="BS489" s="80"/>
      <c r="BU489" s="87"/>
      <c r="BV489" s="73"/>
      <c r="BW489" s="109"/>
      <c r="BX489" s="87"/>
      <c r="BY489" s="87"/>
      <c r="BZ489" s="109"/>
      <c r="CA489" s="76"/>
    </row>
    <row r="490" spans="1:79" s="22" customFormat="1">
      <c r="A490" s="13" t="s">
        <v>2110</v>
      </c>
      <c r="B490" s="13" t="s">
        <v>2186</v>
      </c>
      <c r="C490" s="13" t="s">
        <v>2172</v>
      </c>
      <c r="D490" s="13" t="s">
        <v>2205</v>
      </c>
      <c r="E490" s="13" t="s">
        <v>118</v>
      </c>
      <c r="F490" s="13" t="s">
        <v>167</v>
      </c>
      <c r="G490" s="13" t="s">
        <v>2206</v>
      </c>
      <c r="H490" s="13" t="s">
        <v>146</v>
      </c>
      <c r="I490" s="13" t="s">
        <v>147</v>
      </c>
      <c r="J490" s="13" t="s">
        <v>5</v>
      </c>
      <c r="K490" s="13" t="s">
        <v>123</v>
      </c>
      <c r="L490" s="13" t="s">
        <v>2207</v>
      </c>
      <c r="M490" s="13" t="s">
        <v>125</v>
      </c>
      <c r="N490" s="13" t="s">
        <v>12</v>
      </c>
      <c r="O490" s="247">
        <v>0.35</v>
      </c>
      <c r="P490" s="13">
        <v>98</v>
      </c>
      <c r="Q490" s="13">
        <v>28</v>
      </c>
      <c r="R490" s="13" t="s">
        <v>127</v>
      </c>
      <c r="S490" s="430" t="str">
        <f t="shared" si="221"/>
        <v>N/A</v>
      </c>
      <c r="T490" s="247">
        <v>0.8</v>
      </c>
      <c r="U490" s="13">
        <v>260</v>
      </c>
      <c r="V490" s="13">
        <v>570</v>
      </c>
      <c r="W490" s="430">
        <f t="shared" si="211"/>
        <v>310</v>
      </c>
      <c r="X490" s="430">
        <f t="shared" si="212"/>
        <v>130</v>
      </c>
      <c r="Y490" s="13">
        <v>170</v>
      </c>
      <c r="Z490" s="13">
        <f>V490</f>
        <v>570</v>
      </c>
      <c r="AA490" s="430">
        <f t="shared" si="222"/>
        <v>400</v>
      </c>
      <c r="AB490" s="430">
        <f t="shared" si="223"/>
        <v>130</v>
      </c>
      <c r="AC490" s="430" t="str">
        <f t="shared" si="224"/>
        <v>N/A</v>
      </c>
      <c r="AD490" s="430">
        <f t="shared" si="225"/>
        <v>70</v>
      </c>
      <c r="AE490" s="431">
        <f t="shared" si="226"/>
        <v>1.0449999999999999</v>
      </c>
      <c r="AF490" s="431"/>
      <c r="AG490" s="431">
        <f t="shared" si="227"/>
        <v>0.95750000000000013</v>
      </c>
      <c r="AH490" s="431">
        <f t="shared" si="228"/>
        <v>1.0149500000000002</v>
      </c>
      <c r="AI490" s="432">
        <f t="shared" si="229"/>
        <v>870.78682000000003</v>
      </c>
      <c r="AJ490" s="432">
        <f t="shared" si="230"/>
        <v>159.9671847271369</v>
      </c>
      <c r="AK490" s="432">
        <f t="shared" si="231"/>
        <v>174.91177668018008</v>
      </c>
      <c r="AL490" s="432">
        <f t="shared" si="232"/>
        <v>347.69937262761863</v>
      </c>
      <c r="AM490" s="250">
        <v>175</v>
      </c>
      <c r="AN490" s="432">
        <f t="shared" si="233"/>
        <v>171.5</v>
      </c>
      <c r="AO490" s="432">
        <f t="shared" si="234"/>
        <v>174.06392500000004</v>
      </c>
      <c r="AP490" s="432">
        <f t="shared" si="235"/>
        <v>621.65687500000013</v>
      </c>
      <c r="AQ490" s="255" t="s">
        <v>170</v>
      </c>
      <c r="AR490" s="255" t="s">
        <v>2208</v>
      </c>
      <c r="AS490" s="429"/>
      <c r="AT490" s="429" t="s">
        <v>2209</v>
      </c>
      <c r="AU490" s="258" t="s">
        <v>1535</v>
      </c>
      <c r="AV490" s="243"/>
      <c r="AW490" s="72" t="s">
        <v>127</v>
      </c>
      <c r="AX490" s="243"/>
      <c r="AY490" s="103">
        <f t="shared" si="239"/>
        <v>0.58163265306122447</v>
      </c>
      <c r="AZ490" s="72"/>
      <c r="BA490" s="13" t="str">
        <f t="shared" si="240"/>
        <v>W22</v>
      </c>
      <c r="BB490" s="72" t="str">
        <f>IF(R490="n/a","Clear","S/B")</f>
        <v>Clear</v>
      </c>
      <c r="BC490" s="32">
        <f>IF(Q490="","",((P490/100*O490)+T490))</f>
        <v>1.143</v>
      </c>
      <c r="BD490" s="241">
        <f>IF(BC490="","",((PI()*((51/2)^2-(16.545/2)^2)/(BC490/10))/100))</f>
        <v>159.91496643113575</v>
      </c>
      <c r="BE490" s="241">
        <f>IF(BC490="","",(BD490-AK490))</f>
        <v>-14.99681024904433</v>
      </c>
      <c r="BF490" s="71">
        <f>IF(BC490="","",(BE490/AK490))</f>
        <v>-8.5739282589676391E-2</v>
      </c>
      <c r="BG490" s="241">
        <f>IF(BF490="","",((PI()*((70/2)^2-(16.545/2)^2)/(BC490/10))/100))</f>
        <v>317.88787786164607</v>
      </c>
      <c r="BH490" s="241">
        <f>IF(BF490="","",(BG490-AL490))</f>
        <v>-29.811494765972554</v>
      </c>
      <c r="BI490" s="71">
        <f>IF(BG490="","",(BH490/AL490))</f>
        <v>-8.5739282589676294E-2</v>
      </c>
      <c r="BJ490" s="123"/>
      <c r="BK490" s="108"/>
      <c r="BL490" s="108"/>
      <c r="BM490" s="108"/>
      <c r="BN490" s="71"/>
      <c r="BO490" s="83"/>
      <c r="BP490" s="83"/>
      <c r="BQ490" s="151"/>
      <c r="BR490" s="115"/>
      <c r="BS490" s="80"/>
      <c r="BU490" s="87"/>
      <c r="BV490" s="73"/>
      <c r="BW490" s="109"/>
      <c r="BX490" s="87"/>
      <c r="BY490" s="87"/>
      <c r="BZ490" s="109"/>
      <c r="CA490" s="284"/>
    </row>
    <row r="491" spans="1:79" s="22" customFormat="1" ht="29.1">
      <c r="A491" s="13" t="s">
        <v>2110</v>
      </c>
      <c r="B491" s="13" t="s">
        <v>2186</v>
      </c>
      <c r="C491" s="13" t="s">
        <v>309</v>
      </c>
      <c r="D491" s="13" t="s">
        <v>2210</v>
      </c>
      <c r="E491" s="13" t="s">
        <v>118</v>
      </c>
      <c r="F491" s="13" t="s">
        <v>186</v>
      </c>
      <c r="G491" s="13" t="s">
        <v>2211</v>
      </c>
      <c r="H491" s="13" t="s">
        <v>146</v>
      </c>
      <c r="I491" s="13" t="s">
        <v>147</v>
      </c>
      <c r="J491" s="13" t="s">
        <v>5</v>
      </c>
      <c r="K491" s="13" t="s">
        <v>123</v>
      </c>
      <c r="L491" s="13" t="s">
        <v>2212</v>
      </c>
      <c r="M491" s="13" t="s">
        <v>125</v>
      </c>
      <c r="N491" s="387" t="s">
        <v>251</v>
      </c>
      <c r="O491" s="247">
        <v>0.51</v>
      </c>
      <c r="P491" s="13">
        <v>101</v>
      </c>
      <c r="Q491" s="13">
        <v>25</v>
      </c>
      <c r="R491" s="13" t="s">
        <v>127</v>
      </c>
      <c r="S491" s="430" t="str">
        <f t="shared" si="221"/>
        <v>N/A</v>
      </c>
      <c r="T491" s="247">
        <v>0.8</v>
      </c>
      <c r="U491" s="13">
        <v>200</v>
      </c>
      <c r="V491" s="13">
        <v>600</v>
      </c>
      <c r="W491" s="430">
        <f t="shared" si="211"/>
        <v>400</v>
      </c>
      <c r="X491" s="430">
        <f t="shared" si="212"/>
        <v>160</v>
      </c>
      <c r="Y491" s="13">
        <v>200</v>
      </c>
      <c r="Z491" s="13">
        <v>600</v>
      </c>
      <c r="AA491" s="430">
        <f t="shared" si="222"/>
        <v>400</v>
      </c>
      <c r="AB491" s="430">
        <f t="shared" si="223"/>
        <v>160</v>
      </c>
      <c r="AC491" s="430" t="str">
        <f t="shared" si="224"/>
        <v>N/A</v>
      </c>
      <c r="AD491" s="430">
        <f t="shared" si="225"/>
        <v>76</v>
      </c>
      <c r="AE491" s="431">
        <f t="shared" si="226"/>
        <v>1.1876000000000002</v>
      </c>
      <c r="AF491" s="431"/>
      <c r="AG491" s="431">
        <f t="shared" si="227"/>
        <v>1.0417702970297031</v>
      </c>
      <c r="AH491" s="431">
        <f t="shared" si="228"/>
        <v>1.1042765148514853</v>
      </c>
      <c r="AI491" s="432">
        <f t="shared" si="229"/>
        <v>881.20365200000003</v>
      </c>
      <c r="AJ491" s="432">
        <f t="shared" si="230"/>
        <v>140.75926914774166</v>
      </c>
      <c r="AK491" s="432">
        <f t="shared" si="231"/>
        <v>153.90940268675322</v>
      </c>
      <c r="AL491" s="432">
        <f t="shared" si="232"/>
        <v>305.94968372841146</v>
      </c>
      <c r="AM491" s="250">
        <v>306</v>
      </c>
      <c r="AN491" s="432">
        <f t="shared" si="233"/>
        <v>309.06</v>
      </c>
      <c r="AO491" s="432">
        <f t="shared" si="234"/>
        <v>341.28769968000006</v>
      </c>
      <c r="AP491" s="432">
        <f t="shared" si="235"/>
        <v>1365.1507987200002</v>
      </c>
      <c r="AQ491" s="255">
        <v>44986</v>
      </c>
      <c r="AR491" s="255" t="s">
        <v>2213</v>
      </c>
      <c r="AS491" s="429"/>
      <c r="AT491" s="429"/>
      <c r="AU491" s="257"/>
      <c r="AV491" s="259"/>
      <c r="AW491" s="262" t="s">
        <v>127</v>
      </c>
      <c r="AX491" s="259"/>
      <c r="AY491" s="103">
        <f t="shared" si="239"/>
        <v>0.59405940594059403</v>
      </c>
      <c r="AZ491" s="262"/>
      <c r="BA491" s="38" t="str">
        <f t="shared" si="240"/>
        <v>W22</v>
      </c>
      <c r="BB491" s="77" t="str">
        <f>IF(R491="n/a","Clear","S/B")</f>
        <v>Clear</v>
      </c>
      <c r="BC491" s="264">
        <f>IF(Q491="","",((P491/100*O491)+T491))</f>
        <v>1.3151000000000002</v>
      </c>
      <c r="BD491" s="253">
        <f>IF(BC491="","",((PI()*((51/2)^2-(16.545/2)^2)/(BC491/10))/100))</f>
        <v>138.98776262701554</v>
      </c>
      <c r="BE491" s="253">
        <f>IF(BC491="","",(BD491-AK491))</f>
        <v>-14.921640059737683</v>
      </c>
      <c r="BF491" s="100">
        <f>IF(BC491="","",(BE491/AK491))</f>
        <v>-9.6950802220363425E-2</v>
      </c>
      <c r="BG491" s="253">
        <f>IF(BF491="","",((PI()*((70/2)^2-(16.545/2)^2)/(BC491/10))/100))</f>
        <v>276.28761645187546</v>
      </c>
      <c r="BH491" s="253">
        <f>IF(BF491="","",(BG491-AL491))</f>
        <v>-29.662067276535993</v>
      </c>
      <c r="BI491" s="100">
        <f>IF(BG491="","",(BH491/AL491))</f>
        <v>-9.6950802220363522E-2</v>
      </c>
      <c r="BJ491" s="143"/>
      <c r="BK491" s="139">
        <v>19.63</v>
      </c>
      <c r="BL491" s="191">
        <f>AH491</f>
        <v>1.1042765148514853</v>
      </c>
      <c r="BM491" s="101">
        <f>BK491/AH491</f>
        <v>17.776344725252123</v>
      </c>
      <c r="BN491" s="162">
        <f>BK491-BM491</f>
        <v>1.8536552747478758</v>
      </c>
      <c r="BO491" s="101">
        <v>17</v>
      </c>
      <c r="BP491" s="139">
        <f>BO491-BM491</f>
        <v>-0.77634472525212317</v>
      </c>
      <c r="BQ491" s="102"/>
      <c r="BR491" s="231"/>
      <c r="BS491" s="231"/>
      <c r="BT491" s="38">
        <f>P491-V491/10-120/10</f>
        <v>29</v>
      </c>
      <c r="BU491" s="288">
        <f>BT491-Q491</f>
        <v>4</v>
      </c>
      <c r="BV491" s="248">
        <f>T491+(O491/100*(P491-BT491))</f>
        <v>1.1672</v>
      </c>
      <c r="BW491" s="173">
        <f>(AE491-BV491)/AE491</f>
        <v>1.7177500842034517E-2</v>
      </c>
      <c r="BX491" s="288">
        <f>(PI()*((51/2)^2-(16.545/2)^2)/(BV491/10))/100</f>
        <v>156.59938882007211</v>
      </c>
      <c r="BY491" s="288">
        <f>BX491-AK491</f>
        <v>2.6899861333188824</v>
      </c>
      <c r="BZ491" s="173">
        <f>BY491/AK491</f>
        <v>1.7477724468814446E-2</v>
      </c>
      <c r="CA491" s="76"/>
    </row>
    <row r="492" spans="1:79" s="262" customFormat="1" ht="29.1">
      <c r="A492" s="13" t="s">
        <v>2110</v>
      </c>
      <c r="B492" s="13" t="s">
        <v>2186</v>
      </c>
      <c r="C492" s="13" t="s">
        <v>2214</v>
      </c>
      <c r="D492" s="13" t="s">
        <v>2215</v>
      </c>
      <c r="E492" s="13" t="s">
        <v>118</v>
      </c>
      <c r="F492" s="13" t="s">
        <v>186</v>
      </c>
      <c r="G492" s="13" t="s">
        <v>2216</v>
      </c>
      <c r="H492" s="13" t="s">
        <v>146</v>
      </c>
      <c r="I492" s="13" t="s">
        <v>147</v>
      </c>
      <c r="J492" s="13" t="s">
        <v>5</v>
      </c>
      <c r="K492" s="13" t="s">
        <v>123</v>
      </c>
      <c r="L492" s="13" t="s">
        <v>2217</v>
      </c>
      <c r="M492" s="13" t="s">
        <v>125</v>
      </c>
      <c r="N492" s="387" t="s">
        <v>251</v>
      </c>
      <c r="O492" s="247">
        <v>0.41</v>
      </c>
      <c r="P492" s="13">
        <v>111</v>
      </c>
      <c r="Q492" s="13">
        <v>34</v>
      </c>
      <c r="R492" s="13" t="s">
        <v>127</v>
      </c>
      <c r="S492" s="430" t="str">
        <f t="shared" si="221"/>
        <v>N/A</v>
      </c>
      <c r="T492" s="247">
        <v>0.8</v>
      </c>
      <c r="U492" s="13">
        <v>280</v>
      </c>
      <c r="V492" s="13">
        <v>600</v>
      </c>
      <c r="W492" s="430">
        <f t="shared" si="211"/>
        <v>320</v>
      </c>
      <c r="X492" s="430">
        <f t="shared" si="212"/>
        <v>170</v>
      </c>
      <c r="Y492" s="13">
        <v>200</v>
      </c>
      <c r="Z492" s="13">
        <f>V492</f>
        <v>600</v>
      </c>
      <c r="AA492" s="430">
        <f t="shared" si="222"/>
        <v>400</v>
      </c>
      <c r="AB492" s="430">
        <f t="shared" si="223"/>
        <v>170</v>
      </c>
      <c r="AC492" s="430" t="str">
        <f t="shared" si="224"/>
        <v>N/A</v>
      </c>
      <c r="AD492" s="430">
        <f t="shared" si="225"/>
        <v>77</v>
      </c>
      <c r="AE492" s="431">
        <f t="shared" si="226"/>
        <v>1.1156999999999999</v>
      </c>
      <c r="AF492" s="431"/>
      <c r="AG492" s="431">
        <f t="shared" si="227"/>
        <v>1.0062004504504503</v>
      </c>
      <c r="AH492" s="431">
        <f t="shared" si="228"/>
        <v>1.0665724774774772</v>
      </c>
      <c r="AI492" s="432">
        <f t="shared" si="229"/>
        <v>874.69313200000011</v>
      </c>
      <c r="AJ492" s="432">
        <f t="shared" si="230"/>
        <v>149.83033794017931</v>
      </c>
      <c r="AK492" s="432">
        <f t="shared" si="231"/>
        <v>163.82791667185461</v>
      </c>
      <c r="AL492" s="432">
        <f t="shared" si="232"/>
        <v>325.66625830945731</v>
      </c>
      <c r="AM492" s="250">
        <v>326</v>
      </c>
      <c r="AN492" s="432">
        <f t="shared" si="233"/>
        <v>361.86</v>
      </c>
      <c r="AO492" s="432">
        <f t="shared" si="234"/>
        <v>385.9499166999999</v>
      </c>
      <c r="AP492" s="432">
        <f t="shared" si="235"/>
        <v>1135.1468138235291</v>
      </c>
      <c r="AQ492" s="255">
        <v>44256</v>
      </c>
      <c r="AR492" s="13" t="s">
        <v>2218</v>
      </c>
      <c r="AS492" s="429" t="s">
        <v>2219</v>
      </c>
      <c r="AT492" s="429" t="s">
        <v>2220</v>
      </c>
      <c r="AU492" s="313"/>
      <c r="AV492" s="291"/>
      <c r="AW492" s="14" t="s">
        <v>127</v>
      </c>
      <c r="AX492" s="254">
        <v>44256</v>
      </c>
      <c r="AY492" s="103">
        <f t="shared" si="239"/>
        <v>0.54054054054054057</v>
      </c>
      <c r="AZ492" s="273"/>
      <c r="BA492" s="13" t="str">
        <f t="shared" si="240"/>
        <v>W22</v>
      </c>
      <c r="BB492" s="72" t="str">
        <f>IF(R492="n/a","Clear","S/B")</f>
        <v>Clear</v>
      </c>
      <c r="BC492" s="32">
        <f>IF(Q492="","",((P492/100*O492)+T492))</f>
        <v>1.2551000000000001</v>
      </c>
      <c r="BD492" s="241">
        <f>IF(BC492="","",((PI()*((51/2)^2-(16.545/2)^2)/(BC492/10))/100))</f>
        <v>145.63206647341897</v>
      </c>
      <c r="BE492" s="241">
        <f>IF(BC492="","",(BD492-AK492))</f>
        <v>-18.195850198435636</v>
      </c>
      <c r="BF492" s="71">
        <f>IF(BC492="","",(BE492/AK492))</f>
        <v>-0.11106684726316644</v>
      </c>
      <c r="BG492" s="241">
        <f>IF(BF492="","",((PI()*((70/2)^2-(16.545/2)^2)/(BC492/10))/100))</f>
        <v>289.49553373903387</v>
      </c>
      <c r="BH492" s="241">
        <f>IF(BF492="","",(BG492-AL492))</f>
        <v>-36.170724570423431</v>
      </c>
      <c r="BI492" s="71">
        <f>IF(BG492="","",(BH492/AL492))</f>
        <v>-0.11106684726316653</v>
      </c>
      <c r="BJ492" s="114">
        <v>18.53</v>
      </c>
      <c r="BK492" s="111">
        <v>19.63</v>
      </c>
      <c r="BL492" s="112">
        <f>AH492</f>
        <v>1.0665724774774772</v>
      </c>
      <c r="BM492" s="101">
        <f>BK492/AH492</f>
        <v>18.404750182965905</v>
      </c>
      <c r="BN492" s="123">
        <f>BK492-BM492</f>
        <v>1.2252498170340935</v>
      </c>
      <c r="BO492" s="83">
        <v>17.59</v>
      </c>
      <c r="BP492" s="111">
        <f>BO492-BM492</f>
        <v>-0.81475018296590562</v>
      </c>
      <c r="BQ492" s="151"/>
      <c r="BR492" s="113"/>
      <c r="BS492" s="80"/>
      <c r="BT492" s="22"/>
      <c r="BU492" s="87"/>
      <c r="BV492" s="73"/>
      <c r="BW492" s="109"/>
      <c r="BX492" s="87"/>
      <c r="BY492" s="87"/>
      <c r="BZ492" s="109"/>
      <c r="CA492" s="76"/>
    </row>
    <row r="493" spans="1:79" s="22" customFormat="1">
      <c r="A493" s="13" t="s">
        <v>2110</v>
      </c>
      <c r="B493" s="13" t="s">
        <v>2186</v>
      </c>
      <c r="C493" s="13" t="s">
        <v>2214</v>
      </c>
      <c r="D493" s="13" t="s">
        <v>2215</v>
      </c>
      <c r="E493" s="13" t="s">
        <v>118</v>
      </c>
      <c r="F493" s="13" t="s">
        <v>167</v>
      </c>
      <c r="G493" s="13" t="s">
        <v>2221</v>
      </c>
      <c r="H493" s="13" t="s">
        <v>146</v>
      </c>
      <c r="I493" s="13" t="s">
        <v>147</v>
      </c>
      <c r="J493" s="13" t="s">
        <v>5</v>
      </c>
      <c r="K493" s="13" t="s">
        <v>123</v>
      </c>
      <c r="L493" s="13" t="s">
        <v>2222</v>
      </c>
      <c r="M493" s="13" t="s">
        <v>125</v>
      </c>
      <c r="N493" s="13" t="s">
        <v>12</v>
      </c>
      <c r="O493" s="247">
        <v>0.41</v>
      </c>
      <c r="P493" s="13">
        <v>107</v>
      </c>
      <c r="Q493" s="13">
        <v>30</v>
      </c>
      <c r="R493" s="13" t="s">
        <v>127</v>
      </c>
      <c r="S493" s="430" t="str">
        <f t="shared" si="221"/>
        <v>N/A</v>
      </c>
      <c r="T493" s="247">
        <v>0.8</v>
      </c>
      <c r="U493" s="13">
        <v>280</v>
      </c>
      <c r="V493" s="13">
        <v>600</v>
      </c>
      <c r="W493" s="430">
        <f t="shared" si="211"/>
        <v>320</v>
      </c>
      <c r="X493" s="430">
        <f t="shared" si="212"/>
        <v>170</v>
      </c>
      <c r="Y493" s="13"/>
      <c r="Z493" s="13"/>
      <c r="AA493" s="430">
        <f t="shared" si="222"/>
        <v>0</v>
      </c>
      <c r="AB493" s="430">
        <f t="shared" si="223"/>
        <v>770</v>
      </c>
      <c r="AC493" s="430" t="str">
        <f t="shared" si="224"/>
        <v>N/A</v>
      </c>
      <c r="AD493" s="430">
        <f t="shared" si="225"/>
        <v>77</v>
      </c>
      <c r="AE493" s="431">
        <f t="shared" si="226"/>
        <v>1.1156999999999999</v>
      </c>
      <c r="AF493" s="431"/>
      <c r="AG493" s="431">
        <f t="shared" si="227"/>
        <v>1.0021070093457944</v>
      </c>
      <c r="AH493" s="431">
        <f t="shared" si="228"/>
        <v>0</v>
      </c>
      <c r="AI493" s="432">
        <f t="shared" si="229"/>
        <v>0</v>
      </c>
      <c r="AJ493" s="432">
        <f t="shared" si="230"/>
        <v>149.83033794017931</v>
      </c>
      <c r="AK493" s="432">
        <f t="shared" si="231"/>
        <v>163.82791667185461</v>
      </c>
      <c r="AL493" s="432">
        <f t="shared" si="232"/>
        <v>325.66625830945731</v>
      </c>
      <c r="AM493" s="250">
        <v>164</v>
      </c>
      <c r="AN493" s="432">
        <f t="shared" si="233"/>
        <v>175.48</v>
      </c>
      <c r="AO493" s="432">
        <f t="shared" si="234"/>
        <v>0</v>
      </c>
      <c r="AP493" s="432">
        <f t="shared" si="235"/>
        <v>0</v>
      </c>
      <c r="AQ493" s="255">
        <v>43647</v>
      </c>
      <c r="AR493" s="13" t="s">
        <v>2223</v>
      </c>
      <c r="AS493" s="429" t="s">
        <v>2224</v>
      </c>
      <c r="AT493" s="429"/>
      <c r="AU493" s="241">
        <v>12</v>
      </c>
      <c r="AV493" s="243" t="s">
        <v>405</v>
      </c>
      <c r="AW493" s="72" t="s">
        <v>127</v>
      </c>
      <c r="AX493" s="243" t="s">
        <v>2225</v>
      </c>
      <c r="AY493" s="103">
        <f t="shared" si="239"/>
        <v>0.56074766355140182</v>
      </c>
      <c r="AZ493" s="72"/>
      <c r="BA493" s="13" t="str">
        <f t="shared" si="240"/>
        <v>W12</v>
      </c>
      <c r="BB493" s="72" t="str">
        <f>IF(R493="n/a","Clear","S/B")</f>
        <v>Clear</v>
      </c>
      <c r="BC493" s="32">
        <f>IF(Q493="","",((P493/100*O493)+T493))</f>
        <v>1.2387000000000001</v>
      </c>
      <c r="BD493" s="241">
        <f>IF(BC493="","",((PI()*((51/2)^2-(16.545/2)^2)/(BC493/10))/100))</f>
        <v>147.56018941695984</v>
      </c>
      <c r="BE493" s="241">
        <f>IF(BC493="","",(BD493-AK493))</f>
        <v>-16.267727254894766</v>
      </c>
      <c r="BF493" s="71">
        <f>IF(BC493="","",(BE493/AK493))</f>
        <v>-9.9297650762896733E-2</v>
      </c>
      <c r="BG493" s="241">
        <f>IF(BF493="","",((PI()*((70/2)^2-(16.545/2)^2)/(BC493/10))/100))</f>
        <v>293.3283639265855</v>
      </c>
      <c r="BH493" s="241">
        <f>IF(BF493="","",(BG493-AL493))</f>
        <v>-32.337894382871809</v>
      </c>
      <c r="BI493" s="71">
        <f>IF(BG493="","",(BH493/AL493))</f>
        <v>-9.9297650762896733E-2</v>
      </c>
      <c r="BJ493" s="111"/>
      <c r="BK493" s="111"/>
      <c r="BL493" s="83"/>
      <c r="BM493" s="83"/>
      <c r="BN493" s="71"/>
      <c r="BO493" s="83"/>
      <c r="BP493" s="83"/>
      <c r="BQ493" s="159"/>
      <c r="BR493" s="159"/>
      <c r="BS493" s="100"/>
      <c r="BT493" s="72"/>
      <c r="BU493" s="78"/>
      <c r="BV493" s="32"/>
      <c r="BW493" s="127"/>
      <c r="BX493" s="78"/>
      <c r="BY493" s="78"/>
      <c r="BZ493" s="127"/>
      <c r="CA493" s="76"/>
    </row>
    <row r="494" spans="1:79" s="13" customFormat="1">
      <c r="A494" s="13" t="s">
        <v>2110</v>
      </c>
      <c r="B494" s="13" t="s">
        <v>2186</v>
      </c>
      <c r="C494" s="13" t="s">
        <v>2214</v>
      </c>
      <c r="D494" s="13" t="s">
        <v>2215</v>
      </c>
      <c r="E494" s="13" t="s">
        <v>118</v>
      </c>
      <c r="F494" s="13" t="s">
        <v>167</v>
      </c>
      <c r="G494" s="13" t="s">
        <v>2226</v>
      </c>
      <c r="H494" s="13" t="s">
        <v>146</v>
      </c>
      <c r="I494" s="13" t="s">
        <v>147</v>
      </c>
      <c r="J494" s="13" t="s">
        <v>5</v>
      </c>
      <c r="K494" s="13" t="s">
        <v>123</v>
      </c>
      <c r="L494" s="13" t="s">
        <v>2227</v>
      </c>
      <c r="M494" s="13" t="s">
        <v>125</v>
      </c>
      <c r="N494" s="13" t="s">
        <v>12</v>
      </c>
      <c r="O494" s="247">
        <v>0.41</v>
      </c>
      <c r="P494" s="13">
        <v>111</v>
      </c>
      <c r="Q494" s="13">
        <v>34</v>
      </c>
      <c r="R494" s="13" t="s">
        <v>127</v>
      </c>
      <c r="S494" s="430" t="str">
        <f t="shared" si="221"/>
        <v>N/A</v>
      </c>
      <c r="T494" s="247">
        <v>0.8</v>
      </c>
      <c r="U494" s="13">
        <v>280</v>
      </c>
      <c r="V494" s="13">
        <v>600</v>
      </c>
      <c r="W494" s="430">
        <f t="shared" si="211"/>
        <v>320</v>
      </c>
      <c r="X494" s="430">
        <f t="shared" si="212"/>
        <v>170</v>
      </c>
      <c r="AA494" s="430">
        <f t="shared" si="222"/>
        <v>0</v>
      </c>
      <c r="AB494" s="430">
        <f t="shared" si="223"/>
        <v>770</v>
      </c>
      <c r="AC494" s="430" t="str">
        <f t="shared" si="224"/>
        <v>N/A</v>
      </c>
      <c r="AD494" s="430">
        <f t="shared" si="225"/>
        <v>77</v>
      </c>
      <c r="AE494" s="431">
        <f t="shared" si="226"/>
        <v>1.1156999999999999</v>
      </c>
      <c r="AF494" s="431"/>
      <c r="AG494" s="431">
        <f t="shared" si="227"/>
        <v>1.0062004504504503</v>
      </c>
      <c r="AH494" s="431">
        <f t="shared" si="228"/>
        <v>0</v>
      </c>
      <c r="AI494" s="432">
        <f t="shared" si="229"/>
        <v>0</v>
      </c>
      <c r="AJ494" s="432">
        <f t="shared" si="230"/>
        <v>149.83033794017931</v>
      </c>
      <c r="AK494" s="432">
        <f t="shared" si="231"/>
        <v>163.82791667185461</v>
      </c>
      <c r="AL494" s="432">
        <f t="shared" si="232"/>
        <v>325.66625830945731</v>
      </c>
      <c r="AM494" s="250">
        <v>164</v>
      </c>
      <c r="AN494" s="432">
        <f t="shared" si="233"/>
        <v>182.04</v>
      </c>
      <c r="AO494" s="432">
        <f t="shared" si="234"/>
        <v>0</v>
      </c>
      <c r="AP494" s="432">
        <f t="shared" si="235"/>
        <v>0</v>
      </c>
      <c r="AQ494" s="255">
        <v>44136</v>
      </c>
      <c r="AR494" s="13" t="s">
        <v>2228</v>
      </c>
      <c r="AS494" s="429" t="s">
        <v>2229</v>
      </c>
      <c r="AT494" s="429"/>
      <c r="AU494" s="258" t="s">
        <v>2230</v>
      </c>
      <c r="AV494" s="243" t="s">
        <v>405</v>
      </c>
      <c r="AW494" s="72" t="s">
        <v>127</v>
      </c>
      <c r="AX494" s="243" t="s">
        <v>2021</v>
      </c>
      <c r="AY494" s="103">
        <f t="shared" si="239"/>
        <v>0.54054054054054057</v>
      </c>
      <c r="AZ494" s="72"/>
      <c r="BA494" s="13" t="str">
        <f t="shared" si="240"/>
        <v>W12</v>
      </c>
      <c r="BB494" s="72" t="str">
        <f>IF(R494="n/a","Clear","S/B")</f>
        <v>Clear</v>
      </c>
      <c r="BC494" s="32">
        <f>IF(Q494="","",((P494/100*O494)+T494))</f>
        <v>1.2551000000000001</v>
      </c>
      <c r="BD494" s="241">
        <f>IF(BC494="","",((PI()*((51/2)^2-(16.545/2)^2)/(BC494/10))/100))</f>
        <v>145.63206647341897</v>
      </c>
      <c r="BE494" s="241">
        <f>IF(BC494="","",(BD494-AK494))</f>
        <v>-18.195850198435636</v>
      </c>
      <c r="BF494" s="71">
        <f>IF(BC494="","",(BE494/AK494))</f>
        <v>-0.11106684726316644</v>
      </c>
      <c r="BG494" s="241">
        <f>IF(BF494="","",((PI()*((70/2)^2-(16.545/2)^2)/(BC494/10))/100))</f>
        <v>289.49553373903387</v>
      </c>
      <c r="BH494" s="241">
        <f>IF(BF494="","",(BG494-AL494))</f>
        <v>-36.170724570423431</v>
      </c>
      <c r="BI494" s="71">
        <f>IF(BG494="","",(BH494/AL494))</f>
        <v>-0.11106684726316653</v>
      </c>
      <c r="BJ494" s="111"/>
      <c r="BK494" s="111"/>
      <c r="BL494" s="83"/>
      <c r="BM494" s="83"/>
      <c r="BN494" s="71"/>
      <c r="BO494" s="83"/>
      <c r="BP494" s="83"/>
      <c r="BQ494" s="88"/>
      <c r="BR494" s="80"/>
      <c r="BS494" s="80"/>
      <c r="BT494" s="22"/>
      <c r="BU494" s="87"/>
      <c r="BV494" s="73"/>
      <c r="BW494" s="109"/>
      <c r="BX494" s="87"/>
      <c r="BY494" s="87"/>
      <c r="BZ494" s="109"/>
      <c r="CA494" s="76"/>
    </row>
    <row r="495" spans="1:79" s="77" customFormat="1">
      <c r="A495" s="13" t="s">
        <v>2110</v>
      </c>
      <c r="B495" s="13" t="s">
        <v>2186</v>
      </c>
      <c r="C495" s="13" t="s">
        <v>548</v>
      </c>
      <c r="D495" s="13" t="s">
        <v>2231</v>
      </c>
      <c r="E495" s="13" t="s">
        <v>118</v>
      </c>
      <c r="F495" s="13" t="s">
        <v>186</v>
      </c>
      <c r="G495" s="13" t="s">
        <v>2232</v>
      </c>
      <c r="H495" s="13" t="s">
        <v>146</v>
      </c>
      <c r="I495" s="13" t="s">
        <v>147</v>
      </c>
      <c r="J495" s="13" t="s">
        <v>5</v>
      </c>
      <c r="K495" s="13" t="s">
        <v>123</v>
      </c>
      <c r="L495" s="13" t="s">
        <v>2233</v>
      </c>
      <c r="M495" s="13" t="s">
        <v>125</v>
      </c>
      <c r="N495" s="13" t="s">
        <v>251</v>
      </c>
      <c r="O495" s="247">
        <v>0.31</v>
      </c>
      <c r="P495" s="13">
        <v>110</v>
      </c>
      <c r="Q495" s="13">
        <v>16</v>
      </c>
      <c r="R495" s="13" t="s">
        <v>127</v>
      </c>
      <c r="S495" s="430" t="str">
        <f t="shared" si="221"/>
        <v>N/A</v>
      </c>
      <c r="T495" s="247">
        <v>0.8</v>
      </c>
      <c r="U495" s="13">
        <v>195</v>
      </c>
      <c r="V495" s="13">
        <v>810</v>
      </c>
      <c r="W495" s="430">
        <f t="shared" si="211"/>
        <v>615</v>
      </c>
      <c r="X495" s="430">
        <f t="shared" si="212"/>
        <v>130</v>
      </c>
      <c r="Y495" s="13">
        <v>195</v>
      </c>
      <c r="Z495" s="13">
        <v>810</v>
      </c>
      <c r="AA495" s="430">
        <f t="shared" si="222"/>
        <v>615</v>
      </c>
      <c r="AB495" s="430">
        <f t="shared" si="223"/>
        <v>130</v>
      </c>
      <c r="AC495" s="430" t="str">
        <f t="shared" si="224"/>
        <v>N/A</v>
      </c>
      <c r="AD495" s="430">
        <f t="shared" si="225"/>
        <v>94</v>
      </c>
      <c r="AE495" s="431">
        <f t="shared" si="226"/>
        <v>1.0914000000000001</v>
      </c>
      <c r="AF495" s="431"/>
      <c r="AG495" s="431">
        <f t="shared" si="227"/>
        <v>0.96689272727272735</v>
      </c>
      <c r="AH495" s="431">
        <f t="shared" si="228"/>
        <v>1.0249062909090909</v>
      </c>
      <c r="AI495" s="432">
        <f t="shared" si="229"/>
        <v>868.18261199999995</v>
      </c>
      <c r="AJ495" s="432">
        <f t="shared" si="230"/>
        <v>153.16630753148067</v>
      </c>
      <c r="AK495" s="432">
        <f t="shared" si="231"/>
        <v>167.47554208428454</v>
      </c>
      <c r="AL495" s="432">
        <f t="shared" si="232"/>
        <v>332.91721128446159</v>
      </c>
      <c r="AM495" s="250" t="s">
        <v>2234</v>
      </c>
      <c r="AN495" s="432" t="e">
        <f t="shared" si="233"/>
        <v>#VALUE!</v>
      </c>
      <c r="AO495" s="432" t="e">
        <f t="shared" si="234"/>
        <v>#VALUE!</v>
      </c>
      <c r="AP495" s="432" t="e">
        <f t="shared" si="235"/>
        <v>#VALUE!</v>
      </c>
      <c r="AQ495" s="255">
        <v>45597</v>
      </c>
      <c r="AR495" s="255" t="s">
        <v>2235</v>
      </c>
      <c r="AS495" s="429" t="s">
        <v>2236</v>
      </c>
      <c r="AT495" s="429"/>
      <c r="AU495" s="257"/>
      <c r="AV495" s="259"/>
      <c r="AW495" s="262"/>
      <c r="AX495" s="259"/>
      <c r="AY495" s="102">
        <f t="shared" si="239"/>
        <v>0.73636363636363633</v>
      </c>
      <c r="AZ495" s="262"/>
      <c r="BA495" s="38" t="str">
        <f t="shared" si="240"/>
        <v>W22</v>
      </c>
      <c r="BC495" s="264"/>
      <c r="BD495" s="253"/>
      <c r="BE495" s="253"/>
      <c r="BF495" s="100"/>
      <c r="BG495" s="253"/>
      <c r="BH495" s="253"/>
      <c r="BI495" s="100"/>
      <c r="BJ495" s="143"/>
      <c r="BK495" s="139"/>
      <c r="BL495" s="191"/>
      <c r="BM495" s="101"/>
      <c r="BN495" s="162"/>
      <c r="BO495" s="101"/>
      <c r="BP495" s="139"/>
      <c r="BQ495" s="164"/>
      <c r="BR495" s="164">
        <v>1256</v>
      </c>
      <c r="BS495" s="100"/>
      <c r="BT495" s="77">
        <f>P495-V495/10-120/10</f>
        <v>17</v>
      </c>
      <c r="BU495" s="282">
        <f>BT495-Q495</f>
        <v>1</v>
      </c>
      <c r="BV495" s="264"/>
      <c r="BW495" s="169"/>
      <c r="BX495" s="282"/>
      <c r="BY495" s="282"/>
      <c r="BZ495" s="169"/>
      <c r="CA495" s="271"/>
    </row>
    <row r="496" spans="1:79" s="77" customFormat="1">
      <c r="A496" s="13" t="s">
        <v>2110</v>
      </c>
      <c r="B496" s="13" t="s">
        <v>2186</v>
      </c>
      <c r="C496" s="13" t="s">
        <v>548</v>
      </c>
      <c r="D496" s="13" t="s">
        <v>2237</v>
      </c>
      <c r="E496" s="13" t="s">
        <v>118</v>
      </c>
      <c r="F496" s="13" t="s">
        <v>119</v>
      </c>
      <c r="G496" s="13" t="s">
        <v>2238</v>
      </c>
      <c r="H496" s="13" t="s">
        <v>146</v>
      </c>
      <c r="I496" s="13" t="s">
        <v>147</v>
      </c>
      <c r="J496" s="13" t="s">
        <v>5</v>
      </c>
      <c r="K496" s="13" t="s">
        <v>123</v>
      </c>
      <c r="L496" s="13"/>
      <c r="M496" s="13"/>
      <c r="N496" s="13" t="s">
        <v>126</v>
      </c>
      <c r="O496" s="247">
        <v>0.31</v>
      </c>
      <c r="P496" s="13">
        <v>114</v>
      </c>
      <c r="Q496" s="13">
        <v>18</v>
      </c>
      <c r="R496" s="13" t="s">
        <v>127</v>
      </c>
      <c r="S496" s="430" t="str">
        <f>IF(R496="n/a","N/A",P496-R496)</f>
        <v>N/A</v>
      </c>
      <c r="T496" s="247">
        <v>0.8</v>
      </c>
      <c r="U496" s="13">
        <v>210</v>
      </c>
      <c r="V496" s="13">
        <v>830</v>
      </c>
      <c r="W496" s="430">
        <f>V496-U496</f>
        <v>620</v>
      </c>
      <c r="X496" s="430">
        <f>AD496*10-V496</f>
        <v>130</v>
      </c>
      <c r="Y496" s="13">
        <v>210</v>
      </c>
      <c r="Z496" s="13">
        <v>830</v>
      </c>
      <c r="AA496" s="430">
        <f>Z496-Y496</f>
        <v>620</v>
      </c>
      <c r="AB496" s="430">
        <f>AD496*10-Z496</f>
        <v>130</v>
      </c>
      <c r="AC496" s="430" t="str">
        <f>IF(J496="clear","N/A",((Q496-R496)*10))</f>
        <v>N/A</v>
      </c>
      <c r="AD496" s="430">
        <f>P496-Q496</f>
        <v>96</v>
      </c>
      <c r="AE496" s="431">
        <f>T496+(O496/100*AD496)</f>
        <v>1.0975999999999999</v>
      </c>
      <c r="AF496" s="431"/>
      <c r="AG496" s="431">
        <f>(((T496+(0.5*(AE496-T496)))*AD496)+(AE496*Q496))/P496</f>
        <v>0.97229473684210521</v>
      </c>
      <c r="AH496" s="431">
        <f>IF(MID(G496,2,2)="10",(AG496/1000*$W$2),(IF(MID(G496,2,2)="11",(AG496/1000*$X$2),(IF(MID(G496,2,2)="12",(AG496/1000*$Y$2),(IF(MID(G496,2,2)="13",(AG496/1000*$Z$2),(IF(MID(G496,2,2)="20",(AG496/1000*$AA$2),(IF(MID(G496,2,2)="21",(AG496/1000*$AB$2),(IF(MID(G496,2,2)="22",(AG496/1000*$AC$2),(IF(MID(G496,2,2)="23",(AG496/1000*$AD$2),(IF(MID(G496,2,2)="50",(AG496/1000*$AE$2),(IF(MID(G496,2,2)="51",(AG496/1000*$AG$2),"?")))))))))))))))))))</f>
        <v>1.0306324210526314</v>
      </c>
      <c r="AI496" s="432">
        <f>IF(MID(G496,2,2)="10",((T496+O496*(6.142)/100)*$W$2),(IF(MID(G496,2,2)="11",((T496+O496*(6.142)/100)*$X$2),(IF(MID(G496,2,2)="12",((T496+O496*(6.142)/100)*$Y$2),(IF(MID(G496,2,2)="13",((T496+O496*(6.142)/100)*$Z$2),(IF(MID(G496,2,2)="20",((T496+O496*(6.142)/100)*$AA$2),(IF(MID(G496,2,2)="21",((T496+O496*(6.142)/100)*$AB$2),(IF(MID(G496,2,2)="22",((T496+O496*(6.142)/100)*$AC$2),(IF(MID(G496,2,2)="23",((T496+O496*(6.142)/100)*$AD$2),(IF(MID(G496,2,2)="50",((T496+O496*(6.142)/100)*$AE$2),(IF(MID(G496,2,2)="51",((T496+O496*(6.142)/100)*$AG$2),"?")))))))))))))))))))</f>
        <v>868.18261199999995</v>
      </c>
      <c r="AJ496" s="432">
        <f>(PI()*((49/2)^2-(16.51/2)^2)/(AE496/10))/100</f>
        <v>152.30111884097852</v>
      </c>
      <c r="AK496" s="432">
        <f>(PI()*((51/2)^2-(16.545/2)^2)/(AE496/10))/100</f>
        <v>166.52952499160733</v>
      </c>
      <c r="AL496" s="432">
        <f>(PI()*((70/2)^2-(16.545/2)^2)/(AE496/10))/100</f>
        <v>331.03666581255601</v>
      </c>
      <c r="AM496" s="250">
        <v>167</v>
      </c>
      <c r="AN496" s="432">
        <f>AM496*P496/100</f>
        <v>190.38</v>
      </c>
      <c r="AO496" s="432">
        <f>AN496*AH496</f>
        <v>196.21180031999995</v>
      </c>
      <c r="AP496" s="432">
        <f>AO496/(Q496/100)</f>
        <v>1090.0655573333331</v>
      </c>
      <c r="AQ496" s="255"/>
      <c r="AR496" s="255"/>
      <c r="AS496" s="429" t="s">
        <v>2239</v>
      </c>
      <c r="AT496" s="429"/>
      <c r="AU496" s="257"/>
      <c r="AV496" s="259"/>
      <c r="AW496" s="262"/>
      <c r="AX496" s="259"/>
      <c r="AY496" s="102"/>
      <c r="AZ496" s="262"/>
      <c r="BA496" s="38"/>
      <c r="BC496" s="264"/>
      <c r="BD496" s="253"/>
      <c r="BE496" s="253"/>
      <c r="BF496" s="100"/>
      <c r="BG496" s="253"/>
      <c r="BH496" s="253"/>
      <c r="BI496" s="100"/>
      <c r="BJ496" s="143"/>
      <c r="BK496" s="139"/>
      <c r="BL496" s="191"/>
      <c r="BM496" s="101"/>
      <c r="BN496" s="162"/>
      <c r="BO496" s="101"/>
      <c r="BP496" s="139"/>
      <c r="BQ496" s="164"/>
      <c r="BR496" s="164"/>
      <c r="BS496" s="100"/>
      <c r="BU496" s="282"/>
      <c r="BV496" s="264"/>
      <c r="BW496" s="169"/>
      <c r="BX496" s="282"/>
      <c r="BY496" s="282"/>
      <c r="BZ496" s="169"/>
      <c r="CA496" s="271"/>
    </row>
    <row r="497" spans="1:79" s="72" customFormat="1">
      <c r="A497" s="13" t="s">
        <v>2110</v>
      </c>
      <c r="B497" s="13" t="s">
        <v>2240</v>
      </c>
      <c r="C497" s="13" t="s">
        <v>366</v>
      </c>
      <c r="D497" s="13" t="s">
        <v>366</v>
      </c>
      <c r="E497" s="13"/>
      <c r="F497" s="13" t="s">
        <v>167</v>
      </c>
      <c r="G497" s="13" t="s">
        <v>2241</v>
      </c>
      <c r="H497" s="13" t="s">
        <v>272</v>
      </c>
      <c r="I497" s="13" t="s">
        <v>2077</v>
      </c>
      <c r="J497" s="13" t="s">
        <v>5</v>
      </c>
      <c r="K497" s="13" t="s">
        <v>140</v>
      </c>
      <c r="L497" s="13" t="s">
        <v>2242</v>
      </c>
      <c r="M497" s="13"/>
      <c r="N497" s="13" t="s">
        <v>142</v>
      </c>
      <c r="O497" s="247">
        <v>0.45</v>
      </c>
      <c r="P497" s="13">
        <v>98</v>
      </c>
      <c r="Q497" s="13"/>
      <c r="R497" s="13" t="s">
        <v>127</v>
      </c>
      <c r="S497" s="430" t="str">
        <f t="shared" si="221"/>
        <v>N/A</v>
      </c>
      <c r="T497" s="247"/>
      <c r="U497" s="13">
        <v>200</v>
      </c>
      <c r="V497" s="13">
        <v>600</v>
      </c>
      <c r="W497" s="430">
        <f t="shared" si="211"/>
        <v>400</v>
      </c>
      <c r="X497" s="430">
        <f t="shared" si="212"/>
        <v>380</v>
      </c>
      <c r="Y497" s="13"/>
      <c r="Z497" s="13"/>
      <c r="AA497" s="430">
        <f t="shared" si="222"/>
        <v>0</v>
      </c>
      <c r="AB497" s="430">
        <f t="shared" si="223"/>
        <v>980</v>
      </c>
      <c r="AC497" s="430" t="str">
        <f t="shared" si="224"/>
        <v>N/A</v>
      </c>
      <c r="AD497" s="430">
        <f t="shared" si="225"/>
        <v>98</v>
      </c>
      <c r="AE497" s="431">
        <f t="shared" si="226"/>
        <v>0.44100000000000006</v>
      </c>
      <c r="AF497" s="431"/>
      <c r="AG497" s="431">
        <f t="shared" si="227"/>
        <v>0.22050000000000003</v>
      </c>
      <c r="AH497" s="431">
        <f t="shared" si="228"/>
        <v>0.23483250000000003</v>
      </c>
      <c r="AI497" s="432">
        <f t="shared" si="229"/>
        <v>29.435535000000002</v>
      </c>
      <c r="AJ497" s="432">
        <f t="shared" si="230"/>
        <v>379.06056244865761</v>
      </c>
      <c r="AK497" s="432">
        <f t="shared" si="231"/>
        <v>414.47348442355587</v>
      </c>
      <c r="AL497" s="432">
        <f t="shared" si="232"/>
        <v>823.9134793556949</v>
      </c>
      <c r="AM497" s="250">
        <v>30</v>
      </c>
      <c r="AN497" s="432">
        <f t="shared" si="233"/>
        <v>29.4</v>
      </c>
      <c r="AO497" s="432">
        <f t="shared" si="234"/>
        <v>6.9040755000000003</v>
      </c>
      <c r="AP497" s="432" t="e">
        <f t="shared" si="235"/>
        <v>#DIV/0!</v>
      </c>
      <c r="AQ497" s="13" t="s">
        <v>2243</v>
      </c>
      <c r="AR497" s="13" t="s">
        <v>238</v>
      </c>
      <c r="AS497" s="429" t="s">
        <v>2244</v>
      </c>
      <c r="AT497" s="429" t="s">
        <v>2245</v>
      </c>
      <c r="AU497" s="241"/>
      <c r="AW497" s="72" t="s">
        <v>127</v>
      </c>
      <c r="AX497" s="243"/>
      <c r="AY497" s="103">
        <f t="shared" si="239"/>
        <v>0.61224489795918369</v>
      </c>
      <c r="BA497" s="13" t="str">
        <f t="shared" si="240"/>
        <v>W50</v>
      </c>
      <c r="BB497" s="72" t="str">
        <f>IF(R497="n/a","Clear","S/B")</f>
        <v>Clear</v>
      </c>
      <c r="BC497" s="32" t="str">
        <f>IF(Q497="","",((P497/100*O497)+T497))</f>
        <v/>
      </c>
      <c r="BD497" s="241" t="str">
        <f>IF(BC497="","",((PI()*((51/2)^2-(16.545/2)^2)/(BC497/10))/100))</f>
        <v/>
      </c>
      <c r="BE497" s="241" t="str">
        <f>IF(BC497="","",(BD497-AK497))</f>
        <v/>
      </c>
      <c r="BF497" s="71" t="str">
        <f>IF(BC497="","",(BE497/AK497))</f>
        <v/>
      </c>
      <c r="BG497" s="241" t="str">
        <f>IF(BF497="","",((PI()*((70/2)^2-(16.545/2)^2)/(BC497/10))/100))</f>
        <v/>
      </c>
      <c r="BH497" s="241" t="str">
        <f>IF(BF497="","",(BG497-AL497))</f>
        <v/>
      </c>
      <c r="BI497" s="71" t="str">
        <f>IF(BG497="","",(BH497/AL497))</f>
        <v/>
      </c>
      <c r="BJ497" s="111"/>
      <c r="BK497" s="83"/>
      <c r="BL497" s="83"/>
      <c r="BM497" s="83"/>
      <c r="BN497" s="71"/>
      <c r="BO497" s="103"/>
      <c r="BP497" s="103"/>
      <c r="BQ497" s="108"/>
      <c r="BR497" s="71"/>
      <c r="BS497" s="71"/>
      <c r="BU497" s="78"/>
      <c r="BV497" s="32"/>
      <c r="BW497" s="127"/>
      <c r="BX497" s="78"/>
      <c r="BY497" s="78"/>
      <c r="BZ497" s="127"/>
      <c r="CA497" s="76"/>
    </row>
    <row r="498" spans="1:79" s="22" customFormat="1">
      <c r="A498" s="13" t="s">
        <v>2110</v>
      </c>
      <c r="B498" s="13" t="s">
        <v>2240</v>
      </c>
      <c r="C498" s="13"/>
      <c r="D498" s="13"/>
      <c r="E498" s="13"/>
      <c r="F498" s="13" t="s">
        <v>167</v>
      </c>
      <c r="G498" s="13" t="s">
        <v>2246</v>
      </c>
      <c r="H498" s="13" t="s">
        <v>146</v>
      </c>
      <c r="I498" s="13" t="s">
        <v>147</v>
      </c>
      <c r="J498" s="13" t="s">
        <v>274</v>
      </c>
      <c r="K498" s="13" t="s">
        <v>123</v>
      </c>
      <c r="L498" s="13" t="s">
        <v>2247</v>
      </c>
      <c r="M498" s="13" t="s">
        <v>125</v>
      </c>
      <c r="N498" s="13" t="s">
        <v>12</v>
      </c>
      <c r="O498" s="247">
        <v>0.4</v>
      </c>
      <c r="P498" s="13">
        <v>107</v>
      </c>
      <c r="Q498" s="13">
        <v>25</v>
      </c>
      <c r="R498" s="13">
        <v>15</v>
      </c>
      <c r="S498" s="430">
        <f t="shared" si="221"/>
        <v>92</v>
      </c>
      <c r="T498" s="247">
        <v>0.8</v>
      </c>
      <c r="U498" s="13">
        <v>200</v>
      </c>
      <c r="V498" s="13">
        <v>500</v>
      </c>
      <c r="W498" s="430">
        <f t="shared" si="211"/>
        <v>300</v>
      </c>
      <c r="X498" s="430">
        <f t="shared" si="212"/>
        <v>320</v>
      </c>
      <c r="Y498" s="13"/>
      <c r="Z498" s="13"/>
      <c r="AA498" s="430">
        <f t="shared" si="222"/>
        <v>0</v>
      </c>
      <c r="AB498" s="430">
        <f t="shared" si="223"/>
        <v>820</v>
      </c>
      <c r="AC498" s="430">
        <f t="shared" si="224"/>
        <v>100</v>
      </c>
      <c r="AD498" s="430">
        <f t="shared" si="225"/>
        <v>82</v>
      </c>
      <c r="AE498" s="431">
        <f t="shared" si="226"/>
        <v>1.1280000000000001</v>
      </c>
      <c r="AF498" s="431"/>
      <c r="AG498" s="431">
        <f t="shared" si="227"/>
        <v>1.0023177570093458</v>
      </c>
      <c r="AH498" s="431">
        <f t="shared" si="228"/>
        <v>1.0624568224299065</v>
      </c>
      <c r="AI498" s="432">
        <f t="shared" si="229"/>
        <v>874.04208000000006</v>
      </c>
      <c r="AJ498" s="432">
        <f t="shared" si="230"/>
        <v>148.19654968072518</v>
      </c>
      <c r="AK498" s="432">
        <f t="shared" si="231"/>
        <v>162.04149524006041</v>
      </c>
      <c r="AL498" s="432">
        <f t="shared" si="232"/>
        <v>322.115110280019</v>
      </c>
      <c r="AM498" s="250">
        <v>15</v>
      </c>
      <c r="AN498" s="432">
        <f t="shared" si="233"/>
        <v>16.05</v>
      </c>
      <c r="AO498" s="432">
        <f t="shared" si="234"/>
        <v>17.052432</v>
      </c>
      <c r="AP498" s="432">
        <f t="shared" si="235"/>
        <v>68.209727999999998</v>
      </c>
      <c r="AQ498" s="255">
        <v>43739</v>
      </c>
      <c r="AR498" s="13" t="s">
        <v>238</v>
      </c>
      <c r="AS498" s="434" t="s">
        <v>2248</v>
      </c>
      <c r="AT498" s="429" t="s">
        <v>2249</v>
      </c>
      <c r="AU498" s="241">
        <v>2</v>
      </c>
      <c r="AV498" s="243"/>
      <c r="AW498" s="72" t="s">
        <v>127</v>
      </c>
      <c r="AX498" s="243"/>
      <c r="AY498" s="103">
        <f t="shared" si="239"/>
        <v>0.46728971962616822</v>
      </c>
      <c r="AZ498" s="72"/>
      <c r="BA498" s="13" t="str">
        <f t="shared" si="240"/>
        <v>W23</v>
      </c>
      <c r="BB498" s="72" t="str">
        <f>IF(R498="n/a","Clear","S/B")</f>
        <v>S/B</v>
      </c>
      <c r="BC498" s="32">
        <f>IF(Q498="","",((P498/100*O498)+T498))</f>
        <v>1.2280000000000002</v>
      </c>
      <c r="BD498" s="241">
        <f>IF(BC498="","",((PI()*((51/2)^2-(16.545/2)^2)/(BC498/10))/100))</f>
        <v>148.84593373842682</v>
      </c>
      <c r="BE498" s="241">
        <f>IF(BC498="","",(BD498-AK498))</f>
        <v>-13.195561501633591</v>
      </c>
      <c r="BF498" s="71">
        <f>IF(BC498="","",(BE498/AK498))</f>
        <v>-8.1433224755700376E-2</v>
      </c>
      <c r="BG498" s="241">
        <f>IF(BF498="","",((PI()*((70/2)^2-(16.545/2)^2)/(BC498/10))/100))</f>
        <v>295.88423810737896</v>
      </c>
      <c r="BH498" s="241">
        <f>IF(BF498="","",(BG498-AL498))</f>
        <v>-26.230872172640034</v>
      </c>
      <c r="BI498" s="71">
        <f>IF(BG498="","",(BH498/AL498))</f>
        <v>-8.1433224755700487E-2</v>
      </c>
      <c r="BJ498" s="158"/>
      <c r="BK498" s="141"/>
      <c r="BL498" s="83"/>
      <c r="BM498" s="141"/>
      <c r="BN498" s="71"/>
      <c r="BO498" s="141"/>
      <c r="BP498" s="141"/>
      <c r="BQ498" s="108"/>
      <c r="BR498" s="71"/>
      <c r="BS498" s="71"/>
      <c r="BT498" s="72"/>
      <c r="BU498" s="78"/>
      <c r="BV498" s="32"/>
      <c r="BW498" s="127"/>
      <c r="BX498" s="78"/>
      <c r="BY498" s="78"/>
      <c r="BZ498" s="127"/>
      <c r="CA498" s="76"/>
    </row>
    <row r="499" spans="1:79" s="22" customFormat="1">
      <c r="A499" s="13" t="s">
        <v>2110</v>
      </c>
      <c r="B499" s="13" t="s">
        <v>2250</v>
      </c>
      <c r="C499" s="13" t="s">
        <v>2214</v>
      </c>
      <c r="D499" s="13" t="s">
        <v>2215</v>
      </c>
      <c r="E499" s="13" t="s">
        <v>118</v>
      </c>
      <c r="F499" s="13" t="s">
        <v>167</v>
      </c>
      <c r="G499" s="13" t="s">
        <v>2251</v>
      </c>
      <c r="H499" s="13" t="s">
        <v>146</v>
      </c>
      <c r="I499" s="13" t="s">
        <v>147</v>
      </c>
      <c r="J499" s="13" t="s">
        <v>5</v>
      </c>
      <c r="K499" s="13" t="s">
        <v>123</v>
      </c>
      <c r="L499" s="13" t="s">
        <v>2252</v>
      </c>
      <c r="M499" s="13" t="s">
        <v>125</v>
      </c>
      <c r="N499" s="13" t="s">
        <v>12</v>
      </c>
      <c r="O499" s="247">
        <v>0.41</v>
      </c>
      <c r="P499" s="13">
        <v>107</v>
      </c>
      <c r="Q499" s="13">
        <v>30</v>
      </c>
      <c r="R499" s="13" t="s">
        <v>127</v>
      </c>
      <c r="S499" s="430" t="str">
        <f t="shared" si="221"/>
        <v>N/A</v>
      </c>
      <c r="T499" s="247">
        <v>0.8</v>
      </c>
      <c r="U499" s="13">
        <v>280</v>
      </c>
      <c r="V499" s="13">
        <v>600</v>
      </c>
      <c r="W499" s="430">
        <f t="shared" si="211"/>
        <v>320</v>
      </c>
      <c r="X499" s="430">
        <f t="shared" si="212"/>
        <v>170</v>
      </c>
      <c r="Y499" s="13"/>
      <c r="Z499" s="13"/>
      <c r="AA499" s="430">
        <f t="shared" si="222"/>
        <v>0</v>
      </c>
      <c r="AB499" s="430">
        <f t="shared" si="223"/>
        <v>770</v>
      </c>
      <c r="AC499" s="430" t="str">
        <f t="shared" si="224"/>
        <v>N/A</v>
      </c>
      <c r="AD499" s="430">
        <f t="shared" si="225"/>
        <v>77</v>
      </c>
      <c r="AE499" s="431">
        <f t="shared" si="226"/>
        <v>1.1156999999999999</v>
      </c>
      <c r="AF499" s="431"/>
      <c r="AG499" s="431">
        <f t="shared" si="227"/>
        <v>1.0021070093457944</v>
      </c>
      <c r="AH499" s="431">
        <f t="shared" si="228"/>
        <v>1.0622334299065421</v>
      </c>
      <c r="AI499" s="432">
        <f t="shared" si="229"/>
        <v>874.69313200000011</v>
      </c>
      <c r="AJ499" s="432">
        <f t="shared" si="230"/>
        <v>149.83033794017931</v>
      </c>
      <c r="AK499" s="432">
        <f t="shared" si="231"/>
        <v>163.82791667185461</v>
      </c>
      <c r="AL499" s="432">
        <f t="shared" si="232"/>
        <v>325.66625830945731</v>
      </c>
      <c r="AM499" s="250">
        <v>150</v>
      </c>
      <c r="AN499" s="432">
        <f t="shared" si="233"/>
        <v>160.5</v>
      </c>
      <c r="AO499" s="432">
        <f t="shared" si="234"/>
        <v>170.48846550000002</v>
      </c>
      <c r="AP499" s="432">
        <f t="shared" si="235"/>
        <v>568.29488500000014</v>
      </c>
      <c r="AQ499" s="255">
        <v>43739</v>
      </c>
      <c r="AR499" s="255" t="s">
        <v>238</v>
      </c>
      <c r="AS499" s="429" t="s">
        <v>2253</v>
      </c>
      <c r="AT499" s="429" t="s">
        <v>2254</v>
      </c>
      <c r="AU499" s="241">
        <v>3</v>
      </c>
      <c r="AV499" s="243" t="s">
        <v>2255</v>
      </c>
      <c r="AW499" s="72" t="s">
        <v>127</v>
      </c>
      <c r="AX499" s="243"/>
      <c r="AY499" s="103">
        <f t="shared" si="239"/>
        <v>0.56074766355140182</v>
      </c>
      <c r="AZ499" s="72"/>
      <c r="BA499" s="13" t="str">
        <f t="shared" si="240"/>
        <v>W22</v>
      </c>
      <c r="BB499" s="72" t="str">
        <f>IF(R499="n/a","Clear","S/B")</f>
        <v>Clear</v>
      </c>
      <c r="BC499" s="32">
        <f>IF(Q499="","",((P499/100*O499)+T499))</f>
        <v>1.2387000000000001</v>
      </c>
      <c r="BD499" s="241">
        <f>IF(BC499="","",((PI()*((51/2)^2-(16.545/2)^2)/(BC499/10))/100))</f>
        <v>147.56018941695984</v>
      </c>
      <c r="BE499" s="241">
        <f>IF(BC499="","",(BD499-AK499))</f>
        <v>-16.267727254894766</v>
      </c>
      <c r="BF499" s="71">
        <f>IF(BC499="","",(BE499/AK499))</f>
        <v>-9.9297650762896733E-2</v>
      </c>
      <c r="BG499" s="241">
        <f>IF(BF499="","",((PI()*((70/2)^2-(16.545/2)^2)/(BC499/10))/100))</f>
        <v>293.3283639265855</v>
      </c>
      <c r="BH499" s="241">
        <f>IF(BF499="","",(BG499-AL499))</f>
        <v>-32.337894382871809</v>
      </c>
      <c r="BI499" s="71">
        <f>IF(BG499="","",(BH499/AL499))</f>
        <v>-9.9297650762896733E-2</v>
      </c>
      <c r="BJ499" s="111"/>
      <c r="BK499" s="83"/>
      <c r="BL499" s="83"/>
      <c r="BM499" s="83"/>
      <c r="BN499" s="71"/>
      <c r="BO499" s="83"/>
      <c r="BP499" s="83"/>
      <c r="BQ499" s="164"/>
      <c r="BR499" s="159"/>
      <c r="BS499" s="100"/>
      <c r="BT499" s="72"/>
      <c r="BU499" s="78"/>
      <c r="BV499" s="32"/>
      <c r="BW499" s="127"/>
      <c r="BX499" s="78"/>
      <c r="BY499" s="78"/>
      <c r="BZ499" s="127"/>
      <c r="CA499" s="76"/>
    </row>
    <row r="500" spans="1:79" s="22" customFormat="1">
      <c r="A500" s="13" t="s">
        <v>2110</v>
      </c>
      <c r="B500" s="13" t="s">
        <v>2256</v>
      </c>
      <c r="C500" s="13" t="s">
        <v>2257</v>
      </c>
      <c r="D500" s="13" t="s">
        <v>2258</v>
      </c>
      <c r="E500" s="13"/>
      <c r="F500" s="13" t="s">
        <v>167</v>
      </c>
      <c r="G500" s="13" t="s">
        <v>2259</v>
      </c>
      <c r="H500" s="13" t="s">
        <v>121</v>
      </c>
      <c r="I500" s="13" t="s">
        <v>147</v>
      </c>
      <c r="J500" s="13" t="s">
        <v>5</v>
      </c>
      <c r="K500" s="13" t="s">
        <v>123</v>
      </c>
      <c r="L500" s="429" t="s">
        <v>2260</v>
      </c>
      <c r="M500" s="13" t="s">
        <v>125</v>
      </c>
      <c r="N500" s="13" t="s">
        <v>12</v>
      </c>
      <c r="O500" s="247">
        <v>0.64</v>
      </c>
      <c r="P500" s="13">
        <v>100</v>
      </c>
      <c r="Q500" s="13">
        <f ca="1">P500-AD500</f>
        <v>35</v>
      </c>
      <c r="R500" s="13" t="s">
        <v>127</v>
      </c>
      <c r="S500" s="430" t="str">
        <f t="shared" si="221"/>
        <v>N/A</v>
      </c>
      <c r="T500" s="247">
        <v>0.8</v>
      </c>
      <c r="U500" s="13">
        <v>280</v>
      </c>
      <c r="V500" s="13">
        <v>510</v>
      </c>
      <c r="W500" s="430">
        <f t="shared" si="211"/>
        <v>230</v>
      </c>
      <c r="X500" s="430">
        <f t="shared" ca="1" si="212"/>
        <v>140</v>
      </c>
      <c r="Y500" s="13"/>
      <c r="Z500" s="13"/>
      <c r="AA500" s="430">
        <f t="shared" si="222"/>
        <v>0</v>
      </c>
      <c r="AB500" s="430">
        <f t="shared" ca="1" si="223"/>
        <v>290</v>
      </c>
      <c r="AC500" s="430" t="str">
        <f t="shared" si="224"/>
        <v>N/A</v>
      </c>
      <c r="AD500" s="430">
        <f t="shared" ca="1" si="225"/>
        <v>79</v>
      </c>
      <c r="AE500" s="431">
        <f t="shared" ca="1" si="226"/>
        <v>1.0133000000000001</v>
      </c>
      <c r="AF500" s="431"/>
      <c r="AG500" s="431">
        <f t="shared" ca="1" si="227"/>
        <v>0.93600321100917439</v>
      </c>
      <c r="AH500" s="431">
        <f t="shared" ca="1" si="228"/>
        <v>0.99216340366972477</v>
      </c>
      <c r="AI500" s="432">
        <f t="shared" si="229"/>
        <v>0</v>
      </c>
      <c r="AJ500" s="432">
        <f t="shared" ca="1" si="230"/>
        <v>164.97158594676603</v>
      </c>
      <c r="AK500" s="432">
        <f t="shared" ca="1" si="231"/>
        <v>180.38370337588884</v>
      </c>
      <c r="AL500" s="432">
        <f t="shared" ca="1" si="232"/>
        <v>358.57677331082749</v>
      </c>
      <c r="AM500" s="250" t="s">
        <v>1629</v>
      </c>
      <c r="AN500" s="432" t="e">
        <f t="shared" si="233"/>
        <v>#VALUE!</v>
      </c>
      <c r="AO500" s="432">
        <f t="shared" ca="1" si="234"/>
        <v>129.77497320000001</v>
      </c>
      <c r="AP500" s="432">
        <f t="shared" ca="1" si="235"/>
        <v>432.58324400000004</v>
      </c>
      <c r="AQ500" s="255">
        <v>43344</v>
      </c>
      <c r="AR500" s="13" t="s">
        <v>238</v>
      </c>
      <c r="AS500" s="429" t="s">
        <v>2261</v>
      </c>
      <c r="AT500" s="429" t="s">
        <v>2262</v>
      </c>
      <c r="AU500" s="241" t="s">
        <v>2263</v>
      </c>
      <c r="AV500" s="243" t="s">
        <v>2264</v>
      </c>
      <c r="AW500" s="72" t="s">
        <v>127</v>
      </c>
      <c r="AX500" s="243"/>
      <c r="AY500" s="103">
        <f t="shared" si="239"/>
        <v>0.51</v>
      </c>
      <c r="AZ500" s="72"/>
      <c r="BA500" s="13" t="str">
        <f t="shared" si="240"/>
        <v>W12</v>
      </c>
      <c r="BB500" s="72" t="str">
        <f>IF(R500="n/a","Clear","S/B")</f>
        <v>Clear</v>
      </c>
      <c r="BC500" s="32">
        <f ca="1">IF(Q500="","",((P500/100*O500)+T500))</f>
        <v>1.44</v>
      </c>
      <c r="BD500" s="241">
        <f ca="1">IF(BC500="","",((PI()*((51/2)^2-(16.545/2)^2)/(BC500/10))/100))</f>
        <v>126.93250460471401</v>
      </c>
      <c r="BE500" s="241">
        <f ca="1">IF(BC500="","",(BD500-AK500))</f>
        <v>-23.382303479815704</v>
      </c>
      <c r="BF500" s="71">
        <f ca="1">IF(BC500="","",(BE500/AK500))</f>
        <v>-0.15555555555555536</v>
      </c>
      <c r="BG500" s="241">
        <f ca="1">IF(BF500="","",((PI()*((70/2)^2-(16.545/2)^2)/(BC500/10))/100))</f>
        <v>252.32350305268159</v>
      </c>
      <c r="BH500" s="241">
        <f ca="1">IF(BF500="","",(BG500-AL500))</f>
        <v>-46.48064529917815</v>
      </c>
      <c r="BI500" s="71">
        <f ca="1">IF(BG500="","",(BH500/AL500))</f>
        <v>-0.15555555555555545</v>
      </c>
      <c r="BJ500" s="111"/>
      <c r="BK500" s="83"/>
      <c r="BL500" s="83"/>
      <c r="BM500" s="83"/>
      <c r="BN500" s="71"/>
      <c r="BO500" s="83"/>
      <c r="BP500" s="83"/>
      <c r="BQ500" s="103"/>
      <c r="BR500" s="71"/>
      <c r="BS500" s="71"/>
      <c r="BT500" s="13">
        <f>P500-V500/10-120/10</f>
        <v>37</v>
      </c>
      <c r="BU500" s="79">
        <f ca="1">BT500-Q500</f>
        <v>2</v>
      </c>
      <c r="BV500" s="29">
        <f>T500+(O500/100*(P500-BT500))</f>
        <v>1.2032</v>
      </c>
      <c r="BW500" s="86">
        <f ca="1">(AE500-BV500)/AE500</f>
        <v>1.0526315789473802E-2</v>
      </c>
      <c r="BX500" s="79">
        <f>(PI()*((51/2)^2-(16.545/2)^2)/(BV500/10))/100</f>
        <v>151.91390178755665</v>
      </c>
      <c r="BY500" s="79">
        <f ca="1">BX500-AK500</f>
        <v>1.5990937030269379</v>
      </c>
      <c r="BZ500" s="86">
        <f ca="1">BY500/AK500</f>
        <v>1.0638297872340599E-2</v>
      </c>
      <c r="CA500" s="76"/>
    </row>
    <row r="501" spans="1:79" s="14" customFormat="1">
      <c r="A501" s="13" t="s">
        <v>2110</v>
      </c>
      <c r="B501" s="13" t="s">
        <v>2265</v>
      </c>
      <c r="C501" s="13" t="s">
        <v>2266</v>
      </c>
      <c r="D501" s="13" t="s">
        <v>2267</v>
      </c>
      <c r="E501" s="13" t="s">
        <v>118</v>
      </c>
      <c r="F501" s="13" t="s">
        <v>119</v>
      </c>
      <c r="G501" s="13" t="s">
        <v>2268</v>
      </c>
      <c r="H501" s="13" t="s">
        <v>146</v>
      </c>
      <c r="I501" s="13" t="s">
        <v>147</v>
      </c>
      <c r="J501" s="13" t="s">
        <v>5</v>
      </c>
      <c r="K501" s="13" t="s">
        <v>123</v>
      </c>
      <c r="L501" s="13"/>
      <c r="M501" s="13" t="s">
        <v>125</v>
      </c>
      <c r="N501" s="13" t="s">
        <v>12</v>
      </c>
      <c r="O501" s="247">
        <v>0.53</v>
      </c>
      <c r="P501" s="13">
        <v>115</v>
      </c>
      <c r="Q501" s="13">
        <v>30</v>
      </c>
      <c r="R501" s="13" t="s">
        <v>127</v>
      </c>
      <c r="S501" s="430" t="str">
        <f t="shared" si="221"/>
        <v>N/A</v>
      </c>
      <c r="T501" s="247">
        <v>0.8</v>
      </c>
      <c r="U501" s="13">
        <v>250</v>
      </c>
      <c r="V501" s="13">
        <v>650</v>
      </c>
      <c r="W501" s="430">
        <f t="shared" si="211"/>
        <v>400</v>
      </c>
      <c r="X501" s="430">
        <f t="shared" si="212"/>
        <v>200</v>
      </c>
      <c r="Y501" s="13">
        <v>250</v>
      </c>
      <c r="Z501" s="13">
        <v>650</v>
      </c>
      <c r="AA501" s="430">
        <f t="shared" si="222"/>
        <v>400</v>
      </c>
      <c r="AB501" s="430">
        <f t="shared" si="223"/>
        <v>200</v>
      </c>
      <c r="AC501" s="430" t="str">
        <f t="shared" si="224"/>
        <v>N/A</v>
      </c>
      <c r="AD501" s="430">
        <f t="shared" si="225"/>
        <v>85</v>
      </c>
      <c r="AE501" s="431">
        <f t="shared" si="226"/>
        <v>1.2505000000000002</v>
      </c>
      <c r="AF501" s="431"/>
      <c r="AG501" s="431">
        <f t="shared" si="227"/>
        <v>1.0840108695652175</v>
      </c>
      <c r="AH501" s="431">
        <f t="shared" si="228"/>
        <v>1.1490515217391306</v>
      </c>
      <c r="AI501" s="432">
        <f t="shared" si="229"/>
        <v>882.50575600000013</v>
      </c>
      <c r="AJ501" s="432">
        <f t="shared" si="230"/>
        <v>133.67909479396883</v>
      </c>
      <c r="AK501" s="432">
        <f t="shared" si="231"/>
        <v>146.16777819335317</v>
      </c>
      <c r="AL501" s="432">
        <f t="shared" si="232"/>
        <v>290.56045133615464</v>
      </c>
      <c r="AM501" s="250">
        <v>146</v>
      </c>
      <c r="AN501" s="432">
        <f t="shared" si="233"/>
        <v>167.9</v>
      </c>
      <c r="AO501" s="432">
        <f t="shared" si="234"/>
        <v>192.92575050000005</v>
      </c>
      <c r="AP501" s="432">
        <f t="shared" si="235"/>
        <v>643.0858350000002</v>
      </c>
      <c r="AQ501" s="255" t="s">
        <v>132</v>
      </c>
      <c r="AR501" s="13"/>
      <c r="AS501" s="447" t="s">
        <v>2269</v>
      </c>
      <c r="AT501" s="429"/>
      <c r="AU501" s="274"/>
      <c r="AV501" s="276"/>
      <c r="AX501" s="276"/>
      <c r="AY501" s="185"/>
      <c r="BC501" s="266"/>
      <c r="BD501" s="274"/>
      <c r="BE501" s="274"/>
      <c r="BF501" s="185"/>
      <c r="BG501" s="274"/>
      <c r="BH501" s="274"/>
      <c r="BI501" s="185"/>
      <c r="BJ501" s="186"/>
      <c r="BK501" s="187"/>
      <c r="BL501" s="187"/>
      <c r="BM501" s="187"/>
      <c r="BN501" s="185"/>
      <c r="BO501" s="185"/>
      <c r="BP501" s="185"/>
      <c r="BQ501" s="368"/>
      <c r="BR501" s="369"/>
      <c r="BS501" s="185"/>
      <c r="BU501" s="270"/>
      <c r="BV501" s="266"/>
      <c r="BW501" s="189"/>
      <c r="BX501" s="270"/>
      <c r="BY501" s="270"/>
      <c r="BZ501" s="189"/>
      <c r="CA501" s="272"/>
    </row>
    <row r="502" spans="1:79" s="72" customFormat="1">
      <c r="A502" s="13" t="s">
        <v>2110</v>
      </c>
      <c r="B502" s="13" t="s">
        <v>2270</v>
      </c>
      <c r="C502" s="13" t="s">
        <v>1323</v>
      </c>
      <c r="D502" s="429" t="s">
        <v>2271</v>
      </c>
      <c r="E502" s="13" t="s">
        <v>118</v>
      </c>
      <c r="F502" s="13" t="s">
        <v>167</v>
      </c>
      <c r="G502" s="445" t="s">
        <v>2272</v>
      </c>
      <c r="H502" s="13" t="s">
        <v>146</v>
      </c>
      <c r="I502" s="13" t="s">
        <v>122</v>
      </c>
      <c r="J502" s="13" t="s">
        <v>274</v>
      </c>
      <c r="K502" s="13" t="s">
        <v>123</v>
      </c>
      <c r="L502" s="13" t="s">
        <v>2273</v>
      </c>
      <c r="M502" s="13" t="s">
        <v>125</v>
      </c>
      <c r="N502" s="13" t="s">
        <v>126</v>
      </c>
      <c r="O502" s="448">
        <v>0.39</v>
      </c>
      <c r="P502" s="438">
        <v>99</v>
      </c>
      <c r="Q502" s="13">
        <v>30</v>
      </c>
      <c r="R502" s="445">
        <v>12</v>
      </c>
      <c r="S502" s="430">
        <f t="shared" si="221"/>
        <v>87</v>
      </c>
      <c r="T502" s="247">
        <v>0.8</v>
      </c>
      <c r="U502" s="13">
        <v>236</v>
      </c>
      <c r="V502" s="13">
        <v>543</v>
      </c>
      <c r="W502" s="430">
        <f t="shared" si="211"/>
        <v>307</v>
      </c>
      <c r="X502" s="430">
        <f t="shared" si="212"/>
        <v>147</v>
      </c>
      <c r="Y502" s="13">
        <v>190</v>
      </c>
      <c r="Z502" s="13">
        <v>590</v>
      </c>
      <c r="AA502" s="430">
        <f t="shared" si="222"/>
        <v>400</v>
      </c>
      <c r="AB502" s="430">
        <f t="shared" si="223"/>
        <v>100</v>
      </c>
      <c r="AC502" s="430">
        <f t="shared" si="224"/>
        <v>180</v>
      </c>
      <c r="AD502" s="430">
        <f t="shared" si="225"/>
        <v>69</v>
      </c>
      <c r="AE502" s="431">
        <f t="shared" si="226"/>
        <v>1.0691000000000002</v>
      </c>
      <c r="AF502" s="431"/>
      <c r="AG502" s="431">
        <f t="shared" si="227"/>
        <v>0.9753227272727274</v>
      </c>
      <c r="AH502" s="431">
        <f t="shared" si="228"/>
        <v>1.0338420909090911</v>
      </c>
      <c r="AI502" s="432">
        <f t="shared" si="229"/>
        <v>873.39102800000012</v>
      </c>
      <c r="AJ502" s="432">
        <f t="shared" si="230"/>
        <v>156.36115240843515</v>
      </c>
      <c r="AK502" s="432">
        <f t="shared" si="231"/>
        <v>170.96885850789278</v>
      </c>
      <c r="AL502" s="432">
        <f t="shared" si="232"/>
        <v>339.86142025616073</v>
      </c>
      <c r="AM502" s="250">
        <v>150</v>
      </c>
      <c r="AN502" s="432">
        <f t="shared" si="233"/>
        <v>148.5</v>
      </c>
      <c r="AO502" s="432">
        <f t="shared" si="234"/>
        <v>153.52555050000004</v>
      </c>
      <c r="AP502" s="432">
        <f t="shared" si="235"/>
        <v>511.75183500000014</v>
      </c>
      <c r="AQ502" s="255">
        <v>45017</v>
      </c>
      <c r="AR502" s="255" t="s">
        <v>2274</v>
      </c>
      <c r="AS502" s="429" t="s">
        <v>2275</v>
      </c>
      <c r="AT502" s="429"/>
      <c r="AU502" s="241"/>
      <c r="AV502" s="243"/>
      <c r="AX502" s="243"/>
      <c r="AY502" s="71">
        <f t="shared" si="239"/>
        <v>0.54848484848484846</v>
      </c>
      <c r="BC502" s="32"/>
      <c r="BD502" s="241"/>
      <c r="BE502" s="241"/>
      <c r="BF502" s="71"/>
      <c r="BG502" s="241"/>
      <c r="BH502" s="241"/>
      <c r="BI502" s="71"/>
      <c r="BJ502" s="123"/>
      <c r="BK502" s="163"/>
      <c r="BL502" s="126"/>
      <c r="BM502" s="108"/>
      <c r="BN502" s="123"/>
      <c r="BO502" s="108"/>
      <c r="BP502" s="123"/>
      <c r="BQ502" s="124"/>
      <c r="BR502" s="124"/>
      <c r="BS502" s="71"/>
      <c r="BU502" s="78"/>
      <c r="BV502" s="32"/>
      <c r="BW502" s="127"/>
      <c r="BX502" s="78"/>
      <c r="BY502" s="78"/>
      <c r="BZ502" s="127"/>
      <c r="CA502" s="76"/>
    </row>
    <row r="503" spans="1:79" s="72" customFormat="1">
      <c r="A503" s="13" t="s">
        <v>2110</v>
      </c>
      <c r="B503" s="13" t="s">
        <v>2270</v>
      </c>
      <c r="C503" s="13" t="s">
        <v>1323</v>
      </c>
      <c r="D503" s="445" t="s">
        <v>2276</v>
      </c>
      <c r="E503" s="387" t="s">
        <v>118</v>
      </c>
      <c r="F503" s="387" t="s">
        <v>119</v>
      </c>
      <c r="G503" s="445" t="s">
        <v>2277</v>
      </c>
      <c r="H503" s="13" t="s">
        <v>146</v>
      </c>
      <c r="I503" s="13" t="s">
        <v>122</v>
      </c>
      <c r="J503" s="13" t="s">
        <v>5</v>
      </c>
      <c r="K503" s="13" t="s">
        <v>123</v>
      </c>
      <c r="L503" s="13" t="s">
        <v>2278</v>
      </c>
      <c r="M503" s="13" t="s">
        <v>125</v>
      </c>
      <c r="N503" s="13" t="s">
        <v>126</v>
      </c>
      <c r="O503" s="448">
        <v>0.41</v>
      </c>
      <c r="P503" s="438">
        <v>112</v>
      </c>
      <c r="Q503" s="13">
        <v>30</v>
      </c>
      <c r="R503" s="449" t="s">
        <v>127</v>
      </c>
      <c r="S503" s="430" t="str">
        <f t="shared" si="221"/>
        <v>N/A</v>
      </c>
      <c r="T503" s="247">
        <v>0.8</v>
      </c>
      <c r="U503" s="13">
        <v>190</v>
      </c>
      <c r="V503" s="13">
        <v>670</v>
      </c>
      <c r="W503" s="430">
        <f t="shared" si="211"/>
        <v>480</v>
      </c>
      <c r="X503" s="430">
        <f t="shared" si="212"/>
        <v>150</v>
      </c>
      <c r="Y503" s="13">
        <v>190</v>
      </c>
      <c r="Z503" s="13">
        <v>670</v>
      </c>
      <c r="AA503" s="430">
        <f t="shared" si="222"/>
        <v>480</v>
      </c>
      <c r="AB503" s="430">
        <f t="shared" si="223"/>
        <v>150</v>
      </c>
      <c r="AC503" s="430" t="str">
        <f t="shared" si="224"/>
        <v>N/A</v>
      </c>
      <c r="AD503" s="430">
        <f t="shared" si="225"/>
        <v>82</v>
      </c>
      <c r="AE503" s="431">
        <f t="shared" si="226"/>
        <v>1.1362000000000001</v>
      </c>
      <c r="AF503" s="431"/>
      <c r="AG503" s="431">
        <f t="shared" si="227"/>
        <v>1.0131267857142858</v>
      </c>
      <c r="AH503" s="431">
        <f t="shared" si="228"/>
        <v>1.0739143928571429</v>
      </c>
      <c r="AI503" s="432">
        <f t="shared" si="229"/>
        <v>874.69313200000011</v>
      </c>
      <c r="AJ503" s="432">
        <f t="shared" si="230"/>
        <v>147.12700936442351</v>
      </c>
      <c r="AK503" s="432">
        <f t="shared" si="231"/>
        <v>160.87203540819235</v>
      </c>
      <c r="AL503" s="432">
        <f t="shared" si="232"/>
        <v>319.79039288493351</v>
      </c>
      <c r="AM503" s="250">
        <v>250</v>
      </c>
      <c r="AN503" s="432">
        <f t="shared" si="233"/>
        <v>280</v>
      </c>
      <c r="AO503" s="432">
        <f t="shared" si="234"/>
        <v>300.69603000000001</v>
      </c>
      <c r="AP503" s="432">
        <f t="shared" si="235"/>
        <v>1002.3201</v>
      </c>
      <c r="AQ503" s="255">
        <v>45717</v>
      </c>
      <c r="AR503" s="451" t="s">
        <v>2279</v>
      </c>
      <c r="AS503" s="429" t="s">
        <v>2280</v>
      </c>
      <c r="AT503" s="429"/>
      <c r="AU503" s="250"/>
      <c r="AV503" s="255"/>
      <c r="AW503" s="13"/>
      <c r="AX503" s="255"/>
      <c r="AY503" s="103"/>
      <c r="AZ503" s="13"/>
      <c r="BA503" s="13"/>
      <c r="BC503" s="73"/>
      <c r="BD503" s="252"/>
      <c r="BE503" s="252"/>
      <c r="BF503" s="80"/>
      <c r="BG503" s="252"/>
      <c r="BH503" s="252"/>
      <c r="BI503" s="80"/>
      <c r="BJ503" s="114"/>
      <c r="BK503" s="114"/>
      <c r="BL503" s="112"/>
      <c r="BM503" s="111"/>
      <c r="BN503" s="123"/>
      <c r="BO503" s="111"/>
      <c r="BP503" s="88"/>
      <c r="BQ503" s="124"/>
      <c r="BR503" s="124"/>
      <c r="BS503" s="71"/>
      <c r="BU503" s="78"/>
      <c r="BV503" s="32"/>
      <c r="BW503" s="127"/>
      <c r="BX503" s="78"/>
      <c r="BY503" s="78"/>
      <c r="BZ503" s="127"/>
      <c r="CA503" s="76"/>
    </row>
    <row r="504" spans="1:79" s="343" customFormat="1">
      <c r="A504" s="13" t="s">
        <v>2110</v>
      </c>
      <c r="B504" s="13" t="s">
        <v>2270</v>
      </c>
      <c r="C504" s="13" t="s">
        <v>1323</v>
      </c>
      <c r="D504" s="445" t="s">
        <v>2276</v>
      </c>
      <c r="E504" s="387" t="s">
        <v>118</v>
      </c>
      <c r="F504" s="387" t="s">
        <v>119</v>
      </c>
      <c r="G504" s="445" t="s">
        <v>2281</v>
      </c>
      <c r="H504" s="13" t="s">
        <v>146</v>
      </c>
      <c r="I504" s="13" t="s">
        <v>122</v>
      </c>
      <c r="J504" s="13" t="s">
        <v>5</v>
      </c>
      <c r="K504" s="13" t="s">
        <v>123</v>
      </c>
      <c r="L504" s="13" t="s">
        <v>2282</v>
      </c>
      <c r="M504" s="13" t="s">
        <v>125</v>
      </c>
      <c r="N504" s="13" t="s">
        <v>126</v>
      </c>
      <c r="O504" s="448">
        <v>0.41</v>
      </c>
      <c r="P504" s="438">
        <v>114</v>
      </c>
      <c r="Q504" s="13">
        <v>30</v>
      </c>
      <c r="R504" s="449" t="s">
        <v>127</v>
      </c>
      <c r="S504" s="430" t="str">
        <f t="shared" si="221"/>
        <v>N/A</v>
      </c>
      <c r="T504" s="247">
        <v>0.8</v>
      </c>
      <c r="U504" s="13">
        <v>180</v>
      </c>
      <c r="V504" s="13">
        <v>680</v>
      </c>
      <c r="W504" s="430">
        <f t="shared" si="211"/>
        <v>500</v>
      </c>
      <c r="X504" s="430">
        <f t="shared" si="212"/>
        <v>160</v>
      </c>
      <c r="Y504" s="13">
        <v>180</v>
      </c>
      <c r="Z504" s="13">
        <v>680</v>
      </c>
      <c r="AA504" s="430">
        <f t="shared" si="222"/>
        <v>500</v>
      </c>
      <c r="AB504" s="430">
        <f t="shared" si="223"/>
        <v>160</v>
      </c>
      <c r="AC504" s="430" t="str">
        <f t="shared" si="224"/>
        <v>N/A</v>
      </c>
      <c r="AD504" s="430">
        <f t="shared" si="225"/>
        <v>84</v>
      </c>
      <c r="AE504" s="431">
        <f t="shared" si="226"/>
        <v>1.1444000000000001</v>
      </c>
      <c r="AF504" s="431"/>
      <c r="AG504" s="431">
        <f t="shared" si="227"/>
        <v>1.0175157894736844</v>
      </c>
      <c r="AH504" s="431">
        <f t="shared" si="228"/>
        <v>1.0785667368421055</v>
      </c>
      <c r="AI504" s="432">
        <f t="shared" si="229"/>
        <v>874.69313200000011</v>
      </c>
      <c r="AJ504" s="432">
        <f t="shared" si="230"/>
        <v>146.07279625992484</v>
      </c>
      <c r="AK504" s="432">
        <f t="shared" si="231"/>
        <v>159.71933470009449</v>
      </c>
      <c r="AL504" s="432">
        <f t="shared" si="232"/>
        <v>317.49899020959577</v>
      </c>
      <c r="AM504" s="250">
        <v>250</v>
      </c>
      <c r="AN504" s="432">
        <f t="shared" si="233"/>
        <v>285</v>
      </c>
      <c r="AO504" s="432">
        <f t="shared" si="234"/>
        <v>307.39152000000007</v>
      </c>
      <c r="AP504" s="432">
        <f t="shared" si="235"/>
        <v>1024.6384000000003</v>
      </c>
      <c r="AQ504" s="255">
        <v>45839</v>
      </c>
      <c r="AR504" s="451" t="s">
        <v>2283</v>
      </c>
      <c r="AS504" s="435" t="s">
        <v>2284</v>
      </c>
      <c r="AT504" s="429" t="s">
        <v>2285</v>
      </c>
      <c r="AU504" s="353"/>
      <c r="AV504" s="354"/>
      <c r="AX504" s="354"/>
      <c r="AY504" s="355"/>
      <c r="BC504" s="352"/>
      <c r="BD504" s="353"/>
      <c r="BE504" s="353"/>
      <c r="BF504" s="355"/>
      <c r="BG504" s="353"/>
      <c r="BH504" s="353"/>
      <c r="BI504" s="355"/>
      <c r="BJ504" s="356"/>
      <c r="BK504" s="356"/>
      <c r="BL504" s="357"/>
      <c r="BM504" s="356"/>
      <c r="BN504" s="356"/>
      <c r="BO504" s="356"/>
      <c r="BP504" s="358"/>
      <c r="BQ504" s="359"/>
      <c r="BR504" s="359"/>
      <c r="BS504" s="355"/>
      <c r="BU504" s="360"/>
      <c r="BV504" s="352"/>
      <c r="BW504" s="361"/>
      <c r="BX504" s="360"/>
      <c r="BY504" s="360"/>
      <c r="BZ504" s="361"/>
      <c r="CA504" s="362"/>
    </row>
    <row r="505" spans="1:79" s="343" customFormat="1">
      <c r="A505" s="13" t="s">
        <v>2110</v>
      </c>
      <c r="B505" s="13" t="s">
        <v>2270</v>
      </c>
      <c r="C505" s="13" t="s">
        <v>1323</v>
      </c>
      <c r="D505" s="445" t="s">
        <v>2276</v>
      </c>
      <c r="E505" s="387" t="s">
        <v>118</v>
      </c>
      <c r="F505" s="387" t="s">
        <v>119</v>
      </c>
      <c r="G505" s="445" t="s">
        <v>2286</v>
      </c>
      <c r="H505" s="13" t="s">
        <v>146</v>
      </c>
      <c r="I505" s="13" t="s">
        <v>122</v>
      </c>
      <c r="J505" s="13" t="s">
        <v>5</v>
      </c>
      <c r="K505" s="13" t="s">
        <v>123</v>
      </c>
      <c r="L505" s="13" t="s">
        <v>2287</v>
      </c>
      <c r="M505" s="13" t="s">
        <v>125</v>
      </c>
      <c r="N505" s="13" t="s">
        <v>126</v>
      </c>
      <c r="O505" s="448">
        <v>0.41</v>
      </c>
      <c r="P505" s="438">
        <v>113</v>
      </c>
      <c r="Q505" s="13">
        <v>30</v>
      </c>
      <c r="R505" s="449" t="s">
        <v>127</v>
      </c>
      <c r="S505" s="430" t="str">
        <f t="shared" si="221"/>
        <v>N/A</v>
      </c>
      <c r="T505" s="247">
        <v>0.8</v>
      </c>
      <c r="U505" s="13">
        <v>180</v>
      </c>
      <c r="V505" s="13">
        <v>680</v>
      </c>
      <c r="W505" s="430">
        <f t="shared" si="211"/>
        <v>500</v>
      </c>
      <c r="X505" s="430">
        <f t="shared" si="212"/>
        <v>150</v>
      </c>
      <c r="Y505" s="13">
        <v>180</v>
      </c>
      <c r="Z505" s="13">
        <v>680</v>
      </c>
      <c r="AA505" s="430">
        <f t="shared" si="222"/>
        <v>500</v>
      </c>
      <c r="AB505" s="430">
        <f t="shared" si="223"/>
        <v>150</v>
      </c>
      <c r="AC505" s="430" t="str">
        <f t="shared" si="224"/>
        <v>N/A</v>
      </c>
      <c r="AD505" s="430">
        <f t="shared" si="225"/>
        <v>83</v>
      </c>
      <c r="AE505" s="431">
        <f t="shared" si="226"/>
        <v>1.1402999999999999</v>
      </c>
      <c r="AF505" s="431"/>
      <c r="AG505" s="431">
        <f t="shared" si="227"/>
        <v>1.0153225663716814</v>
      </c>
      <c r="AH505" s="431">
        <f t="shared" si="228"/>
        <v>1.0762419203539824</v>
      </c>
      <c r="AI505" s="432">
        <f t="shared" si="229"/>
        <v>874.69313200000011</v>
      </c>
      <c r="AJ505" s="432">
        <f t="shared" si="230"/>
        <v>146.59800757682896</v>
      </c>
      <c r="AK505" s="432">
        <f t="shared" si="231"/>
        <v>160.29361276049127</v>
      </c>
      <c r="AL505" s="432">
        <f t="shared" si="232"/>
        <v>318.64057212651187</v>
      </c>
      <c r="AM505" s="250">
        <v>250</v>
      </c>
      <c r="AN505" s="432">
        <f t="shared" si="233"/>
        <v>282.5</v>
      </c>
      <c r="AO505" s="432">
        <f t="shared" si="234"/>
        <v>304.0383425</v>
      </c>
      <c r="AP505" s="432">
        <f t="shared" si="235"/>
        <v>1013.4611416666667</v>
      </c>
      <c r="AQ505" s="255">
        <v>45839</v>
      </c>
      <c r="AR505" s="451" t="s">
        <v>2288</v>
      </c>
      <c r="AS505" s="429" t="s">
        <v>2289</v>
      </c>
      <c r="AT505" s="429"/>
      <c r="AU505" s="353"/>
      <c r="AV505" s="354"/>
      <c r="AX505" s="354"/>
      <c r="AY505" s="355"/>
      <c r="BC505" s="352"/>
      <c r="BD505" s="353"/>
      <c r="BE505" s="353"/>
      <c r="BF505" s="355"/>
      <c r="BG505" s="353"/>
      <c r="BH505" s="353"/>
      <c r="BI505" s="355"/>
      <c r="BJ505" s="356"/>
      <c r="BK505" s="356"/>
      <c r="BL505" s="357"/>
      <c r="BM505" s="356"/>
      <c r="BN505" s="356"/>
      <c r="BO505" s="356"/>
      <c r="BP505" s="358"/>
      <c r="BQ505" s="359"/>
      <c r="BR505" s="359"/>
      <c r="BS505" s="355"/>
      <c r="BU505" s="360"/>
      <c r="BV505" s="352"/>
      <c r="BW505" s="361"/>
      <c r="BX505" s="360"/>
      <c r="BY505" s="360"/>
      <c r="BZ505" s="361"/>
      <c r="CA505" s="362"/>
    </row>
    <row r="506" spans="1:79" s="72" customFormat="1">
      <c r="A506" s="13" t="s">
        <v>2110</v>
      </c>
      <c r="B506" s="13" t="s">
        <v>2270</v>
      </c>
      <c r="C506" s="13" t="s">
        <v>1323</v>
      </c>
      <c r="D506" s="445" t="s">
        <v>2276</v>
      </c>
      <c r="E506" s="13" t="s">
        <v>118</v>
      </c>
      <c r="F506" s="13" t="s">
        <v>119</v>
      </c>
      <c r="G506" s="445" t="s">
        <v>2290</v>
      </c>
      <c r="H506" s="13" t="s">
        <v>146</v>
      </c>
      <c r="I506" s="13" t="s">
        <v>122</v>
      </c>
      <c r="J506" s="13" t="s">
        <v>5</v>
      </c>
      <c r="K506" s="13" t="s">
        <v>123</v>
      </c>
      <c r="L506" s="13" t="s">
        <v>2291</v>
      </c>
      <c r="M506" s="13" t="s">
        <v>125</v>
      </c>
      <c r="N506" s="13" t="s">
        <v>126</v>
      </c>
      <c r="O506" s="448">
        <v>0.43</v>
      </c>
      <c r="P506" s="438">
        <v>113</v>
      </c>
      <c r="Q506" s="13">
        <v>30</v>
      </c>
      <c r="R506" s="449" t="s">
        <v>127</v>
      </c>
      <c r="S506" s="430" t="str">
        <f t="shared" si="221"/>
        <v>N/A</v>
      </c>
      <c r="T506" s="247">
        <v>0.8</v>
      </c>
      <c r="U506" s="13">
        <v>190</v>
      </c>
      <c r="V506" s="13">
        <v>670</v>
      </c>
      <c r="W506" s="430">
        <f t="shared" si="211"/>
        <v>480</v>
      </c>
      <c r="X506" s="430">
        <f t="shared" si="212"/>
        <v>160</v>
      </c>
      <c r="Y506" s="13">
        <v>190</v>
      </c>
      <c r="Z506" s="13">
        <v>670</v>
      </c>
      <c r="AA506" s="430">
        <f t="shared" si="222"/>
        <v>480</v>
      </c>
      <c r="AB506" s="430">
        <f t="shared" si="223"/>
        <v>160</v>
      </c>
      <c r="AC506" s="430" t="str">
        <f t="shared" si="224"/>
        <v>N/A</v>
      </c>
      <c r="AD506" s="430">
        <f t="shared" si="225"/>
        <v>83</v>
      </c>
      <c r="AE506" s="431">
        <f t="shared" si="226"/>
        <v>1.1569</v>
      </c>
      <c r="AF506" s="431"/>
      <c r="AG506" s="431">
        <f t="shared" si="227"/>
        <v>1.0258261061946903</v>
      </c>
      <c r="AH506" s="431">
        <f t="shared" si="228"/>
        <v>1.0873756725663717</v>
      </c>
      <c r="AI506" s="432">
        <f t="shared" si="229"/>
        <v>875.99523599999998</v>
      </c>
      <c r="AJ506" s="432">
        <f t="shared" si="230"/>
        <v>144.4945181431913</v>
      </c>
      <c r="AK506" s="432">
        <f t="shared" si="231"/>
        <v>157.99360932733009</v>
      </c>
      <c r="AL506" s="432">
        <f t="shared" si="232"/>
        <v>314.06849718719116</v>
      </c>
      <c r="AM506" s="250">
        <v>150</v>
      </c>
      <c r="AN506" s="432">
        <f t="shared" si="233"/>
        <v>169.5</v>
      </c>
      <c r="AO506" s="432">
        <f t="shared" si="234"/>
        <v>184.31017650000001</v>
      </c>
      <c r="AP506" s="432">
        <f t="shared" si="235"/>
        <v>614.36725500000011</v>
      </c>
      <c r="AQ506" s="255">
        <v>45689</v>
      </c>
      <c r="AR506" s="255" t="s">
        <v>2292</v>
      </c>
      <c r="AS506" s="429" t="s">
        <v>2293</v>
      </c>
      <c r="AT506" s="429"/>
      <c r="AU506" s="250"/>
      <c r="AV506" s="255"/>
      <c r="AW506" s="13"/>
      <c r="AX506" s="255"/>
      <c r="AY506" s="103"/>
      <c r="AZ506" s="13"/>
      <c r="BA506" s="13" t="str">
        <f>LEFT(G506,3)</f>
        <v>W22</v>
      </c>
      <c r="BB506" s="72" t="str">
        <f>IF(R506="n/a","Clear","S/B")</f>
        <v>Clear</v>
      </c>
      <c r="BC506" s="73"/>
      <c r="BD506" s="252"/>
      <c r="BE506" s="252"/>
      <c r="BF506" s="80"/>
      <c r="BG506" s="252"/>
      <c r="BH506" s="252"/>
      <c r="BI506" s="80"/>
      <c r="BJ506" s="114"/>
      <c r="BK506" s="114"/>
      <c r="BL506" s="112"/>
      <c r="BM506" s="111"/>
      <c r="BN506" s="123"/>
      <c r="BO506" s="111"/>
      <c r="BP506" s="88"/>
      <c r="BQ506" s="108"/>
      <c r="BR506" s="71"/>
      <c r="BS506" s="71"/>
      <c r="BU506" s="78"/>
      <c r="BV506" s="32"/>
      <c r="BW506" s="127"/>
      <c r="BX506" s="78"/>
      <c r="BY506" s="78"/>
      <c r="BZ506" s="127"/>
      <c r="CA506" s="76"/>
    </row>
    <row r="507" spans="1:79" s="72" customFormat="1">
      <c r="A507" s="13" t="s">
        <v>2110</v>
      </c>
      <c r="B507" s="13" t="s">
        <v>2270</v>
      </c>
      <c r="C507" s="13" t="s">
        <v>1323</v>
      </c>
      <c r="D507" s="445" t="s">
        <v>2276</v>
      </c>
      <c r="E507" s="13" t="s">
        <v>118</v>
      </c>
      <c r="F507" s="13" t="s">
        <v>167</v>
      </c>
      <c r="G507" s="445" t="s">
        <v>2294</v>
      </c>
      <c r="H507" s="13" t="s">
        <v>146</v>
      </c>
      <c r="I507" s="13" t="s">
        <v>122</v>
      </c>
      <c r="J507" s="13" t="s">
        <v>5</v>
      </c>
      <c r="K507" s="13" t="s">
        <v>123</v>
      </c>
      <c r="L507" s="13"/>
      <c r="M507" s="13" t="s">
        <v>125</v>
      </c>
      <c r="N507" s="13" t="s">
        <v>126</v>
      </c>
      <c r="O507" s="448">
        <v>0.44</v>
      </c>
      <c r="P507" s="438">
        <v>112</v>
      </c>
      <c r="Q507" s="13">
        <v>30</v>
      </c>
      <c r="R507" s="449" t="s">
        <v>127</v>
      </c>
      <c r="S507" s="430" t="str">
        <f t="shared" si="221"/>
        <v>N/A</v>
      </c>
      <c r="T507" s="247">
        <v>0.8</v>
      </c>
      <c r="U507" s="13">
        <v>235</v>
      </c>
      <c r="V507" s="13">
        <v>635</v>
      </c>
      <c r="W507" s="430">
        <f t="shared" si="211"/>
        <v>400</v>
      </c>
      <c r="X507" s="430">
        <f t="shared" si="212"/>
        <v>185</v>
      </c>
      <c r="Y507" s="13">
        <v>235</v>
      </c>
      <c r="Z507" s="13">
        <v>635</v>
      </c>
      <c r="AA507" s="430">
        <f t="shared" si="222"/>
        <v>400</v>
      </c>
      <c r="AB507" s="430">
        <f t="shared" si="223"/>
        <v>185</v>
      </c>
      <c r="AC507" s="430" t="str">
        <f t="shared" si="224"/>
        <v>N/A</v>
      </c>
      <c r="AD507" s="430">
        <f t="shared" si="225"/>
        <v>82</v>
      </c>
      <c r="AE507" s="431">
        <f t="shared" si="226"/>
        <v>1.1608000000000001</v>
      </c>
      <c r="AF507" s="431"/>
      <c r="AG507" s="431">
        <f t="shared" si="227"/>
        <v>1.0287214285714286</v>
      </c>
      <c r="AH507" s="431">
        <f t="shared" si="228"/>
        <v>1.0904447142857143</v>
      </c>
      <c r="AI507" s="432">
        <f t="shared" si="229"/>
        <v>876.64628800000003</v>
      </c>
      <c r="AJ507" s="432">
        <f t="shared" si="230"/>
        <v>144.00905241200726</v>
      </c>
      <c r="AK507" s="432">
        <f t="shared" si="231"/>
        <v>157.46278999895603</v>
      </c>
      <c r="AL507" s="432">
        <f t="shared" si="232"/>
        <v>313.01330495852983</v>
      </c>
      <c r="AM507" s="250">
        <v>150</v>
      </c>
      <c r="AN507" s="432">
        <f t="shared" si="233"/>
        <v>168</v>
      </c>
      <c r="AO507" s="432">
        <f t="shared" si="234"/>
        <v>183.19471200000001</v>
      </c>
      <c r="AP507" s="432">
        <f t="shared" si="235"/>
        <v>610.64904000000001</v>
      </c>
      <c r="AQ507" s="255">
        <v>45658</v>
      </c>
      <c r="AR507" s="255" t="s">
        <v>2295</v>
      </c>
      <c r="AS507" s="13"/>
      <c r="AT507" s="429"/>
      <c r="AU507" s="241"/>
      <c r="AV507" s="243"/>
      <c r="AX507" s="243"/>
      <c r="AY507" s="71"/>
      <c r="BA507" s="72" t="str">
        <f>LEFT(G507,3)</f>
        <v>W22</v>
      </c>
      <c r="BB507" s="72" t="str">
        <f>IF(R507="n/a","Clear","S/B")</f>
        <v>Clear</v>
      </c>
      <c r="BC507" s="32"/>
      <c r="BD507" s="241"/>
      <c r="BE507" s="241"/>
      <c r="BF507" s="71"/>
      <c r="BG507" s="241"/>
      <c r="BH507" s="241"/>
      <c r="BI507" s="71"/>
      <c r="BJ507" s="123"/>
      <c r="BK507" s="123"/>
      <c r="BL507" s="126"/>
      <c r="BM507" s="123"/>
      <c r="BN507" s="123"/>
      <c r="BO507" s="123"/>
      <c r="BP507" s="108"/>
      <c r="BQ507" s="108"/>
      <c r="BR507" s="71"/>
      <c r="BS507" s="71"/>
      <c r="BU507" s="78"/>
      <c r="BV507" s="32"/>
      <c r="BW507" s="127"/>
      <c r="BX507" s="78"/>
      <c r="BY507" s="78"/>
      <c r="BZ507" s="127"/>
      <c r="CA507" s="76"/>
    </row>
    <row r="508" spans="1:79" s="77" customFormat="1">
      <c r="A508" s="13" t="s">
        <v>2110</v>
      </c>
      <c r="B508" s="13" t="s">
        <v>2270</v>
      </c>
      <c r="C508" s="13" t="s">
        <v>1323</v>
      </c>
      <c r="D508" s="13" t="s">
        <v>2296</v>
      </c>
      <c r="E508" s="13" t="s">
        <v>118</v>
      </c>
      <c r="F508" s="13" t="s">
        <v>186</v>
      </c>
      <c r="G508" s="445" t="s">
        <v>2297</v>
      </c>
      <c r="H508" s="13" t="s">
        <v>146</v>
      </c>
      <c r="I508" s="13" t="s">
        <v>122</v>
      </c>
      <c r="J508" s="13" t="s">
        <v>5</v>
      </c>
      <c r="K508" s="13" t="s">
        <v>123</v>
      </c>
      <c r="L508" s="13" t="s">
        <v>2298</v>
      </c>
      <c r="M508" s="13" t="s">
        <v>125</v>
      </c>
      <c r="N508" s="13" t="s">
        <v>126</v>
      </c>
      <c r="O508" s="448">
        <v>0.65</v>
      </c>
      <c r="P508" s="438">
        <v>99</v>
      </c>
      <c r="Q508" s="13">
        <v>30</v>
      </c>
      <c r="R508" s="449" t="s">
        <v>127</v>
      </c>
      <c r="S508" s="430" t="str">
        <f t="shared" si="221"/>
        <v>N/A</v>
      </c>
      <c r="T508" s="247">
        <v>0.8</v>
      </c>
      <c r="U508" s="13">
        <v>216</v>
      </c>
      <c r="V508" s="13">
        <v>492</v>
      </c>
      <c r="W508" s="430">
        <f t="shared" si="211"/>
        <v>276</v>
      </c>
      <c r="X508" s="430">
        <f t="shared" si="212"/>
        <v>198</v>
      </c>
      <c r="Y508" s="13">
        <v>154</v>
      </c>
      <c r="Z508" s="13">
        <v>554</v>
      </c>
      <c r="AA508" s="430">
        <f t="shared" si="222"/>
        <v>400</v>
      </c>
      <c r="AB508" s="430">
        <f t="shared" si="223"/>
        <v>136</v>
      </c>
      <c r="AC508" s="430" t="str">
        <f t="shared" si="224"/>
        <v>N/A</v>
      </c>
      <c r="AD508" s="430">
        <f t="shared" si="225"/>
        <v>69</v>
      </c>
      <c r="AE508" s="431">
        <f t="shared" si="226"/>
        <v>1.2485000000000002</v>
      </c>
      <c r="AF508" s="431"/>
      <c r="AG508" s="431">
        <f t="shared" si="227"/>
        <v>1.0922045454545455</v>
      </c>
      <c r="AH508" s="431">
        <f t="shared" si="228"/>
        <v>1.1577368181818182</v>
      </c>
      <c r="AI508" s="432">
        <f t="shared" si="229"/>
        <v>890.31838000000005</v>
      </c>
      <c r="AJ508" s="432">
        <f t="shared" si="230"/>
        <v>133.89323831786785</v>
      </c>
      <c r="AK508" s="432">
        <f t="shared" si="231"/>
        <v>146.40192761777186</v>
      </c>
      <c r="AL508" s="432">
        <f t="shared" si="232"/>
        <v>291.0259066046147</v>
      </c>
      <c r="AM508" s="250">
        <v>145</v>
      </c>
      <c r="AN508" s="432">
        <f t="shared" si="233"/>
        <v>143.55000000000001</v>
      </c>
      <c r="AO508" s="432">
        <f t="shared" si="234"/>
        <v>166.19312025000002</v>
      </c>
      <c r="AP508" s="432">
        <f t="shared" si="235"/>
        <v>553.97706750000009</v>
      </c>
      <c r="AQ508" s="255">
        <v>45689</v>
      </c>
      <c r="AR508" s="255" t="s">
        <v>2299</v>
      </c>
      <c r="AS508" s="429" t="s">
        <v>2300</v>
      </c>
      <c r="AT508" s="429"/>
      <c r="AU508" s="253"/>
      <c r="AV508" s="268"/>
      <c r="AX508" s="268"/>
      <c r="AY508" s="102"/>
      <c r="BA508" s="38"/>
      <c r="BC508" s="264"/>
      <c r="BD508" s="253"/>
      <c r="BE508" s="253"/>
      <c r="BF508" s="100"/>
      <c r="BG508" s="253"/>
      <c r="BH508" s="253"/>
      <c r="BI508" s="100"/>
      <c r="BJ508" s="162"/>
      <c r="BK508" s="176"/>
      <c r="BL508" s="168"/>
      <c r="BM508" s="130"/>
      <c r="BN508" s="162"/>
      <c r="BO508" s="130"/>
      <c r="BP508" s="162"/>
      <c r="BQ508" s="100"/>
      <c r="BR508" s="100"/>
      <c r="BS508" s="100"/>
    </row>
    <row r="509" spans="1:79" s="72" customFormat="1">
      <c r="A509" s="13" t="s">
        <v>2110</v>
      </c>
      <c r="B509" s="13" t="s">
        <v>2270</v>
      </c>
      <c r="C509" s="13" t="s">
        <v>1323</v>
      </c>
      <c r="D509" s="429" t="s">
        <v>2296</v>
      </c>
      <c r="E509" s="13" t="s">
        <v>118</v>
      </c>
      <c r="F509" s="13" t="s">
        <v>167</v>
      </c>
      <c r="G509" s="445" t="s">
        <v>2301</v>
      </c>
      <c r="H509" s="13" t="s">
        <v>146</v>
      </c>
      <c r="I509" s="13" t="s">
        <v>122</v>
      </c>
      <c r="J509" s="13" t="s">
        <v>5</v>
      </c>
      <c r="K509" s="13" t="s">
        <v>123</v>
      </c>
      <c r="L509" s="13" t="s">
        <v>2302</v>
      </c>
      <c r="M509" s="13" t="s">
        <v>125</v>
      </c>
      <c r="N509" s="13" t="s">
        <v>126</v>
      </c>
      <c r="O509" s="448">
        <v>0.61</v>
      </c>
      <c r="P509" s="438">
        <v>99</v>
      </c>
      <c r="Q509" s="13">
        <v>30</v>
      </c>
      <c r="R509" s="449" t="s">
        <v>127</v>
      </c>
      <c r="S509" s="430" t="str">
        <f t="shared" si="221"/>
        <v>N/A</v>
      </c>
      <c r="T509" s="247">
        <v>0.8</v>
      </c>
      <c r="U509" s="13">
        <v>216</v>
      </c>
      <c r="V509" s="13">
        <v>492</v>
      </c>
      <c r="W509" s="430">
        <f t="shared" si="211"/>
        <v>276</v>
      </c>
      <c r="X509" s="430">
        <f t="shared" si="212"/>
        <v>198</v>
      </c>
      <c r="Y509" s="13">
        <v>154</v>
      </c>
      <c r="Z509" s="13">
        <v>554</v>
      </c>
      <c r="AA509" s="430">
        <f t="shared" si="222"/>
        <v>400</v>
      </c>
      <c r="AB509" s="430">
        <f t="shared" si="223"/>
        <v>136</v>
      </c>
      <c r="AC509" s="430" t="str">
        <f t="shared" si="224"/>
        <v>N/A</v>
      </c>
      <c r="AD509" s="430">
        <f t="shared" si="225"/>
        <v>69</v>
      </c>
      <c r="AE509" s="431">
        <f t="shared" si="226"/>
        <v>1.2208999999999999</v>
      </c>
      <c r="AF509" s="431"/>
      <c r="AG509" s="431">
        <f t="shared" si="227"/>
        <v>1.0742227272727274</v>
      </c>
      <c r="AH509" s="431">
        <f t="shared" si="228"/>
        <v>1.1386760909090909</v>
      </c>
      <c r="AI509" s="432">
        <f t="shared" si="229"/>
        <v>887.71417200000008</v>
      </c>
      <c r="AJ509" s="432">
        <f t="shared" si="230"/>
        <v>136.92006555807851</v>
      </c>
      <c r="AK509" s="432">
        <f t="shared" si="231"/>
        <v>149.71152971642903</v>
      </c>
      <c r="AL509" s="432">
        <f t="shared" si="232"/>
        <v>297.60491800791345</v>
      </c>
      <c r="AM509" s="250">
        <v>290</v>
      </c>
      <c r="AN509" s="432">
        <f t="shared" si="233"/>
        <v>287.10000000000002</v>
      </c>
      <c r="AO509" s="432">
        <f t="shared" si="234"/>
        <v>326.91390570000004</v>
      </c>
      <c r="AP509" s="432">
        <f t="shared" si="235"/>
        <v>1089.7130190000003</v>
      </c>
      <c r="AQ509" s="255">
        <v>45017</v>
      </c>
      <c r="AR509" s="255" t="s">
        <v>2303</v>
      </c>
      <c r="AS509" s="429" t="s">
        <v>2304</v>
      </c>
      <c r="AT509" s="429"/>
      <c r="AU509" s="241"/>
      <c r="AV509" s="243"/>
      <c r="AX509" s="243"/>
      <c r="AY509" s="71">
        <f t="shared" ref="AY509:AY518" si="241">(V509/10)/P509</f>
        <v>0.49696969696969701</v>
      </c>
      <c r="BA509" s="72" t="str">
        <f t="shared" ref="BA509:BA518" si="242">LEFT(G509,3)</f>
        <v>W22</v>
      </c>
      <c r="BC509" s="32"/>
      <c r="BD509" s="241"/>
      <c r="BE509" s="241"/>
      <c r="BF509" s="71"/>
      <c r="BG509" s="241"/>
      <c r="BH509" s="241"/>
      <c r="BI509" s="71"/>
      <c r="BJ509" s="123"/>
      <c r="BK509" s="163"/>
      <c r="BL509" s="126"/>
      <c r="BM509" s="108"/>
      <c r="BN509" s="123"/>
      <c r="BO509" s="108"/>
      <c r="BP509" s="123"/>
      <c r="BQ509" s="123"/>
      <c r="BR509" s="71"/>
      <c r="BS509" s="71"/>
      <c r="BU509" s="78"/>
      <c r="BV509" s="32"/>
      <c r="BW509" s="127"/>
      <c r="BX509" s="78"/>
      <c r="BY509" s="78"/>
      <c r="BZ509" s="127"/>
      <c r="CA509" s="76"/>
    </row>
    <row r="510" spans="1:79" s="72" customFormat="1">
      <c r="A510" s="13" t="s">
        <v>2110</v>
      </c>
      <c r="B510" s="13" t="s">
        <v>2270</v>
      </c>
      <c r="C510" s="13" t="s">
        <v>1323</v>
      </c>
      <c r="D510" s="429" t="s">
        <v>2305</v>
      </c>
      <c r="E510" s="13" t="s">
        <v>118</v>
      </c>
      <c r="F510" s="13" t="s">
        <v>167</v>
      </c>
      <c r="G510" s="13" t="s">
        <v>2306</v>
      </c>
      <c r="H510" s="13" t="s">
        <v>146</v>
      </c>
      <c r="I510" s="13" t="s">
        <v>122</v>
      </c>
      <c r="J510" s="13" t="s">
        <v>274</v>
      </c>
      <c r="K510" s="13" t="s">
        <v>123</v>
      </c>
      <c r="L510" s="13" t="s">
        <v>2307</v>
      </c>
      <c r="M510" s="13" t="s">
        <v>125</v>
      </c>
      <c r="N510" s="13" t="s">
        <v>12</v>
      </c>
      <c r="O510" s="247">
        <v>0.51</v>
      </c>
      <c r="P510" s="250">
        <v>98</v>
      </c>
      <c r="Q510" s="13">
        <v>30</v>
      </c>
      <c r="R510" s="13">
        <v>12</v>
      </c>
      <c r="S510" s="430">
        <f t="shared" si="221"/>
        <v>86</v>
      </c>
      <c r="T510" s="247">
        <v>0.8</v>
      </c>
      <c r="U510" s="13">
        <v>194</v>
      </c>
      <c r="V510" s="13">
        <v>481</v>
      </c>
      <c r="W510" s="430">
        <f t="shared" si="211"/>
        <v>287</v>
      </c>
      <c r="X510" s="430">
        <f t="shared" si="212"/>
        <v>199</v>
      </c>
      <c r="Y510" s="13">
        <v>130</v>
      </c>
      <c r="Z510" s="13">
        <v>530</v>
      </c>
      <c r="AA510" s="430">
        <f t="shared" si="222"/>
        <v>400</v>
      </c>
      <c r="AB510" s="430">
        <f t="shared" si="223"/>
        <v>150</v>
      </c>
      <c r="AC510" s="430">
        <f t="shared" si="224"/>
        <v>180</v>
      </c>
      <c r="AD510" s="430">
        <f t="shared" si="225"/>
        <v>68</v>
      </c>
      <c r="AE510" s="431">
        <f t="shared" si="226"/>
        <v>1.1468</v>
      </c>
      <c r="AF510" s="431"/>
      <c r="AG510" s="431">
        <f t="shared" si="227"/>
        <v>1.0264816326530612</v>
      </c>
      <c r="AH510" s="431">
        <f t="shared" si="228"/>
        <v>1.0880705306122449</v>
      </c>
      <c r="AI510" s="432">
        <f t="shared" si="229"/>
        <v>881.20365200000003</v>
      </c>
      <c r="AJ510" s="432">
        <f t="shared" si="230"/>
        <v>145.76709804661496</v>
      </c>
      <c r="AK510" s="432">
        <f t="shared" si="231"/>
        <v>159.38507728530533</v>
      </c>
      <c r="AL510" s="432">
        <f t="shared" si="232"/>
        <v>316.83453470165807</v>
      </c>
      <c r="AM510" s="250">
        <v>159</v>
      </c>
      <c r="AN510" s="432">
        <f t="shared" si="233"/>
        <v>155.82</v>
      </c>
      <c r="AO510" s="432">
        <f t="shared" si="234"/>
        <v>169.54315008</v>
      </c>
      <c r="AP510" s="432">
        <f t="shared" si="235"/>
        <v>565.14383359999999</v>
      </c>
      <c r="AQ510" s="255">
        <v>44409</v>
      </c>
      <c r="AR510" s="13" t="s">
        <v>2308</v>
      </c>
      <c r="AS510" s="434" t="s">
        <v>2309</v>
      </c>
      <c r="AT510" s="429" t="s">
        <v>2310</v>
      </c>
      <c r="AU510" s="241"/>
      <c r="AV510" s="243"/>
      <c r="AW510" s="72" t="s">
        <v>127</v>
      </c>
      <c r="AX510" s="243"/>
      <c r="AY510" s="103">
        <f t="shared" si="241"/>
        <v>0.49081632653061225</v>
      </c>
      <c r="BA510" s="13" t="str">
        <f t="shared" si="242"/>
        <v>W23</v>
      </c>
      <c r="BB510" s="72" t="str">
        <f t="shared" ref="BB510:BB515" si="243">IF(R510="n/a","Clear","S/B")</f>
        <v>S/B</v>
      </c>
      <c r="BC510" s="32">
        <f>IF(Q510="","",((P510/100*O510)+T510))</f>
        <v>1.2998000000000001</v>
      </c>
      <c r="BD510" s="241">
        <f>IF(BC510="","",((PI()*((51/2)^2-(16.545/2)^2)/(BC510/10))/100))</f>
        <v>140.62379337651035</v>
      </c>
      <c r="BE510" s="241">
        <f>IF(BC510="","",(BD510-AK510))</f>
        <v>-18.761283908794979</v>
      </c>
      <c r="BF510" s="71">
        <f>IF(BC510="","",(BE510/AK510))</f>
        <v>-0.1177104169872288</v>
      </c>
      <c r="BG510" s="241">
        <f>IF(BF510="","",((PI()*((70/2)^2-(16.545/2)^2)/(BC510/10))/100))</f>
        <v>279.53980950597122</v>
      </c>
      <c r="BH510" s="241">
        <f>IF(BF510="","",(BG510-AL510))</f>
        <v>-37.294725195686851</v>
      </c>
      <c r="BI510" s="71">
        <f>IF(BG510="","",(BH510/AL510))</f>
        <v>-0.11771041698722901</v>
      </c>
      <c r="BJ510" s="123">
        <v>22.75</v>
      </c>
      <c r="BK510" s="123"/>
      <c r="BL510" s="126"/>
      <c r="BM510" s="108"/>
      <c r="BN510" s="123"/>
      <c r="BO510" s="123"/>
      <c r="BP510" s="123"/>
      <c r="BQ510" s="71"/>
      <c r="BR510" s="71"/>
      <c r="BS510" s="71"/>
    </row>
    <row r="511" spans="1:79" s="72" customFormat="1">
      <c r="A511" s="13" t="s">
        <v>2110</v>
      </c>
      <c r="B511" s="13" t="s">
        <v>2270</v>
      </c>
      <c r="C511" s="13" t="s">
        <v>1323</v>
      </c>
      <c r="D511" s="429" t="s">
        <v>2305</v>
      </c>
      <c r="E511" s="13" t="s">
        <v>118</v>
      </c>
      <c r="F511" s="13" t="s">
        <v>167</v>
      </c>
      <c r="G511" s="13" t="s">
        <v>2311</v>
      </c>
      <c r="H511" s="13" t="s">
        <v>146</v>
      </c>
      <c r="I511" s="13" t="s">
        <v>122</v>
      </c>
      <c r="J511" s="13" t="s">
        <v>274</v>
      </c>
      <c r="K511" s="13" t="s">
        <v>123</v>
      </c>
      <c r="L511" s="13" t="s">
        <v>2312</v>
      </c>
      <c r="M511" s="13" t="s">
        <v>125</v>
      </c>
      <c r="N511" s="13" t="s">
        <v>126</v>
      </c>
      <c r="O511" s="247">
        <v>0.54</v>
      </c>
      <c r="P511" s="250">
        <v>98</v>
      </c>
      <c r="Q511" s="13">
        <v>30</v>
      </c>
      <c r="R511" s="13">
        <v>12</v>
      </c>
      <c r="S511" s="430">
        <f t="shared" si="221"/>
        <v>86</v>
      </c>
      <c r="T511" s="247">
        <v>0.8</v>
      </c>
      <c r="U511" s="13">
        <v>140</v>
      </c>
      <c r="V511" s="13">
        <v>540</v>
      </c>
      <c r="W511" s="430">
        <f t="shared" si="211"/>
        <v>400</v>
      </c>
      <c r="X511" s="430">
        <f t="shared" si="212"/>
        <v>140</v>
      </c>
      <c r="Y511" s="13">
        <v>140</v>
      </c>
      <c r="Z511" s="13">
        <v>540</v>
      </c>
      <c r="AA511" s="430">
        <f t="shared" si="222"/>
        <v>400</v>
      </c>
      <c r="AB511" s="430">
        <f t="shared" si="223"/>
        <v>140</v>
      </c>
      <c r="AC511" s="430">
        <f t="shared" si="224"/>
        <v>180</v>
      </c>
      <c r="AD511" s="430">
        <f t="shared" si="225"/>
        <v>68</v>
      </c>
      <c r="AE511" s="431">
        <f t="shared" si="226"/>
        <v>1.1672</v>
      </c>
      <c r="AF511" s="431"/>
      <c r="AG511" s="431">
        <f t="shared" si="227"/>
        <v>1.039804081632653</v>
      </c>
      <c r="AH511" s="431">
        <f t="shared" si="228"/>
        <v>1.1021923265306122</v>
      </c>
      <c r="AI511" s="432">
        <f t="shared" si="229"/>
        <v>883.15680800000007</v>
      </c>
      <c r="AJ511" s="432">
        <f t="shared" si="230"/>
        <v>143.21942087033759</v>
      </c>
      <c r="AK511" s="432">
        <f t="shared" si="231"/>
        <v>156.59938882007211</v>
      </c>
      <c r="AL511" s="432">
        <f t="shared" si="232"/>
        <v>311.29698800193751</v>
      </c>
      <c r="AM511" s="250">
        <v>150</v>
      </c>
      <c r="AN511" s="432">
        <f t="shared" si="233"/>
        <v>147</v>
      </c>
      <c r="AO511" s="432">
        <f t="shared" si="234"/>
        <v>162.02227199999999</v>
      </c>
      <c r="AP511" s="432">
        <f t="shared" si="235"/>
        <v>540.07424000000003</v>
      </c>
      <c r="AQ511" s="255">
        <v>44652</v>
      </c>
      <c r="AR511" s="13" t="s">
        <v>2313</v>
      </c>
      <c r="AS511" s="434" t="s">
        <v>2314</v>
      </c>
      <c r="AT511" s="429" t="s">
        <v>2315</v>
      </c>
      <c r="AU511" s="241"/>
      <c r="AV511" s="243"/>
      <c r="AW511" s="72" t="s">
        <v>127</v>
      </c>
      <c r="AX511" s="243"/>
      <c r="AY511" s="103">
        <f t="shared" si="241"/>
        <v>0.55102040816326525</v>
      </c>
      <c r="BA511" s="13" t="str">
        <f t="shared" si="242"/>
        <v>W23</v>
      </c>
      <c r="BB511" s="72" t="str">
        <f t="shared" si="243"/>
        <v>S/B</v>
      </c>
      <c r="BC511" s="32">
        <f>IF(Q511="","",((P511/100*O511)+T511))</f>
        <v>1.3292000000000002</v>
      </c>
      <c r="BD511" s="241">
        <f>IF(BC511="","",((PI()*((51/2)^2-(16.545/2)^2)/(BC511/10))/100))</f>
        <v>137.5133965022481</v>
      </c>
      <c r="BE511" s="241">
        <f>IF(BC511="","",(BD511-AK511))</f>
        <v>-19.085992317824008</v>
      </c>
      <c r="BF511" s="71">
        <f>IF(BC511="","",(BE511/AK511))</f>
        <v>-0.12187782124586212</v>
      </c>
      <c r="BG511" s="241">
        <f>IF(BF511="","",((PI()*((70/2)^2-(16.545/2)^2)/(BC511/10))/100))</f>
        <v>273.35678934386203</v>
      </c>
      <c r="BH511" s="241">
        <f>IF(BF511="","",(BG511-AL511))</f>
        <v>-37.940198658075474</v>
      </c>
      <c r="BI511" s="71">
        <f>IF(BG511="","",(BH511/AL511))</f>
        <v>-0.12187782124586227</v>
      </c>
      <c r="BJ511" s="123">
        <v>22.75</v>
      </c>
      <c r="BK511" s="123"/>
      <c r="BL511" s="126"/>
      <c r="BM511" s="108"/>
      <c r="BN511" s="123"/>
      <c r="BO511" s="123"/>
      <c r="BP511" s="123"/>
      <c r="BQ511" s="144"/>
      <c r="BR511" s="140"/>
      <c r="BS511" s="106"/>
      <c r="BT511" s="22"/>
      <c r="BU511" s="87"/>
      <c r="BV511" s="73"/>
      <c r="BW511" s="109"/>
      <c r="BX511" s="87"/>
      <c r="BY511" s="87"/>
      <c r="BZ511" s="109"/>
      <c r="CA511" s="284"/>
    </row>
    <row r="512" spans="1:79" s="72" customFormat="1">
      <c r="A512" s="13" t="s">
        <v>2110</v>
      </c>
      <c r="B512" s="13" t="s">
        <v>2270</v>
      </c>
      <c r="C512" s="13" t="s">
        <v>1323</v>
      </c>
      <c r="D512" s="429" t="s">
        <v>2305</v>
      </c>
      <c r="E512" s="13" t="s">
        <v>118</v>
      </c>
      <c r="F512" s="13" t="s">
        <v>167</v>
      </c>
      <c r="G512" s="13" t="s">
        <v>2316</v>
      </c>
      <c r="H512" s="13" t="s">
        <v>146</v>
      </c>
      <c r="I512" s="13" t="s">
        <v>122</v>
      </c>
      <c r="J512" s="13" t="s">
        <v>274</v>
      </c>
      <c r="K512" s="13" t="s">
        <v>123</v>
      </c>
      <c r="L512" s="13" t="s">
        <v>2317</v>
      </c>
      <c r="M512" s="13" t="s">
        <v>125</v>
      </c>
      <c r="N512" s="13" t="s">
        <v>126</v>
      </c>
      <c r="O512" s="247">
        <v>0.54</v>
      </c>
      <c r="P512" s="250">
        <v>99</v>
      </c>
      <c r="Q512" s="13">
        <v>30</v>
      </c>
      <c r="R512" s="13">
        <v>12</v>
      </c>
      <c r="S512" s="430">
        <f t="shared" si="221"/>
        <v>87</v>
      </c>
      <c r="T512" s="247">
        <v>0.8</v>
      </c>
      <c r="U512" s="13">
        <v>140</v>
      </c>
      <c r="V512" s="13">
        <v>540</v>
      </c>
      <c r="W512" s="430">
        <f t="shared" si="211"/>
        <v>400</v>
      </c>
      <c r="X512" s="430">
        <f t="shared" si="212"/>
        <v>150</v>
      </c>
      <c r="Y512" s="13">
        <v>140</v>
      </c>
      <c r="Z512" s="13">
        <v>540</v>
      </c>
      <c r="AA512" s="430">
        <f t="shared" si="222"/>
        <v>400</v>
      </c>
      <c r="AB512" s="430">
        <f t="shared" si="223"/>
        <v>150</v>
      </c>
      <c r="AC512" s="430">
        <f t="shared" si="224"/>
        <v>180</v>
      </c>
      <c r="AD512" s="430">
        <f t="shared" si="225"/>
        <v>69</v>
      </c>
      <c r="AE512" s="431">
        <f t="shared" si="226"/>
        <v>1.1726000000000001</v>
      </c>
      <c r="AF512" s="431"/>
      <c r="AG512" s="431">
        <f t="shared" si="227"/>
        <v>1.0427545454545457</v>
      </c>
      <c r="AH512" s="431">
        <f t="shared" si="228"/>
        <v>1.1053198181818185</v>
      </c>
      <c r="AI512" s="432">
        <f t="shared" si="229"/>
        <v>883.15680800000007</v>
      </c>
      <c r="AJ512" s="432">
        <f t="shared" si="230"/>
        <v>142.55987381874297</v>
      </c>
      <c r="AK512" s="432">
        <f t="shared" si="231"/>
        <v>155.87822499640811</v>
      </c>
      <c r="AL512" s="432">
        <f t="shared" si="232"/>
        <v>309.86341838296221</v>
      </c>
      <c r="AM512" s="250" t="s">
        <v>2318</v>
      </c>
      <c r="AN512" s="432" t="e">
        <f t="shared" si="233"/>
        <v>#VALUE!</v>
      </c>
      <c r="AO512" s="432" t="e">
        <f t="shared" si="234"/>
        <v>#VALUE!</v>
      </c>
      <c r="AP512" s="432" t="e">
        <f t="shared" si="235"/>
        <v>#VALUE!</v>
      </c>
      <c r="AQ512" s="255">
        <v>44743</v>
      </c>
      <c r="AR512" s="13" t="s">
        <v>2319</v>
      </c>
      <c r="AS512" s="434" t="s">
        <v>2320</v>
      </c>
      <c r="AT512" s="429" t="s">
        <v>2321</v>
      </c>
      <c r="AU512" s="241"/>
      <c r="AV512" s="243"/>
      <c r="AW512" s="72" t="s">
        <v>127</v>
      </c>
      <c r="AX512" s="243"/>
      <c r="AY512" s="103">
        <f t="shared" si="241"/>
        <v>0.54545454545454541</v>
      </c>
      <c r="BA512" s="13" t="str">
        <f t="shared" si="242"/>
        <v>W23</v>
      </c>
      <c r="BB512" s="72" t="str">
        <f t="shared" si="243"/>
        <v>S/B</v>
      </c>
      <c r="BC512" s="32">
        <f>IF(Q512="","",((P512/100*O512)+T512))</f>
        <v>1.3346</v>
      </c>
      <c r="BD512" s="241">
        <f>IF(BC512="","",((PI()*((51/2)^2-(16.545/2)^2)/(BC512/10))/100))</f>
        <v>136.95699582705544</v>
      </c>
      <c r="BE512" s="241">
        <f>IF(BC512="","",(BD512-AK512))</f>
        <v>-18.921229169352671</v>
      </c>
      <c r="BF512" s="71">
        <f>IF(BC512="","",(BE512/AK512))</f>
        <v>-0.12138468454967762</v>
      </c>
      <c r="BG512" s="241">
        <f>IF(BF512="","",((PI()*((70/2)^2-(16.545/2)^2)/(BC512/10))/100))</f>
        <v>272.25074508906147</v>
      </c>
      <c r="BH512" s="241">
        <f>IF(BF512="","",(BG512-AL512))</f>
        <v>-37.612673293900741</v>
      </c>
      <c r="BI512" s="71">
        <f>IF(BG512="","",(BH512/AL512))</f>
        <v>-0.12138468454967793</v>
      </c>
      <c r="BJ512" s="123"/>
      <c r="BK512" s="240"/>
      <c r="BL512" s="126">
        <f>AH512</f>
        <v>1.1053198181818185</v>
      </c>
      <c r="BM512" s="108">
        <f>BK512/AH512</f>
        <v>0</v>
      </c>
      <c r="BN512" s="123">
        <f>BK512-BM512</f>
        <v>0</v>
      </c>
      <c r="BO512" s="123">
        <v>19.850000000000001</v>
      </c>
      <c r="BP512" s="123"/>
      <c r="BQ512" s="124"/>
      <c r="BR512" s="124"/>
      <c r="BS512" s="71"/>
      <c r="BU512" s="78"/>
      <c r="BV512" s="32"/>
      <c r="BW512" s="127"/>
      <c r="BX512" s="78"/>
      <c r="BY512" s="78"/>
      <c r="BZ512" s="127"/>
      <c r="CA512" s="76"/>
    </row>
    <row r="513" spans="1:79" s="72" customFormat="1">
      <c r="A513" s="13" t="s">
        <v>2110</v>
      </c>
      <c r="B513" s="13" t="s">
        <v>2270</v>
      </c>
      <c r="C513" s="13" t="s">
        <v>1323</v>
      </c>
      <c r="D513" s="450" t="s">
        <v>2305</v>
      </c>
      <c r="E513" s="13" t="s">
        <v>118</v>
      </c>
      <c r="F513" s="13" t="s">
        <v>167</v>
      </c>
      <c r="G513" s="445" t="s">
        <v>2322</v>
      </c>
      <c r="H513" s="13" t="s">
        <v>146</v>
      </c>
      <c r="I513" s="13" t="s">
        <v>122</v>
      </c>
      <c r="J513" s="13" t="s">
        <v>5</v>
      </c>
      <c r="K513" s="13" t="s">
        <v>123</v>
      </c>
      <c r="L513" s="13" t="s">
        <v>2323</v>
      </c>
      <c r="M513" s="13" t="s">
        <v>125</v>
      </c>
      <c r="N513" s="13" t="s">
        <v>126</v>
      </c>
      <c r="O513" s="448">
        <v>0.54</v>
      </c>
      <c r="P513" s="438">
        <v>99</v>
      </c>
      <c r="Q513" s="13">
        <v>30</v>
      </c>
      <c r="R513" s="449" t="s">
        <v>127</v>
      </c>
      <c r="S513" s="430" t="str">
        <f t="shared" si="221"/>
        <v>N/A</v>
      </c>
      <c r="T513" s="247">
        <v>0.8</v>
      </c>
      <c r="U513" s="13">
        <v>140</v>
      </c>
      <c r="V513" s="13">
        <v>540</v>
      </c>
      <c r="W513" s="430">
        <f t="shared" si="211"/>
        <v>400</v>
      </c>
      <c r="X513" s="430">
        <f t="shared" si="212"/>
        <v>150</v>
      </c>
      <c r="Y513" s="13">
        <v>140</v>
      </c>
      <c r="Z513" s="13">
        <v>540</v>
      </c>
      <c r="AA513" s="430">
        <f t="shared" si="222"/>
        <v>400</v>
      </c>
      <c r="AB513" s="430">
        <f t="shared" si="223"/>
        <v>150</v>
      </c>
      <c r="AC513" s="430" t="str">
        <f t="shared" si="224"/>
        <v>N/A</v>
      </c>
      <c r="AD513" s="430">
        <f t="shared" si="225"/>
        <v>69</v>
      </c>
      <c r="AE513" s="431">
        <f t="shared" si="226"/>
        <v>1.1726000000000001</v>
      </c>
      <c r="AF513" s="431"/>
      <c r="AG513" s="431">
        <f t="shared" si="227"/>
        <v>1.0427545454545457</v>
      </c>
      <c r="AH513" s="431">
        <f t="shared" si="228"/>
        <v>1.1053198181818185</v>
      </c>
      <c r="AI513" s="432">
        <f t="shared" si="229"/>
        <v>883.15680800000007</v>
      </c>
      <c r="AJ513" s="432">
        <f t="shared" si="230"/>
        <v>142.55987381874297</v>
      </c>
      <c r="AK513" s="432">
        <f t="shared" si="231"/>
        <v>155.87822499640811</v>
      </c>
      <c r="AL513" s="432">
        <f t="shared" si="232"/>
        <v>309.86341838296221</v>
      </c>
      <c r="AM513" s="250">
        <v>150</v>
      </c>
      <c r="AN513" s="432">
        <f t="shared" si="233"/>
        <v>148.5</v>
      </c>
      <c r="AO513" s="432">
        <f t="shared" si="234"/>
        <v>164.13999300000003</v>
      </c>
      <c r="AP513" s="432">
        <f t="shared" si="235"/>
        <v>547.13331000000017</v>
      </c>
      <c r="AQ513" s="255">
        <v>44866</v>
      </c>
      <c r="AR513" s="255" t="s">
        <v>2324</v>
      </c>
      <c r="AS513" s="429" t="s">
        <v>2325</v>
      </c>
      <c r="AT513" s="429"/>
      <c r="AU513" s="241"/>
      <c r="AV513" s="243"/>
      <c r="AW513" s="72" t="s">
        <v>127</v>
      </c>
      <c r="AX513" s="243"/>
      <c r="AY513" s="103">
        <f t="shared" si="241"/>
        <v>0.54545454545454541</v>
      </c>
      <c r="BA513" s="13" t="str">
        <f t="shared" si="242"/>
        <v>W22</v>
      </c>
      <c r="BB513" s="72" t="str">
        <f t="shared" si="243"/>
        <v>Clear</v>
      </c>
      <c r="BC513" s="32"/>
      <c r="BD513" s="241"/>
      <c r="BE513" s="241"/>
      <c r="BF513" s="71"/>
      <c r="BG513" s="241"/>
      <c r="BH513" s="241"/>
      <c r="BI513" s="71"/>
      <c r="BJ513" s="123"/>
      <c r="BK513" s="163"/>
      <c r="BL513" s="126">
        <f>AH513</f>
        <v>1.1053198181818185</v>
      </c>
      <c r="BM513" s="108">
        <f>BK513/AH513</f>
        <v>0</v>
      </c>
      <c r="BN513" s="123">
        <f>BK513-BM513</f>
        <v>0</v>
      </c>
      <c r="BO513" s="108">
        <v>18.3</v>
      </c>
      <c r="BP513" s="123"/>
      <c r="BQ513" s="155"/>
      <c r="BR513" s="155"/>
      <c r="BS513" s="167"/>
      <c r="BU513" s="78"/>
      <c r="BV513" s="32"/>
      <c r="BW513" s="127"/>
      <c r="BX513" s="78"/>
      <c r="BY513" s="78"/>
      <c r="BZ513" s="127"/>
      <c r="CA513" s="76"/>
    </row>
    <row r="514" spans="1:79" s="72" customFormat="1">
      <c r="A514" s="13" t="s">
        <v>2110</v>
      </c>
      <c r="B514" s="13" t="s">
        <v>2270</v>
      </c>
      <c r="C514" s="13" t="s">
        <v>1323</v>
      </c>
      <c r="D514" s="429" t="s">
        <v>2305</v>
      </c>
      <c r="E514" s="13" t="s">
        <v>118</v>
      </c>
      <c r="F514" s="13" t="s">
        <v>167</v>
      </c>
      <c r="G514" s="445" t="s">
        <v>2326</v>
      </c>
      <c r="H514" s="13" t="s">
        <v>146</v>
      </c>
      <c r="I514" s="13" t="s">
        <v>122</v>
      </c>
      <c r="J514" s="13" t="s">
        <v>274</v>
      </c>
      <c r="K514" s="13" t="s">
        <v>123</v>
      </c>
      <c r="L514" s="446" t="s">
        <v>2327</v>
      </c>
      <c r="M514" s="13" t="s">
        <v>125</v>
      </c>
      <c r="N514" s="13" t="s">
        <v>126</v>
      </c>
      <c r="O514" s="448">
        <v>0.56999999999999995</v>
      </c>
      <c r="P514" s="438">
        <v>99</v>
      </c>
      <c r="Q514" s="13">
        <v>30</v>
      </c>
      <c r="R514" s="445">
        <v>12</v>
      </c>
      <c r="S514" s="430">
        <f t="shared" si="221"/>
        <v>87</v>
      </c>
      <c r="T514" s="247">
        <v>0.8</v>
      </c>
      <c r="U514" s="13">
        <v>140</v>
      </c>
      <c r="V514" s="13">
        <v>540</v>
      </c>
      <c r="W514" s="430">
        <f t="shared" si="211"/>
        <v>400</v>
      </c>
      <c r="X514" s="430">
        <f t="shared" si="212"/>
        <v>150</v>
      </c>
      <c r="Y514" s="13">
        <v>140</v>
      </c>
      <c r="Z514" s="13">
        <v>540</v>
      </c>
      <c r="AA514" s="430">
        <f t="shared" si="222"/>
        <v>400</v>
      </c>
      <c r="AB514" s="430">
        <f t="shared" si="223"/>
        <v>150</v>
      </c>
      <c r="AC514" s="430">
        <f t="shared" si="224"/>
        <v>180</v>
      </c>
      <c r="AD514" s="430">
        <f t="shared" si="225"/>
        <v>69</v>
      </c>
      <c r="AE514" s="431">
        <f t="shared" si="226"/>
        <v>1.1933</v>
      </c>
      <c r="AF514" s="431"/>
      <c r="AG514" s="431">
        <f t="shared" si="227"/>
        <v>1.0562409090909091</v>
      </c>
      <c r="AH514" s="431">
        <f t="shared" si="228"/>
        <v>1.1196153636363637</v>
      </c>
      <c r="AI514" s="432">
        <f t="shared" si="229"/>
        <v>885.10996399999999</v>
      </c>
      <c r="AJ514" s="432">
        <f t="shared" si="230"/>
        <v>140.08690860626669</v>
      </c>
      <c r="AK514" s="432">
        <f t="shared" si="231"/>
        <v>153.17422830033368</v>
      </c>
      <c r="AL514" s="432">
        <f t="shared" si="232"/>
        <v>304.48826313237362</v>
      </c>
      <c r="AM514" s="250" t="s">
        <v>2328</v>
      </c>
      <c r="AN514" s="432" t="e">
        <f t="shared" si="233"/>
        <v>#VALUE!</v>
      </c>
      <c r="AO514" s="432" t="e">
        <f t="shared" si="234"/>
        <v>#VALUE!</v>
      </c>
      <c r="AP514" s="432" t="e">
        <f t="shared" si="235"/>
        <v>#VALUE!</v>
      </c>
      <c r="AQ514" s="255">
        <v>44986</v>
      </c>
      <c r="AR514" s="255" t="s">
        <v>2329</v>
      </c>
      <c r="AS514" s="429" t="s">
        <v>2330</v>
      </c>
      <c r="AT514" s="429"/>
      <c r="AU514" s="241"/>
      <c r="AV514" s="243"/>
      <c r="AW514" s="72" t="s">
        <v>127</v>
      </c>
      <c r="AX514" s="243"/>
      <c r="AY514" s="103">
        <f t="shared" si="241"/>
        <v>0.54545454545454541</v>
      </c>
      <c r="BA514" s="13" t="str">
        <f t="shared" si="242"/>
        <v>W23</v>
      </c>
      <c r="BB514" s="72" t="str">
        <f t="shared" si="243"/>
        <v>S/B</v>
      </c>
      <c r="BC514" s="32"/>
      <c r="BD514" s="241"/>
      <c r="BE514" s="241"/>
      <c r="BF514" s="71"/>
      <c r="BG514" s="241"/>
      <c r="BH514" s="241"/>
      <c r="BI514" s="71"/>
      <c r="BJ514" s="123"/>
      <c r="BK514" s="240"/>
      <c r="BL514" s="126">
        <f>AH514</f>
        <v>1.1196153636363637</v>
      </c>
      <c r="BM514" s="108">
        <f>BK514/AH514</f>
        <v>0</v>
      </c>
      <c r="BN514" s="123">
        <f>BK514-BM514</f>
        <v>0</v>
      </c>
      <c r="BO514" s="108">
        <v>19.98</v>
      </c>
      <c r="BP514" s="108"/>
      <c r="BQ514" s="159"/>
      <c r="BR514" s="124">
        <v>744</v>
      </c>
      <c r="BS514" s="100"/>
      <c r="BT514" s="72">
        <f>P514-V514/10-120/10</f>
        <v>33</v>
      </c>
      <c r="BU514" s="78">
        <f>BT514-Q514</f>
        <v>3</v>
      </c>
      <c r="BV514" s="32">
        <f>T514+(O514/100*(P514-BT514))</f>
        <v>1.1762000000000001</v>
      </c>
      <c r="BW514" s="127">
        <f>(AE514-BV514)/AE514</f>
        <v>1.4330009218134494E-2</v>
      </c>
      <c r="BX514" s="78">
        <f>(PI()*((51/2)^2-(16.545/2)^2)/(BV514/10))/100</f>
        <v>155.40112789558592</v>
      </c>
      <c r="BY514" s="78">
        <f>BX514-AK514</f>
        <v>2.2268995952522346</v>
      </c>
      <c r="BZ514" s="127">
        <f>BY514/AK514</f>
        <v>1.4538343819078235E-2</v>
      </c>
      <c r="CA514" s="76"/>
    </row>
    <row r="515" spans="1:79" s="72" customFormat="1">
      <c r="A515" s="13" t="s">
        <v>2110</v>
      </c>
      <c r="B515" s="13" t="s">
        <v>2270</v>
      </c>
      <c r="C515" s="13" t="s">
        <v>1323</v>
      </c>
      <c r="D515" s="429" t="s">
        <v>2305</v>
      </c>
      <c r="E515" s="13" t="s">
        <v>118</v>
      </c>
      <c r="F515" s="13" t="s">
        <v>167</v>
      </c>
      <c r="G515" s="445" t="s">
        <v>2331</v>
      </c>
      <c r="H515" s="13" t="s">
        <v>146</v>
      </c>
      <c r="I515" s="13" t="s">
        <v>122</v>
      </c>
      <c r="J515" s="13" t="s">
        <v>5</v>
      </c>
      <c r="K515" s="13" t="s">
        <v>123</v>
      </c>
      <c r="L515" s="446" t="s">
        <v>2332</v>
      </c>
      <c r="M515" s="13" t="s">
        <v>125</v>
      </c>
      <c r="N515" s="13" t="s">
        <v>126</v>
      </c>
      <c r="O515" s="448">
        <v>0.56999999999999995</v>
      </c>
      <c r="P515" s="438">
        <v>99</v>
      </c>
      <c r="Q515" s="13">
        <v>30</v>
      </c>
      <c r="R515" s="449" t="s">
        <v>127</v>
      </c>
      <c r="S515" s="430" t="str">
        <f t="shared" si="221"/>
        <v>N/A</v>
      </c>
      <c r="T515" s="247">
        <v>0.8</v>
      </c>
      <c r="U515" s="13">
        <v>140</v>
      </c>
      <c r="V515" s="13">
        <v>540</v>
      </c>
      <c r="W515" s="430">
        <f t="shared" si="211"/>
        <v>400</v>
      </c>
      <c r="X515" s="430">
        <f t="shared" si="212"/>
        <v>150</v>
      </c>
      <c r="Y515" s="13">
        <v>140</v>
      </c>
      <c r="Z515" s="13">
        <v>540</v>
      </c>
      <c r="AA515" s="430">
        <f t="shared" si="222"/>
        <v>400</v>
      </c>
      <c r="AB515" s="430">
        <f t="shared" si="223"/>
        <v>150</v>
      </c>
      <c r="AC515" s="430" t="str">
        <f t="shared" si="224"/>
        <v>N/A</v>
      </c>
      <c r="AD515" s="430">
        <f t="shared" si="225"/>
        <v>69</v>
      </c>
      <c r="AE515" s="431">
        <f t="shared" si="226"/>
        <v>1.1933</v>
      </c>
      <c r="AF515" s="431"/>
      <c r="AG515" s="431">
        <f t="shared" si="227"/>
        <v>1.0562409090909091</v>
      </c>
      <c r="AH515" s="431">
        <f t="shared" si="228"/>
        <v>1.1196153636363637</v>
      </c>
      <c r="AI515" s="432">
        <f t="shared" si="229"/>
        <v>885.10996399999999</v>
      </c>
      <c r="AJ515" s="432">
        <f t="shared" si="230"/>
        <v>140.08690860626669</v>
      </c>
      <c r="AK515" s="432">
        <f t="shared" si="231"/>
        <v>153.17422830033368</v>
      </c>
      <c r="AL515" s="432">
        <f t="shared" si="232"/>
        <v>304.48826313237362</v>
      </c>
      <c r="AM515" s="250" t="s">
        <v>2333</v>
      </c>
      <c r="AN515" s="432" t="e">
        <f t="shared" si="233"/>
        <v>#VALUE!</v>
      </c>
      <c r="AO515" s="432" t="e">
        <f t="shared" si="234"/>
        <v>#VALUE!</v>
      </c>
      <c r="AP515" s="432" t="e">
        <f t="shared" si="235"/>
        <v>#VALUE!</v>
      </c>
      <c r="AQ515" s="255">
        <v>44986</v>
      </c>
      <c r="AR515" s="255" t="s">
        <v>2329</v>
      </c>
      <c r="AS515" s="429" t="s">
        <v>2334</v>
      </c>
      <c r="AT515" s="429" t="s">
        <v>2335</v>
      </c>
      <c r="AU515" s="241"/>
      <c r="AV515" s="243"/>
      <c r="AW515" s="72" t="s">
        <v>127</v>
      </c>
      <c r="AX515" s="243"/>
      <c r="AY515" s="103">
        <f t="shared" si="241"/>
        <v>0.54545454545454541</v>
      </c>
      <c r="BA515" s="13" t="str">
        <f t="shared" si="242"/>
        <v>W22</v>
      </c>
      <c r="BB515" s="72" t="str">
        <f t="shared" si="243"/>
        <v>Clear</v>
      </c>
      <c r="BC515" s="32"/>
      <c r="BD515" s="241"/>
      <c r="BE515" s="241"/>
      <c r="BF515" s="71"/>
      <c r="BG515" s="241"/>
      <c r="BH515" s="241"/>
      <c r="BI515" s="71"/>
      <c r="BJ515" s="123"/>
      <c r="BK515" s="163"/>
      <c r="BL515" s="126">
        <f>AH515</f>
        <v>1.1196153636363637</v>
      </c>
      <c r="BM515" s="108">
        <f>BK515/AH515</f>
        <v>0</v>
      </c>
      <c r="BN515" s="123">
        <f>BK515-BM515</f>
        <v>0</v>
      </c>
      <c r="BO515" s="108">
        <v>18.649999999999999</v>
      </c>
      <c r="BP515" s="123"/>
      <c r="BQ515" s="115"/>
      <c r="BR515" s="152"/>
      <c r="BS515" s="80"/>
      <c r="BT515" s="22"/>
      <c r="BU515" s="87"/>
      <c r="BV515" s="73"/>
      <c r="BW515" s="109"/>
      <c r="BX515" s="87"/>
      <c r="BY515" s="87"/>
      <c r="BZ515" s="109"/>
      <c r="CA515" s="76"/>
    </row>
    <row r="516" spans="1:79" s="72" customFormat="1" ht="15" customHeight="1">
      <c r="A516" s="13" t="s">
        <v>2110</v>
      </c>
      <c r="B516" s="13" t="s">
        <v>2270</v>
      </c>
      <c r="C516" s="13" t="s">
        <v>1323</v>
      </c>
      <c r="D516" s="429" t="s">
        <v>2305</v>
      </c>
      <c r="E516" s="13" t="s">
        <v>118</v>
      </c>
      <c r="F516" s="13" t="s">
        <v>167</v>
      </c>
      <c r="G516" s="445" t="s">
        <v>2336</v>
      </c>
      <c r="H516" s="13" t="s">
        <v>146</v>
      </c>
      <c r="I516" s="13" t="s">
        <v>122</v>
      </c>
      <c r="J516" s="13" t="s">
        <v>274</v>
      </c>
      <c r="K516" s="13" t="s">
        <v>123</v>
      </c>
      <c r="L516" s="446" t="s">
        <v>2337</v>
      </c>
      <c r="M516" s="13" t="s">
        <v>125</v>
      </c>
      <c r="N516" s="13" t="s">
        <v>126</v>
      </c>
      <c r="O516" s="448">
        <v>0.57999999999999996</v>
      </c>
      <c r="P516" s="438">
        <v>99</v>
      </c>
      <c r="Q516" s="13">
        <v>30</v>
      </c>
      <c r="R516" s="445">
        <v>12</v>
      </c>
      <c r="S516" s="430">
        <f t="shared" si="221"/>
        <v>87</v>
      </c>
      <c r="T516" s="247">
        <v>0.8</v>
      </c>
      <c r="U516" s="13">
        <v>140</v>
      </c>
      <c r="V516" s="13">
        <v>540</v>
      </c>
      <c r="W516" s="430">
        <f t="shared" si="211"/>
        <v>400</v>
      </c>
      <c r="X516" s="430">
        <f t="shared" si="212"/>
        <v>150</v>
      </c>
      <c r="Y516" s="13">
        <v>140</v>
      </c>
      <c r="Z516" s="13">
        <v>540</v>
      </c>
      <c r="AA516" s="430">
        <f t="shared" si="222"/>
        <v>400</v>
      </c>
      <c r="AB516" s="430">
        <f t="shared" si="223"/>
        <v>150</v>
      </c>
      <c r="AC516" s="430">
        <f t="shared" si="224"/>
        <v>180</v>
      </c>
      <c r="AD516" s="430">
        <f t="shared" si="225"/>
        <v>69</v>
      </c>
      <c r="AE516" s="431">
        <f t="shared" si="226"/>
        <v>1.2002000000000002</v>
      </c>
      <c r="AF516" s="431"/>
      <c r="AG516" s="431">
        <f t="shared" si="227"/>
        <v>1.060736363636364</v>
      </c>
      <c r="AH516" s="431">
        <f t="shared" si="228"/>
        <v>1.1243805454545459</v>
      </c>
      <c r="AI516" s="432">
        <f t="shared" si="229"/>
        <v>885.76101600000004</v>
      </c>
      <c r="AJ516" s="432">
        <f t="shared" si="230"/>
        <v>139.28154310936344</v>
      </c>
      <c r="AK516" s="432">
        <f t="shared" si="231"/>
        <v>152.29362325511428</v>
      </c>
      <c r="AL516" s="432">
        <f t="shared" si="232"/>
        <v>302.73774737198914</v>
      </c>
      <c r="AM516" s="250">
        <v>300</v>
      </c>
      <c r="AN516" s="432">
        <f t="shared" si="233"/>
        <v>297</v>
      </c>
      <c r="AO516" s="432">
        <f t="shared" si="234"/>
        <v>333.94102200000015</v>
      </c>
      <c r="AP516" s="432">
        <f t="shared" si="235"/>
        <v>1113.1367400000006</v>
      </c>
      <c r="AQ516" s="255">
        <v>45100</v>
      </c>
      <c r="AR516" s="255" t="s">
        <v>2338</v>
      </c>
      <c r="AS516" s="429" t="s">
        <v>2339</v>
      </c>
      <c r="AT516" s="429"/>
      <c r="AU516" s="241"/>
      <c r="AV516" s="243"/>
      <c r="AX516" s="243"/>
      <c r="AY516" s="71">
        <f t="shared" si="241"/>
        <v>0.54545454545454541</v>
      </c>
      <c r="BA516" s="72" t="str">
        <f t="shared" si="242"/>
        <v>W23</v>
      </c>
      <c r="BC516" s="32"/>
      <c r="BD516" s="241"/>
      <c r="BE516" s="241"/>
      <c r="BF516" s="71"/>
      <c r="BG516" s="241"/>
      <c r="BH516" s="241"/>
      <c r="BI516" s="71"/>
      <c r="BJ516" s="123"/>
      <c r="BK516" s="240"/>
      <c r="BL516" s="126"/>
      <c r="BM516" s="108"/>
      <c r="BN516" s="123"/>
      <c r="BO516" s="108"/>
      <c r="BP516" s="108"/>
      <c r="BQ516" s="130"/>
      <c r="BR516" s="100"/>
      <c r="BS516" s="100"/>
      <c r="BT516" s="77"/>
      <c r="BU516" s="77"/>
      <c r="BV516" s="77"/>
      <c r="BW516" s="77"/>
      <c r="BX516" s="77"/>
      <c r="BY516" s="77"/>
      <c r="BZ516" s="77"/>
      <c r="CA516" s="77"/>
    </row>
    <row r="517" spans="1:79" s="72" customFormat="1">
      <c r="A517" s="13" t="s">
        <v>2110</v>
      </c>
      <c r="B517" s="13" t="s">
        <v>2270</v>
      </c>
      <c r="C517" s="13" t="s">
        <v>1323</v>
      </c>
      <c r="D517" s="429" t="s">
        <v>2305</v>
      </c>
      <c r="E517" s="13" t="s">
        <v>118</v>
      </c>
      <c r="F517" s="13" t="s">
        <v>167</v>
      </c>
      <c r="G517" s="445" t="s">
        <v>2340</v>
      </c>
      <c r="H517" s="13" t="s">
        <v>146</v>
      </c>
      <c r="I517" s="13" t="s">
        <v>122</v>
      </c>
      <c r="J517" s="13" t="s">
        <v>5</v>
      </c>
      <c r="K517" s="13" t="s">
        <v>123</v>
      </c>
      <c r="L517" s="446" t="s">
        <v>2341</v>
      </c>
      <c r="M517" s="13" t="s">
        <v>125</v>
      </c>
      <c r="N517" s="13" t="s">
        <v>126</v>
      </c>
      <c r="O517" s="448">
        <v>0.57999999999999996</v>
      </c>
      <c r="P517" s="438">
        <v>99</v>
      </c>
      <c r="Q517" s="13">
        <v>30</v>
      </c>
      <c r="R517" s="449" t="s">
        <v>127</v>
      </c>
      <c r="S517" s="430" t="str">
        <f t="shared" si="221"/>
        <v>N/A</v>
      </c>
      <c r="T517" s="247">
        <v>0.8</v>
      </c>
      <c r="U517" s="13">
        <v>140</v>
      </c>
      <c r="V517" s="13">
        <v>540</v>
      </c>
      <c r="W517" s="430">
        <f t="shared" si="211"/>
        <v>400</v>
      </c>
      <c r="X517" s="430">
        <f t="shared" si="212"/>
        <v>150</v>
      </c>
      <c r="Y517" s="13">
        <v>140</v>
      </c>
      <c r="Z517" s="13">
        <v>540</v>
      </c>
      <c r="AA517" s="430">
        <f t="shared" si="222"/>
        <v>400</v>
      </c>
      <c r="AB517" s="430">
        <f t="shared" si="223"/>
        <v>150</v>
      </c>
      <c r="AC517" s="430" t="str">
        <f t="shared" si="224"/>
        <v>N/A</v>
      </c>
      <c r="AD517" s="430">
        <f t="shared" si="225"/>
        <v>69</v>
      </c>
      <c r="AE517" s="431">
        <f t="shared" si="226"/>
        <v>1.2002000000000002</v>
      </c>
      <c r="AF517" s="431"/>
      <c r="AG517" s="431">
        <f t="shared" si="227"/>
        <v>1.060736363636364</v>
      </c>
      <c r="AH517" s="431">
        <f t="shared" si="228"/>
        <v>1.1243805454545459</v>
      </c>
      <c r="AI517" s="432">
        <f t="shared" si="229"/>
        <v>885.76101600000004</v>
      </c>
      <c r="AJ517" s="432">
        <f t="shared" si="230"/>
        <v>139.28154310936344</v>
      </c>
      <c r="AK517" s="432">
        <f t="shared" si="231"/>
        <v>152.29362325511428</v>
      </c>
      <c r="AL517" s="432">
        <f t="shared" si="232"/>
        <v>302.73774737198914</v>
      </c>
      <c r="AM517" s="250">
        <v>300</v>
      </c>
      <c r="AN517" s="432">
        <f t="shared" si="233"/>
        <v>297</v>
      </c>
      <c r="AO517" s="432">
        <f t="shared" si="234"/>
        <v>333.94102200000015</v>
      </c>
      <c r="AP517" s="432">
        <f t="shared" si="235"/>
        <v>1113.1367400000006</v>
      </c>
      <c r="AQ517" s="255">
        <v>45130</v>
      </c>
      <c r="AR517" s="255" t="s">
        <v>2338</v>
      </c>
      <c r="AS517" s="429" t="s">
        <v>2342</v>
      </c>
      <c r="AT517" s="429"/>
      <c r="AU517" s="241"/>
      <c r="AV517" s="243"/>
      <c r="AX517" s="243"/>
      <c r="AY517" s="71">
        <f t="shared" si="241"/>
        <v>0.54545454545454541</v>
      </c>
      <c r="BA517" s="72" t="str">
        <f t="shared" si="242"/>
        <v>W22</v>
      </c>
      <c r="BC517" s="32"/>
      <c r="BD517" s="241"/>
      <c r="BE517" s="241"/>
      <c r="BF517" s="71"/>
      <c r="BG517" s="241"/>
      <c r="BH517" s="241"/>
      <c r="BI517" s="71"/>
      <c r="BJ517" s="123"/>
      <c r="BK517" s="163"/>
      <c r="BL517" s="126"/>
      <c r="BM517" s="108"/>
      <c r="BN517" s="123"/>
      <c r="BO517" s="108"/>
      <c r="BP517" s="123"/>
      <c r="BQ517" s="115"/>
      <c r="BR517" s="113"/>
      <c r="BS517" s="80"/>
      <c r="BT517" s="22"/>
      <c r="BU517" s="87"/>
      <c r="BV517" s="73"/>
      <c r="BW517" s="109"/>
      <c r="BX517" s="87"/>
      <c r="BY517" s="87"/>
      <c r="BZ517" s="109"/>
      <c r="CA517" s="76"/>
    </row>
    <row r="518" spans="1:79" s="72" customFormat="1">
      <c r="A518" s="13" t="s">
        <v>2110</v>
      </c>
      <c r="B518" s="13" t="s">
        <v>2270</v>
      </c>
      <c r="C518" s="13" t="s">
        <v>1323</v>
      </c>
      <c r="D518" s="429" t="s">
        <v>2343</v>
      </c>
      <c r="E518" s="13" t="s">
        <v>118</v>
      </c>
      <c r="F518" s="13" t="s">
        <v>167</v>
      </c>
      <c r="G518" s="13" t="s">
        <v>2344</v>
      </c>
      <c r="H518" s="13" t="s">
        <v>146</v>
      </c>
      <c r="I518" s="13" t="s">
        <v>122</v>
      </c>
      <c r="J518" s="13" t="s">
        <v>274</v>
      </c>
      <c r="K518" s="13" t="s">
        <v>123</v>
      </c>
      <c r="L518" s="13" t="s">
        <v>2345</v>
      </c>
      <c r="M518" s="13" t="s">
        <v>125</v>
      </c>
      <c r="N518" s="13" t="s">
        <v>12</v>
      </c>
      <c r="O518" s="247">
        <v>0.46</v>
      </c>
      <c r="P518" s="250">
        <v>98</v>
      </c>
      <c r="Q518" s="13">
        <v>30</v>
      </c>
      <c r="R518" s="250">
        <v>12</v>
      </c>
      <c r="S518" s="430">
        <f t="shared" si="221"/>
        <v>86</v>
      </c>
      <c r="T518" s="247">
        <v>0.8</v>
      </c>
      <c r="U518" s="13">
        <v>194</v>
      </c>
      <c r="V518" s="13">
        <v>481</v>
      </c>
      <c r="W518" s="430">
        <f t="shared" ref="W518:W581" si="244">V518-U518</f>
        <v>287</v>
      </c>
      <c r="X518" s="430">
        <f t="shared" ref="X518:X581" si="245">AD518*10-V518</f>
        <v>199</v>
      </c>
      <c r="Y518" s="13">
        <v>130</v>
      </c>
      <c r="Z518" s="13">
        <v>530</v>
      </c>
      <c r="AA518" s="430">
        <f t="shared" si="222"/>
        <v>400</v>
      </c>
      <c r="AB518" s="430">
        <f t="shared" si="223"/>
        <v>150</v>
      </c>
      <c r="AC518" s="430">
        <f t="shared" si="224"/>
        <v>180</v>
      </c>
      <c r="AD518" s="430">
        <f t="shared" si="225"/>
        <v>68</v>
      </c>
      <c r="AE518" s="431">
        <f t="shared" si="226"/>
        <v>1.1128</v>
      </c>
      <c r="AF518" s="431"/>
      <c r="AG518" s="431">
        <f t="shared" si="227"/>
        <v>1.0042775510204083</v>
      </c>
      <c r="AH518" s="431">
        <f t="shared" si="228"/>
        <v>1.0645342040816328</v>
      </c>
      <c r="AI518" s="432">
        <f t="shared" si="229"/>
        <v>877.94839200000001</v>
      </c>
      <c r="AJ518" s="432">
        <f t="shared" si="230"/>
        <v>150.22080161741377</v>
      </c>
      <c r="AK518" s="432">
        <f t="shared" si="231"/>
        <v>164.2548585826637</v>
      </c>
      <c r="AL518" s="432">
        <f t="shared" si="232"/>
        <v>326.51495722129891</v>
      </c>
      <c r="AM518" s="250">
        <v>164</v>
      </c>
      <c r="AN518" s="432">
        <f t="shared" si="233"/>
        <v>160.72</v>
      </c>
      <c r="AO518" s="432">
        <f t="shared" si="234"/>
        <v>171.09193728000002</v>
      </c>
      <c r="AP518" s="432">
        <f t="shared" si="235"/>
        <v>570.30645760000016</v>
      </c>
      <c r="AQ518" s="255">
        <v>44228</v>
      </c>
      <c r="AR518" s="13" t="s">
        <v>2346</v>
      </c>
      <c r="AS518" s="434" t="s">
        <v>2347</v>
      </c>
      <c r="AT518" s="429" t="s">
        <v>2348</v>
      </c>
      <c r="AU518" s="241">
        <v>4</v>
      </c>
      <c r="AV518" s="243"/>
      <c r="AW518" s="72" t="s">
        <v>127</v>
      </c>
      <c r="AX518" s="243"/>
      <c r="AY518" s="71">
        <f t="shared" si="241"/>
        <v>0.49081632653061225</v>
      </c>
      <c r="BA518" s="72" t="str">
        <f t="shared" si="242"/>
        <v>W23</v>
      </c>
      <c r="BB518" s="72" t="str">
        <f>IF(R518="n/a","Clear","S/B")</f>
        <v>S/B</v>
      </c>
      <c r="BC518" s="32">
        <f>IF(Q518="","",((P518/100*O518)+T518))</f>
        <v>1.2508000000000001</v>
      </c>
      <c r="BD518" s="241">
        <f>IF(BC518="","",((PI()*((51/2)^2-(16.545/2)^2)/(BC518/10))/100))</f>
        <v>146.1327203635978</v>
      </c>
      <c r="BE518" s="241">
        <f>IF(BC518="","",(BD518-AK518))</f>
        <v>-18.122138219065903</v>
      </c>
      <c r="BF518" s="71">
        <f>IF(BC518="","",(BE518/AK518))</f>
        <v>-0.110329389190918</v>
      </c>
      <c r="BG518" s="241">
        <f>IF(BF518="","",((PI()*((70/2)^2-(16.545/2)^2)/(BC518/10))/100))</f>
        <v>290.49076142937434</v>
      </c>
      <c r="BH518" s="241">
        <f>IF(BF518="","",(BG518-AL518))</f>
        <v>-36.024195791924569</v>
      </c>
      <c r="BI518" s="71">
        <f>IF(BG518="","",(BH518/AL518))</f>
        <v>-0.11032938919091781</v>
      </c>
      <c r="BJ518" s="123">
        <v>22.75</v>
      </c>
      <c r="BK518" s="123"/>
      <c r="BL518" s="126"/>
      <c r="BM518" s="108"/>
      <c r="BN518" s="123"/>
      <c r="BO518" s="108"/>
      <c r="BP518" s="108"/>
      <c r="BQ518" s="88"/>
      <c r="BR518" s="80"/>
      <c r="BS518" s="80"/>
      <c r="BT518" s="22"/>
      <c r="BU518" s="87"/>
      <c r="BV518" s="73"/>
      <c r="BW518" s="109"/>
      <c r="BX518" s="87"/>
      <c r="BY518" s="87"/>
      <c r="BZ518" s="109"/>
      <c r="CA518" s="76"/>
    </row>
    <row r="519" spans="1:79" s="72" customFormat="1">
      <c r="A519" s="13" t="s">
        <v>2110</v>
      </c>
      <c r="B519" s="13" t="s">
        <v>2270</v>
      </c>
      <c r="C519" s="13" t="s">
        <v>1323</v>
      </c>
      <c r="D519" s="13" t="s">
        <v>2349</v>
      </c>
      <c r="E519" s="13" t="s">
        <v>118</v>
      </c>
      <c r="F519" s="13" t="s">
        <v>167</v>
      </c>
      <c r="G519" s="445" t="s">
        <v>2350</v>
      </c>
      <c r="H519" s="13" t="s">
        <v>146</v>
      </c>
      <c r="I519" s="13" t="s">
        <v>122</v>
      </c>
      <c r="J519" s="13" t="s">
        <v>5</v>
      </c>
      <c r="K519" s="13" t="s">
        <v>123</v>
      </c>
      <c r="L519" s="13" t="s">
        <v>2351</v>
      </c>
      <c r="M519" s="13" t="s">
        <v>125</v>
      </c>
      <c r="N519" s="13" t="s">
        <v>126</v>
      </c>
      <c r="O519" s="448">
        <v>0.55000000000000004</v>
      </c>
      <c r="P519" s="438">
        <v>104</v>
      </c>
      <c r="Q519" s="13">
        <v>30</v>
      </c>
      <c r="R519" s="449" t="s">
        <v>127</v>
      </c>
      <c r="S519" s="430" t="str">
        <f t="shared" si="221"/>
        <v>N/A</v>
      </c>
      <c r="T519" s="247">
        <v>0.8</v>
      </c>
      <c r="U519" s="13">
        <v>194</v>
      </c>
      <c r="V519" s="13">
        <v>564</v>
      </c>
      <c r="W519" s="430">
        <f t="shared" si="244"/>
        <v>370</v>
      </c>
      <c r="X519" s="430">
        <f t="shared" si="245"/>
        <v>176</v>
      </c>
      <c r="Y519" s="13">
        <v>175</v>
      </c>
      <c r="Z519" s="13">
        <v>585</v>
      </c>
      <c r="AA519" s="430">
        <f t="shared" si="222"/>
        <v>410</v>
      </c>
      <c r="AB519" s="430">
        <f t="shared" si="223"/>
        <v>155</v>
      </c>
      <c r="AC519" s="430" t="str">
        <f t="shared" si="224"/>
        <v>N/A</v>
      </c>
      <c r="AD519" s="430">
        <f t="shared" si="225"/>
        <v>74</v>
      </c>
      <c r="AE519" s="431">
        <f t="shared" si="226"/>
        <v>1.2070000000000001</v>
      </c>
      <c r="AF519" s="431"/>
      <c r="AG519" s="431">
        <f t="shared" si="227"/>
        <v>1.0622019230769231</v>
      </c>
      <c r="AH519" s="431">
        <f t="shared" si="228"/>
        <v>1.1259340384615384</v>
      </c>
      <c r="AI519" s="432">
        <f t="shared" si="229"/>
        <v>883.80786000000012</v>
      </c>
      <c r="AJ519" s="432">
        <f t="shared" si="230"/>
        <v>138.49685835945155</v>
      </c>
      <c r="AK519" s="432">
        <f t="shared" si="231"/>
        <v>151.43563101142351</v>
      </c>
      <c r="AL519" s="432">
        <f t="shared" si="232"/>
        <v>301.03218259806255</v>
      </c>
      <c r="AM519" s="250">
        <v>150</v>
      </c>
      <c r="AN519" s="432">
        <f t="shared" si="233"/>
        <v>156</v>
      </c>
      <c r="AO519" s="432">
        <f t="shared" si="234"/>
        <v>175.64570999999998</v>
      </c>
      <c r="AP519" s="432">
        <f t="shared" si="235"/>
        <v>585.48569999999995</v>
      </c>
      <c r="AQ519" s="255">
        <v>45444</v>
      </c>
      <c r="AR519" s="255" t="s">
        <v>2352</v>
      </c>
      <c r="AS519" s="429" t="s">
        <v>2353</v>
      </c>
      <c r="AT519" s="429"/>
      <c r="AU519" s="241"/>
      <c r="AV519" s="243"/>
      <c r="AX519" s="243"/>
      <c r="AY519" s="71"/>
      <c r="BC519" s="32"/>
      <c r="BD519" s="241"/>
      <c r="BE519" s="241"/>
      <c r="BF519" s="71"/>
      <c r="BG519" s="241"/>
      <c r="BH519" s="241"/>
      <c r="BI519" s="71"/>
      <c r="BJ519" s="123"/>
      <c r="BK519" s="163"/>
      <c r="BL519" s="126"/>
      <c r="BM519" s="108"/>
      <c r="BN519" s="123"/>
      <c r="BO519" s="108"/>
      <c r="BP519" s="123"/>
      <c r="BQ519" s="115"/>
      <c r="BR519" s="113"/>
      <c r="BS519" s="80"/>
      <c r="BT519" s="22"/>
      <c r="BU519" s="87"/>
      <c r="BV519" s="73"/>
      <c r="BW519" s="109"/>
      <c r="BX519" s="87"/>
      <c r="BY519" s="87"/>
      <c r="BZ519" s="109"/>
      <c r="CA519" s="76"/>
    </row>
    <row r="520" spans="1:79" s="72" customFormat="1">
      <c r="A520" s="13" t="s">
        <v>2110</v>
      </c>
      <c r="B520" s="13" t="s">
        <v>2270</v>
      </c>
      <c r="C520" s="13" t="s">
        <v>1696</v>
      </c>
      <c r="D520" s="445" t="s">
        <v>2354</v>
      </c>
      <c r="E520" s="13" t="s">
        <v>118</v>
      </c>
      <c r="F520" s="13" t="s">
        <v>167</v>
      </c>
      <c r="G520" s="445" t="s">
        <v>2355</v>
      </c>
      <c r="H520" s="13" t="s">
        <v>146</v>
      </c>
      <c r="I520" s="13" t="s">
        <v>122</v>
      </c>
      <c r="J520" s="13" t="s">
        <v>5</v>
      </c>
      <c r="K520" s="13" t="s">
        <v>123</v>
      </c>
      <c r="L520" s="13" t="s">
        <v>2356</v>
      </c>
      <c r="M520" s="13" t="s">
        <v>125</v>
      </c>
      <c r="N520" s="13" t="s">
        <v>251</v>
      </c>
      <c r="O520" s="448">
        <v>0.12</v>
      </c>
      <c r="P520" s="438">
        <v>122</v>
      </c>
      <c r="Q520" s="13">
        <v>30</v>
      </c>
      <c r="R520" s="449" t="s">
        <v>127</v>
      </c>
      <c r="S520" s="430" t="str">
        <f t="shared" ref="S520:S583" si="246">IF(R520="n/a","N/A",P520-R520)</f>
        <v>N/A</v>
      </c>
      <c r="T520" s="247">
        <v>0.8</v>
      </c>
      <c r="U520" s="13">
        <v>200</v>
      </c>
      <c r="V520" s="13">
        <v>600</v>
      </c>
      <c r="W520" s="430">
        <f t="shared" si="244"/>
        <v>400</v>
      </c>
      <c r="X520" s="430">
        <f t="shared" si="245"/>
        <v>320</v>
      </c>
      <c r="Y520" s="13">
        <f>U520</f>
        <v>200</v>
      </c>
      <c r="Z520" s="13">
        <f>V520</f>
        <v>600</v>
      </c>
      <c r="AA520" s="430">
        <f t="shared" si="222"/>
        <v>400</v>
      </c>
      <c r="AB520" s="430">
        <f t="shared" si="223"/>
        <v>320</v>
      </c>
      <c r="AC520" s="430" t="str">
        <f t="shared" si="224"/>
        <v>N/A</v>
      </c>
      <c r="AD520" s="430">
        <f t="shared" si="225"/>
        <v>92</v>
      </c>
      <c r="AE520" s="431">
        <f t="shared" si="226"/>
        <v>0.91039999999999999</v>
      </c>
      <c r="AF520" s="431"/>
      <c r="AG520" s="431">
        <f t="shared" si="227"/>
        <v>0.86877377049180327</v>
      </c>
      <c r="AH520" s="431">
        <f t="shared" si="228"/>
        <v>0.92090019672131151</v>
      </c>
      <c r="AI520" s="432">
        <f t="shared" si="229"/>
        <v>855.81262400000003</v>
      </c>
      <c r="AJ520" s="432">
        <f t="shared" si="230"/>
        <v>183.61786911232213</v>
      </c>
      <c r="AK520" s="432">
        <f t="shared" si="231"/>
        <v>200.77197564893254</v>
      </c>
      <c r="AL520" s="432">
        <f t="shared" si="232"/>
        <v>399.10571660353855</v>
      </c>
      <c r="AM520" s="250">
        <v>399</v>
      </c>
      <c r="AN520" s="432">
        <f t="shared" si="233"/>
        <v>486.78</v>
      </c>
      <c r="AO520" s="432">
        <f t="shared" si="234"/>
        <v>448.27579775999999</v>
      </c>
      <c r="AP520" s="432">
        <f t="shared" si="235"/>
        <v>1494.2526591999999</v>
      </c>
      <c r="AQ520" s="255" t="s">
        <v>2357</v>
      </c>
      <c r="AR520" s="255" t="s">
        <v>2358</v>
      </c>
      <c r="AS520" s="13" t="s">
        <v>2359</v>
      </c>
      <c r="AT520" s="429" t="s">
        <v>2360</v>
      </c>
      <c r="AU520" s="241">
        <v>1</v>
      </c>
      <c r="AV520" s="243"/>
      <c r="AW520" s="72" t="s">
        <v>127</v>
      </c>
      <c r="AX520" s="243"/>
      <c r="AY520" s="103">
        <f t="shared" ref="AY520:AY527" si="247">(V520/10)/P520</f>
        <v>0.49180327868852458</v>
      </c>
      <c r="BA520" s="13" t="str">
        <f t="shared" ref="BA520:BA527" si="248">LEFT(G520,3)</f>
        <v>W22</v>
      </c>
      <c r="BB520" s="72" t="str">
        <f t="shared" ref="BB520:BB527" si="249">IF(R520="n/a","Clear","S/B")</f>
        <v>Clear</v>
      </c>
      <c r="BC520" s="32">
        <f>IF(Q520="","",((P520/100*O520)+T520))</f>
        <v>0.94640000000000002</v>
      </c>
      <c r="BD520" s="241">
        <f>IF(BC520="","",((PI()*((51/2)^2-(16.545/2)^2)/(BC520/10))/100))</f>
        <v>193.13483371807709</v>
      </c>
      <c r="BE520" s="241">
        <f>IF(BC520="","",(BD520-AK520))</f>
        <v>-7.6371419308554493</v>
      </c>
      <c r="BF520" s="71">
        <f>IF(BC520="","",(BE520/AK520))</f>
        <v>-3.8038884192730479E-2</v>
      </c>
      <c r="BG520" s="241">
        <f>IF(BF520="","",((PI()*((70/2)^2-(16.545/2)^2)/(BC520/10))/100))</f>
        <v>383.92418046899985</v>
      </c>
      <c r="BH520" s="241">
        <f>IF(BF520="","",(BG520-AL520))</f>
        <v>-15.181536134538703</v>
      </c>
      <c r="BI520" s="71">
        <f>IF(BG520="","",(BH520/AL520))</f>
        <v>-3.8038884192730452E-2</v>
      </c>
      <c r="BJ520" s="123">
        <v>25</v>
      </c>
      <c r="BK520" s="123"/>
      <c r="BL520" s="126"/>
      <c r="BM520" s="123"/>
      <c r="BN520" s="123"/>
      <c r="BO520" s="123"/>
      <c r="BP520" s="108"/>
      <c r="BQ520" s="124"/>
      <c r="BR520" s="124"/>
      <c r="BS520" s="71"/>
      <c r="BU520" s="78"/>
      <c r="BV520" s="32"/>
      <c r="BW520" s="127"/>
      <c r="BX520" s="78"/>
      <c r="BY520" s="78"/>
      <c r="BZ520" s="127"/>
      <c r="CA520" s="76"/>
    </row>
    <row r="521" spans="1:79" s="72" customFormat="1">
      <c r="A521" s="13" t="s">
        <v>2110</v>
      </c>
      <c r="B521" s="13" t="s">
        <v>2270</v>
      </c>
      <c r="C521" s="13" t="s">
        <v>1696</v>
      </c>
      <c r="D521" s="445" t="s">
        <v>2361</v>
      </c>
      <c r="E521" s="13" t="s">
        <v>118</v>
      </c>
      <c r="F521" s="13" t="s">
        <v>167</v>
      </c>
      <c r="G521" s="445" t="s">
        <v>2362</v>
      </c>
      <c r="H521" s="13" t="s">
        <v>146</v>
      </c>
      <c r="I521" s="13" t="s">
        <v>122</v>
      </c>
      <c r="J521" s="13" t="s">
        <v>5</v>
      </c>
      <c r="K521" s="13" t="s">
        <v>123</v>
      </c>
      <c r="L521" s="13" t="s">
        <v>2363</v>
      </c>
      <c r="M521" s="13" t="s">
        <v>125</v>
      </c>
      <c r="N521" s="13" t="s">
        <v>126</v>
      </c>
      <c r="O521" s="448">
        <v>0.49</v>
      </c>
      <c r="P521" s="438">
        <v>112</v>
      </c>
      <c r="Q521" s="13">
        <v>30</v>
      </c>
      <c r="R521" s="449" t="s">
        <v>127</v>
      </c>
      <c r="S521" s="430" t="str">
        <f t="shared" si="246"/>
        <v>N/A</v>
      </c>
      <c r="T521" s="247">
        <v>0.8</v>
      </c>
      <c r="U521" s="13">
        <v>190</v>
      </c>
      <c r="V521" s="13">
        <v>680</v>
      </c>
      <c r="W521" s="430">
        <f t="shared" si="244"/>
        <v>490</v>
      </c>
      <c r="X521" s="430">
        <f t="shared" si="245"/>
        <v>140</v>
      </c>
      <c r="Y521" s="13">
        <v>190</v>
      </c>
      <c r="Z521" s="13">
        <v>680</v>
      </c>
      <c r="AA521" s="430">
        <f t="shared" ref="AA521:AA584" si="250">Z521-Y521</f>
        <v>490</v>
      </c>
      <c r="AB521" s="430">
        <f t="shared" ref="AB521:AB584" si="251">AD521*10-Z521</f>
        <v>140</v>
      </c>
      <c r="AC521" s="430" t="str">
        <f t="shared" ref="AC521:AC584" si="252">IF(J521="clear","N/A",((Q521-R521)*10))</f>
        <v>N/A</v>
      </c>
      <c r="AD521" s="430">
        <f t="shared" ref="AD521:AD584" si="253">P521-Q521</f>
        <v>82</v>
      </c>
      <c r="AE521" s="431">
        <f t="shared" ref="AE521:AE584" si="254">T521+(O521/100*AD521)</f>
        <v>1.2018</v>
      </c>
      <c r="AF521" s="431"/>
      <c r="AG521" s="431">
        <f t="shared" ref="AG521:AG584" si="255">(((T521+(0.5*(AE521-T521)))*AD521)+(AE521*Q521))/P521</f>
        <v>1.0547125000000002</v>
      </c>
      <c r="AH521" s="431">
        <f t="shared" ref="AH521:AH584" si="256">IF(MID(G521,2,2)="10",(AG521/1000*$W$2),(IF(MID(G521,2,2)="11",(AG521/1000*$X$2),(IF(MID(G521,2,2)="12",(AG521/1000*$Y$2),(IF(MID(G521,2,2)="13",(AG521/1000*$Z$2),(IF(MID(G521,2,2)="20",(AG521/1000*$AA$2),(IF(MID(G521,2,2)="21",(AG521/1000*$AB$2),(IF(MID(G521,2,2)="22",(AG521/1000*$AC$2),(IF(MID(G521,2,2)="23",(AG521/1000*$AD$2),(IF(MID(G521,2,2)="50",(AG521/1000*$AE$2),(IF(MID(G521,2,2)="51",(AG521/1000*$AG$2),"?")))))))))))))))))))</f>
        <v>1.1179952500000001</v>
      </c>
      <c r="AI521" s="432">
        <f t="shared" ref="AI521:AI584" si="257">IF(MID(G521,2,2)="10",((T521+O521*(6.142)/100)*$W$2),(IF(MID(G521,2,2)="11",((T521+O521*(6.142)/100)*$X$2),(IF(MID(G521,2,2)="12",((T521+O521*(6.142)/100)*$Y$2),(IF(MID(G521,2,2)="13",((T521+O521*(6.142)/100)*$Z$2),(IF(MID(G521,2,2)="20",((T521+O521*(6.142)/100)*$AA$2),(IF(MID(G521,2,2)="21",((T521+O521*(6.142)/100)*$AB$2),(IF(MID(G521,2,2)="22",((T521+O521*(6.142)/100)*$AC$2),(IF(MID(G521,2,2)="23",((T521+O521*(6.142)/100)*$AD$2),(IF(MID(G521,2,2)="50",((T521+O521*(6.142)/100)*$AE$2),(IF(MID(G521,2,2)="51",((T521+O521*(6.142)/100)*$AG$2),"?")))))))))))))))))))</f>
        <v>879.90154800000005</v>
      </c>
      <c r="AJ521" s="432">
        <f t="shared" ref="AJ521:AJ584" si="258">(PI()*((49/2)^2-(16.51/2)^2)/(AE521/10))/100</f>
        <v>139.09611253108508</v>
      </c>
      <c r="AK521" s="432">
        <f t="shared" ref="AK521:AK584" si="259">(PI()*((51/2)^2-(16.545/2)^2)/(AE521/10))/100</f>
        <v>152.09086922182408</v>
      </c>
      <c r="AL521" s="432">
        <f t="shared" ref="AL521:AL584" si="260">(PI()*((70/2)^2-(16.545/2)^2)/(AE521/10))/100</f>
        <v>302.33470161080169</v>
      </c>
      <c r="AM521" s="250">
        <v>150</v>
      </c>
      <c r="AN521" s="432">
        <f t="shared" ref="AN521:AN584" si="261">AM521*P521/100</f>
        <v>168</v>
      </c>
      <c r="AO521" s="432">
        <f t="shared" ref="AO521:AO584" si="262">AN521*AH521</f>
        <v>187.82320200000001</v>
      </c>
      <c r="AP521" s="432">
        <f t="shared" ref="AP521:AP584" si="263">AO521/(Q521/100)</f>
        <v>626.07734000000005</v>
      </c>
      <c r="AQ521" s="255">
        <v>44805</v>
      </c>
      <c r="AR521" s="255" t="s">
        <v>2364</v>
      </c>
      <c r="AS521" s="13"/>
      <c r="AT521" s="429"/>
      <c r="AU521" s="241"/>
      <c r="AV521" s="243"/>
      <c r="AW521" s="72" t="s">
        <v>127</v>
      </c>
      <c r="AX521" s="243"/>
      <c r="AY521" s="71">
        <f t="shared" si="247"/>
        <v>0.6071428571428571</v>
      </c>
      <c r="BA521" s="72" t="str">
        <f t="shared" si="248"/>
        <v>W22</v>
      </c>
      <c r="BB521" s="72" t="str">
        <f t="shared" si="249"/>
        <v>Clear</v>
      </c>
      <c r="BC521" s="32">
        <f>IF(Q521="","",((P521/100*O521)+T521))</f>
        <v>1.3488000000000002</v>
      </c>
      <c r="BD521" s="241">
        <f>IF(BC521="","",((PI()*((51/2)^2-(16.545/2)^2)/(BC521/10))/100))</f>
        <v>135.5151294712249</v>
      </c>
      <c r="BE521" s="241">
        <f>IF(BC521="","",(BD521-AK521))</f>
        <v>-16.575739750599183</v>
      </c>
      <c r="BF521" s="71">
        <f>IF(BC521="","",(BE521/AK521))</f>
        <v>-0.10898576512455535</v>
      </c>
      <c r="BG521" s="241">
        <f>IF(BF521="","",((PI()*((70/2)^2-(16.545/2)^2)/(BC521/10))/100))</f>
        <v>269.3845228320443</v>
      </c>
      <c r="BH521" s="241">
        <f>IF(BF521="","",(BG521-AL521))</f>
        <v>-32.95017877875739</v>
      </c>
      <c r="BI521" s="71">
        <f>IF(BG521="","",(BH521/AL521))</f>
        <v>-0.10898576512455545</v>
      </c>
      <c r="BJ521" s="123"/>
      <c r="BK521" s="123"/>
      <c r="BL521" s="126"/>
      <c r="BM521" s="123"/>
      <c r="BN521" s="123"/>
      <c r="BO521" s="123"/>
      <c r="BP521" s="108"/>
      <c r="BQ521" s="83"/>
      <c r="BR521" s="71"/>
      <c r="BS521" s="71"/>
      <c r="BT521" s="13">
        <f>P521-V521/10-120/10</f>
        <v>32</v>
      </c>
      <c r="BU521" s="79">
        <f>BT521-Q521</f>
        <v>2</v>
      </c>
      <c r="BV521" s="29">
        <f>T521+(O521/100*(P521-BT521))</f>
        <v>1.1920000000000002</v>
      </c>
      <c r="BW521" s="86">
        <f>(AE521-BV521)/AE521</f>
        <v>8.1544350141452889E-3</v>
      </c>
      <c r="BX521" s="79">
        <f>(PI()*((51/2)^2-(16.545/2)^2)/(BV521/10))/100</f>
        <v>153.34128073052699</v>
      </c>
      <c r="BY521" s="79">
        <f>BX521-AK521</f>
        <v>1.2504115087029106</v>
      </c>
      <c r="BZ521" s="86">
        <f>BY521/AK521</f>
        <v>8.221476510067079E-3</v>
      </c>
      <c r="CA521" s="76"/>
    </row>
    <row r="522" spans="1:79" s="72" customFormat="1">
      <c r="A522" s="13" t="s">
        <v>2110</v>
      </c>
      <c r="B522" s="13" t="s">
        <v>2270</v>
      </c>
      <c r="C522" s="13" t="s">
        <v>1696</v>
      </c>
      <c r="D522" s="445" t="s">
        <v>2361</v>
      </c>
      <c r="E522" s="13" t="s">
        <v>118</v>
      </c>
      <c r="F522" s="13" t="s">
        <v>167</v>
      </c>
      <c r="G522" s="445" t="s">
        <v>2365</v>
      </c>
      <c r="H522" s="13" t="s">
        <v>146</v>
      </c>
      <c r="I522" s="13" t="s">
        <v>122</v>
      </c>
      <c r="J522" s="13" t="s">
        <v>5</v>
      </c>
      <c r="K522" s="13" t="s">
        <v>123</v>
      </c>
      <c r="L522" s="13" t="s">
        <v>2366</v>
      </c>
      <c r="M522" s="13" t="s">
        <v>125</v>
      </c>
      <c r="N522" s="13" t="s">
        <v>126</v>
      </c>
      <c r="O522" s="448">
        <v>0.53</v>
      </c>
      <c r="P522" s="438">
        <v>102</v>
      </c>
      <c r="Q522" s="13">
        <v>30</v>
      </c>
      <c r="R522" s="449" t="s">
        <v>127</v>
      </c>
      <c r="S522" s="430" t="str">
        <f t="shared" si="246"/>
        <v>N/A</v>
      </c>
      <c r="T522" s="247">
        <v>0.8</v>
      </c>
      <c r="U522" s="13">
        <v>190</v>
      </c>
      <c r="V522" s="13">
        <v>590</v>
      </c>
      <c r="W522" s="430">
        <f t="shared" si="244"/>
        <v>400</v>
      </c>
      <c r="X522" s="430">
        <f t="shared" si="245"/>
        <v>130</v>
      </c>
      <c r="Y522" s="13">
        <v>190</v>
      </c>
      <c r="Z522" s="13">
        <v>590</v>
      </c>
      <c r="AA522" s="430">
        <f t="shared" si="250"/>
        <v>400</v>
      </c>
      <c r="AB522" s="430">
        <f t="shared" si="251"/>
        <v>130</v>
      </c>
      <c r="AC522" s="430" t="str">
        <f t="shared" si="252"/>
        <v>N/A</v>
      </c>
      <c r="AD522" s="430">
        <f t="shared" si="253"/>
        <v>72</v>
      </c>
      <c r="AE522" s="431">
        <f t="shared" si="254"/>
        <v>1.1816</v>
      </c>
      <c r="AF522" s="431"/>
      <c r="AG522" s="431">
        <f t="shared" si="255"/>
        <v>1.0469176470588235</v>
      </c>
      <c r="AH522" s="431">
        <f t="shared" si="256"/>
        <v>1.109732705882353</v>
      </c>
      <c r="AI522" s="432">
        <f t="shared" si="257"/>
        <v>882.50575600000013</v>
      </c>
      <c r="AJ522" s="432">
        <f t="shared" si="258"/>
        <v>141.47402508451086</v>
      </c>
      <c r="AK522" s="432">
        <f t="shared" si="259"/>
        <v>154.69093316755936</v>
      </c>
      <c r="AL522" s="432">
        <f t="shared" si="260"/>
        <v>307.50325355099989</v>
      </c>
      <c r="AM522" s="250">
        <v>155</v>
      </c>
      <c r="AN522" s="432">
        <f t="shared" si="261"/>
        <v>158.1</v>
      </c>
      <c r="AO522" s="432">
        <f t="shared" si="262"/>
        <v>175.4487408</v>
      </c>
      <c r="AP522" s="432">
        <f t="shared" si="263"/>
        <v>584.82913600000006</v>
      </c>
      <c r="AQ522" s="255">
        <v>44949</v>
      </c>
      <c r="AR522" s="255" t="s">
        <v>2367</v>
      </c>
      <c r="AS522" s="429" t="s">
        <v>2368</v>
      </c>
      <c r="AT522" s="429"/>
      <c r="AU522" s="241"/>
      <c r="AV522" s="243"/>
      <c r="AW522" s="72" t="s">
        <v>127</v>
      </c>
      <c r="AX522" s="243"/>
      <c r="AY522" s="71">
        <f t="shared" si="247"/>
        <v>0.57843137254901966</v>
      </c>
      <c r="BA522" s="72" t="str">
        <f t="shared" si="248"/>
        <v>W22</v>
      </c>
      <c r="BB522" s="72" t="str">
        <f t="shared" si="249"/>
        <v>Clear</v>
      </c>
      <c r="BC522" s="32">
        <f>IF(Q522="","",((P522/100*O522)+T522))</f>
        <v>1.3406000000000002</v>
      </c>
      <c r="BD522" s="241">
        <f>IF(BC522="","",((PI()*((51/2)^2-(16.545/2)^2)/(BC522/10))/100))</f>
        <v>136.34403000953913</v>
      </c>
      <c r="BE522" s="241">
        <f>IF(BC522="","",(BD522-AK522))</f>
        <v>-18.34690315802024</v>
      </c>
      <c r="BF522" s="71">
        <f>IF(BC522="","",(BE522/AK522))</f>
        <v>-0.11860361032373562</v>
      </c>
      <c r="BG522" s="241">
        <f>IF(BF522="","",((PI()*((70/2)^2-(16.545/2)^2)/(BC522/10))/100))</f>
        <v>271.03225749355619</v>
      </c>
      <c r="BH522" s="241">
        <f>IF(BF522="","",(BG522-AL522))</f>
        <v>-36.470996057443699</v>
      </c>
      <c r="BI522" s="71">
        <f>IF(BG522="","",(BH522/AL522))</f>
        <v>-0.11860361032373574</v>
      </c>
      <c r="BJ522" s="123"/>
      <c r="BK522" s="123"/>
      <c r="BL522" s="126"/>
      <c r="BM522" s="123"/>
      <c r="BN522" s="123"/>
      <c r="BO522" s="123"/>
      <c r="BP522" s="108"/>
      <c r="BQ522" s="108"/>
      <c r="BR522" s="124"/>
      <c r="BS522" s="71"/>
      <c r="BT522" s="72">
        <f>P522-V522/10-120/10</f>
        <v>31</v>
      </c>
      <c r="BU522" s="78">
        <f>BT522-Q522</f>
        <v>1</v>
      </c>
      <c r="BV522" s="32">
        <f>T522+(O522/100*(P522-BT522))</f>
        <v>1.1763000000000001</v>
      </c>
      <c r="BW522" s="127">
        <f>(AE522-BV522)/AE522</f>
        <v>4.4854434664860022E-3</v>
      </c>
      <c r="BX522" s="78">
        <f>(PI()*((51/2)^2-(16.545/2)^2)/(BV522/10))/100</f>
        <v>155.38791688411814</v>
      </c>
      <c r="BY522" s="78">
        <f>BX522-AK522</f>
        <v>0.69698371655877622</v>
      </c>
      <c r="BZ522" s="127">
        <f>BY522/AK522</f>
        <v>4.5056533197314922E-3</v>
      </c>
      <c r="CA522" s="76"/>
    </row>
    <row r="523" spans="1:79" s="72" customFormat="1">
      <c r="A523" s="13" t="s">
        <v>2110</v>
      </c>
      <c r="B523" s="13" t="s">
        <v>2270</v>
      </c>
      <c r="C523" s="13" t="s">
        <v>1696</v>
      </c>
      <c r="D523" s="445" t="s">
        <v>2369</v>
      </c>
      <c r="E523" s="13" t="s">
        <v>118</v>
      </c>
      <c r="F523" s="13" t="s">
        <v>167</v>
      </c>
      <c r="G523" s="445" t="s">
        <v>2370</v>
      </c>
      <c r="H523" s="13" t="s">
        <v>146</v>
      </c>
      <c r="I523" s="13" t="s">
        <v>122</v>
      </c>
      <c r="J523" s="13" t="s">
        <v>274</v>
      </c>
      <c r="K523" s="13" t="s">
        <v>123</v>
      </c>
      <c r="L523" s="13" t="s">
        <v>2371</v>
      </c>
      <c r="M523" s="13" t="s">
        <v>125</v>
      </c>
      <c r="N523" s="13" t="s">
        <v>126</v>
      </c>
      <c r="O523" s="448">
        <v>0.43</v>
      </c>
      <c r="P523" s="438">
        <v>100</v>
      </c>
      <c r="Q523" s="13">
        <v>30</v>
      </c>
      <c r="R523" s="445">
        <v>16</v>
      </c>
      <c r="S523" s="430">
        <f t="shared" si="246"/>
        <v>84</v>
      </c>
      <c r="T523" s="247">
        <v>0.8</v>
      </c>
      <c r="U523" s="13">
        <v>160</v>
      </c>
      <c r="V523" s="13">
        <v>580</v>
      </c>
      <c r="W523" s="430">
        <f t="shared" si="244"/>
        <v>420</v>
      </c>
      <c r="X523" s="430">
        <f t="shared" si="245"/>
        <v>120</v>
      </c>
      <c r="Y523" s="13">
        <v>160</v>
      </c>
      <c r="Z523" s="13">
        <v>580</v>
      </c>
      <c r="AA523" s="430">
        <f t="shared" si="250"/>
        <v>420</v>
      </c>
      <c r="AB523" s="430">
        <f t="shared" si="251"/>
        <v>120</v>
      </c>
      <c r="AC523" s="430">
        <f t="shared" si="252"/>
        <v>140</v>
      </c>
      <c r="AD523" s="430">
        <f t="shared" si="253"/>
        <v>70</v>
      </c>
      <c r="AE523" s="431">
        <f t="shared" si="254"/>
        <v>1.101</v>
      </c>
      <c r="AF523" s="431"/>
      <c r="AG523" s="431">
        <f t="shared" si="255"/>
        <v>0.99564999999999992</v>
      </c>
      <c r="AH523" s="431">
        <f t="shared" si="256"/>
        <v>1.0553889999999999</v>
      </c>
      <c r="AI523" s="432">
        <f t="shared" si="257"/>
        <v>875.99523599999998</v>
      </c>
      <c r="AJ523" s="432">
        <f t="shared" si="258"/>
        <v>151.83079749305907</v>
      </c>
      <c r="AK523" s="432">
        <f t="shared" si="259"/>
        <v>166.01526487810006</v>
      </c>
      <c r="AL523" s="432">
        <f t="shared" si="260"/>
        <v>330.01439091358895</v>
      </c>
      <c r="AM523" s="250">
        <v>150</v>
      </c>
      <c r="AN523" s="432">
        <f t="shared" si="261"/>
        <v>150</v>
      </c>
      <c r="AO523" s="432">
        <f t="shared" si="262"/>
        <v>158.30834999999999</v>
      </c>
      <c r="AP523" s="432">
        <f t="shared" si="263"/>
        <v>527.69449999999995</v>
      </c>
      <c r="AQ523" s="255">
        <v>44866</v>
      </c>
      <c r="AR523" s="255" t="s">
        <v>2324</v>
      </c>
      <c r="AS523" s="13"/>
      <c r="AT523" s="429"/>
      <c r="AU523" s="241"/>
      <c r="AV523" s="243"/>
      <c r="AW523" s="72" t="s">
        <v>127</v>
      </c>
      <c r="AX523" s="243"/>
      <c r="AY523" s="71">
        <f t="shared" si="247"/>
        <v>0.57999999999999996</v>
      </c>
      <c r="BA523" s="72" t="str">
        <f t="shared" si="248"/>
        <v>W23</v>
      </c>
      <c r="BB523" s="72" t="str">
        <f t="shared" si="249"/>
        <v>S/B</v>
      </c>
      <c r="BC523" s="32"/>
      <c r="BD523" s="241"/>
      <c r="BE523" s="241"/>
      <c r="BF523" s="71"/>
      <c r="BG523" s="241"/>
      <c r="BH523" s="241"/>
      <c r="BI523" s="71"/>
      <c r="BJ523" s="123"/>
      <c r="BL523" s="126"/>
      <c r="BM523" s="123"/>
      <c r="BN523" s="123"/>
      <c r="BO523" s="123"/>
      <c r="BP523" s="108"/>
      <c r="BQ523" s="71"/>
      <c r="BR523" s="71"/>
      <c r="BS523" s="71"/>
      <c r="BU523" s="78"/>
      <c r="BV523" s="32"/>
      <c r="BW523" s="127"/>
      <c r="BX523" s="78"/>
      <c r="BY523" s="78"/>
      <c r="BZ523" s="127"/>
      <c r="CA523" s="76"/>
    </row>
    <row r="524" spans="1:79" s="72" customFormat="1">
      <c r="A524" s="13" t="s">
        <v>2110</v>
      </c>
      <c r="B524" s="13" t="s">
        <v>2270</v>
      </c>
      <c r="C524" s="13" t="s">
        <v>1696</v>
      </c>
      <c r="D524" s="445" t="s">
        <v>2369</v>
      </c>
      <c r="E524" s="13" t="s">
        <v>118</v>
      </c>
      <c r="F524" s="13" t="s">
        <v>167</v>
      </c>
      <c r="G524" s="445" t="s">
        <v>2372</v>
      </c>
      <c r="H524" s="13" t="s">
        <v>146</v>
      </c>
      <c r="I524" s="13" t="s">
        <v>122</v>
      </c>
      <c r="J524" s="13" t="s">
        <v>274</v>
      </c>
      <c r="K524" s="13" t="s">
        <v>123</v>
      </c>
      <c r="L524" s="13" t="s">
        <v>2373</v>
      </c>
      <c r="M524" s="13" t="s">
        <v>125</v>
      </c>
      <c r="N524" s="13" t="s">
        <v>126</v>
      </c>
      <c r="O524" s="448">
        <v>0.49</v>
      </c>
      <c r="P524" s="438">
        <v>101</v>
      </c>
      <c r="Q524" s="13">
        <v>30</v>
      </c>
      <c r="R524" s="445">
        <v>16</v>
      </c>
      <c r="S524" s="430">
        <f t="shared" si="246"/>
        <v>85</v>
      </c>
      <c r="T524" s="247">
        <v>0.8</v>
      </c>
      <c r="U524" s="13">
        <v>160</v>
      </c>
      <c r="V524" s="13">
        <v>580</v>
      </c>
      <c r="W524" s="430">
        <f t="shared" si="244"/>
        <v>420</v>
      </c>
      <c r="X524" s="430">
        <f t="shared" si="245"/>
        <v>130</v>
      </c>
      <c r="Y524" s="13">
        <v>160</v>
      </c>
      <c r="Z524" s="13">
        <v>580</v>
      </c>
      <c r="AA524" s="430">
        <f t="shared" si="250"/>
        <v>420</v>
      </c>
      <c r="AB524" s="430">
        <f t="shared" si="251"/>
        <v>130</v>
      </c>
      <c r="AC524" s="430">
        <f t="shared" si="252"/>
        <v>140</v>
      </c>
      <c r="AD524" s="430">
        <f t="shared" si="253"/>
        <v>71</v>
      </c>
      <c r="AE524" s="431">
        <f t="shared" si="254"/>
        <v>1.1478999999999999</v>
      </c>
      <c r="AF524" s="431"/>
      <c r="AG524" s="431">
        <f t="shared" si="255"/>
        <v>1.025618316831683</v>
      </c>
      <c r="AH524" s="431">
        <f t="shared" si="256"/>
        <v>1.0871554158415841</v>
      </c>
      <c r="AI524" s="432">
        <f t="shared" si="257"/>
        <v>879.90154800000005</v>
      </c>
      <c r="AJ524" s="432">
        <f t="shared" si="258"/>
        <v>145.62741357248717</v>
      </c>
      <c r="AK524" s="432">
        <f t="shared" si="259"/>
        <v>159.2323430880636</v>
      </c>
      <c r="AL524" s="432">
        <f t="shared" si="260"/>
        <v>316.53092115677453</v>
      </c>
      <c r="AM524" s="250">
        <v>150</v>
      </c>
      <c r="AN524" s="432">
        <f t="shared" si="261"/>
        <v>151.5</v>
      </c>
      <c r="AO524" s="432">
        <f t="shared" si="262"/>
        <v>164.70404550000001</v>
      </c>
      <c r="AP524" s="432">
        <f t="shared" si="263"/>
        <v>549.01348500000006</v>
      </c>
      <c r="AQ524" s="255">
        <v>44927</v>
      </c>
      <c r="AR524" s="255" t="s">
        <v>2374</v>
      </c>
      <c r="AS524" s="429" t="s">
        <v>2375</v>
      </c>
      <c r="AT524" s="429"/>
      <c r="AU524" s="241"/>
      <c r="AV524" s="243"/>
      <c r="AW524" s="72" t="s">
        <v>127</v>
      </c>
      <c r="AX524" s="243"/>
      <c r="AY524" s="71">
        <f t="shared" si="247"/>
        <v>0.57425742574257421</v>
      </c>
      <c r="BA524" s="72" t="str">
        <f t="shared" si="248"/>
        <v>W23</v>
      </c>
      <c r="BB524" s="72" t="str">
        <f t="shared" si="249"/>
        <v>S/B</v>
      </c>
      <c r="BC524" s="32"/>
      <c r="BD524" s="241"/>
      <c r="BE524" s="241"/>
      <c r="BF524" s="71"/>
      <c r="BG524" s="241"/>
      <c r="BH524" s="241"/>
      <c r="BI524" s="71"/>
      <c r="BJ524" s="123"/>
      <c r="BL524" s="126"/>
      <c r="BM524" s="123"/>
      <c r="BN524" s="123"/>
      <c r="BO524" s="123"/>
      <c r="BP524" s="108"/>
      <c r="BQ524" s="105"/>
      <c r="BR524" s="106"/>
      <c r="BS524" s="106"/>
      <c r="BT524" s="262"/>
      <c r="BU524" s="269"/>
      <c r="BV524" s="263"/>
      <c r="BW524" s="132"/>
      <c r="BX524" s="269"/>
      <c r="BY524" s="269"/>
      <c r="BZ524" s="132"/>
      <c r="CA524" s="271"/>
    </row>
    <row r="525" spans="1:79" s="72" customFormat="1">
      <c r="A525" s="13" t="s">
        <v>2110</v>
      </c>
      <c r="B525" s="13" t="s">
        <v>2270</v>
      </c>
      <c r="C525" s="13" t="s">
        <v>1696</v>
      </c>
      <c r="D525" s="445" t="s">
        <v>2376</v>
      </c>
      <c r="E525" s="13" t="s">
        <v>118</v>
      </c>
      <c r="F525" s="13" t="s">
        <v>167</v>
      </c>
      <c r="G525" s="445" t="s">
        <v>2377</v>
      </c>
      <c r="H525" s="13" t="s">
        <v>146</v>
      </c>
      <c r="I525" s="13" t="s">
        <v>122</v>
      </c>
      <c r="J525" s="13" t="s">
        <v>5</v>
      </c>
      <c r="K525" s="13" t="s">
        <v>123</v>
      </c>
      <c r="L525" s="13" t="s">
        <v>2378</v>
      </c>
      <c r="M525" s="13" t="s">
        <v>125</v>
      </c>
      <c r="N525" s="13" t="s">
        <v>126</v>
      </c>
      <c r="O525" s="448">
        <v>0.41</v>
      </c>
      <c r="P525" s="438">
        <v>104</v>
      </c>
      <c r="Q525" s="13">
        <v>30</v>
      </c>
      <c r="R525" s="449" t="s">
        <v>127</v>
      </c>
      <c r="S525" s="430" t="str">
        <f t="shared" si="246"/>
        <v>N/A</v>
      </c>
      <c r="T525" s="247">
        <v>0.8</v>
      </c>
      <c r="U525" s="13">
        <v>180</v>
      </c>
      <c r="V525" s="13">
        <v>590</v>
      </c>
      <c r="W525" s="430">
        <f t="shared" si="244"/>
        <v>410</v>
      </c>
      <c r="X525" s="430">
        <f t="shared" si="245"/>
        <v>150</v>
      </c>
      <c r="Y525" s="13">
        <v>180</v>
      </c>
      <c r="Z525" s="13">
        <v>590</v>
      </c>
      <c r="AA525" s="430">
        <f t="shared" si="250"/>
        <v>410</v>
      </c>
      <c r="AB525" s="430">
        <f t="shared" si="251"/>
        <v>150</v>
      </c>
      <c r="AC525" s="430" t="str">
        <f t="shared" si="252"/>
        <v>N/A</v>
      </c>
      <c r="AD525" s="430">
        <f t="shared" si="253"/>
        <v>74</v>
      </c>
      <c r="AE525" s="431">
        <f t="shared" si="254"/>
        <v>1.1033999999999999</v>
      </c>
      <c r="AF525" s="431"/>
      <c r="AG525" s="431">
        <f t="shared" si="255"/>
        <v>0.99545961538461525</v>
      </c>
      <c r="AH525" s="431">
        <f t="shared" si="256"/>
        <v>1.0551871923076921</v>
      </c>
      <c r="AI525" s="432">
        <f t="shared" si="257"/>
        <v>874.69313200000011</v>
      </c>
      <c r="AJ525" s="432">
        <f t="shared" si="258"/>
        <v>151.50055106023024</v>
      </c>
      <c r="AK525" s="432">
        <f t="shared" si="259"/>
        <v>165.654165878909</v>
      </c>
      <c r="AL525" s="432">
        <f t="shared" si="260"/>
        <v>329.29657820904612</v>
      </c>
      <c r="AM525" s="250">
        <v>150</v>
      </c>
      <c r="AN525" s="432">
        <f t="shared" si="261"/>
        <v>156</v>
      </c>
      <c r="AO525" s="432">
        <f t="shared" si="262"/>
        <v>164.60920199999995</v>
      </c>
      <c r="AP525" s="432">
        <f t="shared" si="263"/>
        <v>548.69733999999983</v>
      </c>
      <c r="AQ525" s="255">
        <v>44866</v>
      </c>
      <c r="AR525" s="255" t="s">
        <v>2324</v>
      </c>
      <c r="AS525" s="13"/>
      <c r="AT525" s="429"/>
      <c r="AU525" s="241"/>
      <c r="AV525" s="243"/>
      <c r="AW525" s="72" t="s">
        <v>127</v>
      </c>
      <c r="AX525" s="243"/>
      <c r="AY525" s="71">
        <f t="shared" si="247"/>
        <v>0.56730769230769229</v>
      </c>
      <c r="BA525" s="72" t="str">
        <f t="shared" si="248"/>
        <v>W22</v>
      </c>
      <c r="BB525" s="72" t="str">
        <f t="shared" si="249"/>
        <v>Clear</v>
      </c>
      <c r="BC525" s="32"/>
      <c r="BD525" s="241"/>
      <c r="BE525" s="241"/>
      <c r="BF525" s="71"/>
      <c r="BG525" s="241"/>
      <c r="BH525" s="241"/>
      <c r="BI525" s="71"/>
      <c r="BJ525" s="123"/>
      <c r="BK525" s="123"/>
      <c r="BL525" s="126"/>
      <c r="BM525" s="123"/>
      <c r="BN525" s="123"/>
      <c r="BO525" s="123"/>
      <c r="BP525" s="108"/>
      <c r="BQ525" s="88"/>
      <c r="BR525" s="80"/>
      <c r="BS525" s="80"/>
      <c r="BT525" s="22"/>
      <c r="BU525" s="87"/>
      <c r="BV525" s="73"/>
      <c r="BW525" s="109"/>
      <c r="BX525" s="87"/>
      <c r="BY525" s="87"/>
      <c r="BZ525" s="109"/>
      <c r="CA525" s="76"/>
    </row>
    <row r="526" spans="1:79" s="72" customFormat="1">
      <c r="A526" s="13" t="s">
        <v>2110</v>
      </c>
      <c r="B526" s="13" t="s">
        <v>2270</v>
      </c>
      <c r="C526" s="13" t="s">
        <v>1696</v>
      </c>
      <c r="D526" s="13" t="s">
        <v>2379</v>
      </c>
      <c r="E526" s="13" t="s">
        <v>118</v>
      </c>
      <c r="F526" s="13" t="s">
        <v>167</v>
      </c>
      <c r="G526" s="13" t="s">
        <v>2380</v>
      </c>
      <c r="H526" s="13" t="s">
        <v>146</v>
      </c>
      <c r="I526" s="13" t="s">
        <v>122</v>
      </c>
      <c r="J526" s="13" t="s">
        <v>274</v>
      </c>
      <c r="K526" s="13" t="s">
        <v>123</v>
      </c>
      <c r="L526" s="13" t="s">
        <v>2381</v>
      </c>
      <c r="M526" s="13" t="s">
        <v>125</v>
      </c>
      <c r="N526" s="13" t="s">
        <v>12</v>
      </c>
      <c r="O526" s="247">
        <v>0.38</v>
      </c>
      <c r="P526" s="250">
        <v>104</v>
      </c>
      <c r="Q526" s="13">
        <v>30</v>
      </c>
      <c r="R526" s="250">
        <v>16</v>
      </c>
      <c r="S526" s="430">
        <f t="shared" si="246"/>
        <v>88</v>
      </c>
      <c r="T526" s="247">
        <v>0.8</v>
      </c>
      <c r="U526" s="13">
        <v>275</v>
      </c>
      <c r="V526" s="13">
        <v>538</v>
      </c>
      <c r="W526" s="430">
        <f t="shared" si="244"/>
        <v>263</v>
      </c>
      <c r="X526" s="430">
        <f t="shared" si="245"/>
        <v>202</v>
      </c>
      <c r="Y526" s="13">
        <v>138</v>
      </c>
      <c r="Z526" s="13">
        <f>V526</f>
        <v>538</v>
      </c>
      <c r="AA526" s="430">
        <f t="shared" si="250"/>
        <v>400</v>
      </c>
      <c r="AB526" s="430">
        <f t="shared" si="251"/>
        <v>202</v>
      </c>
      <c r="AC526" s="430">
        <f t="shared" si="252"/>
        <v>140</v>
      </c>
      <c r="AD526" s="430">
        <f t="shared" si="253"/>
        <v>74</v>
      </c>
      <c r="AE526" s="431">
        <f t="shared" si="254"/>
        <v>1.0811999999999999</v>
      </c>
      <c r="AF526" s="431"/>
      <c r="AG526" s="431">
        <f t="shared" si="255"/>
        <v>0.98115769230769234</v>
      </c>
      <c r="AH526" s="431">
        <f t="shared" si="256"/>
        <v>1.0400271538461539</v>
      </c>
      <c r="AI526" s="432">
        <f t="shared" si="257"/>
        <v>872.73997600000007</v>
      </c>
      <c r="AJ526" s="432">
        <f t="shared" si="258"/>
        <v>154.61127269687205</v>
      </c>
      <c r="AK526" s="432">
        <f t="shared" si="259"/>
        <v>169.05550002847593</v>
      </c>
      <c r="AL526" s="432">
        <f t="shared" si="260"/>
        <v>336.05793969280569</v>
      </c>
      <c r="AM526" s="250">
        <v>168</v>
      </c>
      <c r="AN526" s="432">
        <f t="shared" si="261"/>
        <v>174.72</v>
      </c>
      <c r="AO526" s="432">
        <f t="shared" si="262"/>
        <v>181.71354432000001</v>
      </c>
      <c r="AP526" s="432">
        <f t="shared" si="263"/>
        <v>605.71181440000009</v>
      </c>
      <c r="AQ526" s="255">
        <v>43831</v>
      </c>
      <c r="AR526" s="13" t="s">
        <v>238</v>
      </c>
      <c r="AS526" s="434" t="s">
        <v>2382</v>
      </c>
      <c r="AT526" s="429"/>
      <c r="AU526" s="241">
        <v>4</v>
      </c>
      <c r="AV526" s="243" t="s">
        <v>2383</v>
      </c>
      <c r="AW526" s="72" t="s">
        <v>127</v>
      </c>
      <c r="AX526" s="243"/>
      <c r="AY526" s="103">
        <f t="shared" si="247"/>
        <v>0.51730769230769225</v>
      </c>
      <c r="BA526" s="13" t="str">
        <f t="shared" si="248"/>
        <v>W23</v>
      </c>
      <c r="BB526" s="72" t="str">
        <f t="shared" si="249"/>
        <v>S/B</v>
      </c>
      <c r="BC526" s="32">
        <f>IF(Q526="","",((P526/100*O526)+T526))</f>
        <v>1.1952</v>
      </c>
      <c r="BD526" s="241">
        <f>IF(BC526="","",((PI()*((51/2)^2-(16.545/2)^2)/(BC526/10))/100))</f>
        <v>152.93072843941448</v>
      </c>
      <c r="BE526" s="241">
        <f>IF(BC526="","",(BD526-AK526))</f>
        <v>-16.124771589061453</v>
      </c>
      <c r="BF526" s="71">
        <f>IF(BC526="","",(BE526/AK526))</f>
        <v>-9.5381526104417635E-2</v>
      </c>
      <c r="BG526" s="241">
        <f>IF(BF526="","",((PI()*((70/2)^2-(16.545/2)^2)/(BC526/10))/100))</f>
        <v>304.00422054539945</v>
      </c>
      <c r="BH526" s="241">
        <f>IF(BF526="","",(BG526-AL526))</f>
        <v>-32.053719147406241</v>
      </c>
      <c r="BI526" s="71">
        <f>IF(BG526="","",(BH526/AL526))</f>
        <v>-9.5381526104417899E-2</v>
      </c>
      <c r="BJ526" s="158"/>
      <c r="BK526" s="141"/>
      <c r="BL526" s="108"/>
      <c r="BM526" s="141"/>
      <c r="BN526" s="71"/>
      <c r="BO526" s="141"/>
      <c r="BP526" s="141"/>
      <c r="BQ526" s="187"/>
      <c r="BR526" s="185"/>
      <c r="BS526" s="185"/>
      <c r="BT526" s="14"/>
      <c r="BU526" s="270"/>
      <c r="BV526" s="266"/>
      <c r="BW526" s="189"/>
      <c r="BX526" s="270"/>
      <c r="BY526" s="270"/>
      <c r="BZ526" s="189"/>
      <c r="CA526" s="272"/>
    </row>
    <row r="527" spans="1:79" s="72" customFormat="1">
      <c r="A527" s="13" t="s">
        <v>2110</v>
      </c>
      <c r="B527" s="13" t="s">
        <v>2270</v>
      </c>
      <c r="C527" s="13" t="s">
        <v>1696</v>
      </c>
      <c r="D527" s="13" t="s">
        <v>2379</v>
      </c>
      <c r="E527" s="13" t="s">
        <v>118</v>
      </c>
      <c r="F527" s="13" t="s">
        <v>167</v>
      </c>
      <c r="G527" s="13" t="s">
        <v>2384</v>
      </c>
      <c r="H527" s="13" t="s">
        <v>146</v>
      </c>
      <c r="I527" s="13" t="s">
        <v>122</v>
      </c>
      <c r="J527" s="13" t="s">
        <v>274</v>
      </c>
      <c r="K527" s="13" t="s">
        <v>123</v>
      </c>
      <c r="L527" s="13" t="s">
        <v>2385</v>
      </c>
      <c r="M527" s="13" t="s">
        <v>125</v>
      </c>
      <c r="N527" s="13" t="s">
        <v>12</v>
      </c>
      <c r="O527" s="247">
        <v>0.41</v>
      </c>
      <c r="P527" s="250">
        <v>104</v>
      </c>
      <c r="Q527" s="13">
        <v>30</v>
      </c>
      <c r="R527" s="250">
        <v>16</v>
      </c>
      <c r="S527" s="430">
        <f t="shared" si="246"/>
        <v>88</v>
      </c>
      <c r="T527" s="247">
        <v>0.8</v>
      </c>
      <c r="U527" s="13">
        <v>275</v>
      </c>
      <c r="V527" s="13">
        <v>528</v>
      </c>
      <c r="W527" s="430">
        <f t="shared" si="244"/>
        <v>253</v>
      </c>
      <c r="X527" s="430">
        <f t="shared" si="245"/>
        <v>212</v>
      </c>
      <c r="Y527" s="13">
        <v>128</v>
      </c>
      <c r="Z527" s="13">
        <f>V527</f>
        <v>528</v>
      </c>
      <c r="AA527" s="430">
        <f t="shared" si="250"/>
        <v>400</v>
      </c>
      <c r="AB527" s="430">
        <f t="shared" si="251"/>
        <v>212</v>
      </c>
      <c r="AC527" s="430">
        <f t="shared" si="252"/>
        <v>140</v>
      </c>
      <c r="AD527" s="430">
        <f t="shared" si="253"/>
        <v>74</v>
      </c>
      <c r="AE527" s="431">
        <f t="shared" si="254"/>
        <v>1.1033999999999999</v>
      </c>
      <c r="AF527" s="431"/>
      <c r="AG527" s="431">
        <f t="shared" si="255"/>
        <v>0.99545961538461525</v>
      </c>
      <c r="AH527" s="431">
        <f t="shared" si="256"/>
        <v>1.0551871923076921</v>
      </c>
      <c r="AI527" s="432">
        <f t="shared" si="257"/>
        <v>874.69313200000011</v>
      </c>
      <c r="AJ527" s="432">
        <f t="shared" si="258"/>
        <v>151.50055106023024</v>
      </c>
      <c r="AK527" s="432">
        <f t="shared" si="259"/>
        <v>165.654165878909</v>
      </c>
      <c r="AL527" s="432">
        <f t="shared" si="260"/>
        <v>329.29657820904612</v>
      </c>
      <c r="AM527" s="250">
        <v>166</v>
      </c>
      <c r="AN527" s="432">
        <f t="shared" si="261"/>
        <v>172.64</v>
      </c>
      <c r="AO527" s="432">
        <f t="shared" si="262"/>
        <v>182.16751687999994</v>
      </c>
      <c r="AP527" s="432">
        <f t="shared" si="263"/>
        <v>607.22505626666646</v>
      </c>
      <c r="AQ527" s="255">
        <v>44075</v>
      </c>
      <c r="AR527" s="13" t="s">
        <v>2386</v>
      </c>
      <c r="AS527" s="434"/>
      <c r="AT527" s="429" t="s">
        <v>2387</v>
      </c>
      <c r="AU527" s="241" t="s">
        <v>2388</v>
      </c>
      <c r="AV527" s="243"/>
      <c r="AW527" s="72" t="s">
        <v>127</v>
      </c>
      <c r="AX527" s="243"/>
      <c r="AY527" s="103">
        <f t="shared" si="247"/>
        <v>0.50769230769230766</v>
      </c>
      <c r="BA527" s="13" t="str">
        <f t="shared" si="248"/>
        <v>W23</v>
      </c>
      <c r="BB527" s="72" t="str">
        <f t="shared" si="249"/>
        <v>S/B</v>
      </c>
      <c r="BC527" s="32">
        <f>IF(Q527="","",((P527/100*O527)+T527))</f>
        <v>1.2263999999999999</v>
      </c>
      <c r="BD527" s="241">
        <f>IF(BC527="","",((PI()*((51/2)^2-(16.545/2)^2)/(BC527/10))/100))</f>
        <v>149.04012282353895</v>
      </c>
      <c r="BE527" s="241">
        <f>IF(BC527="","",(BD527-AK527))</f>
        <v>-16.614043055370047</v>
      </c>
      <c r="BF527" s="71">
        <f>IF(BC527="","",(BE527/AK527))</f>
        <v>-0.10029354207436408</v>
      </c>
      <c r="BG527" s="241">
        <f>IF(BF527="","",((PI()*((70/2)^2-(16.545/2)^2)/(BC527/10))/100))</f>
        <v>296.27025798749304</v>
      </c>
      <c r="BH527" s="241">
        <f>IF(BF527="","",(BG527-AL527))</f>
        <v>-33.026320221553078</v>
      </c>
      <c r="BI527" s="71">
        <f>IF(BG527="","",(BH527/AL527))</f>
        <v>-0.10029354207436404</v>
      </c>
      <c r="BJ527" s="158"/>
      <c r="BK527" s="141"/>
      <c r="BL527" s="108"/>
      <c r="BM527" s="141"/>
      <c r="BN527" s="71"/>
      <c r="BO527" s="141"/>
      <c r="BP527" s="141"/>
      <c r="BQ527" s="88"/>
      <c r="BR527" s="80"/>
      <c r="BS527" s="80"/>
      <c r="BT527" s="22"/>
      <c r="BU527" s="87"/>
      <c r="BV527" s="73"/>
      <c r="BW527" s="109"/>
      <c r="BX527" s="87"/>
      <c r="BY527" s="87"/>
      <c r="BZ527" s="109"/>
      <c r="CA527" s="76"/>
    </row>
    <row r="528" spans="1:79" s="72" customFormat="1">
      <c r="A528" s="13" t="s">
        <v>2110</v>
      </c>
      <c r="B528" s="387" t="s">
        <v>2389</v>
      </c>
      <c r="C528" s="13" t="s">
        <v>2390</v>
      </c>
      <c r="D528" s="13" t="s">
        <v>2391</v>
      </c>
      <c r="E528" s="13" t="s">
        <v>118</v>
      </c>
      <c r="F528" s="13" t="s">
        <v>119</v>
      </c>
      <c r="G528" s="13" t="s">
        <v>2392</v>
      </c>
      <c r="H528" s="13" t="s">
        <v>146</v>
      </c>
      <c r="I528" s="13" t="s">
        <v>147</v>
      </c>
      <c r="J528" s="13" t="s">
        <v>5</v>
      </c>
      <c r="K528" s="13" t="s">
        <v>123</v>
      </c>
      <c r="L528" s="13" t="s">
        <v>2393</v>
      </c>
      <c r="M528" s="13" t="s">
        <v>125</v>
      </c>
      <c r="N528" s="13" t="s">
        <v>126</v>
      </c>
      <c r="O528" s="247">
        <v>0.16</v>
      </c>
      <c r="P528" s="438">
        <v>138</v>
      </c>
      <c r="Q528" s="13">
        <v>30</v>
      </c>
      <c r="R528" s="13" t="s">
        <v>127</v>
      </c>
      <c r="S528" s="430" t="str">
        <f t="shared" si="246"/>
        <v>N/A</v>
      </c>
      <c r="T528" s="247">
        <v>0.8</v>
      </c>
      <c r="U528" s="13">
        <v>160</v>
      </c>
      <c r="V528" s="13">
        <v>760</v>
      </c>
      <c r="W528" s="430">
        <f t="shared" si="244"/>
        <v>600</v>
      </c>
      <c r="X528" s="430">
        <f t="shared" si="245"/>
        <v>320</v>
      </c>
      <c r="Y528" s="13">
        <v>160</v>
      </c>
      <c r="Z528" s="13">
        <v>760</v>
      </c>
      <c r="AA528" s="430">
        <f t="shared" si="250"/>
        <v>600</v>
      </c>
      <c r="AB528" s="430">
        <f t="shared" si="251"/>
        <v>320</v>
      </c>
      <c r="AC528" s="430" t="str">
        <f t="shared" si="252"/>
        <v>N/A</v>
      </c>
      <c r="AD528" s="430">
        <f t="shared" si="253"/>
        <v>108</v>
      </c>
      <c r="AE528" s="431">
        <f t="shared" si="254"/>
        <v>0.97280000000000011</v>
      </c>
      <c r="AF528" s="431"/>
      <c r="AG528" s="431">
        <f t="shared" si="255"/>
        <v>0.90518260869565215</v>
      </c>
      <c r="AH528" s="431">
        <f t="shared" si="256"/>
        <v>0.95949356521739126</v>
      </c>
      <c r="AI528" s="432">
        <f t="shared" si="257"/>
        <v>858.41683200000011</v>
      </c>
      <c r="AJ528" s="432">
        <f t="shared" si="258"/>
        <v>171.83974921860406</v>
      </c>
      <c r="AK528" s="432">
        <f t="shared" si="259"/>
        <v>187.89351010566216</v>
      </c>
      <c r="AL528" s="432">
        <f t="shared" si="260"/>
        <v>373.50518543982469</v>
      </c>
      <c r="AM528" s="250">
        <v>186</v>
      </c>
      <c r="AN528" s="432">
        <f t="shared" si="261"/>
        <v>256.68</v>
      </c>
      <c r="AO528" s="432">
        <f t="shared" si="262"/>
        <v>246.28280831999999</v>
      </c>
      <c r="AP528" s="432">
        <f t="shared" si="263"/>
        <v>820.94269439999994</v>
      </c>
      <c r="AQ528" s="255">
        <v>45444</v>
      </c>
      <c r="AR528" s="13" t="s">
        <v>2394</v>
      </c>
      <c r="AS528" s="429" t="s">
        <v>2395</v>
      </c>
      <c r="AT528" s="429" t="s">
        <v>245</v>
      </c>
      <c r="AU528" s="252"/>
      <c r="AV528" s="260"/>
      <c r="AX528" s="243"/>
      <c r="AY528" s="103"/>
      <c r="BA528" s="13"/>
      <c r="BC528" s="32"/>
      <c r="BD528" s="241"/>
      <c r="BE528" s="241"/>
      <c r="BF528" s="71"/>
      <c r="BG528" s="241"/>
      <c r="BH528" s="241"/>
      <c r="BI528" s="71"/>
      <c r="BJ528" s="114"/>
      <c r="BK528" s="111"/>
      <c r="BL528" s="112"/>
      <c r="BM528" s="111"/>
      <c r="BN528" s="123"/>
      <c r="BO528" s="83"/>
      <c r="BP528" s="88"/>
      <c r="BQ528" s="124"/>
      <c r="BR528" s="124"/>
      <c r="BS528" s="71"/>
      <c r="BU528" s="78"/>
      <c r="BV528" s="32"/>
      <c r="BW528" s="127"/>
      <c r="BX528" s="78"/>
      <c r="BY528" s="78"/>
      <c r="BZ528" s="127"/>
      <c r="CA528" s="76"/>
    </row>
    <row r="529" spans="1:79" s="72" customFormat="1">
      <c r="A529" s="13" t="s">
        <v>2110</v>
      </c>
      <c r="B529" s="387" t="s">
        <v>2389</v>
      </c>
      <c r="C529" s="13" t="s">
        <v>2390</v>
      </c>
      <c r="D529" s="13" t="s">
        <v>2396</v>
      </c>
      <c r="E529" s="13" t="s">
        <v>118</v>
      </c>
      <c r="F529" s="13" t="s">
        <v>119</v>
      </c>
      <c r="G529" s="13" t="s">
        <v>2397</v>
      </c>
      <c r="H529" s="13" t="s">
        <v>146</v>
      </c>
      <c r="I529" s="13" t="s">
        <v>147</v>
      </c>
      <c r="J529" s="13" t="s">
        <v>5</v>
      </c>
      <c r="K529" s="13" t="s">
        <v>123</v>
      </c>
      <c r="L529" s="13"/>
      <c r="M529" s="13" t="s">
        <v>125</v>
      </c>
      <c r="N529" s="13" t="s">
        <v>126</v>
      </c>
      <c r="O529" s="247">
        <v>0.27</v>
      </c>
      <c r="P529" s="13">
        <v>105</v>
      </c>
      <c r="Q529" s="13">
        <v>15</v>
      </c>
      <c r="R529" s="13" t="s">
        <v>127</v>
      </c>
      <c r="S529" s="430" t="str">
        <f t="shared" si="246"/>
        <v>N/A</v>
      </c>
      <c r="T529" s="247">
        <v>0.8</v>
      </c>
      <c r="U529" s="13">
        <v>200</v>
      </c>
      <c r="V529" s="13">
        <v>700</v>
      </c>
      <c r="W529" s="430">
        <f t="shared" si="244"/>
        <v>500</v>
      </c>
      <c r="X529" s="430">
        <f t="shared" si="245"/>
        <v>200</v>
      </c>
      <c r="Y529" s="13">
        <v>200</v>
      </c>
      <c r="Z529" s="13">
        <v>800</v>
      </c>
      <c r="AA529" s="430">
        <f t="shared" si="250"/>
        <v>600</v>
      </c>
      <c r="AB529" s="430">
        <f t="shared" si="251"/>
        <v>100</v>
      </c>
      <c r="AC529" s="430" t="str">
        <f t="shared" si="252"/>
        <v>N/A</v>
      </c>
      <c r="AD529" s="430">
        <f t="shared" si="253"/>
        <v>90</v>
      </c>
      <c r="AE529" s="431">
        <f t="shared" si="254"/>
        <v>1.0430000000000001</v>
      </c>
      <c r="AF529" s="431"/>
      <c r="AG529" s="431">
        <f t="shared" si="255"/>
        <v>0.93885714285714295</v>
      </c>
      <c r="AH529" s="431">
        <f t="shared" si="256"/>
        <v>0.99518857142857153</v>
      </c>
      <c r="AI529" s="432">
        <f t="shared" si="257"/>
        <v>865.57840400000009</v>
      </c>
      <c r="AJ529" s="432">
        <f t="shared" si="258"/>
        <v>160.27392908902974</v>
      </c>
      <c r="AK529" s="432">
        <f t="shared" si="259"/>
        <v>175.24717797774508</v>
      </c>
      <c r="AL529" s="432">
        <f t="shared" si="260"/>
        <v>348.36610200945483</v>
      </c>
      <c r="AM529" s="250">
        <v>175</v>
      </c>
      <c r="AN529" s="432">
        <f t="shared" si="261"/>
        <v>183.75</v>
      </c>
      <c r="AO529" s="432">
        <f t="shared" si="262"/>
        <v>182.86590000000001</v>
      </c>
      <c r="AP529" s="432">
        <f t="shared" si="263"/>
        <v>1219.1060000000002</v>
      </c>
      <c r="AQ529" s="255">
        <v>45627</v>
      </c>
      <c r="AR529" s="13" t="s">
        <v>2398</v>
      </c>
      <c r="AS529" s="429"/>
      <c r="AT529" s="13"/>
      <c r="AU529" s="252"/>
      <c r="AV529" s="260"/>
      <c r="AX529" s="243"/>
      <c r="AY529" s="103"/>
      <c r="BA529" s="13"/>
      <c r="BC529" s="32"/>
      <c r="BD529" s="241"/>
      <c r="BE529" s="241"/>
      <c r="BF529" s="71"/>
      <c r="BG529" s="241"/>
      <c r="BH529" s="241"/>
      <c r="BI529" s="71"/>
      <c r="BJ529" s="114"/>
      <c r="BK529" s="111"/>
      <c r="BL529" s="112"/>
      <c r="BM529" s="111"/>
      <c r="BN529" s="123"/>
      <c r="BO529" s="83"/>
      <c r="BP529" s="88"/>
      <c r="BQ529" s="124"/>
      <c r="BR529" s="124"/>
      <c r="BS529" s="71"/>
      <c r="BU529" s="78"/>
      <c r="BV529" s="32"/>
      <c r="BW529" s="127"/>
      <c r="BX529" s="78"/>
      <c r="BY529" s="78"/>
      <c r="BZ529" s="127"/>
      <c r="CA529" s="76"/>
    </row>
    <row r="530" spans="1:79" s="72" customFormat="1">
      <c r="A530" s="13" t="s">
        <v>2110</v>
      </c>
      <c r="B530" s="387" t="s">
        <v>2389</v>
      </c>
      <c r="C530" s="13" t="s">
        <v>2390</v>
      </c>
      <c r="D530" s="13" t="s">
        <v>2396</v>
      </c>
      <c r="E530" s="13" t="s">
        <v>118</v>
      </c>
      <c r="F530" s="13" t="s">
        <v>167</v>
      </c>
      <c r="G530" s="13" t="s">
        <v>2399</v>
      </c>
      <c r="H530" s="13" t="s">
        <v>146</v>
      </c>
      <c r="I530" s="13" t="s">
        <v>147</v>
      </c>
      <c r="J530" s="13" t="s">
        <v>5</v>
      </c>
      <c r="K530" s="13" t="s">
        <v>123</v>
      </c>
      <c r="L530" s="13" t="s">
        <v>2400</v>
      </c>
      <c r="M530" s="13" t="s">
        <v>125</v>
      </c>
      <c r="N530" s="13" t="s">
        <v>126</v>
      </c>
      <c r="O530" s="247">
        <v>0.27</v>
      </c>
      <c r="P530" s="13">
        <v>111</v>
      </c>
      <c r="Q530" s="13">
        <v>20</v>
      </c>
      <c r="R530" s="13" t="s">
        <v>127</v>
      </c>
      <c r="S530" s="430" t="str">
        <f t="shared" si="246"/>
        <v>N/A</v>
      </c>
      <c r="T530" s="247">
        <v>0.8</v>
      </c>
      <c r="U530" s="13">
        <v>200</v>
      </c>
      <c r="V530" s="13">
        <v>700</v>
      </c>
      <c r="W530" s="430">
        <f t="shared" si="244"/>
        <v>500</v>
      </c>
      <c r="X530" s="430">
        <f t="shared" si="245"/>
        <v>210</v>
      </c>
      <c r="Y530" s="13">
        <v>200</v>
      </c>
      <c r="Z530" s="13">
        <v>820</v>
      </c>
      <c r="AA530" s="430">
        <f t="shared" si="250"/>
        <v>620</v>
      </c>
      <c r="AB530" s="430">
        <f t="shared" si="251"/>
        <v>90</v>
      </c>
      <c r="AC530" s="430" t="str">
        <f t="shared" si="252"/>
        <v>N/A</v>
      </c>
      <c r="AD530" s="430">
        <f t="shared" si="253"/>
        <v>91</v>
      </c>
      <c r="AE530" s="431">
        <f t="shared" si="254"/>
        <v>1.0457000000000001</v>
      </c>
      <c r="AF530" s="431"/>
      <c r="AG530" s="431">
        <f t="shared" si="255"/>
        <v>0.94498513513513527</v>
      </c>
      <c r="AH530" s="431">
        <f t="shared" si="256"/>
        <v>1.0016842432432433</v>
      </c>
      <c r="AI530" s="432">
        <f t="shared" si="257"/>
        <v>865.57840400000009</v>
      </c>
      <c r="AJ530" s="432">
        <f t="shared" si="258"/>
        <v>159.86010140562112</v>
      </c>
      <c r="AK530" s="432">
        <f t="shared" si="259"/>
        <v>174.79468932847678</v>
      </c>
      <c r="AL530" s="432">
        <f t="shared" si="260"/>
        <v>347.46661986789849</v>
      </c>
      <c r="AM530" s="250">
        <v>177</v>
      </c>
      <c r="AN530" s="432">
        <f t="shared" si="261"/>
        <v>196.47</v>
      </c>
      <c r="AO530" s="432">
        <f t="shared" si="262"/>
        <v>196.80090327000002</v>
      </c>
      <c r="AP530" s="432">
        <f t="shared" si="263"/>
        <v>984.00451635000002</v>
      </c>
      <c r="AQ530" s="255">
        <v>45444</v>
      </c>
      <c r="AR530" s="13" t="s">
        <v>2394</v>
      </c>
      <c r="AS530" s="429" t="s">
        <v>2401</v>
      </c>
      <c r="AT530" s="13"/>
      <c r="AU530" s="241"/>
      <c r="AV530" s="243"/>
      <c r="AX530" s="243"/>
      <c r="AY530" s="71"/>
      <c r="BC530" s="32"/>
      <c r="BD530" s="241"/>
      <c r="BE530" s="241"/>
      <c r="BF530" s="71"/>
      <c r="BG530" s="241"/>
      <c r="BH530" s="241"/>
      <c r="BI530" s="71"/>
      <c r="BJ530" s="123"/>
      <c r="BK530" s="123"/>
      <c r="BL530" s="126"/>
      <c r="BM530" s="123"/>
      <c r="BN530" s="123"/>
      <c r="BO530" s="108"/>
      <c r="BP530" s="108"/>
      <c r="BQ530" s="71"/>
      <c r="BR530" s="71"/>
      <c r="BS530" s="71"/>
    </row>
    <row r="531" spans="1:79" s="72" customFormat="1">
      <c r="A531" s="13" t="s">
        <v>2110</v>
      </c>
      <c r="B531" s="387" t="s">
        <v>2389</v>
      </c>
      <c r="C531" s="13" t="s">
        <v>2390</v>
      </c>
      <c r="D531" s="13" t="s">
        <v>2396</v>
      </c>
      <c r="E531" s="13" t="s">
        <v>118</v>
      </c>
      <c r="F531" s="13" t="s">
        <v>167</v>
      </c>
      <c r="G531" s="13" t="s">
        <v>2402</v>
      </c>
      <c r="H531" s="13" t="s">
        <v>146</v>
      </c>
      <c r="I531" s="13" t="s">
        <v>147</v>
      </c>
      <c r="J531" s="13" t="s">
        <v>5</v>
      </c>
      <c r="K531" s="13" t="s">
        <v>123</v>
      </c>
      <c r="L531" s="13" t="s">
        <v>2403</v>
      </c>
      <c r="M531" s="13" t="s">
        <v>125</v>
      </c>
      <c r="N531" s="13" t="s">
        <v>126</v>
      </c>
      <c r="O531" s="247">
        <v>0.27</v>
      </c>
      <c r="P531" s="13">
        <v>109</v>
      </c>
      <c r="Q531" s="13">
        <v>15</v>
      </c>
      <c r="R531" s="13" t="s">
        <v>127</v>
      </c>
      <c r="S531" s="430" t="str">
        <f t="shared" si="246"/>
        <v>N/A</v>
      </c>
      <c r="T531" s="247">
        <v>0.8</v>
      </c>
      <c r="U531" s="13">
        <v>200</v>
      </c>
      <c r="V531" s="13">
        <v>700</v>
      </c>
      <c r="W531" s="430">
        <f t="shared" si="244"/>
        <v>500</v>
      </c>
      <c r="X531" s="430">
        <f t="shared" si="245"/>
        <v>240</v>
      </c>
      <c r="Y531" s="13">
        <v>200</v>
      </c>
      <c r="Z531" s="13">
        <v>820</v>
      </c>
      <c r="AA531" s="430">
        <f t="shared" si="250"/>
        <v>620</v>
      </c>
      <c r="AB531" s="430">
        <f t="shared" si="251"/>
        <v>120</v>
      </c>
      <c r="AC531" s="430" t="str">
        <f t="shared" si="252"/>
        <v>N/A</v>
      </c>
      <c r="AD531" s="430">
        <f t="shared" si="253"/>
        <v>94</v>
      </c>
      <c r="AE531" s="431">
        <f t="shared" si="254"/>
        <v>1.0538000000000001</v>
      </c>
      <c r="AF531" s="431"/>
      <c r="AG531" s="431">
        <f t="shared" si="255"/>
        <v>0.94436330275229363</v>
      </c>
      <c r="AH531" s="431">
        <f t="shared" si="256"/>
        <v>1.0010251009174314</v>
      </c>
      <c r="AI531" s="432">
        <f t="shared" si="257"/>
        <v>865.57840400000009</v>
      </c>
      <c r="AJ531" s="432">
        <f t="shared" si="258"/>
        <v>158.6313418484134</v>
      </c>
      <c r="AK531" s="432">
        <f t="shared" si="259"/>
        <v>173.45113553880071</v>
      </c>
      <c r="AL531" s="432">
        <f t="shared" si="260"/>
        <v>344.79582880609365</v>
      </c>
      <c r="AM531" s="250">
        <v>173</v>
      </c>
      <c r="AN531" s="432">
        <f t="shared" si="261"/>
        <v>188.57</v>
      </c>
      <c r="AO531" s="432">
        <f t="shared" si="262"/>
        <v>188.76330328000003</v>
      </c>
      <c r="AP531" s="432">
        <f t="shared" si="263"/>
        <v>1258.4220218666669</v>
      </c>
      <c r="AQ531" s="255">
        <v>45536</v>
      </c>
      <c r="AR531" s="13" t="s">
        <v>2404</v>
      </c>
      <c r="AS531" s="429" t="s">
        <v>2405</v>
      </c>
      <c r="AT531" s="13"/>
      <c r="AU531" s="241"/>
      <c r="AV531" s="243"/>
      <c r="AX531" s="243"/>
      <c r="AY531" s="71"/>
      <c r="BC531" s="32"/>
      <c r="BD531" s="241"/>
      <c r="BE531" s="241"/>
      <c r="BF531" s="71"/>
      <c r="BG531" s="241"/>
      <c r="BH531" s="241"/>
      <c r="BI531" s="71"/>
      <c r="BJ531" s="123"/>
      <c r="BK531" s="123"/>
      <c r="BL531" s="126"/>
      <c r="BM531" s="123"/>
      <c r="BN531" s="123"/>
      <c r="BO531" s="108"/>
      <c r="BP531" s="108"/>
      <c r="BQ531" s="83"/>
      <c r="BR531" s="71"/>
      <c r="BS531" s="71"/>
      <c r="BT531" s="13">
        <f>P531-V531/10-120/10</f>
        <v>27</v>
      </c>
      <c r="BU531" s="79">
        <f>BT531-Q531</f>
        <v>12</v>
      </c>
      <c r="BV531" s="29">
        <f>T531+(O531/100*(P531-BT531))</f>
        <v>1.0214000000000001</v>
      </c>
      <c r="BW531" s="86">
        <f>(AE531-BV531)/AE531</f>
        <v>3.0745872081988975E-2</v>
      </c>
      <c r="BX531" s="79">
        <f>(PI()*((51/2)^2-(16.545/2)^2)/(BV531/10))/100</f>
        <v>178.95320798001583</v>
      </c>
      <c r="BY531" s="79">
        <f>BX531-AK531</f>
        <v>5.5020724412151196</v>
      </c>
      <c r="BZ531" s="86">
        <f>BY531/AK531</f>
        <v>3.1721167025650955E-2</v>
      </c>
      <c r="CA531" s="76"/>
    </row>
    <row r="532" spans="1:79" s="72" customFormat="1">
      <c r="A532" s="13" t="s">
        <v>2110</v>
      </c>
      <c r="B532" s="387" t="s">
        <v>2389</v>
      </c>
      <c r="C532" s="13" t="s">
        <v>2390</v>
      </c>
      <c r="D532" s="13"/>
      <c r="E532" s="13" t="s">
        <v>118</v>
      </c>
      <c r="F532" s="13" t="s">
        <v>119</v>
      </c>
      <c r="G532" s="13" t="s">
        <v>2406</v>
      </c>
      <c r="H532" s="13" t="s">
        <v>146</v>
      </c>
      <c r="I532" s="13" t="s">
        <v>147</v>
      </c>
      <c r="J532" s="13" t="s">
        <v>5</v>
      </c>
      <c r="K532" s="13" t="s">
        <v>123</v>
      </c>
      <c r="L532" s="13"/>
      <c r="M532" s="13" t="s">
        <v>125</v>
      </c>
      <c r="N532" s="13" t="s">
        <v>126</v>
      </c>
      <c r="O532" s="247">
        <v>0.16</v>
      </c>
      <c r="P532" s="13">
        <v>105</v>
      </c>
      <c r="Q532" s="13">
        <v>20</v>
      </c>
      <c r="R532" s="13" t="s">
        <v>127</v>
      </c>
      <c r="S532" s="430" t="str">
        <f t="shared" si="246"/>
        <v>N/A</v>
      </c>
      <c r="T532" s="247">
        <v>0.8</v>
      </c>
      <c r="U532" s="13">
        <v>250</v>
      </c>
      <c r="V532" s="13">
        <v>650</v>
      </c>
      <c r="W532" s="430">
        <f t="shared" si="244"/>
        <v>400</v>
      </c>
      <c r="X532" s="430">
        <f t="shared" si="245"/>
        <v>200</v>
      </c>
      <c r="Y532" s="13">
        <v>250</v>
      </c>
      <c r="Z532" s="13">
        <v>650</v>
      </c>
      <c r="AA532" s="430">
        <f t="shared" si="250"/>
        <v>400</v>
      </c>
      <c r="AB532" s="430">
        <f t="shared" si="251"/>
        <v>200</v>
      </c>
      <c r="AC532" s="430" t="str">
        <f t="shared" si="252"/>
        <v>N/A</v>
      </c>
      <c r="AD532" s="430">
        <f t="shared" si="253"/>
        <v>85</v>
      </c>
      <c r="AE532" s="431">
        <f t="shared" si="254"/>
        <v>0.93600000000000005</v>
      </c>
      <c r="AF532" s="431"/>
      <c r="AG532" s="431">
        <f t="shared" si="255"/>
        <v>0.88095238095238104</v>
      </c>
      <c r="AH532" s="431">
        <f t="shared" si="256"/>
        <v>0.93380952380952387</v>
      </c>
      <c r="AI532" s="432">
        <f t="shared" si="257"/>
        <v>858.41683200000011</v>
      </c>
      <c r="AJ532" s="432">
        <f t="shared" si="258"/>
        <v>178.59584192292525</v>
      </c>
      <c r="AK532" s="432">
        <f t="shared" si="259"/>
        <v>195.28077631494463</v>
      </c>
      <c r="AL532" s="432">
        <f t="shared" si="260"/>
        <v>388.19000469643316</v>
      </c>
      <c r="AM532" s="250">
        <v>195</v>
      </c>
      <c r="AN532" s="432">
        <f t="shared" si="261"/>
        <v>204.75</v>
      </c>
      <c r="AO532" s="432">
        <f t="shared" si="262"/>
        <v>191.19750000000002</v>
      </c>
      <c r="AP532" s="432">
        <f t="shared" si="263"/>
        <v>955.98750000000007</v>
      </c>
      <c r="AQ532" s="255">
        <v>45627</v>
      </c>
      <c r="AR532" s="13" t="s">
        <v>2398</v>
      </c>
      <c r="AS532" s="429"/>
      <c r="AT532" s="13"/>
      <c r="AU532" s="252"/>
      <c r="AV532" s="260"/>
      <c r="AX532" s="243"/>
      <c r="AY532" s="103"/>
      <c r="BA532" s="13"/>
      <c r="BC532" s="32"/>
      <c r="BD532" s="241"/>
      <c r="BE532" s="241"/>
      <c r="BF532" s="71"/>
      <c r="BG532" s="241"/>
      <c r="BH532" s="241"/>
      <c r="BI532" s="71"/>
      <c r="BJ532" s="114"/>
      <c r="BK532" s="111"/>
      <c r="BL532" s="112"/>
      <c r="BM532" s="111"/>
      <c r="BN532" s="123"/>
      <c r="BO532" s="83"/>
      <c r="BP532" s="88"/>
      <c r="BQ532" s="71"/>
      <c r="BR532" s="71"/>
      <c r="BS532" s="71"/>
      <c r="BU532" s="78"/>
      <c r="BV532" s="32"/>
      <c r="BW532" s="127"/>
      <c r="BX532" s="78"/>
      <c r="BY532" s="78"/>
      <c r="BZ532" s="127"/>
      <c r="CA532" s="76"/>
    </row>
    <row r="533" spans="1:79" s="72" customFormat="1">
      <c r="A533" s="13" t="s">
        <v>2110</v>
      </c>
      <c r="B533" s="387" t="s">
        <v>2389</v>
      </c>
      <c r="C533" s="13" t="s">
        <v>2390</v>
      </c>
      <c r="D533" s="13" t="s">
        <v>2407</v>
      </c>
      <c r="E533" s="13" t="s">
        <v>118</v>
      </c>
      <c r="F533" s="13" t="s">
        <v>167</v>
      </c>
      <c r="G533" s="13" t="s">
        <v>2408</v>
      </c>
      <c r="H533" s="13" t="s">
        <v>146</v>
      </c>
      <c r="I533" s="13" t="s">
        <v>147</v>
      </c>
      <c r="J533" s="13" t="s">
        <v>5</v>
      </c>
      <c r="K533" s="13" t="s">
        <v>123</v>
      </c>
      <c r="L533" s="13" t="s">
        <v>2409</v>
      </c>
      <c r="M533" s="13" t="s">
        <v>125</v>
      </c>
      <c r="N533" s="13" t="s">
        <v>126</v>
      </c>
      <c r="O533" s="247">
        <v>0.16</v>
      </c>
      <c r="P533" s="13">
        <v>111</v>
      </c>
      <c r="Q533" s="13">
        <v>20</v>
      </c>
      <c r="R533" s="13" t="s">
        <v>127</v>
      </c>
      <c r="S533" s="430" t="str">
        <f t="shared" si="246"/>
        <v>N/A</v>
      </c>
      <c r="T533" s="247">
        <v>0.8</v>
      </c>
      <c r="U533" s="13">
        <v>250</v>
      </c>
      <c r="V533" s="13">
        <v>650</v>
      </c>
      <c r="W533" s="430">
        <f t="shared" si="244"/>
        <v>400</v>
      </c>
      <c r="X533" s="430">
        <f t="shared" si="245"/>
        <v>260</v>
      </c>
      <c r="Y533" s="13">
        <v>250</v>
      </c>
      <c r="Z533" s="13">
        <v>650</v>
      </c>
      <c r="AA533" s="430">
        <f t="shared" si="250"/>
        <v>400</v>
      </c>
      <c r="AB533" s="430">
        <f t="shared" si="251"/>
        <v>260</v>
      </c>
      <c r="AC533" s="430" t="str">
        <f t="shared" si="252"/>
        <v>N/A</v>
      </c>
      <c r="AD533" s="430">
        <f t="shared" si="253"/>
        <v>91</v>
      </c>
      <c r="AE533" s="431">
        <f t="shared" si="254"/>
        <v>0.9456</v>
      </c>
      <c r="AF533" s="431"/>
      <c r="AG533" s="431">
        <f t="shared" si="255"/>
        <v>0.88591711711711718</v>
      </c>
      <c r="AH533" s="431">
        <f t="shared" si="256"/>
        <v>0.93907214414414419</v>
      </c>
      <c r="AI533" s="432">
        <f t="shared" si="257"/>
        <v>858.41683200000011</v>
      </c>
      <c r="AJ533" s="432">
        <f t="shared" si="258"/>
        <v>176.78268616736256</v>
      </c>
      <c r="AK533" s="432">
        <f t="shared" si="259"/>
        <v>193.29823036250863</v>
      </c>
      <c r="AL533" s="432">
        <f t="shared" si="260"/>
        <v>384.24898942032729</v>
      </c>
      <c r="AM533" s="250">
        <v>195</v>
      </c>
      <c r="AN533" s="432">
        <f t="shared" si="261"/>
        <v>216.45</v>
      </c>
      <c r="AO533" s="432">
        <f t="shared" si="262"/>
        <v>203.2621656</v>
      </c>
      <c r="AP533" s="432">
        <f t="shared" si="263"/>
        <v>1016.310828</v>
      </c>
      <c r="AQ533" s="255">
        <v>45444</v>
      </c>
      <c r="AR533" s="13" t="s">
        <v>2394</v>
      </c>
      <c r="AS533" s="429" t="s">
        <v>2410</v>
      </c>
      <c r="AT533" s="13"/>
      <c r="AU533" s="241"/>
      <c r="AV533" s="243"/>
      <c r="AX533" s="243"/>
      <c r="AY533" s="71"/>
      <c r="BC533" s="32"/>
      <c r="BD533" s="241"/>
      <c r="BE533" s="241"/>
      <c r="BF533" s="71"/>
      <c r="BG533" s="241"/>
      <c r="BH533" s="241"/>
      <c r="BI533" s="71"/>
      <c r="BJ533" s="123"/>
      <c r="BK533" s="123"/>
      <c r="BL533" s="126"/>
      <c r="BM533" s="123"/>
      <c r="BN533" s="123"/>
      <c r="BO533" s="108"/>
      <c r="BP533" s="108"/>
      <c r="BQ533" s="108"/>
      <c r="BR533" s="124"/>
      <c r="BS533" s="71"/>
      <c r="BU533" s="78"/>
      <c r="BV533" s="32"/>
      <c r="BW533" s="127"/>
      <c r="BX533" s="78"/>
      <c r="BY533" s="78"/>
      <c r="BZ533" s="127"/>
      <c r="CA533" s="76"/>
    </row>
    <row r="534" spans="1:79" s="72" customFormat="1">
      <c r="A534" s="13" t="s">
        <v>2110</v>
      </c>
      <c r="B534" s="387" t="s">
        <v>2389</v>
      </c>
      <c r="C534" s="13" t="s">
        <v>2390</v>
      </c>
      <c r="D534" s="13" t="s">
        <v>2407</v>
      </c>
      <c r="E534" s="13" t="s">
        <v>118</v>
      </c>
      <c r="F534" s="13" t="s">
        <v>167</v>
      </c>
      <c r="G534" s="13" t="s">
        <v>2411</v>
      </c>
      <c r="H534" s="13" t="s">
        <v>146</v>
      </c>
      <c r="I534" s="13" t="s">
        <v>147</v>
      </c>
      <c r="J534" s="13" t="s">
        <v>5</v>
      </c>
      <c r="K534" s="13" t="s">
        <v>123</v>
      </c>
      <c r="L534" s="13" t="s">
        <v>2412</v>
      </c>
      <c r="M534" s="13" t="s">
        <v>125</v>
      </c>
      <c r="N534" s="13" t="s">
        <v>126</v>
      </c>
      <c r="O534" s="247">
        <v>0.16</v>
      </c>
      <c r="P534" s="13">
        <v>109</v>
      </c>
      <c r="Q534" s="13">
        <v>20</v>
      </c>
      <c r="R534" s="13" t="s">
        <v>127</v>
      </c>
      <c r="S534" s="430" t="str">
        <f t="shared" si="246"/>
        <v>N/A</v>
      </c>
      <c r="T534" s="247">
        <v>0.8</v>
      </c>
      <c r="U534" s="13">
        <v>250</v>
      </c>
      <c r="V534" s="13">
        <v>650</v>
      </c>
      <c r="W534" s="430">
        <f t="shared" si="244"/>
        <v>400</v>
      </c>
      <c r="X534" s="430">
        <f t="shared" si="245"/>
        <v>240</v>
      </c>
      <c r="Y534" s="13">
        <v>250</v>
      </c>
      <c r="Z534" s="13">
        <v>650</v>
      </c>
      <c r="AA534" s="430">
        <f t="shared" si="250"/>
        <v>400</v>
      </c>
      <c r="AB534" s="430">
        <f t="shared" si="251"/>
        <v>240</v>
      </c>
      <c r="AC534" s="430" t="str">
        <f t="shared" si="252"/>
        <v>N/A</v>
      </c>
      <c r="AD534" s="430">
        <f t="shared" si="253"/>
        <v>89</v>
      </c>
      <c r="AE534" s="431">
        <f t="shared" si="254"/>
        <v>0.94240000000000002</v>
      </c>
      <c r="AF534" s="431"/>
      <c r="AG534" s="431">
        <f t="shared" si="255"/>
        <v>0.88426422018348627</v>
      </c>
      <c r="AH534" s="431">
        <f t="shared" si="256"/>
        <v>0.93732007339449552</v>
      </c>
      <c r="AI534" s="432">
        <f t="shared" si="257"/>
        <v>858.41683200000011</v>
      </c>
      <c r="AJ534" s="432">
        <f t="shared" si="258"/>
        <v>177.3829669353332</v>
      </c>
      <c r="AK534" s="432">
        <f t="shared" si="259"/>
        <v>193.95459107681256</v>
      </c>
      <c r="AL534" s="432">
        <f t="shared" si="260"/>
        <v>385.55373980885133</v>
      </c>
      <c r="AM534" s="250">
        <v>194</v>
      </c>
      <c r="AN534" s="432">
        <f t="shared" si="261"/>
        <v>211.46</v>
      </c>
      <c r="AO534" s="432">
        <f t="shared" si="262"/>
        <v>198.20570272000003</v>
      </c>
      <c r="AP534" s="432">
        <f t="shared" si="263"/>
        <v>991.02851360000011</v>
      </c>
      <c r="AQ534" s="255">
        <v>45536</v>
      </c>
      <c r="AR534" s="13" t="s">
        <v>2404</v>
      </c>
      <c r="AS534" s="429" t="s">
        <v>2413</v>
      </c>
      <c r="AT534" s="13"/>
      <c r="AU534" s="241"/>
      <c r="AV534" s="243"/>
      <c r="AX534" s="243"/>
      <c r="AY534" s="71"/>
      <c r="BC534" s="32"/>
      <c r="BD534" s="241"/>
      <c r="BE534" s="241"/>
      <c r="BF534" s="71"/>
      <c r="BG534" s="241"/>
      <c r="BH534" s="241"/>
      <c r="BI534" s="71"/>
      <c r="BJ534" s="123"/>
      <c r="BK534" s="123"/>
      <c r="BL534" s="126"/>
      <c r="BM534" s="123"/>
      <c r="BN534" s="123"/>
      <c r="BO534" s="108"/>
      <c r="BP534" s="108"/>
      <c r="BQ534" s="71"/>
      <c r="BR534" s="71"/>
      <c r="BS534" s="71"/>
      <c r="BU534" s="78"/>
      <c r="BV534" s="32"/>
      <c r="BW534" s="127"/>
      <c r="BX534" s="78"/>
      <c r="BY534" s="78"/>
      <c r="BZ534" s="127"/>
      <c r="CA534" s="76"/>
    </row>
    <row r="535" spans="1:79" s="72" customFormat="1">
      <c r="A535" s="13" t="s">
        <v>2110</v>
      </c>
      <c r="B535" s="387" t="s">
        <v>2389</v>
      </c>
      <c r="C535" s="13" t="s">
        <v>204</v>
      </c>
      <c r="D535" s="13" t="s">
        <v>2414</v>
      </c>
      <c r="E535" s="13" t="s">
        <v>118</v>
      </c>
      <c r="F535" s="13" t="s">
        <v>186</v>
      </c>
      <c r="G535" s="13" t="s">
        <v>2415</v>
      </c>
      <c r="H535" s="13" t="s">
        <v>146</v>
      </c>
      <c r="I535" s="13" t="s">
        <v>147</v>
      </c>
      <c r="J535" s="13" t="s">
        <v>5</v>
      </c>
      <c r="K535" s="13" t="s">
        <v>123</v>
      </c>
      <c r="L535" s="13" t="s">
        <v>2416</v>
      </c>
      <c r="M535" s="13" t="s">
        <v>125</v>
      </c>
      <c r="N535" s="13" t="s">
        <v>126</v>
      </c>
      <c r="O535" s="247">
        <v>0.41</v>
      </c>
      <c r="P535" s="13">
        <v>108</v>
      </c>
      <c r="Q535" s="13">
        <v>25</v>
      </c>
      <c r="R535" s="13" t="s">
        <v>127</v>
      </c>
      <c r="S535" s="430" t="str">
        <f t="shared" si="246"/>
        <v>N/A</v>
      </c>
      <c r="T535" s="247">
        <v>0.8</v>
      </c>
      <c r="U535" s="13">
        <v>200</v>
      </c>
      <c r="V535" s="13">
        <v>600</v>
      </c>
      <c r="W535" s="430">
        <f t="shared" si="244"/>
        <v>400</v>
      </c>
      <c r="X535" s="430">
        <f t="shared" si="245"/>
        <v>230</v>
      </c>
      <c r="Y535" s="13">
        <v>200</v>
      </c>
      <c r="Z535" s="13">
        <v>600</v>
      </c>
      <c r="AA535" s="430">
        <f t="shared" si="250"/>
        <v>400</v>
      </c>
      <c r="AB535" s="430">
        <f t="shared" si="251"/>
        <v>230</v>
      </c>
      <c r="AC535" s="430" t="str">
        <f t="shared" si="252"/>
        <v>N/A</v>
      </c>
      <c r="AD535" s="430">
        <f t="shared" si="253"/>
        <v>83</v>
      </c>
      <c r="AE535" s="431">
        <f t="shared" si="254"/>
        <v>1.1402999999999999</v>
      </c>
      <c r="AF535" s="431"/>
      <c r="AG535" s="431">
        <f t="shared" si="255"/>
        <v>1.009536574074074</v>
      </c>
      <c r="AH535" s="431">
        <f t="shared" si="256"/>
        <v>1.0701087685185184</v>
      </c>
      <c r="AI535" s="432">
        <f t="shared" si="257"/>
        <v>874.69313200000011</v>
      </c>
      <c r="AJ535" s="432">
        <f t="shared" si="258"/>
        <v>146.59800757682896</v>
      </c>
      <c r="AK535" s="432">
        <f t="shared" si="259"/>
        <v>160.29361276049127</v>
      </c>
      <c r="AL535" s="432">
        <f t="shared" si="260"/>
        <v>318.64057212651187</v>
      </c>
      <c r="AM535" s="250">
        <v>160</v>
      </c>
      <c r="AN535" s="432">
        <f t="shared" si="261"/>
        <v>172.8</v>
      </c>
      <c r="AO535" s="432">
        <f t="shared" si="262"/>
        <v>184.91479519999999</v>
      </c>
      <c r="AP535" s="432">
        <f t="shared" si="263"/>
        <v>739.65918079999994</v>
      </c>
      <c r="AQ535" s="255">
        <v>45383</v>
      </c>
      <c r="AR535" s="13" t="s">
        <v>2417</v>
      </c>
      <c r="AS535" s="429" t="s">
        <v>2418</v>
      </c>
      <c r="AT535" s="13"/>
      <c r="AU535" s="257"/>
      <c r="AV535" s="259"/>
      <c r="AW535" s="77"/>
      <c r="AX535" s="268"/>
      <c r="AY535" s="102">
        <f>(V535/10)/P535</f>
        <v>0.55555555555555558</v>
      </c>
      <c r="AZ535" s="77"/>
      <c r="BA535" s="38" t="str">
        <f>LEFT(G535,3)</f>
        <v>W22</v>
      </c>
      <c r="BB535" s="77"/>
      <c r="BC535" s="264"/>
      <c r="BD535" s="253"/>
      <c r="BE535" s="253"/>
      <c r="BF535" s="100"/>
      <c r="BG535" s="253"/>
      <c r="BH535" s="253"/>
      <c r="BI535" s="100"/>
      <c r="BJ535" s="143"/>
      <c r="BK535" s="139"/>
      <c r="BL535" s="191"/>
      <c r="BM535" s="139"/>
      <c r="BN535" s="162"/>
      <c r="BO535" s="101"/>
      <c r="BP535" s="105"/>
      <c r="BQ535" s="155"/>
      <c r="BR535" s="155"/>
      <c r="BS535" s="167"/>
      <c r="BU535" s="78"/>
      <c r="BV535" s="32"/>
      <c r="BW535" s="127"/>
      <c r="BX535" s="78"/>
      <c r="BY535" s="78"/>
      <c r="BZ535" s="127"/>
      <c r="CA535" s="76"/>
    </row>
    <row r="536" spans="1:79" s="72" customFormat="1">
      <c r="A536" s="13" t="s">
        <v>2110</v>
      </c>
      <c r="B536" s="387" t="s">
        <v>2389</v>
      </c>
      <c r="C536" s="13" t="s">
        <v>1056</v>
      </c>
      <c r="D536" s="13" t="s">
        <v>2419</v>
      </c>
      <c r="E536" s="387" t="s">
        <v>118</v>
      </c>
      <c r="F536" s="13" t="s">
        <v>119</v>
      </c>
      <c r="G536" s="13" t="s">
        <v>2420</v>
      </c>
      <c r="H536" s="13" t="s">
        <v>146</v>
      </c>
      <c r="I536" s="13" t="s">
        <v>147</v>
      </c>
      <c r="J536" s="13" t="s">
        <v>5</v>
      </c>
      <c r="K536" s="13" t="s">
        <v>123</v>
      </c>
      <c r="L536" s="13" t="s">
        <v>228</v>
      </c>
      <c r="M536" s="13" t="s">
        <v>125</v>
      </c>
      <c r="N536" s="13" t="s">
        <v>12</v>
      </c>
      <c r="O536" s="247">
        <v>0.22</v>
      </c>
      <c r="P536" s="13">
        <v>108</v>
      </c>
      <c r="Q536" s="13">
        <v>25</v>
      </c>
      <c r="R536" s="13" t="s">
        <v>127</v>
      </c>
      <c r="S536" s="430" t="str">
        <f t="shared" si="246"/>
        <v>N/A</v>
      </c>
      <c r="T536" s="247">
        <v>0.8</v>
      </c>
      <c r="U536" s="13">
        <v>180</v>
      </c>
      <c r="V536" s="13">
        <v>680</v>
      </c>
      <c r="W536" s="430">
        <f t="shared" si="244"/>
        <v>500</v>
      </c>
      <c r="X536" s="430">
        <f t="shared" si="245"/>
        <v>150</v>
      </c>
      <c r="Y536" s="13">
        <v>180</v>
      </c>
      <c r="Z536" s="13">
        <v>680</v>
      </c>
      <c r="AA536" s="430">
        <f t="shared" si="250"/>
        <v>500</v>
      </c>
      <c r="AB536" s="430">
        <f t="shared" si="251"/>
        <v>150</v>
      </c>
      <c r="AC536" s="430" t="str">
        <f t="shared" si="252"/>
        <v>N/A</v>
      </c>
      <c r="AD536" s="430">
        <f t="shared" si="253"/>
        <v>83</v>
      </c>
      <c r="AE536" s="431">
        <f t="shared" si="254"/>
        <v>0.98260000000000003</v>
      </c>
      <c r="AF536" s="431"/>
      <c r="AG536" s="431">
        <f t="shared" si="255"/>
        <v>0.91243425925925925</v>
      </c>
      <c r="AH536" s="431">
        <f t="shared" si="256"/>
        <v>0.96718031481481481</v>
      </c>
      <c r="AI536" s="432">
        <f t="shared" si="257"/>
        <v>862.32314400000007</v>
      </c>
      <c r="AJ536" s="432">
        <f t="shared" si="258"/>
        <v>170.12589867683494</v>
      </c>
      <c r="AK536" s="432">
        <f t="shared" si="259"/>
        <v>186.01954674413614</v>
      </c>
      <c r="AL536" s="432">
        <f t="shared" si="260"/>
        <v>369.78001668620135</v>
      </c>
      <c r="AM536" s="250">
        <v>186</v>
      </c>
      <c r="AN536" s="432">
        <f t="shared" si="261"/>
        <v>200.88</v>
      </c>
      <c r="AO536" s="432">
        <f t="shared" si="262"/>
        <v>194.28718164</v>
      </c>
      <c r="AP536" s="432">
        <f t="shared" si="263"/>
        <v>777.14872656</v>
      </c>
      <c r="AQ536" s="255" t="s">
        <v>132</v>
      </c>
      <c r="AR536" s="13"/>
      <c r="AS536" s="429"/>
      <c r="AT536" s="429" t="s">
        <v>2421</v>
      </c>
      <c r="AU536" s="252"/>
      <c r="AV536" s="260"/>
      <c r="AX536" s="243"/>
      <c r="AY536" s="103"/>
      <c r="BA536" s="13"/>
      <c r="BC536" s="32"/>
      <c r="BD536" s="241"/>
      <c r="BE536" s="241"/>
      <c r="BF536" s="71"/>
      <c r="BG536" s="241"/>
      <c r="BH536" s="241"/>
      <c r="BI536" s="71"/>
      <c r="BJ536" s="114"/>
      <c r="BK536" s="111"/>
      <c r="BL536" s="112"/>
      <c r="BM536" s="111"/>
      <c r="BN536" s="123"/>
      <c r="BO536" s="83"/>
      <c r="BP536" s="88"/>
      <c r="BQ536" s="102"/>
      <c r="BR536" s="100"/>
      <c r="BS536" s="100"/>
      <c r="BT536" s="38">
        <f>P536-V536/10-120/10</f>
        <v>28</v>
      </c>
      <c r="BU536" s="288">
        <f>BT536-Q536</f>
        <v>3</v>
      </c>
      <c r="BV536" s="248">
        <f>T536+(O536/100*(P536-BT536))</f>
        <v>0.97600000000000009</v>
      </c>
      <c r="BW536" s="173">
        <f>(AE536-BV536)/AE536</f>
        <v>6.7168736006512708E-3</v>
      </c>
      <c r="BX536" s="288">
        <f>(PI()*((51/2)^2-(16.545/2)^2)/(BV536/10))/100</f>
        <v>187.27746581023376</v>
      </c>
      <c r="BY536" s="288">
        <f>BX536-AK536</f>
        <v>1.257919066097628</v>
      </c>
      <c r="BZ536" s="173">
        <f>BY536/AK536</f>
        <v>6.7622950819671386E-3</v>
      </c>
      <c r="CA536" s="76"/>
    </row>
    <row r="537" spans="1:79" s="72" customFormat="1">
      <c r="A537" s="13" t="s">
        <v>2110</v>
      </c>
      <c r="B537" s="387" t="s">
        <v>2389</v>
      </c>
      <c r="C537" s="13" t="s">
        <v>1056</v>
      </c>
      <c r="D537" s="13" t="s">
        <v>2419</v>
      </c>
      <c r="E537" s="387" t="s">
        <v>118</v>
      </c>
      <c r="F537" s="13" t="s">
        <v>119</v>
      </c>
      <c r="G537" s="13" t="s">
        <v>2422</v>
      </c>
      <c r="H537" s="13" t="s">
        <v>146</v>
      </c>
      <c r="I537" s="13" t="s">
        <v>147</v>
      </c>
      <c r="J537" s="13" t="s">
        <v>5</v>
      </c>
      <c r="K537" s="13" t="s">
        <v>123</v>
      </c>
      <c r="L537" s="13" t="s">
        <v>2423</v>
      </c>
      <c r="M537" s="13" t="s">
        <v>125</v>
      </c>
      <c r="N537" s="13" t="s">
        <v>251</v>
      </c>
      <c r="O537" s="247">
        <v>0.28000000000000003</v>
      </c>
      <c r="P537" s="13">
        <v>105</v>
      </c>
      <c r="Q537" s="13">
        <v>20</v>
      </c>
      <c r="R537" s="13" t="s">
        <v>127</v>
      </c>
      <c r="S537" s="430" t="str">
        <f t="shared" si="246"/>
        <v>N/A</v>
      </c>
      <c r="T537" s="247">
        <v>0.8</v>
      </c>
      <c r="U537" s="13">
        <v>200</v>
      </c>
      <c r="V537" s="13">
        <v>720</v>
      </c>
      <c r="W537" s="430">
        <f t="shared" si="244"/>
        <v>520</v>
      </c>
      <c r="X537" s="430">
        <f t="shared" si="245"/>
        <v>130</v>
      </c>
      <c r="Y537" s="13">
        <v>200</v>
      </c>
      <c r="Z537" s="13">
        <v>720</v>
      </c>
      <c r="AA537" s="430">
        <f t="shared" si="250"/>
        <v>520</v>
      </c>
      <c r="AB537" s="430">
        <f t="shared" si="251"/>
        <v>130</v>
      </c>
      <c r="AC537" s="430" t="str">
        <f t="shared" si="252"/>
        <v>N/A</v>
      </c>
      <c r="AD537" s="430">
        <f t="shared" si="253"/>
        <v>85</v>
      </c>
      <c r="AE537" s="431">
        <f t="shared" si="254"/>
        <v>1.038</v>
      </c>
      <c r="AF537" s="431"/>
      <c r="AG537" s="431">
        <f t="shared" si="255"/>
        <v>0.94166666666666676</v>
      </c>
      <c r="AH537" s="431">
        <f t="shared" si="256"/>
        <v>0.99816666666666676</v>
      </c>
      <c r="AI537" s="432">
        <f t="shared" si="257"/>
        <v>866.22945600000003</v>
      </c>
      <c r="AJ537" s="432">
        <f t="shared" si="258"/>
        <v>161.04596150275339</v>
      </c>
      <c r="AK537" s="432">
        <f t="shared" si="259"/>
        <v>176.09133586781132</v>
      </c>
      <c r="AL537" s="432">
        <f t="shared" si="260"/>
        <v>350.04416608464498</v>
      </c>
      <c r="AM537" s="250">
        <v>176</v>
      </c>
      <c r="AN537" s="432">
        <f t="shared" si="261"/>
        <v>184.8</v>
      </c>
      <c r="AO537" s="432">
        <f t="shared" si="262"/>
        <v>184.46120000000002</v>
      </c>
      <c r="AP537" s="432">
        <f t="shared" si="263"/>
        <v>922.30600000000004</v>
      </c>
      <c r="AQ537" s="255">
        <v>45839</v>
      </c>
      <c r="AR537" s="13" t="s">
        <v>2424</v>
      </c>
      <c r="AS537" s="429" t="s">
        <v>2425</v>
      </c>
      <c r="AT537" s="429"/>
      <c r="AU537" s="252"/>
      <c r="AV537" s="260"/>
      <c r="AX537" s="243"/>
      <c r="AY537" s="103"/>
      <c r="BA537" s="13"/>
      <c r="BC537" s="32"/>
      <c r="BD537" s="241"/>
      <c r="BE537" s="241"/>
      <c r="BF537" s="71"/>
      <c r="BG537" s="241"/>
      <c r="BH537" s="241"/>
      <c r="BI537" s="71"/>
      <c r="BJ537" s="114"/>
      <c r="BK537" s="111"/>
      <c r="BL537" s="112"/>
      <c r="BM537" s="111"/>
      <c r="BN537" s="123"/>
      <c r="BO537" s="83"/>
      <c r="BP537" s="88"/>
      <c r="BQ537" s="102"/>
      <c r="BR537" s="100"/>
      <c r="BS537" s="100"/>
      <c r="BT537" s="38"/>
      <c r="BU537" s="288"/>
      <c r="BV537" s="248"/>
      <c r="BW537" s="173"/>
      <c r="BX537" s="288"/>
      <c r="BY537" s="288"/>
      <c r="BZ537" s="173"/>
      <c r="CA537" s="76"/>
    </row>
    <row r="538" spans="1:79" s="72" customFormat="1" ht="15" customHeight="1">
      <c r="A538" s="13" t="s">
        <v>2110</v>
      </c>
      <c r="B538" s="13" t="s">
        <v>2389</v>
      </c>
      <c r="C538" s="13"/>
      <c r="D538" s="13" t="s">
        <v>2426</v>
      </c>
      <c r="E538" s="13" t="s">
        <v>118</v>
      </c>
      <c r="F538" s="13" t="s">
        <v>119</v>
      </c>
      <c r="G538" s="13" t="s">
        <v>2427</v>
      </c>
      <c r="H538" s="13" t="s">
        <v>121</v>
      </c>
      <c r="I538" s="13" t="s">
        <v>147</v>
      </c>
      <c r="J538" s="13" t="s">
        <v>5</v>
      </c>
      <c r="K538" s="13" t="s">
        <v>123</v>
      </c>
      <c r="L538" s="13"/>
      <c r="M538" s="13"/>
      <c r="N538" s="13" t="s">
        <v>126</v>
      </c>
      <c r="O538" s="247">
        <v>0.25</v>
      </c>
      <c r="P538" s="13">
        <v>113</v>
      </c>
      <c r="Q538" s="13">
        <v>10</v>
      </c>
      <c r="R538" s="13" t="s">
        <v>127</v>
      </c>
      <c r="S538" s="430" t="str">
        <f>IF(R538="n/a","N/A",P538-R538)</f>
        <v>N/A</v>
      </c>
      <c r="T538" s="247">
        <v>0.8</v>
      </c>
      <c r="U538" s="13" t="s">
        <v>127</v>
      </c>
      <c r="V538" s="13" t="s">
        <v>127</v>
      </c>
      <c r="W538" s="430" t="e">
        <f>V538-U538</f>
        <v>#VALUE!</v>
      </c>
      <c r="X538" s="430" t="e">
        <f>AD538*10-V538</f>
        <v>#VALUE!</v>
      </c>
      <c r="Y538" s="13">
        <v>500</v>
      </c>
      <c r="Z538" s="13">
        <v>900</v>
      </c>
      <c r="AA538" s="430">
        <f>Z538-Y538</f>
        <v>400</v>
      </c>
      <c r="AB538" s="430">
        <f>AD538*10-Z538</f>
        <v>130</v>
      </c>
      <c r="AC538" s="430" t="str">
        <f>IF(J538="clear","N/A",((Q538-R538)*10))</f>
        <v>N/A</v>
      </c>
      <c r="AD538" s="430">
        <f>P538-Q538</f>
        <v>103</v>
      </c>
      <c r="AE538" s="431">
        <f>T538+(O538/100*AD538)</f>
        <v>1.0575000000000001</v>
      </c>
      <c r="AF538" s="29"/>
      <c r="AG538" s="431">
        <f>(((T538+(0.5*(AE538-T538)))*AD538)+(AE538*Q538))/P538</f>
        <v>0.94014380530973463</v>
      </c>
      <c r="AH538" s="431">
        <f>IF(MID(G538,2,2)="10",(AG538/1000*$W$2),(IF(MID(G538,2,2)="11",(AG538/1000*$X$2),(IF(MID(G538,2,2)="12",(AG538/1000*$Y$2),(IF(MID(G538,2,2)="13",(AG538/1000*$Z$2),(IF(MID(G538,2,2)="20",(AG538/1000*$AA$2),(IF(MID(G538,2,2)="21",(AG538/1000*$AB$2),(IF(MID(G538,2,2)="22",(AG538/1000*$AC$2),(IF(MID(G538,2,2)="23",(AG538/1000*$AD$2),(IF(MID(G538,2,2)="50",(AG538/1000*$AE$2),(IF(MID(G538,2,2)="51",(AG538/1000*$AG$2),"?")))))))))))))))))))</f>
        <v>0.99655243362831869</v>
      </c>
      <c r="AI538" s="432">
        <f>IF(MID(G538,2,2)="10",((T538+O538*(6.142)/100)*$W$2),(IF(MID(G538,2,2)="11",((T538+O538*(6.142)/100)*$X$2),(IF(MID(G538,2,2)="12",((T538+O538*(6.142)/100)*$Y$2),(IF(MID(G538,2,2)="13",((T538+O538*(6.142)/100)*$Z$2),(IF(MID(G538,2,2)="20",((T538+O538*(6.142)/100)*$AA$2),(IF(MID(G538,2,2)="21",((T538+O538*(6.142)/100)*$AB$2),(IF(MID(G538,2,2)="22",((T538+O538*(6.142)/100)*$AC$2),(IF(MID(G538,2,2)="23",((T538+O538*(6.142)/100)*$AD$2),(IF(MID(G538,2,2)="50",((T538+O538*(6.142)/100)*$AE$2),(IF(MID(G538,2,2)="51",((T538+O538*(6.142)/100)*$AG$2),"?")))))))))))))))))))</f>
        <v>864.27630000000011</v>
      </c>
      <c r="AJ538" s="432">
        <f>(PI()*((49/2)^2-(16.51/2)^2)/(AE538/10))/100</f>
        <v>158.0763196594402</v>
      </c>
      <c r="AK538" s="432">
        <f>(PI()*((51/2)^2-(16.545/2)^2)/(AE538/10))/100</f>
        <v>172.8442615893978</v>
      </c>
      <c r="AL538" s="432">
        <f>(PI()*((70/2)^2-(16.545/2)^2)/(AE538/10))/100</f>
        <v>343.58945096535359</v>
      </c>
      <c r="AM538" s="250">
        <v>173</v>
      </c>
      <c r="AN538" s="432">
        <f>AM538*P538/100</f>
        <v>195.49</v>
      </c>
      <c r="AO538" s="432">
        <f>AN538*AH538</f>
        <v>194.81603525000003</v>
      </c>
      <c r="AP538" s="432">
        <f>AO538/(Q538/100)</f>
        <v>1948.1603525000003</v>
      </c>
      <c r="AQ538" s="255"/>
      <c r="AR538" s="255"/>
      <c r="AS538" s="434"/>
      <c r="AT538" s="460" t="s">
        <v>2428</v>
      </c>
      <c r="AU538" s="252"/>
      <c r="AV538" s="260"/>
      <c r="AX538" s="243"/>
      <c r="AY538" s="103"/>
      <c r="BA538" s="13"/>
      <c r="BC538" s="32"/>
      <c r="BD538" s="241"/>
      <c r="BE538" s="241"/>
      <c r="BF538" s="71"/>
      <c r="BG538" s="241"/>
      <c r="BH538" s="241"/>
      <c r="BI538" s="71"/>
      <c r="BJ538" s="114"/>
      <c r="BK538" s="111"/>
      <c r="BL538" s="112"/>
      <c r="BM538" s="111"/>
      <c r="BN538" s="123"/>
      <c r="BO538" s="83"/>
      <c r="BP538" s="88"/>
      <c r="BQ538" s="102"/>
      <c r="BR538" s="100"/>
      <c r="BS538" s="100"/>
      <c r="BT538" s="38"/>
      <c r="BU538" s="288"/>
      <c r="BV538" s="248"/>
      <c r="BW538" s="173"/>
      <c r="BX538" s="288"/>
      <c r="BY538" s="288"/>
      <c r="BZ538" s="173"/>
      <c r="CA538" s="76"/>
    </row>
    <row r="539" spans="1:79" s="72" customFormat="1">
      <c r="A539" s="13" t="s">
        <v>2110</v>
      </c>
      <c r="B539" s="13" t="s">
        <v>2389</v>
      </c>
      <c r="C539" s="13"/>
      <c r="D539" s="13" t="s">
        <v>2426</v>
      </c>
      <c r="E539" s="13" t="s">
        <v>118</v>
      </c>
      <c r="F539" s="13" t="s">
        <v>119</v>
      </c>
      <c r="G539" s="13" t="s">
        <v>2429</v>
      </c>
      <c r="H539" s="13" t="s">
        <v>146</v>
      </c>
      <c r="I539" s="13" t="s">
        <v>147</v>
      </c>
      <c r="J539" s="13" t="s">
        <v>5</v>
      </c>
      <c r="K539" s="13" t="s">
        <v>123</v>
      </c>
      <c r="L539" s="13"/>
      <c r="M539" s="13"/>
      <c r="N539" s="13" t="s">
        <v>126</v>
      </c>
      <c r="O539" s="247">
        <v>0.25</v>
      </c>
      <c r="P539" s="13">
        <v>109</v>
      </c>
      <c r="Q539" s="13">
        <v>10</v>
      </c>
      <c r="R539" s="13" t="s">
        <v>127</v>
      </c>
      <c r="S539" s="430" t="str">
        <f>IF(R539="n/a","N/A",P539-R539)</f>
        <v>N/A</v>
      </c>
      <c r="T539" s="247">
        <v>0.8</v>
      </c>
      <c r="U539" s="13" t="s">
        <v>127</v>
      </c>
      <c r="V539" s="13" t="s">
        <v>127</v>
      </c>
      <c r="W539" s="430" t="e">
        <f>V539-U539</f>
        <v>#VALUE!</v>
      </c>
      <c r="X539" s="430" t="e">
        <f>AD539*10-V539</f>
        <v>#VALUE!</v>
      </c>
      <c r="Y539" s="13">
        <v>500</v>
      </c>
      <c r="Z539" s="13">
        <v>900</v>
      </c>
      <c r="AA539" s="430">
        <f>Z539-Y539</f>
        <v>400</v>
      </c>
      <c r="AB539" s="430">
        <f>AD539*10-Z539</f>
        <v>90</v>
      </c>
      <c r="AC539" s="430" t="str">
        <f>IF(J539="clear","N/A",((Q539-R539)*10))</f>
        <v>N/A</v>
      </c>
      <c r="AD539" s="430">
        <f>P539-Q539</f>
        <v>99</v>
      </c>
      <c r="AE539" s="431">
        <f>T539+(O539/100*AD539)</f>
        <v>1.0475000000000001</v>
      </c>
      <c r="AF539" s="29"/>
      <c r="AG539" s="431">
        <f>(((T539+(0.5*(AE539-T539)))*AD539)+(AE539*Q539))/P539</f>
        <v>0.93510321100917437</v>
      </c>
      <c r="AH539" s="431">
        <f>IF(MID(G539,2,2)="10",(AG539/1000*$W$2),(IF(MID(G539,2,2)="11",(AG539/1000*$X$2),(IF(MID(G539,2,2)="12",(AG539/1000*$Y$2),(IF(MID(G539,2,2)="13",(AG539/1000*$Z$2),(IF(MID(G539,2,2)="20",(AG539/1000*$AA$2),(IF(MID(G539,2,2)="21",(AG539/1000*$AB$2),(IF(MID(G539,2,2)="22",(AG539/1000*$AC$2),(IF(MID(G539,2,2)="23",(AG539/1000*$AD$2),(IF(MID(G539,2,2)="50",(AG539/1000*$AE$2),(IF(MID(G539,2,2)="51",(AG539/1000*$AG$2),"?")))))))))))))))))))</f>
        <v>0.99120940366972488</v>
      </c>
      <c r="AI539" s="432">
        <f>IF(MID(G539,2,2)="10",((T539+O539*(6.142)/100)*$W$2),(IF(MID(G539,2,2)="11",((T539+O539*(6.142)/100)*$X$2),(IF(MID(G539,2,2)="12",((T539+O539*(6.142)/100)*$Y$2),(IF(MID(G539,2,2)="13",((T539+O539*(6.142)/100)*$Z$2),(IF(MID(G539,2,2)="20",((T539+O539*(6.142)/100)*$AA$2),(IF(MID(G539,2,2)="21",((T539+O539*(6.142)/100)*$AB$2),(IF(MID(G539,2,2)="22",((T539+O539*(6.142)/100)*$AC$2),(IF(MID(G539,2,2)="23",((T539+O539*(6.142)/100)*$AD$2),(IF(MID(G539,2,2)="50",((T539+O539*(6.142)/100)*$AE$2),(IF(MID(G539,2,2)="51",((T539+O539*(6.142)/100)*$AG$2),"?")))))))))))))))))))</f>
        <v>864.27630000000011</v>
      </c>
      <c r="AJ539" s="432">
        <f>(PI()*((49/2)^2-(16.51/2)^2)/(AE539/10))/100</f>
        <v>159.58540147003151</v>
      </c>
      <c r="AK539" s="432">
        <f>(PI()*((51/2)^2-(16.545/2)^2)/(AE539/10))/100</f>
        <v>174.49432613917725</v>
      </c>
      <c r="AL539" s="432">
        <f>(PI()*((70/2)^2-(16.545/2)^2)/(AE539/10))/100</f>
        <v>346.86954118936649</v>
      </c>
      <c r="AM539" s="250">
        <v>174</v>
      </c>
      <c r="AN539" s="432">
        <f>AM539*P539/100</f>
        <v>189.66</v>
      </c>
      <c r="AO539" s="432">
        <f>AN539*AH539</f>
        <v>187.99277550000002</v>
      </c>
      <c r="AP539" s="432">
        <f>AO539/(Q539/100)</f>
        <v>1879.9277550000002</v>
      </c>
      <c r="AQ539" s="255"/>
      <c r="AR539" s="255"/>
      <c r="AS539" s="434"/>
      <c r="AT539" s="429"/>
      <c r="AU539" s="252"/>
      <c r="AV539" s="260"/>
      <c r="AX539" s="243"/>
      <c r="AY539" s="103"/>
      <c r="BA539" s="13"/>
      <c r="BC539" s="32"/>
      <c r="BD539" s="241"/>
      <c r="BE539" s="241"/>
      <c r="BF539" s="71"/>
      <c r="BG539" s="241"/>
      <c r="BH539" s="241"/>
      <c r="BI539" s="71"/>
      <c r="BJ539" s="114"/>
      <c r="BK539" s="111"/>
      <c r="BL539" s="112"/>
      <c r="BM539" s="111"/>
      <c r="BN539" s="123"/>
      <c r="BO539" s="83"/>
      <c r="BP539" s="88"/>
      <c r="BQ539" s="102"/>
      <c r="BR539" s="100"/>
      <c r="BS539" s="100"/>
      <c r="BT539" s="38"/>
      <c r="BU539" s="288"/>
      <c r="BV539" s="248"/>
      <c r="BW539" s="173"/>
      <c r="BX539" s="288"/>
      <c r="BY539" s="288"/>
      <c r="BZ539" s="173"/>
      <c r="CA539" s="76"/>
    </row>
    <row r="540" spans="1:79" s="72" customFormat="1">
      <c r="A540" s="13" t="s">
        <v>2110</v>
      </c>
      <c r="B540" s="13" t="s">
        <v>2389</v>
      </c>
      <c r="C540" s="13"/>
      <c r="D540" s="13" t="s">
        <v>2426</v>
      </c>
      <c r="E540" s="13" t="s">
        <v>118</v>
      </c>
      <c r="F540" s="13" t="s">
        <v>119</v>
      </c>
      <c r="G540" s="13" t="s">
        <v>2430</v>
      </c>
      <c r="H540" s="13" t="s">
        <v>121</v>
      </c>
      <c r="I540" s="13" t="s">
        <v>147</v>
      </c>
      <c r="J540" s="13" t="s">
        <v>5</v>
      </c>
      <c r="K540" s="13" t="s">
        <v>123</v>
      </c>
      <c r="L540" s="13"/>
      <c r="M540" s="13"/>
      <c r="N540" s="13" t="s">
        <v>126</v>
      </c>
      <c r="O540" s="247">
        <v>0.39</v>
      </c>
      <c r="P540" s="13">
        <v>113</v>
      </c>
      <c r="Q540" s="13">
        <v>10</v>
      </c>
      <c r="R540" s="13" t="s">
        <v>127</v>
      </c>
      <c r="S540" s="430" t="str">
        <f>IF(R540="n/a","N/A",P540-R540)</f>
        <v>N/A</v>
      </c>
      <c r="T540" s="247">
        <v>0.8</v>
      </c>
      <c r="U540" s="13" t="s">
        <v>127</v>
      </c>
      <c r="V540" s="13" t="s">
        <v>127</v>
      </c>
      <c r="W540" s="430" t="e">
        <f>V540-U540</f>
        <v>#VALUE!</v>
      </c>
      <c r="X540" s="430" t="e">
        <f>AD540*10-V540</f>
        <v>#VALUE!</v>
      </c>
      <c r="Y540" s="13">
        <v>500</v>
      </c>
      <c r="Z540" s="13">
        <v>900</v>
      </c>
      <c r="AA540" s="430">
        <f>Z540-Y540</f>
        <v>400</v>
      </c>
      <c r="AB540" s="430">
        <f>AD540*10-Z540</f>
        <v>130</v>
      </c>
      <c r="AC540" s="430" t="str">
        <f>IF(J540="clear","N/A",((Q540-R540)*10))</f>
        <v>N/A</v>
      </c>
      <c r="AD540" s="430">
        <f>P540-Q540</f>
        <v>103</v>
      </c>
      <c r="AE540" s="431">
        <f>T540+(O540/100*AD540)</f>
        <v>1.2017</v>
      </c>
      <c r="AF540" s="29"/>
      <c r="AG540" s="431">
        <f>(((T540+(0.5*(AE540-T540)))*AD540)+(AE540*Q540))/P540</f>
        <v>1.0186243362831859</v>
      </c>
      <c r="AH540" s="431">
        <f>IF(MID(G540,2,2)="10",(AG540/1000*$W$2),(IF(MID(G540,2,2)="11",(AG540/1000*$X$2),(IF(MID(G540,2,2)="12",(AG540/1000*$Y$2),(IF(MID(G540,2,2)="13",(AG540/1000*$Z$2),(IF(MID(G540,2,2)="20",(AG540/1000*$AA$2),(IF(MID(G540,2,2)="21",(AG540/1000*$AB$2),(IF(MID(G540,2,2)="22",(AG540/1000*$AC$2),(IF(MID(G540,2,2)="23",(AG540/1000*$AD$2),(IF(MID(G540,2,2)="50",(AG540/1000*$AE$2),(IF(MID(G540,2,2)="51",(AG540/1000*$AG$2),"?")))))))))))))))))))</f>
        <v>1.079741796460177</v>
      </c>
      <c r="AI540" s="432">
        <f>IF(MID(G540,2,2)="10",((T540+O540*(6.142)/100)*$W$2),(IF(MID(G540,2,2)="11",((T540+O540*(6.142)/100)*$X$2),(IF(MID(G540,2,2)="12",((T540+O540*(6.142)/100)*$Y$2),(IF(MID(G540,2,2)="13",((T540+O540*(6.142)/100)*$Z$2),(IF(MID(G540,2,2)="20",((T540+O540*(6.142)/100)*$AA$2),(IF(MID(G540,2,2)="21",((T540+O540*(6.142)/100)*$AB$2),(IF(MID(G540,2,2)="22",((T540+O540*(6.142)/100)*$AC$2),(IF(MID(G540,2,2)="23",((T540+O540*(6.142)/100)*$AD$2),(IF(MID(G540,2,2)="50",((T540+O540*(6.142)/100)*$AE$2),(IF(MID(G540,2,2)="51",((T540+O540*(6.142)/100)*$AG$2),"?")))))))))))))))))))</f>
        <v>873.39102800000012</v>
      </c>
      <c r="AJ540" s="432">
        <f>(PI()*((49/2)^2-(16.51/2)^2)/(AE540/10))/100</f>
        <v>139.10768747595742</v>
      </c>
      <c r="AK540" s="432">
        <f>(PI()*((51/2)^2-(16.545/2)^2)/(AE540/10))/100</f>
        <v>152.10352553115433</v>
      </c>
      <c r="AL540" s="432">
        <f>(PI()*((70/2)^2-(16.545/2)^2)/(AE540/10))/100</f>
        <v>302.35986052747063</v>
      </c>
      <c r="AM540" s="250">
        <v>152</v>
      </c>
      <c r="AN540" s="432">
        <f>AM540*P540/100</f>
        <v>171.76</v>
      </c>
      <c r="AO540" s="432">
        <f>AN540*AH540</f>
        <v>185.45645095999998</v>
      </c>
      <c r="AP540" s="432">
        <f>AO540/(Q540/100)</f>
        <v>1854.5645095999998</v>
      </c>
      <c r="AQ540" s="255"/>
      <c r="AR540" s="255"/>
      <c r="AS540" s="434"/>
      <c r="AT540" s="429" t="s">
        <v>2431</v>
      </c>
      <c r="AU540" s="252"/>
      <c r="AV540" s="260"/>
      <c r="AX540" s="243"/>
      <c r="AY540" s="103"/>
      <c r="BA540" s="13"/>
      <c r="BC540" s="32"/>
      <c r="BD540" s="241"/>
      <c r="BE540" s="241"/>
      <c r="BF540" s="71"/>
      <c r="BG540" s="241"/>
      <c r="BH540" s="241"/>
      <c r="BI540" s="71"/>
      <c r="BJ540" s="114"/>
      <c r="BK540" s="111"/>
      <c r="BL540" s="112"/>
      <c r="BM540" s="111"/>
      <c r="BN540" s="123"/>
      <c r="BO540" s="83"/>
      <c r="BP540" s="88"/>
      <c r="BQ540" s="102"/>
      <c r="BR540" s="100"/>
      <c r="BS540" s="100"/>
      <c r="BT540" s="38"/>
      <c r="BU540" s="288"/>
      <c r="BV540" s="248"/>
      <c r="BW540" s="173"/>
      <c r="BX540" s="288"/>
      <c r="BY540" s="288"/>
      <c r="BZ540" s="173"/>
      <c r="CA540" s="76"/>
    </row>
    <row r="541" spans="1:79" s="72" customFormat="1">
      <c r="A541" s="13" t="s">
        <v>2110</v>
      </c>
      <c r="B541" s="13" t="s">
        <v>2389</v>
      </c>
      <c r="C541" s="13"/>
      <c r="D541" s="13" t="s">
        <v>2426</v>
      </c>
      <c r="E541" s="13" t="s">
        <v>118</v>
      </c>
      <c r="F541" s="13" t="s">
        <v>119</v>
      </c>
      <c r="G541" s="13" t="s">
        <v>2432</v>
      </c>
      <c r="H541" s="13" t="s">
        <v>121</v>
      </c>
      <c r="I541" s="13" t="s">
        <v>147</v>
      </c>
      <c r="J541" s="13" t="s">
        <v>5</v>
      </c>
      <c r="K541" s="13" t="s">
        <v>123</v>
      </c>
      <c r="L541" s="13"/>
      <c r="M541" s="13"/>
      <c r="N541" s="13" t="s">
        <v>126</v>
      </c>
      <c r="O541" s="247">
        <v>0.42</v>
      </c>
      <c r="P541" s="13">
        <v>113</v>
      </c>
      <c r="Q541" s="13">
        <v>10</v>
      </c>
      <c r="R541" s="13" t="s">
        <v>127</v>
      </c>
      <c r="S541" s="430" t="str">
        <f>IF(R541="n/a","N/A",P541-R541)</f>
        <v>N/A</v>
      </c>
      <c r="T541" s="247">
        <v>0.8</v>
      </c>
      <c r="U541" s="13" t="s">
        <v>127</v>
      </c>
      <c r="V541" s="13" t="s">
        <v>127</v>
      </c>
      <c r="W541" s="430" t="e">
        <f>V541-U541</f>
        <v>#VALUE!</v>
      </c>
      <c r="X541" s="430" t="e">
        <f>AD541*10-V541</f>
        <v>#VALUE!</v>
      </c>
      <c r="Y541" s="13">
        <v>500</v>
      </c>
      <c r="Z541" s="13">
        <v>900</v>
      </c>
      <c r="AA541" s="430">
        <f>Z541-Y541</f>
        <v>400</v>
      </c>
      <c r="AB541" s="430">
        <f>AD541*10-Z541</f>
        <v>130</v>
      </c>
      <c r="AC541" s="430" t="str">
        <f>IF(J541="clear","N/A",((Q541-R541)*10))</f>
        <v>N/A</v>
      </c>
      <c r="AD541" s="430">
        <f>P541-Q541</f>
        <v>103</v>
      </c>
      <c r="AE541" s="431">
        <f>T541+(O541/100*AD541)</f>
        <v>1.2326000000000001</v>
      </c>
      <c r="AF541" s="29"/>
      <c r="AG541" s="431">
        <f>(((T541+(0.5*(AE541-T541)))*AD541)+(AE541*Q541))/P541</f>
        <v>1.0354415929203542</v>
      </c>
      <c r="AH541" s="431">
        <f>IF(MID(G541,2,2)="10",(AG541/1000*$W$2),(IF(MID(G541,2,2)="11",(AG541/1000*$X$2),(IF(MID(G541,2,2)="12",(AG541/1000*$Y$2),(IF(MID(G541,2,2)="13",(AG541/1000*$Z$2),(IF(MID(G541,2,2)="20",(AG541/1000*$AA$2),(IF(MID(G541,2,2)="21",(AG541/1000*$AB$2),(IF(MID(G541,2,2)="22",(AG541/1000*$AC$2),(IF(MID(G541,2,2)="23",(AG541/1000*$AD$2),(IF(MID(G541,2,2)="50",(AG541/1000*$AE$2),(IF(MID(G541,2,2)="51",(AG541/1000*$AG$2),"?")))))))))))))))))))</f>
        <v>1.0975680884955754</v>
      </c>
      <c r="AI541" s="432">
        <f>IF(MID(G541,2,2)="10",((T541+O541*(6.142)/100)*$W$2),(IF(MID(G541,2,2)="11",((T541+O541*(6.142)/100)*$X$2),(IF(MID(G541,2,2)="12",((T541+O541*(6.142)/100)*$Y$2),(IF(MID(G541,2,2)="13",((T541+O541*(6.142)/100)*$Z$2),(IF(MID(G541,2,2)="20",((T541+O541*(6.142)/100)*$AA$2),(IF(MID(G541,2,2)="21",((T541+O541*(6.142)/100)*$AB$2),(IF(MID(G541,2,2)="22",((T541+O541*(6.142)/100)*$AC$2),(IF(MID(G541,2,2)="23",((T541+O541*(6.142)/100)*$AD$2),(IF(MID(G541,2,2)="50",((T541+O541*(6.142)/100)*$AE$2),(IF(MID(G541,2,2)="51",((T541+O541*(6.142)/100)*$AG$2),"?")))))))))))))))))))</f>
        <v>875.34418400000015</v>
      </c>
      <c r="AJ541" s="432">
        <f>(PI()*((49/2)^2-(16.51/2)^2)/(AE541/10))/100</f>
        <v>135.62040243376441</v>
      </c>
      <c r="AK541" s="432">
        <f>(PI()*((51/2)^2-(16.545/2)^2)/(AE541/10))/100</f>
        <v>148.29044834560128</v>
      </c>
      <c r="AL541" s="432">
        <f>(PI()*((70/2)^2-(16.545/2)^2)/(AE541/10))/100</f>
        <v>294.78001330185094</v>
      </c>
      <c r="AM541" s="250">
        <v>148</v>
      </c>
      <c r="AN541" s="432">
        <f>AM541*P541/100</f>
        <v>167.24</v>
      </c>
      <c r="AO541" s="432">
        <f>AN541*AH541</f>
        <v>183.55728712000004</v>
      </c>
      <c r="AP541" s="432">
        <f>AO541/(Q541/100)</f>
        <v>1835.5728712000002</v>
      </c>
      <c r="AQ541" s="255"/>
      <c r="AR541" s="255"/>
      <c r="AS541" s="434"/>
      <c r="AT541" s="429" t="s">
        <v>2431</v>
      </c>
      <c r="AU541" s="252"/>
      <c r="AV541" s="260"/>
      <c r="AX541" s="243"/>
      <c r="AY541" s="103"/>
      <c r="BA541" s="13"/>
      <c r="BC541" s="32"/>
      <c r="BD541" s="241"/>
      <c r="BE541" s="241"/>
      <c r="BF541" s="71"/>
      <c r="BG541" s="241"/>
      <c r="BH541" s="241"/>
      <c r="BI541" s="71"/>
      <c r="BJ541" s="114"/>
      <c r="BK541" s="111"/>
      <c r="BL541" s="112"/>
      <c r="BM541" s="111"/>
      <c r="BN541" s="123"/>
      <c r="BO541" s="83"/>
      <c r="BP541" s="88"/>
      <c r="BQ541" s="102"/>
      <c r="BR541" s="100"/>
      <c r="BS541" s="100"/>
      <c r="BT541" s="38"/>
      <c r="BU541" s="288"/>
      <c r="BV541" s="248"/>
      <c r="BW541" s="173"/>
      <c r="BX541" s="288"/>
      <c r="BY541" s="288"/>
      <c r="BZ541" s="173"/>
      <c r="CA541" s="76"/>
    </row>
    <row r="542" spans="1:79" s="72" customFormat="1">
      <c r="A542" s="13" t="s">
        <v>2110</v>
      </c>
      <c r="B542" s="387" t="s">
        <v>2389</v>
      </c>
      <c r="C542" s="13" t="s">
        <v>1056</v>
      </c>
      <c r="D542" s="13" t="s">
        <v>2433</v>
      </c>
      <c r="E542" s="387" t="s">
        <v>118</v>
      </c>
      <c r="F542" s="13" t="s">
        <v>119</v>
      </c>
      <c r="G542" s="13" t="s">
        <v>2434</v>
      </c>
      <c r="H542" s="13" t="s">
        <v>146</v>
      </c>
      <c r="I542" s="13" t="s">
        <v>147</v>
      </c>
      <c r="J542" s="13" t="s">
        <v>5</v>
      </c>
      <c r="K542" s="13" t="s">
        <v>123</v>
      </c>
      <c r="L542" s="13" t="s">
        <v>228</v>
      </c>
      <c r="M542" s="13" t="s">
        <v>125</v>
      </c>
      <c r="N542" s="13" t="s">
        <v>126</v>
      </c>
      <c r="O542" s="247">
        <v>0.24</v>
      </c>
      <c r="P542" s="438">
        <v>130</v>
      </c>
      <c r="Q542" s="13">
        <v>30</v>
      </c>
      <c r="R542" s="13" t="s">
        <v>127</v>
      </c>
      <c r="S542" s="430" t="str">
        <f t="shared" si="246"/>
        <v>N/A</v>
      </c>
      <c r="T542" s="247">
        <v>0.8</v>
      </c>
      <c r="U542" s="13">
        <v>150</v>
      </c>
      <c r="V542" s="13">
        <v>700</v>
      </c>
      <c r="W542" s="430">
        <f t="shared" si="244"/>
        <v>550</v>
      </c>
      <c r="X542" s="430">
        <f t="shared" si="245"/>
        <v>300</v>
      </c>
      <c r="Y542" s="13">
        <v>150</v>
      </c>
      <c r="Z542" s="13">
        <v>700</v>
      </c>
      <c r="AA542" s="430">
        <f t="shared" si="250"/>
        <v>550</v>
      </c>
      <c r="AB542" s="430">
        <f t="shared" si="251"/>
        <v>300</v>
      </c>
      <c r="AC542" s="430" t="str">
        <f t="shared" si="252"/>
        <v>N/A</v>
      </c>
      <c r="AD542" s="430">
        <f t="shared" si="253"/>
        <v>100</v>
      </c>
      <c r="AE542" s="431">
        <f t="shared" si="254"/>
        <v>1.04</v>
      </c>
      <c r="AF542" s="431"/>
      <c r="AG542" s="431">
        <f t="shared" si="255"/>
        <v>0.94769230769230772</v>
      </c>
      <c r="AH542" s="431">
        <f t="shared" si="256"/>
        <v>1.0045538461538461</v>
      </c>
      <c r="AI542" s="432">
        <f t="shared" si="257"/>
        <v>863.62524800000006</v>
      </c>
      <c r="AJ542" s="432">
        <f t="shared" si="258"/>
        <v>160.7362577306327</v>
      </c>
      <c r="AK542" s="432">
        <f t="shared" si="259"/>
        <v>175.75269868345015</v>
      </c>
      <c r="AL542" s="432">
        <f t="shared" si="260"/>
        <v>349.37100422678981</v>
      </c>
      <c r="AM542" s="250">
        <v>176</v>
      </c>
      <c r="AN542" s="432">
        <f t="shared" si="261"/>
        <v>228.8</v>
      </c>
      <c r="AO542" s="432">
        <f t="shared" si="262"/>
        <v>229.84192000000002</v>
      </c>
      <c r="AP542" s="432">
        <f t="shared" si="263"/>
        <v>766.13973333333342</v>
      </c>
      <c r="AQ542" s="255" t="s">
        <v>132</v>
      </c>
      <c r="AR542" s="13" t="s">
        <v>2435</v>
      </c>
      <c r="AS542" s="435" t="s">
        <v>2436</v>
      </c>
      <c r="AT542" s="429"/>
      <c r="AU542" s="252"/>
      <c r="AV542" s="260"/>
      <c r="AX542" s="243"/>
      <c r="AY542" s="103"/>
      <c r="BA542" s="13"/>
      <c r="BC542" s="32"/>
      <c r="BD542" s="241"/>
      <c r="BE542" s="241"/>
      <c r="BF542" s="71"/>
      <c r="BG542" s="241"/>
      <c r="BH542" s="241"/>
      <c r="BI542" s="71"/>
      <c r="BJ542" s="114"/>
      <c r="BK542" s="111"/>
      <c r="BL542" s="112"/>
      <c r="BM542" s="111"/>
      <c r="BN542" s="123"/>
      <c r="BO542" s="83"/>
      <c r="BP542" s="88"/>
      <c r="BQ542" s="102"/>
      <c r="BR542" s="100"/>
      <c r="BS542" s="100"/>
      <c r="BT542" s="38"/>
      <c r="BU542" s="288"/>
      <c r="BV542" s="248"/>
      <c r="BW542" s="173"/>
      <c r="BX542" s="288"/>
      <c r="BY542" s="288"/>
      <c r="BZ542" s="173"/>
      <c r="CA542" s="76"/>
    </row>
    <row r="543" spans="1:79" s="262" customFormat="1">
      <c r="A543" s="13" t="s">
        <v>2110</v>
      </c>
      <c r="B543" s="387" t="s">
        <v>2389</v>
      </c>
      <c r="C543" s="13" t="s">
        <v>1056</v>
      </c>
      <c r="D543" s="13" t="s">
        <v>2437</v>
      </c>
      <c r="E543" s="13" t="s">
        <v>118</v>
      </c>
      <c r="F543" s="13" t="s">
        <v>119</v>
      </c>
      <c r="G543" s="13" t="s">
        <v>2438</v>
      </c>
      <c r="H543" s="13" t="s">
        <v>146</v>
      </c>
      <c r="I543" s="13" t="s">
        <v>147</v>
      </c>
      <c r="J543" s="13" t="s">
        <v>5</v>
      </c>
      <c r="K543" s="13" t="s">
        <v>123</v>
      </c>
      <c r="L543" s="13" t="s">
        <v>2439</v>
      </c>
      <c r="M543" s="13" t="s">
        <v>125</v>
      </c>
      <c r="N543" s="13" t="s">
        <v>126</v>
      </c>
      <c r="O543" s="247">
        <v>0.23</v>
      </c>
      <c r="P543" s="438">
        <v>140</v>
      </c>
      <c r="Q543" s="13">
        <v>30</v>
      </c>
      <c r="R543" s="13" t="s">
        <v>127</v>
      </c>
      <c r="S543" s="430" t="str">
        <f t="shared" si="246"/>
        <v>N/A</v>
      </c>
      <c r="T543" s="247">
        <v>0.8</v>
      </c>
      <c r="U543" s="13">
        <v>200</v>
      </c>
      <c r="V543" s="13">
        <v>700</v>
      </c>
      <c r="W543" s="430">
        <f t="shared" si="244"/>
        <v>500</v>
      </c>
      <c r="X543" s="430">
        <f t="shared" si="245"/>
        <v>400</v>
      </c>
      <c r="Y543" s="13">
        <v>200</v>
      </c>
      <c r="Z543" s="13">
        <v>700</v>
      </c>
      <c r="AA543" s="430">
        <f t="shared" si="250"/>
        <v>500</v>
      </c>
      <c r="AB543" s="430">
        <f t="shared" si="251"/>
        <v>400</v>
      </c>
      <c r="AC543" s="430" t="str">
        <f t="shared" si="252"/>
        <v>N/A</v>
      </c>
      <c r="AD543" s="430">
        <f t="shared" si="253"/>
        <v>110</v>
      </c>
      <c r="AE543" s="431">
        <f t="shared" si="254"/>
        <v>1.0529999999999999</v>
      </c>
      <c r="AF543" s="431"/>
      <c r="AG543" s="431">
        <f t="shared" si="255"/>
        <v>0.95360714285714288</v>
      </c>
      <c r="AH543" s="431">
        <f t="shared" si="256"/>
        <v>1.0108235714285714</v>
      </c>
      <c r="AI543" s="432">
        <f t="shared" si="257"/>
        <v>862.97419600000001</v>
      </c>
      <c r="AJ543" s="432">
        <f t="shared" si="258"/>
        <v>158.75185948704467</v>
      </c>
      <c r="AK543" s="432">
        <f t="shared" si="259"/>
        <v>173.58291227995079</v>
      </c>
      <c r="AL543" s="432">
        <f t="shared" si="260"/>
        <v>345.05778195238514</v>
      </c>
      <c r="AM543" s="250">
        <v>174</v>
      </c>
      <c r="AN543" s="432">
        <f t="shared" si="261"/>
        <v>243.6</v>
      </c>
      <c r="AO543" s="432">
        <f t="shared" si="262"/>
        <v>246.23662199999998</v>
      </c>
      <c r="AP543" s="432">
        <f t="shared" si="263"/>
        <v>820.78873999999996</v>
      </c>
      <c r="AQ543" s="255">
        <v>45741</v>
      </c>
      <c r="AR543" s="13" t="s">
        <v>2440</v>
      </c>
      <c r="AS543" s="429"/>
      <c r="AT543" s="13"/>
      <c r="AU543" s="252"/>
      <c r="AV543" s="260"/>
      <c r="AW543" s="72"/>
      <c r="AX543" s="243"/>
      <c r="AY543" s="103"/>
      <c r="AZ543" s="72"/>
      <c r="BA543" s="13"/>
      <c r="BB543" s="72"/>
      <c r="BC543" s="32"/>
      <c r="BD543" s="241"/>
      <c r="BE543" s="241"/>
      <c r="BF543" s="71"/>
      <c r="BG543" s="241"/>
      <c r="BH543" s="241"/>
      <c r="BI543" s="71"/>
      <c r="BJ543" s="114"/>
      <c r="BK543" s="111"/>
      <c r="BL543" s="112"/>
      <c r="BM543" s="111"/>
      <c r="BN543" s="123"/>
      <c r="BO543" s="83"/>
      <c r="BP543" s="88"/>
      <c r="BQ543" s="103"/>
      <c r="BR543" s="71"/>
      <c r="BS543" s="71"/>
      <c r="BT543" s="72"/>
      <c r="BU543" s="78"/>
      <c r="BV543" s="32"/>
      <c r="BW543" s="127"/>
      <c r="BX543" s="78"/>
      <c r="BY543" s="78"/>
      <c r="BZ543" s="127"/>
      <c r="CA543" s="76"/>
    </row>
    <row r="544" spans="1:79" s="22" customFormat="1" ht="14.25" customHeight="1">
      <c r="A544" s="13" t="s">
        <v>2110</v>
      </c>
      <c r="B544" s="387" t="s">
        <v>2389</v>
      </c>
      <c r="C544" s="13" t="s">
        <v>1056</v>
      </c>
      <c r="D544" s="13" t="s">
        <v>2437</v>
      </c>
      <c r="E544" s="13" t="s">
        <v>118</v>
      </c>
      <c r="F544" s="387" t="s">
        <v>119</v>
      </c>
      <c r="G544" s="13" t="s">
        <v>2441</v>
      </c>
      <c r="H544" s="13" t="s">
        <v>146</v>
      </c>
      <c r="I544" s="13" t="s">
        <v>147</v>
      </c>
      <c r="J544" s="13" t="s">
        <v>5</v>
      </c>
      <c r="K544" s="13" t="s">
        <v>123</v>
      </c>
      <c r="L544" s="13" t="s">
        <v>2442</v>
      </c>
      <c r="M544" s="13" t="s">
        <v>125</v>
      </c>
      <c r="N544" s="13" t="s">
        <v>126</v>
      </c>
      <c r="O544" s="247">
        <v>0.28999999999999998</v>
      </c>
      <c r="P544" s="438">
        <v>138</v>
      </c>
      <c r="Q544" s="13">
        <v>30</v>
      </c>
      <c r="R544" s="13" t="s">
        <v>127</v>
      </c>
      <c r="S544" s="430" t="str">
        <f t="shared" si="246"/>
        <v>N/A</v>
      </c>
      <c r="T544" s="247">
        <v>0.8</v>
      </c>
      <c r="U544" s="13">
        <v>200</v>
      </c>
      <c r="V544" s="13">
        <v>700</v>
      </c>
      <c r="W544" s="430">
        <f t="shared" si="244"/>
        <v>500</v>
      </c>
      <c r="X544" s="430">
        <f t="shared" si="245"/>
        <v>380</v>
      </c>
      <c r="Y544" s="13">
        <v>200</v>
      </c>
      <c r="Z544" s="13">
        <v>700</v>
      </c>
      <c r="AA544" s="430">
        <f t="shared" si="250"/>
        <v>500</v>
      </c>
      <c r="AB544" s="430">
        <f t="shared" si="251"/>
        <v>380</v>
      </c>
      <c r="AC544" s="430" t="str">
        <f t="shared" si="252"/>
        <v>N/A</v>
      </c>
      <c r="AD544" s="430">
        <f t="shared" si="253"/>
        <v>108</v>
      </c>
      <c r="AE544" s="431">
        <f t="shared" si="254"/>
        <v>1.1132</v>
      </c>
      <c r="AF544" s="431"/>
      <c r="AG544" s="431">
        <f t="shared" si="255"/>
        <v>0.99064347826086951</v>
      </c>
      <c r="AH544" s="431">
        <f t="shared" si="256"/>
        <v>1.0500820869565217</v>
      </c>
      <c r="AI544" s="432">
        <f t="shared" si="257"/>
        <v>866.88050800000008</v>
      </c>
      <c r="AJ544" s="432">
        <f t="shared" si="258"/>
        <v>150.16682360749016</v>
      </c>
      <c r="AK544" s="432">
        <f t="shared" si="259"/>
        <v>164.19583779265915</v>
      </c>
      <c r="AL544" s="432">
        <f t="shared" si="260"/>
        <v>326.39763240734948</v>
      </c>
      <c r="AM544" s="250">
        <v>164</v>
      </c>
      <c r="AN544" s="432">
        <f t="shared" si="261"/>
        <v>226.32</v>
      </c>
      <c r="AO544" s="432">
        <f t="shared" si="262"/>
        <v>237.65457791999998</v>
      </c>
      <c r="AP544" s="432">
        <f t="shared" si="263"/>
        <v>792.18192639999995</v>
      </c>
      <c r="AQ544" s="255">
        <v>45741</v>
      </c>
      <c r="AR544" s="13" t="s">
        <v>2440</v>
      </c>
      <c r="AS544" s="429"/>
      <c r="AT544" s="13"/>
      <c r="AU544" s="252"/>
      <c r="AV544" s="260"/>
      <c r="AW544" s="72"/>
      <c r="AX544" s="243"/>
      <c r="AY544" s="103"/>
      <c r="AZ544" s="72"/>
      <c r="BA544" s="13"/>
      <c r="BB544" s="72"/>
      <c r="BC544" s="32"/>
      <c r="BD544" s="241"/>
      <c r="BE544" s="241"/>
      <c r="BF544" s="71"/>
      <c r="BG544" s="241"/>
      <c r="BH544" s="241"/>
      <c r="BI544" s="71"/>
      <c r="BJ544" s="114"/>
      <c r="BK544" s="111"/>
      <c r="BL544" s="112"/>
      <c r="BM544" s="111"/>
      <c r="BN544" s="123"/>
      <c r="BO544" s="83"/>
      <c r="BP544" s="88"/>
      <c r="BQ544" s="115"/>
      <c r="BR544" s="113"/>
      <c r="BS544" s="80"/>
      <c r="BU544" s="87"/>
      <c r="BV544" s="73"/>
      <c r="BW544" s="109"/>
      <c r="BX544" s="87"/>
      <c r="BY544" s="87"/>
      <c r="BZ544" s="109"/>
      <c r="CA544" s="284"/>
    </row>
    <row r="545" spans="1:79" s="22" customFormat="1" ht="14.25" customHeight="1">
      <c r="A545" s="13" t="s">
        <v>2110</v>
      </c>
      <c r="B545" s="387" t="s">
        <v>2389</v>
      </c>
      <c r="C545" s="13" t="s">
        <v>1056</v>
      </c>
      <c r="D545" s="13" t="s">
        <v>2437</v>
      </c>
      <c r="E545" s="13" t="s">
        <v>118</v>
      </c>
      <c r="F545" s="387" t="s">
        <v>119</v>
      </c>
      <c r="G545" s="13" t="s">
        <v>2443</v>
      </c>
      <c r="H545" s="13" t="s">
        <v>146</v>
      </c>
      <c r="I545" s="13" t="s">
        <v>147</v>
      </c>
      <c r="J545" s="13" t="s">
        <v>5</v>
      </c>
      <c r="K545" s="13" t="s">
        <v>123</v>
      </c>
      <c r="L545" s="13" t="s">
        <v>228</v>
      </c>
      <c r="M545" s="13" t="s">
        <v>125</v>
      </c>
      <c r="N545" s="13" t="s">
        <v>126</v>
      </c>
      <c r="O545" s="247">
        <v>0.28999999999999998</v>
      </c>
      <c r="P545" s="438">
        <v>139</v>
      </c>
      <c r="Q545" s="13">
        <v>30</v>
      </c>
      <c r="R545" s="13" t="s">
        <v>127</v>
      </c>
      <c r="S545" s="430" t="str">
        <f t="shared" si="246"/>
        <v>N/A</v>
      </c>
      <c r="T545" s="247">
        <v>0.8</v>
      </c>
      <c r="U545" s="13">
        <v>200</v>
      </c>
      <c r="V545" s="13">
        <v>700</v>
      </c>
      <c r="W545" s="430">
        <f t="shared" si="244"/>
        <v>500</v>
      </c>
      <c r="X545" s="430">
        <f t="shared" si="245"/>
        <v>390</v>
      </c>
      <c r="Y545" s="13">
        <v>200</v>
      </c>
      <c r="Z545" s="13">
        <v>700</v>
      </c>
      <c r="AA545" s="430">
        <f t="shared" si="250"/>
        <v>500</v>
      </c>
      <c r="AB545" s="430">
        <f t="shared" si="251"/>
        <v>390</v>
      </c>
      <c r="AC545" s="430" t="str">
        <f t="shared" si="252"/>
        <v>N/A</v>
      </c>
      <c r="AD545" s="430">
        <f t="shared" si="253"/>
        <v>109</v>
      </c>
      <c r="AE545" s="431">
        <f t="shared" si="254"/>
        <v>1.1161000000000001</v>
      </c>
      <c r="AF545" s="431"/>
      <c r="AG545" s="431">
        <f t="shared" si="255"/>
        <v>0.99216151079136705</v>
      </c>
      <c r="AH545" s="431">
        <f t="shared" si="256"/>
        <v>1.0516912014388491</v>
      </c>
      <c r="AI545" s="432">
        <f t="shared" si="257"/>
        <v>866.88050800000008</v>
      </c>
      <c r="AJ545" s="432">
        <f t="shared" si="258"/>
        <v>149.77664012172568</v>
      </c>
      <c r="AK545" s="432">
        <f t="shared" si="259"/>
        <v>163.76920224960858</v>
      </c>
      <c r="AL545" s="432">
        <f t="shared" si="260"/>
        <v>325.54954251040357</v>
      </c>
      <c r="AM545" s="250">
        <v>164</v>
      </c>
      <c r="AN545" s="432">
        <f t="shared" si="261"/>
        <v>227.96</v>
      </c>
      <c r="AO545" s="432">
        <f t="shared" si="262"/>
        <v>239.74352628000005</v>
      </c>
      <c r="AP545" s="432">
        <f t="shared" si="263"/>
        <v>799.14508760000024</v>
      </c>
      <c r="AQ545" s="255"/>
      <c r="AR545" s="13" t="s">
        <v>2444</v>
      </c>
      <c r="AS545" s="429"/>
      <c r="AT545" s="13"/>
      <c r="AU545" s="252"/>
      <c r="AV545" s="260"/>
      <c r="AW545" s="72"/>
      <c r="AX545" s="243"/>
      <c r="AY545" s="103"/>
      <c r="AZ545" s="72"/>
      <c r="BA545" s="13"/>
      <c r="BB545" s="72"/>
      <c r="BC545" s="32"/>
      <c r="BD545" s="241"/>
      <c r="BE545" s="241"/>
      <c r="BF545" s="71"/>
      <c r="BG545" s="241"/>
      <c r="BH545" s="241"/>
      <c r="BI545" s="71"/>
      <c r="BJ545" s="114"/>
      <c r="BK545" s="111"/>
      <c r="BL545" s="112"/>
      <c r="BM545" s="111"/>
      <c r="BN545" s="123"/>
      <c r="BO545" s="83"/>
      <c r="BP545" s="88"/>
      <c r="BQ545" s="115"/>
      <c r="BR545" s="113"/>
      <c r="BS545" s="80"/>
      <c r="BU545" s="87"/>
      <c r="BV545" s="73"/>
      <c r="BW545" s="109"/>
      <c r="BX545" s="87"/>
      <c r="BY545" s="87"/>
      <c r="BZ545" s="109"/>
      <c r="CA545" s="284"/>
    </row>
    <row r="546" spans="1:79" s="22" customFormat="1" ht="14.25" customHeight="1">
      <c r="A546" s="13" t="s">
        <v>2110</v>
      </c>
      <c r="B546" s="387" t="s">
        <v>2389</v>
      </c>
      <c r="C546" s="13" t="s">
        <v>1056</v>
      </c>
      <c r="D546" s="13"/>
      <c r="E546" s="13" t="s">
        <v>118</v>
      </c>
      <c r="F546" s="387" t="s">
        <v>119</v>
      </c>
      <c r="G546" s="13" t="s">
        <v>2445</v>
      </c>
      <c r="H546" s="13" t="s">
        <v>146</v>
      </c>
      <c r="I546" s="13" t="s">
        <v>147</v>
      </c>
      <c r="J546" s="13" t="s">
        <v>5</v>
      </c>
      <c r="K546" s="13" t="s">
        <v>123</v>
      </c>
      <c r="L546" s="13"/>
      <c r="M546" s="13"/>
      <c r="N546" s="13" t="s">
        <v>126</v>
      </c>
      <c r="O546" s="247">
        <v>0.32</v>
      </c>
      <c r="P546" s="438">
        <v>139</v>
      </c>
      <c r="Q546" s="13">
        <v>30</v>
      </c>
      <c r="R546" s="13" t="s">
        <v>127</v>
      </c>
      <c r="S546" s="430" t="str">
        <f t="shared" si="246"/>
        <v>N/A</v>
      </c>
      <c r="T546" s="247">
        <v>0.8</v>
      </c>
      <c r="U546" s="13">
        <v>100</v>
      </c>
      <c r="V546" s="13">
        <v>720</v>
      </c>
      <c r="W546" s="430">
        <f t="shared" si="244"/>
        <v>620</v>
      </c>
      <c r="X546" s="430">
        <f t="shared" si="245"/>
        <v>370</v>
      </c>
      <c r="Y546" s="13">
        <v>100</v>
      </c>
      <c r="Z546" s="13">
        <v>720</v>
      </c>
      <c r="AA546" s="430">
        <f t="shared" si="250"/>
        <v>620</v>
      </c>
      <c r="AB546" s="430">
        <f t="shared" si="251"/>
        <v>370</v>
      </c>
      <c r="AC546" s="430" t="str">
        <f t="shared" si="252"/>
        <v>N/A</v>
      </c>
      <c r="AD546" s="430">
        <f t="shared" si="253"/>
        <v>109</v>
      </c>
      <c r="AE546" s="431">
        <f t="shared" si="254"/>
        <v>1.1488</v>
      </c>
      <c r="AF546" s="431"/>
      <c r="AG546" s="431">
        <f t="shared" si="255"/>
        <v>1.0120402877697843</v>
      </c>
      <c r="AH546" s="431">
        <f t="shared" si="256"/>
        <v>1.0727627050359712</v>
      </c>
      <c r="AI546" s="432">
        <f t="shared" si="257"/>
        <v>868.833664</v>
      </c>
      <c r="AJ546" s="432">
        <f t="shared" si="258"/>
        <v>145.51332524360899</v>
      </c>
      <c r="AK546" s="432">
        <f t="shared" si="259"/>
        <v>159.10759630117354</v>
      </c>
      <c r="AL546" s="432">
        <f t="shared" si="260"/>
        <v>316.28294254514401</v>
      </c>
      <c r="AM546" s="250">
        <v>159</v>
      </c>
      <c r="AN546" s="432">
        <f t="shared" si="261"/>
        <v>221.01</v>
      </c>
      <c r="AO546" s="432">
        <f t="shared" si="262"/>
        <v>237.09128543999998</v>
      </c>
      <c r="AP546" s="432">
        <f t="shared" si="263"/>
        <v>790.3042848</v>
      </c>
      <c r="AQ546" s="255"/>
      <c r="AR546" s="13"/>
      <c r="AS546" s="429"/>
      <c r="AT546" s="13"/>
      <c r="AU546" s="252"/>
      <c r="AV546" s="260"/>
      <c r="AW546" s="72"/>
      <c r="AX546" s="243"/>
      <c r="AY546" s="103"/>
      <c r="AZ546" s="72"/>
      <c r="BA546" s="13"/>
      <c r="BB546" s="72"/>
      <c r="BC546" s="32"/>
      <c r="BD546" s="241"/>
      <c r="BE546" s="241"/>
      <c r="BF546" s="71"/>
      <c r="BG546" s="241"/>
      <c r="BH546" s="241"/>
      <c r="BI546" s="71"/>
      <c r="BJ546" s="114"/>
      <c r="BK546" s="111"/>
      <c r="BL546" s="112"/>
      <c r="BM546" s="111"/>
      <c r="BN546" s="123"/>
      <c r="BO546" s="83"/>
      <c r="BP546" s="88"/>
      <c r="BQ546" s="115"/>
      <c r="BR546" s="113"/>
      <c r="BS546" s="80"/>
      <c r="BU546" s="87"/>
      <c r="BV546" s="73"/>
      <c r="BW546" s="109"/>
      <c r="BX546" s="87"/>
      <c r="BY546" s="87"/>
      <c r="BZ546" s="109"/>
      <c r="CA546" s="284"/>
    </row>
    <row r="547" spans="1:79" s="262" customFormat="1">
      <c r="A547" s="13" t="s">
        <v>2110</v>
      </c>
      <c r="B547" s="387" t="s">
        <v>2389</v>
      </c>
      <c r="C547" s="13" t="s">
        <v>1147</v>
      </c>
      <c r="D547" s="13" t="s">
        <v>2446</v>
      </c>
      <c r="E547" s="13" t="s">
        <v>118</v>
      </c>
      <c r="F547" s="13" t="s">
        <v>186</v>
      </c>
      <c r="G547" s="13" t="s">
        <v>2447</v>
      </c>
      <c r="H547" s="13" t="s">
        <v>146</v>
      </c>
      <c r="I547" s="13" t="s">
        <v>147</v>
      </c>
      <c r="J547" s="13" t="s">
        <v>5</v>
      </c>
      <c r="K547" s="13" t="s">
        <v>123</v>
      </c>
      <c r="L547" s="13" t="s">
        <v>2448</v>
      </c>
      <c r="M547" s="13" t="s">
        <v>125</v>
      </c>
      <c r="N547" s="13" t="s">
        <v>126</v>
      </c>
      <c r="O547" s="247">
        <v>0.25</v>
      </c>
      <c r="P547" s="13">
        <v>110</v>
      </c>
      <c r="Q547" s="13">
        <v>30</v>
      </c>
      <c r="R547" s="13" t="s">
        <v>127</v>
      </c>
      <c r="S547" s="430" t="str">
        <f t="shared" si="246"/>
        <v>N/A</v>
      </c>
      <c r="T547" s="247">
        <v>0.8</v>
      </c>
      <c r="U547" s="13">
        <v>200</v>
      </c>
      <c r="V547" s="13">
        <v>600</v>
      </c>
      <c r="W547" s="430">
        <f t="shared" si="244"/>
        <v>400</v>
      </c>
      <c r="X547" s="430">
        <f t="shared" si="245"/>
        <v>200</v>
      </c>
      <c r="Y547" s="13">
        <v>200</v>
      </c>
      <c r="Z547" s="13">
        <v>600</v>
      </c>
      <c r="AA547" s="430">
        <f t="shared" si="250"/>
        <v>400</v>
      </c>
      <c r="AB547" s="430">
        <f t="shared" si="251"/>
        <v>200</v>
      </c>
      <c r="AC547" s="430" t="str">
        <f t="shared" si="252"/>
        <v>N/A</v>
      </c>
      <c r="AD547" s="430">
        <f t="shared" si="253"/>
        <v>80</v>
      </c>
      <c r="AE547" s="431">
        <f t="shared" si="254"/>
        <v>1</v>
      </c>
      <c r="AF547" s="431"/>
      <c r="AG547" s="431">
        <f t="shared" si="255"/>
        <v>0.92727272727272725</v>
      </c>
      <c r="AH547" s="431">
        <f t="shared" si="256"/>
        <v>0.98290909090909084</v>
      </c>
      <c r="AI547" s="432">
        <f t="shared" si="257"/>
        <v>864.27630000000011</v>
      </c>
      <c r="AJ547" s="432">
        <f t="shared" si="258"/>
        <v>167.16570803985803</v>
      </c>
      <c r="AK547" s="432">
        <f t="shared" si="259"/>
        <v>182.78280663078814</v>
      </c>
      <c r="AL547" s="432">
        <f t="shared" si="260"/>
        <v>363.34584439586143</v>
      </c>
      <c r="AM547" s="250">
        <v>183</v>
      </c>
      <c r="AN547" s="432">
        <f t="shared" si="261"/>
        <v>201.3</v>
      </c>
      <c r="AO547" s="432">
        <f t="shared" si="262"/>
        <v>197.8596</v>
      </c>
      <c r="AP547" s="432">
        <f t="shared" si="263"/>
        <v>659.53200000000004</v>
      </c>
      <c r="AQ547" s="255">
        <v>45261</v>
      </c>
      <c r="AR547" s="13" t="s">
        <v>2449</v>
      </c>
      <c r="AS547" s="429" t="s">
        <v>2450</v>
      </c>
      <c r="AT547" s="429"/>
      <c r="AU547" s="257"/>
      <c r="AV547" s="259"/>
      <c r="AW547" s="77"/>
      <c r="AX547" s="268"/>
      <c r="AY547" s="102">
        <f>(V547/10)/P547</f>
        <v>0.54545454545454541</v>
      </c>
      <c r="AZ547" s="77"/>
      <c r="BA547" s="38" t="str">
        <f>LEFT(G547,3)</f>
        <v>W22</v>
      </c>
      <c r="BB547" s="77"/>
      <c r="BC547" s="264"/>
      <c r="BD547" s="253"/>
      <c r="BE547" s="253"/>
      <c r="BF547" s="100"/>
      <c r="BG547" s="253"/>
      <c r="BH547" s="253"/>
      <c r="BI547" s="100"/>
      <c r="BJ547" s="143"/>
      <c r="BK547" s="139"/>
      <c r="BL547" s="191"/>
      <c r="BM547" s="139"/>
      <c r="BN547" s="162"/>
      <c r="BO547" s="101"/>
      <c r="BP547" s="105"/>
      <c r="BQ547" s="164"/>
      <c r="BR547" s="159"/>
      <c r="BS547" s="100"/>
      <c r="BT547" s="77"/>
      <c r="BU547" s="282"/>
      <c r="BV547" s="264"/>
      <c r="BW547" s="169"/>
      <c r="BX547" s="282"/>
      <c r="BY547" s="282"/>
      <c r="BZ547" s="169"/>
      <c r="CA547" s="271"/>
    </row>
    <row r="548" spans="1:79" s="22" customFormat="1">
      <c r="A548" s="13" t="s">
        <v>2110</v>
      </c>
      <c r="B548" s="387" t="s">
        <v>2389</v>
      </c>
      <c r="C548" s="13" t="s">
        <v>1147</v>
      </c>
      <c r="D548" s="13" t="s">
        <v>2446</v>
      </c>
      <c r="E548" s="13" t="s">
        <v>118</v>
      </c>
      <c r="F548" s="13" t="s">
        <v>119</v>
      </c>
      <c r="G548" s="13" t="s">
        <v>2451</v>
      </c>
      <c r="H548" s="13" t="s">
        <v>146</v>
      </c>
      <c r="I548" s="13" t="s">
        <v>147</v>
      </c>
      <c r="J548" s="13" t="s">
        <v>5</v>
      </c>
      <c r="K548" s="13" t="s">
        <v>123</v>
      </c>
      <c r="L548" s="13" t="s">
        <v>2452</v>
      </c>
      <c r="M548" s="13" t="s">
        <v>125</v>
      </c>
      <c r="N548" s="13" t="s">
        <v>126</v>
      </c>
      <c r="O548" s="247">
        <v>0.27</v>
      </c>
      <c r="P548" s="13">
        <v>110</v>
      </c>
      <c r="Q548" s="13">
        <v>30</v>
      </c>
      <c r="R548" s="13" t="s">
        <v>127</v>
      </c>
      <c r="S548" s="430" t="str">
        <f t="shared" si="246"/>
        <v>N/A</v>
      </c>
      <c r="T548" s="247">
        <v>0.8</v>
      </c>
      <c r="U548" s="13">
        <v>150</v>
      </c>
      <c r="V548" s="13">
        <v>600</v>
      </c>
      <c r="W548" s="430">
        <f t="shared" si="244"/>
        <v>450</v>
      </c>
      <c r="X548" s="430">
        <f t="shared" si="245"/>
        <v>200</v>
      </c>
      <c r="Y548" s="13">
        <v>150</v>
      </c>
      <c r="Z548" s="13">
        <v>600</v>
      </c>
      <c r="AA548" s="430">
        <f t="shared" si="250"/>
        <v>450</v>
      </c>
      <c r="AB548" s="430">
        <f t="shared" si="251"/>
        <v>200</v>
      </c>
      <c r="AC548" s="430" t="str">
        <f t="shared" si="252"/>
        <v>N/A</v>
      </c>
      <c r="AD548" s="430">
        <f t="shared" si="253"/>
        <v>80</v>
      </c>
      <c r="AE548" s="431">
        <f t="shared" si="254"/>
        <v>1.016</v>
      </c>
      <c r="AF548" s="431"/>
      <c r="AG548" s="431">
        <f t="shared" si="255"/>
        <v>0.93745454545454554</v>
      </c>
      <c r="AH548" s="431">
        <f t="shared" si="256"/>
        <v>0.99370181818181835</v>
      </c>
      <c r="AI548" s="432">
        <f t="shared" si="257"/>
        <v>865.57840400000009</v>
      </c>
      <c r="AJ548" s="432">
        <f t="shared" si="258"/>
        <v>164.53317720458469</v>
      </c>
      <c r="AK548" s="432">
        <f t="shared" si="259"/>
        <v>179.90433723502775</v>
      </c>
      <c r="AL548" s="432">
        <f t="shared" si="260"/>
        <v>357.62386259435186</v>
      </c>
      <c r="AM548" s="250">
        <v>180</v>
      </c>
      <c r="AN548" s="432">
        <f t="shared" si="261"/>
        <v>198</v>
      </c>
      <c r="AO548" s="432">
        <f t="shared" si="262"/>
        <v>196.75296000000003</v>
      </c>
      <c r="AP548" s="432">
        <f t="shared" si="263"/>
        <v>655.84320000000014</v>
      </c>
      <c r="AQ548" s="255">
        <v>45536</v>
      </c>
      <c r="AR548" s="13" t="s">
        <v>2453</v>
      </c>
      <c r="AS548" s="429" t="s">
        <v>2454</v>
      </c>
      <c r="AT548" s="429"/>
      <c r="AU548" s="252"/>
      <c r="AV548" s="260"/>
      <c r="AW548" s="72"/>
      <c r="AX548" s="243"/>
      <c r="AY548" s="103"/>
      <c r="AZ548" s="72"/>
      <c r="BA548" s="13" t="str">
        <f>LEFT(G548,3)</f>
        <v>W22</v>
      </c>
      <c r="BB548" s="72"/>
      <c r="BC548" s="32"/>
      <c r="BD548" s="241"/>
      <c r="BE548" s="241"/>
      <c r="BF548" s="71"/>
      <c r="BG548" s="241"/>
      <c r="BH548" s="241"/>
      <c r="BI548" s="71"/>
      <c r="BJ548" s="114"/>
      <c r="BK548" s="111"/>
      <c r="BL548" s="112"/>
      <c r="BM548" s="111"/>
      <c r="BN548" s="123"/>
      <c r="BO548" s="83"/>
      <c r="BP548" s="88"/>
      <c r="BQ548" s="108"/>
      <c r="BR548" s="71"/>
      <c r="BS548" s="71"/>
      <c r="BT548" s="72"/>
      <c r="BU548" s="78"/>
      <c r="BV548" s="32"/>
      <c r="BW548" s="127"/>
      <c r="BX548" s="78"/>
      <c r="BY548" s="78"/>
      <c r="BZ548" s="127"/>
      <c r="CA548" s="76"/>
    </row>
    <row r="549" spans="1:79" s="22" customFormat="1">
      <c r="A549" s="13" t="s">
        <v>2110</v>
      </c>
      <c r="B549" s="387" t="s">
        <v>2389</v>
      </c>
      <c r="C549" s="13" t="s">
        <v>1147</v>
      </c>
      <c r="D549" s="13" t="s">
        <v>2446</v>
      </c>
      <c r="E549" s="13" t="s">
        <v>118</v>
      </c>
      <c r="F549" s="13" t="s">
        <v>119</v>
      </c>
      <c r="G549" s="13" t="s">
        <v>2455</v>
      </c>
      <c r="H549" s="13" t="s">
        <v>146</v>
      </c>
      <c r="I549" s="13" t="s">
        <v>147</v>
      </c>
      <c r="J549" s="13" t="s">
        <v>5</v>
      </c>
      <c r="K549" s="13" t="s">
        <v>123</v>
      </c>
      <c r="L549" s="13" t="s">
        <v>2456</v>
      </c>
      <c r="M549" s="13" t="s">
        <v>125</v>
      </c>
      <c r="N549" s="13" t="s">
        <v>126</v>
      </c>
      <c r="O549" s="247">
        <v>0.33</v>
      </c>
      <c r="P549" s="13">
        <v>106</v>
      </c>
      <c r="Q549" s="13">
        <v>30</v>
      </c>
      <c r="R549" s="13" t="s">
        <v>127</v>
      </c>
      <c r="S549" s="430" t="str">
        <f t="shared" si="246"/>
        <v>N/A</v>
      </c>
      <c r="T549" s="247">
        <v>0.8</v>
      </c>
      <c r="U549" s="13">
        <v>200</v>
      </c>
      <c r="V549" s="13">
        <v>600</v>
      </c>
      <c r="W549" s="430">
        <f t="shared" si="244"/>
        <v>400</v>
      </c>
      <c r="X549" s="430">
        <f t="shared" si="245"/>
        <v>160</v>
      </c>
      <c r="Y549" s="13">
        <v>200</v>
      </c>
      <c r="Z549" s="13">
        <v>600</v>
      </c>
      <c r="AA549" s="430">
        <f t="shared" si="250"/>
        <v>400</v>
      </c>
      <c r="AB549" s="430">
        <f t="shared" si="251"/>
        <v>160</v>
      </c>
      <c r="AC549" s="430" t="str">
        <f t="shared" si="252"/>
        <v>N/A</v>
      </c>
      <c r="AD549" s="430">
        <f t="shared" si="253"/>
        <v>76</v>
      </c>
      <c r="AE549" s="431">
        <f t="shared" si="254"/>
        <v>1.0508000000000002</v>
      </c>
      <c r="AF549" s="431"/>
      <c r="AG549" s="431">
        <f t="shared" si="255"/>
        <v>0.96089056603773593</v>
      </c>
      <c r="AH549" s="431">
        <f t="shared" si="256"/>
        <v>1.0185440000000001</v>
      </c>
      <c r="AI549" s="432">
        <f t="shared" si="257"/>
        <v>869.48471600000005</v>
      </c>
      <c r="AJ549" s="432">
        <f t="shared" si="258"/>
        <v>159.08422919666728</v>
      </c>
      <c r="AK549" s="432">
        <f t="shared" si="259"/>
        <v>173.94633291852696</v>
      </c>
      <c r="AL549" s="432">
        <f t="shared" si="260"/>
        <v>345.7802097410177</v>
      </c>
      <c r="AM549" s="250">
        <v>174</v>
      </c>
      <c r="AN549" s="432">
        <f t="shared" si="261"/>
        <v>184.44</v>
      </c>
      <c r="AO549" s="432">
        <f t="shared" si="262"/>
        <v>187.86025536000002</v>
      </c>
      <c r="AP549" s="432">
        <f t="shared" si="263"/>
        <v>626.2008512000001</v>
      </c>
      <c r="AQ549" s="255">
        <v>45536</v>
      </c>
      <c r="AR549" s="13" t="s">
        <v>2453</v>
      </c>
      <c r="AS549" s="429" t="s">
        <v>2457</v>
      </c>
      <c r="AT549" s="429"/>
      <c r="AU549" s="252"/>
      <c r="AV549" s="260"/>
      <c r="AW549" s="72"/>
      <c r="AX549" s="243"/>
      <c r="AY549" s="103"/>
      <c r="AZ549" s="72"/>
      <c r="BA549" s="13" t="str">
        <f>LEFT(G549,3)</f>
        <v>W22</v>
      </c>
      <c r="BB549" s="72"/>
      <c r="BC549" s="32"/>
      <c r="BD549" s="241"/>
      <c r="BE549" s="241"/>
      <c r="BF549" s="71"/>
      <c r="BG549" s="241"/>
      <c r="BH549" s="241"/>
      <c r="BI549" s="71"/>
      <c r="BJ549" s="114"/>
      <c r="BK549" s="111"/>
      <c r="BL549" s="112"/>
      <c r="BM549" s="111"/>
      <c r="BN549" s="123"/>
      <c r="BO549" s="83"/>
      <c r="BP549" s="88"/>
      <c r="BQ549" s="108"/>
      <c r="BR549" s="71"/>
      <c r="BS549" s="71"/>
      <c r="BT549" s="72"/>
      <c r="BU549" s="78"/>
      <c r="BV549" s="32"/>
      <c r="BW549" s="127"/>
      <c r="BX549" s="78"/>
      <c r="BY549" s="78"/>
      <c r="BZ549" s="127"/>
      <c r="CA549" s="76"/>
    </row>
    <row r="550" spans="1:79" s="22" customFormat="1">
      <c r="A550" s="13" t="s">
        <v>2110</v>
      </c>
      <c r="B550" s="387" t="s">
        <v>2389</v>
      </c>
      <c r="C550" s="13" t="s">
        <v>1004</v>
      </c>
      <c r="D550" s="13" t="s">
        <v>2458</v>
      </c>
      <c r="E550" s="13" t="s">
        <v>118</v>
      </c>
      <c r="F550" s="13" t="s">
        <v>119</v>
      </c>
      <c r="G550" s="13" t="s">
        <v>2459</v>
      </c>
      <c r="H550" s="13" t="s">
        <v>146</v>
      </c>
      <c r="I550" s="13" t="s">
        <v>147</v>
      </c>
      <c r="J550" s="13" t="s">
        <v>5</v>
      </c>
      <c r="K550" s="13" t="s">
        <v>123</v>
      </c>
      <c r="L550" s="13"/>
      <c r="M550" s="13"/>
      <c r="N550" s="13" t="s">
        <v>126</v>
      </c>
      <c r="O550" s="247">
        <v>0.32</v>
      </c>
      <c r="P550" s="13">
        <v>124</v>
      </c>
      <c r="Q550" s="13">
        <v>22</v>
      </c>
      <c r="R550" s="13" t="s">
        <v>127</v>
      </c>
      <c r="S550" s="430" t="str">
        <f>IF(R550="n/a","N/A",P550-R550)</f>
        <v>N/A</v>
      </c>
      <c r="T550" s="247">
        <v>0.8</v>
      </c>
      <c r="U550" s="13">
        <v>200</v>
      </c>
      <c r="V550" s="13">
        <v>700</v>
      </c>
      <c r="W550" s="430">
        <f>V550-U550</f>
        <v>500</v>
      </c>
      <c r="X550" s="430">
        <f>AD550*10-V550</f>
        <v>320</v>
      </c>
      <c r="Y550" s="13">
        <v>200</v>
      </c>
      <c r="Z550" s="13">
        <v>930</v>
      </c>
      <c r="AA550" s="430">
        <f>Z550-Y550</f>
        <v>730</v>
      </c>
      <c r="AB550" s="430">
        <f>AD550*10-Z550</f>
        <v>90</v>
      </c>
      <c r="AC550" s="430" t="str">
        <f>IF(J550="clear","N/A",((Q550-R550)*10))</f>
        <v>N/A</v>
      </c>
      <c r="AD550" s="430">
        <f>P550-Q550</f>
        <v>102</v>
      </c>
      <c r="AE550" s="431">
        <f>T550+(O550/100*AD550)</f>
        <v>1.1264000000000001</v>
      </c>
      <c r="AF550" s="431"/>
      <c r="AG550" s="431">
        <f>(((T550+(0.5*(AE550-T550)))*AD550)+(AE550*Q550))/P550</f>
        <v>0.99215483870967747</v>
      </c>
      <c r="AH550" s="431">
        <f>IF(MID(G550,2,2)="10",(AG550/1000*$W$2),(IF(MID(G550,2,2)="11",(AG550/1000*$X$2),(IF(MID(G550,2,2)="12",(AG550/1000*$Y$2),(IF(MID(G550,2,2)="13",(AG550/1000*$Z$2),(IF(MID(G550,2,2)="20",(AG550/1000*$AA$2),(IF(MID(G550,2,2)="21",(AG550/1000*$AB$2),(IF(MID(G550,2,2)="22",(AG550/1000*$AC$2),(IF(MID(G550,2,2)="23",(AG550/1000*$AD$2),(IF(MID(G550,2,2)="50",(AG550/1000*$AE$2),(IF(MID(G550,2,2)="51",(AG550/1000*$AG$2),"?")))))))))))))))))))</f>
        <v>1.0516841290322583</v>
      </c>
      <c r="AI550" s="432">
        <f>IF(MID(G550,2,2)="10",((T550+O550*(6.142)/100)*$W$2),(IF(MID(G550,2,2)="11",((T550+O550*(6.142)/100)*$X$2),(IF(MID(G550,2,2)="12",((T550+O550*(6.142)/100)*$Y$2),(IF(MID(G550,2,2)="13",((T550+O550*(6.142)/100)*$Z$2),(IF(MID(G550,2,2)="20",((T550+O550*(6.142)/100)*$AA$2),(IF(MID(G550,2,2)="21",((T550+O550*(6.142)/100)*$AB$2),(IF(MID(G550,2,2)="22",((T550+O550*(6.142)/100)*$AC$2),(IF(MID(G550,2,2)="23",((T550+O550*(6.142)/100)*$AD$2),(IF(MID(G550,2,2)="50",((T550+O550*(6.142)/100)*$AE$2),(IF(MID(G550,2,2)="51",((T550+O550*(6.142)/100)*$AG$2),"?")))))))))))))))))))</f>
        <v>868.833664</v>
      </c>
      <c r="AJ550" s="432">
        <f>(PI()*((49/2)^2-(16.51/2)^2)/(AE550/10))/100</f>
        <v>148.40705614333987</v>
      </c>
      <c r="AK550" s="432">
        <f>(PI()*((51/2)^2-(16.545/2)^2)/(AE550/10))/100</f>
        <v>162.27166781852642</v>
      </c>
      <c r="AL550" s="432">
        <f>(PI()*((70/2)^2-(16.545/2)^2)/(AE550/10))/100</f>
        <v>322.57266015257591</v>
      </c>
      <c r="AM550" s="250">
        <v>162</v>
      </c>
      <c r="AN550" s="432">
        <f>AM550*P550/100</f>
        <v>200.88</v>
      </c>
      <c r="AO550" s="432">
        <f>AN550*AH550</f>
        <v>211.26230784000003</v>
      </c>
      <c r="AP550" s="432">
        <f>AO550/(Q550/100)</f>
        <v>960.28321745454559</v>
      </c>
      <c r="AQ550" s="255"/>
      <c r="AR550" s="13"/>
      <c r="AS550" s="429" t="s">
        <v>2460</v>
      </c>
      <c r="AT550" s="429"/>
      <c r="AU550" s="252"/>
      <c r="AV550" s="260"/>
      <c r="AW550" s="72"/>
      <c r="AX550" s="243"/>
      <c r="AY550" s="103"/>
      <c r="AZ550" s="72"/>
      <c r="BA550" s="13"/>
      <c r="BB550" s="72"/>
      <c r="BC550" s="32"/>
      <c r="BD550" s="241"/>
      <c r="BE550" s="241"/>
      <c r="BF550" s="71"/>
      <c r="BG550" s="241"/>
      <c r="BH550" s="241"/>
      <c r="BI550" s="71"/>
      <c r="BJ550" s="114"/>
      <c r="BK550" s="111"/>
      <c r="BL550" s="112"/>
      <c r="BM550" s="111"/>
      <c r="BN550" s="123"/>
      <c r="BO550" s="83"/>
      <c r="BP550" s="88"/>
      <c r="BQ550" s="108"/>
      <c r="BR550" s="71"/>
      <c r="BS550" s="71"/>
      <c r="BT550" s="72"/>
      <c r="BU550" s="78"/>
      <c r="BV550" s="32"/>
      <c r="BW550" s="127"/>
      <c r="BX550" s="78"/>
      <c r="BY550" s="78"/>
      <c r="BZ550" s="127"/>
      <c r="CA550" s="76"/>
    </row>
    <row r="551" spans="1:79" s="262" customFormat="1">
      <c r="A551" s="13" t="s">
        <v>2110</v>
      </c>
      <c r="B551" s="13" t="s">
        <v>2461</v>
      </c>
      <c r="C551" s="13" t="s">
        <v>151</v>
      </c>
      <c r="D551" s="13" t="s">
        <v>2462</v>
      </c>
      <c r="E551" s="13" t="s">
        <v>118</v>
      </c>
      <c r="F551" s="13" t="s">
        <v>119</v>
      </c>
      <c r="G551" s="13" t="s">
        <v>2463</v>
      </c>
      <c r="H551" s="13" t="s">
        <v>146</v>
      </c>
      <c r="I551" s="13" t="s">
        <v>147</v>
      </c>
      <c r="J551" s="13" t="s">
        <v>5</v>
      </c>
      <c r="K551" s="13" t="s">
        <v>123</v>
      </c>
      <c r="L551" s="13" t="s">
        <v>2464</v>
      </c>
      <c r="M551" s="13" t="s">
        <v>125</v>
      </c>
      <c r="N551" s="13" t="s">
        <v>12</v>
      </c>
      <c r="O551" s="247">
        <v>0.47</v>
      </c>
      <c r="P551" s="13">
        <v>98</v>
      </c>
      <c r="Q551" s="13">
        <v>29</v>
      </c>
      <c r="R551" s="13" t="s">
        <v>127</v>
      </c>
      <c r="S551" s="430" t="str">
        <f t="shared" si="246"/>
        <v>N/A</v>
      </c>
      <c r="T551" s="247">
        <v>0.8</v>
      </c>
      <c r="U551" s="13">
        <v>215</v>
      </c>
      <c r="V551" s="13">
        <v>495</v>
      </c>
      <c r="W551" s="430">
        <f t="shared" si="244"/>
        <v>280</v>
      </c>
      <c r="X551" s="430">
        <f t="shared" si="245"/>
        <v>195</v>
      </c>
      <c r="Y551" s="13">
        <v>200</v>
      </c>
      <c r="Z551" s="13">
        <v>600</v>
      </c>
      <c r="AA551" s="430">
        <f t="shared" si="250"/>
        <v>400</v>
      </c>
      <c r="AB551" s="430">
        <f t="shared" si="251"/>
        <v>90</v>
      </c>
      <c r="AC551" s="430" t="str">
        <f t="shared" si="252"/>
        <v>N/A</v>
      </c>
      <c r="AD551" s="430">
        <f t="shared" si="253"/>
        <v>69</v>
      </c>
      <c r="AE551" s="431">
        <f t="shared" si="254"/>
        <v>1.1243000000000001</v>
      </c>
      <c r="AF551" s="431"/>
      <c r="AG551" s="431">
        <f t="shared" si="255"/>
        <v>1.0101331632653063</v>
      </c>
      <c r="AH551" s="431">
        <f t="shared" si="256"/>
        <v>1.0707411530612247</v>
      </c>
      <c r="AI551" s="432">
        <f t="shared" si="257"/>
        <v>878.59944400000006</v>
      </c>
      <c r="AJ551" s="432">
        <f t="shared" si="258"/>
        <v>148.68425512750869</v>
      </c>
      <c r="AK551" s="432">
        <f t="shared" si="259"/>
        <v>162.57476352467151</v>
      </c>
      <c r="AL551" s="432">
        <f t="shared" si="260"/>
        <v>323.17517068030014</v>
      </c>
      <c r="AM551" s="250">
        <v>163</v>
      </c>
      <c r="AN551" s="432">
        <f t="shared" si="261"/>
        <v>159.74</v>
      </c>
      <c r="AO551" s="432">
        <f t="shared" si="262"/>
        <v>171.04019179000005</v>
      </c>
      <c r="AP551" s="432">
        <f t="shared" si="263"/>
        <v>589.79376479310372</v>
      </c>
      <c r="AQ551" s="255" t="s">
        <v>132</v>
      </c>
      <c r="AR551" s="255" t="s">
        <v>2465</v>
      </c>
      <c r="AS551" s="429" t="s">
        <v>2466</v>
      </c>
      <c r="AT551" s="429"/>
      <c r="AU551" s="258"/>
      <c r="AV551" s="243"/>
      <c r="AW551" s="72"/>
      <c r="AX551" s="243"/>
      <c r="AY551" s="103"/>
      <c r="AZ551" s="72"/>
      <c r="BA551" s="13"/>
      <c r="BB551" s="72"/>
      <c r="BC551" s="32"/>
      <c r="BD551" s="241"/>
      <c r="BE551" s="241"/>
      <c r="BF551" s="71"/>
      <c r="BG551" s="241"/>
      <c r="BH551" s="241"/>
      <c r="BI551" s="71"/>
      <c r="BJ551" s="123"/>
      <c r="BK551" s="108"/>
      <c r="BL551" s="108"/>
      <c r="BM551" s="108"/>
      <c r="BN551" s="71"/>
      <c r="BO551" s="83"/>
      <c r="BP551" s="83"/>
      <c r="BQ551" s="151"/>
      <c r="BR551" s="113"/>
      <c r="BS551" s="103"/>
      <c r="BT551" s="13">
        <f>P551-V551/10-120/10</f>
        <v>36.5</v>
      </c>
      <c r="BU551" s="79">
        <f>BT551-Q551</f>
        <v>7.5</v>
      </c>
      <c r="BV551" s="29">
        <f>T551+(O551/100*(P551-BT551))</f>
        <v>1.0890500000000001</v>
      </c>
      <c r="BW551" s="86">
        <f>(AE551-BV551)/AE551</f>
        <v>3.1352841768211334E-2</v>
      </c>
      <c r="BX551" s="79">
        <f>(PI()*((51/2)^2-(16.545/2)^2)/(BV551/10))/100</f>
        <v>167.83692817665687</v>
      </c>
      <c r="BY551" s="79">
        <f>BX551-AK551</f>
        <v>5.2621646519853584</v>
      </c>
      <c r="BZ551" s="86">
        <f>BY551/AK551</f>
        <v>3.2367659887057434E-2</v>
      </c>
      <c r="CA551" s="76"/>
    </row>
    <row r="552" spans="1:79" s="22" customFormat="1">
      <c r="A552" s="13" t="s">
        <v>2110</v>
      </c>
      <c r="B552" s="13" t="s">
        <v>2461</v>
      </c>
      <c r="C552" s="13" t="s">
        <v>151</v>
      </c>
      <c r="D552" s="13" t="s">
        <v>2462</v>
      </c>
      <c r="E552" s="13" t="s">
        <v>118</v>
      </c>
      <c r="F552" s="13" t="s">
        <v>119</v>
      </c>
      <c r="G552" s="13" t="s">
        <v>2467</v>
      </c>
      <c r="H552" s="13" t="s">
        <v>146</v>
      </c>
      <c r="I552" s="13" t="s">
        <v>147</v>
      </c>
      <c r="J552" s="13" t="s">
        <v>5</v>
      </c>
      <c r="K552" s="13" t="s">
        <v>123</v>
      </c>
      <c r="L552" s="13" t="s">
        <v>2468</v>
      </c>
      <c r="M552" s="13" t="s">
        <v>125</v>
      </c>
      <c r="N552" s="13" t="s">
        <v>12</v>
      </c>
      <c r="O552" s="247">
        <v>0.51</v>
      </c>
      <c r="P552" s="13">
        <v>98</v>
      </c>
      <c r="Q552" s="13">
        <v>29</v>
      </c>
      <c r="R552" s="13" t="s">
        <v>127</v>
      </c>
      <c r="S552" s="430" t="str">
        <f t="shared" si="246"/>
        <v>N/A</v>
      </c>
      <c r="T552" s="247">
        <v>0.8</v>
      </c>
      <c r="U552" s="13">
        <v>215</v>
      </c>
      <c r="V552" s="13">
        <v>495</v>
      </c>
      <c r="W552" s="430">
        <f t="shared" si="244"/>
        <v>280</v>
      </c>
      <c r="X552" s="430">
        <f t="shared" si="245"/>
        <v>195</v>
      </c>
      <c r="Y552" s="13">
        <v>200</v>
      </c>
      <c r="Z552" s="13">
        <v>600</v>
      </c>
      <c r="AA552" s="430">
        <f t="shared" si="250"/>
        <v>400</v>
      </c>
      <c r="AB552" s="430">
        <f t="shared" si="251"/>
        <v>90</v>
      </c>
      <c r="AC552" s="430" t="str">
        <f t="shared" si="252"/>
        <v>N/A</v>
      </c>
      <c r="AD552" s="430">
        <f t="shared" si="253"/>
        <v>69</v>
      </c>
      <c r="AE552" s="431">
        <f t="shared" si="254"/>
        <v>1.1519000000000001</v>
      </c>
      <c r="AF552" s="431"/>
      <c r="AG552" s="431">
        <f t="shared" si="255"/>
        <v>1.028016836734694</v>
      </c>
      <c r="AH552" s="431">
        <f t="shared" si="256"/>
        <v>1.0896978469387757</v>
      </c>
      <c r="AI552" s="432">
        <f t="shared" si="257"/>
        <v>881.20365200000003</v>
      </c>
      <c r="AJ552" s="432">
        <f t="shared" si="258"/>
        <v>145.12171893381196</v>
      </c>
      <c r="AK552" s="432">
        <f t="shared" si="259"/>
        <v>158.67940500979958</v>
      </c>
      <c r="AL552" s="432">
        <f t="shared" si="260"/>
        <v>315.43176004502249</v>
      </c>
      <c r="AM552" s="250">
        <v>159</v>
      </c>
      <c r="AN552" s="432">
        <f t="shared" si="261"/>
        <v>155.82</v>
      </c>
      <c r="AO552" s="432">
        <f t="shared" si="262"/>
        <v>169.79671851000003</v>
      </c>
      <c r="AP552" s="432">
        <f t="shared" si="263"/>
        <v>585.50592589655184</v>
      </c>
      <c r="AQ552" s="255">
        <v>45597</v>
      </c>
      <c r="AR552" s="255" t="s">
        <v>2465</v>
      </c>
      <c r="AS552" s="429" t="s">
        <v>2469</v>
      </c>
      <c r="AT552" s="429"/>
      <c r="AU552" s="258"/>
      <c r="AV552" s="243"/>
      <c r="AW552" s="72"/>
      <c r="AX552" s="243"/>
      <c r="AY552" s="103"/>
      <c r="AZ552" s="72"/>
      <c r="BA552" s="13"/>
      <c r="BB552" s="72"/>
      <c r="BC552" s="32"/>
      <c r="BD552" s="241"/>
      <c r="BE552" s="241"/>
      <c r="BF552" s="71"/>
      <c r="BG552" s="241"/>
      <c r="BH552" s="241"/>
      <c r="BI552" s="71"/>
      <c r="BJ552" s="123"/>
      <c r="BK552" s="108"/>
      <c r="BL552" s="108"/>
      <c r="BM552" s="108"/>
      <c r="BN552" s="71"/>
      <c r="BO552" s="83"/>
      <c r="BP552" s="83"/>
      <c r="BQ552" s="103"/>
      <c r="BR552" s="71"/>
      <c r="BS552" s="71"/>
      <c r="BT552" s="72"/>
      <c r="BU552" s="78"/>
      <c r="BV552" s="32"/>
      <c r="BW552" s="127"/>
      <c r="BX552" s="78"/>
      <c r="BY552" s="78"/>
      <c r="BZ552" s="127"/>
      <c r="CA552" s="76"/>
    </row>
    <row r="553" spans="1:79" s="13" customFormat="1">
      <c r="A553" s="13" t="s">
        <v>2110</v>
      </c>
      <c r="B553" s="13" t="s">
        <v>2461</v>
      </c>
      <c r="C553" s="13" t="s">
        <v>151</v>
      </c>
      <c r="D553" s="13" t="s">
        <v>2462</v>
      </c>
      <c r="E553" s="13" t="s">
        <v>118</v>
      </c>
      <c r="F553" s="13" t="s">
        <v>119</v>
      </c>
      <c r="G553" s="13" t="s">
        <v>2470</v>
      </c>
      <c r="H553" s="13" t="s">
        <v>146</v>
      </c>
      <c r="I553" s="13" t="s">
        <v>147</v>
      </c>
      <c r="J553" s="13" t="s">
        <v>5</v>
      </c>
      <c r="K553" s="13" t="s">
        <v>123</v>
      </c>
      <c r="L553" s="13" t="s">
        <v>2471</v>
      </c>
      <c r="M553" s="13" t="s">
        <v>125</v>
      </c>
      <c r="N553" s="13" t="s">
        <v>12</v>
      </c>
      <c r="O553" s="247">
        <v>0.54</v>
      </c>
      <c r="P553" s="13">
        <v>98</v>
      </c>
      <c r="Q553" s="13">
        <v>29</v>
      </c>
      <c r="R553" s="13" t="s">
        <v>127</v>
      </c>
      <c r="S553" s="430" t="str">
        <f t="shared" si="246"/>
        <v>N/A</v>
      </c>
      <c r="T553" s="247">
        <v>0.8</v>
      </c>
      <c r="U553" s="13">
        <v>215</v>
      </c>
      <c r="V553" s="13">
        <v>495</v>
      </c>
      <c r="W553" s="430">
        <f t="shared" si="244"/>
        <v>280</v>
      </c>
      <c r="X553" s="430">
        <f t="shared" si="245"/>
        <v>195</v>
      </c>
      <c r="Y553" s="13">
        <v>200</v>
      </c>
      <c r="Z553" s="13">
        <v>600</v>
      </c>
      <c r="AA553" s="430">
        <f t="shared" si="250"/>
        <v>400</v>
      </c>
      <c r="AB553" s="430">
        <f t="shared" si="251"/>
        <v>90</v>
      </c>
      <c r="AC553" s="430" t="str">
        <f t="shared" si="252"/>
        <v>N/A</v>
      </c>
      <c r="AD553" s="430">
        <f t="shared" si="253"/>
        <v>69</v>
      </c>
      <c r="AE553" s="431">
        <f t="shared" si="254"/>
        <v>1.1726000000000001</v>
      </c>
      <c r="AF553" s="431"/>
      <c r="AG553" s="431">
        <f t="shared" si="255"/>
        <v>1.0414295918367347</v>
      </c>
      <c r="AH553" s="431">
        <f t="shared" si="256"/>
        <v>1.1039153673469388</v>
      </c>
      <c r="AI553" s="432">
        <f t="shared" si="257"/>
        <v>883.15680800000007</v>
      </c>
      <c r="AJ553" s="432">
        <f t="shared" si="258"/>
        <v>142.55987381874297</v>
      </c>
      <c r="AK553" s="432">
        <f t="shared" si="259"/>
        <v>155.87822499640811</v>
      </c>
      <c r="AL553" s="432">
        <f t="shared" si="260"/>
        <v>309.86341838296221</v>
      </c>
      <c r="AM553" s="250">
        <v>156</v>
      </c>
      <c r="AN553" s="432">
        <f t="shared" si="261"/>
        <v>152.88</v>
      </c>
      <c r="AO553" s="432">
        <f t="shared" si="262"/>
        <v>168.76658136</v>
      </c>
      <c r="AP553" s="432">
        <f t="shared" si="263"/>
        <v>581.95372882758625</v>
      </c>
      <c r="AQ553" s="255">
        <v>45413</v>
      </c>
      <c r="AR553" s="255" t="s">
        <v>2472</v>
      </c>
      <c r="AS553" s="429" t="s">
        <v>2473</v>
      </c>
      <c r="AT553" s="429"/>
      <c r="AU553" s="258"/>
      <c r="AV553" s="243"/>
      <c r="AW553" s="72"/>
      <c r="AX553" s="243"/>
      <c r="AY553" s="103">
        <f>(V553/10)/P553</f>
        <v>0.50510204081632648</v>
      </c>
      <c r="AZ553" s="72"/>
      <c r="BA553" s="13" t="str">
        <f>LEFT(G553,3)</f>
        <v>W22</v>
      </c>
      <c r="BB553" s="72"/>
      <c r="BC553" s="32"/>
      <c r="BD553" s="241"/>
      <c r="BE553" s="241"/>
      <c r="BF553" s="71"/>
      <c r="BG553" s="241"/>
      <c r="BH553" s="241"/>
      <c r="BI553" s="71"/>
      <c r="BJ553" s="123"/>
      <c r="BK553" s="108"/>
      <c r="BL553" s="108"/>
      <c r="BM553" s="108"/>
      <c r="BN553" s="71"/>
      <c r="BO553" s="83"/>
      <c r="BP553" s="83"/>
      <c r="BQ553" s="108"/>
      <c r="BR553" s="71"/>
      <c r="BS553" s="71"/>
      <c r="BT553" s="72"/>
      <c r="BU553" s="72"/>
      <c r="BV553" s="72"/>
      <c r="BW553" s="72"/>
      <c r="BX553" s="72"/>
      <c r="BY553" s="72"/>
      <c r="BZ553" s="72"/>
      <c r="CA553" s="72"/>
    </row>
    <row r="554" spans="1:79" s="13" customFormat="1">
      <c r="A554" s="13" t="s">
        <v>2110</v>
      </c>
      <c r="B554" s="13" t="s">
        <v>2461</v>
      </c>
      <c r="C554" s="13" t="s">
        <v>151</v>
      </c>
      <c r="D554" s="13" t="s">
        <v>2462</v>
      </c>
      <c r="E554" s="13" t="s">
        <v>118</v>
      </c>
      <c r="F554" s="13" t="s">
        <v>119</v>
      </c>
      <c r="G554" s="13" t="s">
        <v>2474</v>
      </c>
      <c r="H554" s="13" t="s">
        <v>146</v>
      </c>
      <c r="I554" s="13" t="s">
        <v>147</v>
      </c>
      <c r="J554" s="13" t="s">
        <v>5</v>
      </c>
      <c r="K554" s="13" t="s">
        <v>123</v>
      </c>
      <c r="L554" s="13" t="s">
        <v>2475</v>
      </c>
      <c r="M554" s="13" t="s">
        <v>125</v>
      </c>
      <c r="N554" s="13" t="s">
        <v>12</v>
      </c>
      <c r="O554" s="247">
        <v>0.56999999999999995</v>
      </c>
      <c r="P554" s="13">
        <v>98</v>
      </c>
      <c r="Q554" s="13">
        <v>29</v>
      </c>
      <c r="R554" s="13" t="s">
        <v>127</v>
      </c>
      <c r="S554" s="430" t="str">
        <f t="shared" si="246"/>
        <v>N/A</v>
      </c>
      <c r="T554" s="247">
        <v>0.8</v>
      </c>
      <c r="U554" s="13">
        <v>215</v>
      </c>
      <c r="V554" s="13">
        <v>495</v>
      </c>
      <c r="W554" s="430">
        <f t="shared" si="244"/>
        <v>280</v>
      </c>
      <c r="X554" s="430">
        <f t="shared" si="245"/>
        <v>195</v>
      </c>
      <c r="Y554" s="13">
        <v>200</v>
      </c>
      <c r="Z554" s="13">
        <v>600</v>
      </c>
      <c r="AA554" s="430">
        <f t="shared" si="250"/>
        <v>400</v>
      </c>
      <c r="AB554" s="430">
        <f t="shared" si="251"/>
        <v>90</v>
      </c>
      <c r="AC554" s="430" t="str">
        <f t="shared" si="252"/>
        <v>N/A</v>
      </c>
      <c r="AD554" s="430">
        <f t="shared" si="253"/>
        <v>69</v>
      </c>
      <c r="AE554" s="431">
        <f t="shared" si="254"/>
        <v>1.1933</v>
      </c>
      <c r="AF554" s="431"/>
      <c r="AG554" s="431">
        <f t="shared" si="255"/>
        <v>1.0548423469387755</v>
      </c>
      <c r="AH554" s="431">
        <f t="shared" si="256"/>
        <v>1.118132887755102</v>
      </c>
      <c r="AI554" s="432">
        <f t="shared" si="257"/>
        <v>885.10996399999999</v>
      </c>
      <c r="AJ554" s="432">
        <f t="shared" si="258"/>
        <v>140.08690860626669</v>
      </c>
      <c r="AK554" s="432">
        <f t="shared" si="259"/>
        <v>153.17422830033368</v>
      </c>
      <c r="AL554" s="432">
        <f t="shared" si="260"/>
        <v>304.48826313237362</v>
      </c>
      <c r="AM554" s="250">
        <v>153</v>
      </c>
      <c r="AN554" s="432">
        <f t="shared" si="261"/>
        <v>149.94</v>
      </c>
      <c r="AO554" s="432">
        <f t="shared" si="262"/>
        <v>167.65284518999999</v>
      </c>
      <c r="AP554" s="432">
        <f t="shared" si="263"/>
        <v>578.11325927586211</v>
      </c>
      <c r="AQ554" s="255" t="s">
        <v>132</v>
      </c>
      <c r="AR554" s="255" t="s">
        <v>2465</v>
      </c>
      <c r="AS554" s="429" t="s">
        <v>2476</v>
      </c>
      <c r="AT554" s="429"/>
      <c r="AU554" s="258"/>
      <c r="AV554" s="243"/>
      <c r="AW554" s="72"/>
      <c r="AX554" s="243"/>
      <c r="AY554" s="103">
        <f>(V554/10)/P554</f>
        <v>0.50510204081632648</v>
      </c>
      <c r="AZ554" s="72"/>
      <c r="BA554" s="13" t="str">
        <f>LEFT(G554,3)</f>
        <v>W22</v>
      </c>
      <c r="BB554" s="72"/>
      <c r="BC554" s="32"/>
      <c r="BD554" s="241"/>
      <c r="BE554" s="241"/>
      <c r="BF554" s="71"/>
      <c r="BG554" s="241"/>
      <c r="BH554" s="241"/>
      <c r="BI554" s="71"/>
      <c r="BJ554" s="123"/>
      <c r="BK554" s="108"/>
      <c r="BL554" s="108"/>
      <c r="BM554" s="108"/>
      <c r="BN554" s="71"/>
      <c r="BO554" s="83"/>
      <c r="BP554" s="83"/>
      <c r="BQ554" s="124"/>
      <c r="BR554" s="124"/>
      <c r="BS554" s="71"/>
      <c r="BT554" s="72">
        <f>P554-V554/10-120/10</f>
        <v>36.5</v>
      </c>
      <c r="BU554" s="78">
        <f>BT554-Q554</f>
        <v>7.5</v>
      </c>
      <c r="BV554" s="32">
        <f>T554+(O554/100*(P554-BT554))</f>
        <v>1.15055</v>
      </c>
      <c r="BW554" s="127"/>
      <c r="BX554" s="78">
        <f>(PI()*((51/2)^2-(16.545/2)^2)/(BV554/10))/100</f>
        <v>158.86559178722192</v>
      </c>
      <c r="BY554" s="78"/>
      <c r="BZ554" s="127"/>
      <c r="CA554" s="76"/>
    </row>
    <row r="555" spans="1:79" s="72" customFormat="1" ht="15" customHeight="1">
      <c r="A555" s="13" t="s">
        <v>2110</v>
      </c>
      <c r="B555" s="13" t="s">
        <v>2461</v>
      </c>
      <c r="C555" s="13" t="s">
        <v>151</v>
      </c>
      <c r="D555" s="13" t="s">
        <v>2477</v>
      </c>
      <c r="E555" s="13" t="s">
        <v>118</v>
      </c>
      <c r="F555" s="13" t="s">
        <v>119</v>
      </c>
      <c r="G555" s="13" t="s">
        <v>2478</v>
      </c>
      <c r="H555" s="13" t="s">
        <v>146</v>
      </c>
      <c r="I555" s="13" t="s">
        <v>147</v>
      </c>
      <c r="J555" s="13" t="s">
        <v>5</v>
      </c>
      <c r="K555" s="13" t="s">
        <v>123</v>
      </c>
      <c r="L555" s="13" t="s">
        <v>2479</v>
      </c>
      <c r="M555" s="13" t="s">
        <v>125</v>
      </c>
      <c r="N555" s="387" t="s">
        <v>251</v>
      </c>
      <c r="O555" s="247">
        <v>0.5</v>
      </c>
      <c r="P555" s="13">
        <v>94</v>
      </c>
      <c r="Q555" s="13">
        <v>28</v>
      </c>
      <c r="R555" s="13" t="s">
        <v>127</v>
      </c>
      <c r="S555" s="430" t="str">
        <f t="shared" si="246"/>
        <v>N/A</v>
      </c>
      <c r="T555" s="247">
        <v>0.8</v>
      </c>
      <c r="U555" s="13">
        <v>235</v>
      </c>
      <c r="V555" s="13">
        <v>530</v>
      </c>
      <c r="W555" s="430">
        <f t="shared" si="244"/>
        <v>295</v>
      </c>
      <c r="X555" s="430">
        <f t="shared" si="245"/>
        <v>130</v>
      </c>
      <c r="Y555" s="13">
        <v>170</v>
      </c>
      <c r="Z555" s="13">
        <v>570</v>
      </c>
      <c r="AA555" s="430">
        <f t="shared" si="250"/>
        <v>400</v>
      </c>
      <c r="AB555" s="430">
        <f t="shared" si="251"/>
        <v>90</v>
      </c>
      <c r="AC555" s="430" t="str">
        <f t="shared" si="252"/>
        <v>N/A</v>
      </c>
      <c r="AD555" s="430">
        <f t="shared" si="253"/>
        <v>66</v>
      </c>
      <c r="AE555" s="431">
        <f t="shared" si="254"/>
        <v>1.1300000000000001</v>
      </c>
      <c r="AF555" s="431"/>
      <c r="AG555" s="431">
        <f t="shared" si="255"/>
        <v>1.014148936170213</v>
      </c>
      <c r="AH555" s="431">
        <f t="shared" si="256"/>
        <v>1.0749978723404259</v>
      </c>
      <c r="AI555" s="432">
        <f t="shared" si="257"/>
        <v>880.5526000000001</v>
      </c>
      <c r="AJ555" s="432">
        <f t="shared" si="258"/>
        <v>147.9342549025292</v>
      </c>
      <c r="AK555" s="432">
        <f t="shared" si="259"/>
        <v>161.75469613344083</v>
      </c>
      <c r="AL555" s="432">
        <f t="shared" si="260"/>
        <v>321.54499504058532</v>
      </c>
      <c r="AM555" s="250">
        <v>322</v>
      </c>
      <c r="AN555" s="432">
        <f t="shared" si="261"/>
        <v>302.68</v>
      </c>
      <c r="AO555" s="432">
        <f t="shared" si="262"/>
        <v>325.38035600000012</v>
      </c>
      <c r="AP555" s="432">
        <f t="shared" si="263"/>
        <v>1162.0727000000004</v>
      </c>
      <c r="AQ555" s="255" t="s">
        <v>132</v>
      </c>
      <c r="AR555" s="255" t="s">
        <v>2480</v>
      </c>
      <c r="AS555" s="429"/>
      <c r="AT555" s="429"/>
      <c r="AU555" s="258"/>
      <c r="AV555" s="243"/>
      <c r="AX555" s="243"/>
      <c r="AY555" s="103"/>
      <c r="BA555" s="13"/>
      <c r="BC555" s="32"/>
      <c r="BD555" s="241"/>
      <c r="BE555" s="241"/>
      <c r="BF555" s="71"/>
      <c r="BG555" s="241"/>
      <c r="BH555" s="241"/>
      <c r="BI555" s="71"/>
      <c r="BJ555" s="123"/>
      <c r="BK555" s="108"/>
      <c r="BL555" s="108"/>
      <c r="BM555" s="108"/>
      <c r="BN555" s="71"/>
      <c r="BO555" s="83"/>
      <c r="BP555" s="83"/>
      <c r="BQ555" s="108"/>
      <c r="BR555" s="71"/>
      <c r="BS555" s="71"/>
      <c r="BU555" s="78"/>
      <c r="BV555" s="32"/>
      <c r="BW555" s="127"/>
      <c r="BX555" s="78"/>
      <c r="BY555" s="78"/>
      <c r="BZ555" s="127"/>
      <c r="CA555" s="76"/>
    </row>
    <row r="556" spans="1:79" s="72" customFormat="1" ht="29.1">
      <c r="A556" s="13" t="s">
        <v>2110</v>
      </c>
      <c r="B556" s="13" t="s">
        <v>2461</v>
      </c>
      <c r="C556" s="13" t="s">
        <v>151</v>
      </c>
      <c r="D556" s="13" t="s">
        <v>2481</v>
      </c>
      <c r="E556" s="13" t="s">
        <v>118</v>
      </c>
      <c r="F556" s="13" t="s">
        <v>119</v>
      </c>
      <c r="G556" s="13" t="s">
        <v>2482</v>
      </c>
      <c r="H556" s="13" t="s">
        <v>146</v>
      </c>
      <c r="I556" s="13" t="s">
        <v>147</v>
      </c>
      <c r="J556" s="13" t="s">
        <v>5</v>
      </c>
      <c r="K556" s="13" t="s">
        <v>123</v>
      </c>
      <c r="L556" s="13" t="s">
        <v>2483</v>
      </c>
      <c r="M556" s="13" t="s">
        <v>125</v>
      </c>
      <c r="N556" s="387" t="s">
        <v>251</v>
      </c>
      <c r="O556" s="247">
        <v>0.43</v>
      </c>
      <c r="P556" s="13">
        <v>100</v>
      </c>
      <c r="Q556" s="13">
        <v>30</v>
      </c>
      <c r="R556" s="13" t="s">
        <v>127</v>
      </c>
      <c r="S556" s="430" t="str">
        <f t="shared" si="246"/>
        <v>N/A</v>
      </c>
      <c r="T556" s="247">
        <v>0.8</v>
      </c>
      <c r="U556" s="13">
        <v>210</v>
      </c>
      <c r="V556" s="13">
        <v>570</v>
      </c>
      <c r="W556" s="430">
        <f t="shared" si="244"/>
        <v>360</v>
      </c>
      <c r="X556" s="430">
        <f t="shared" si="245"/>
        <v>130</v>
      </c>
      <c r="Y556" s="13">
        <v>200</v>
      </c>
      <c r="Z556" s="13">
        <v>600</v>
      </c>
      <c r="AA556" s="430">
        <f t="shared" si="250"/>
        <v>400</v>
      </c>
      <c r="AB556" s="430">
        <f t="shared" si="251"/>
        <v>100</v>
      </c>
      <c r="AC556" s="430" t="str">
        <f t="shared" si="252"/>
        <v>N/A</v>
      </c>
      <c r="AD556" s="430">
        <f t="shared" si="253"/>
        <v>70</v>
      </c>
      <c r="AE556" s="431">
        <f t="shared" si="254"/>
        <v>1.101</v>
      </c>
      <c r="AF556" s="431"/>
      <c r="AG556" s="431">
        <f t="shared" si="255"/>
        <v>0.99564999999999992</v>
      </c>
      <c r="AH556" s="431">
        <f t="shared" si="256"/>
        <v>1.0553889999999999</v>
      </c>
      <c r="AI556" s="432">
        <f t="shared" si="257"/>
        <v>875.99523599999998</v>
      </c>
      <c r="AJ556" s="432">
        <f t="shared" si="258"/>
        <v>151.83079749305907</v>
      </c>
      <c r="AK556" s="432">
        <f t="shared" si="259"/>
        <v>166.01526487810006</v>
      </c>
      <c r="AL556" s="432">
        <f t="shared" si="260"/>
        <v>330.01439091358895</v>
      </c>
      <c r="AM556" s="250">
        <v>330</v>
      </c>
      <c r="AN556" s="432">
        <f t="shared" si="261"/>
        <v>330</v>
      </c>
      <c r="AO556" s="432">
        <f t="shared" si="262"/>
        <v>348.27837</v>
      </c>
      <c r="AP556" s="432">
        <f t="shared" si="263"/>
        <v>1160.9279000000001</v>
      </c>
      <c r="AQ556" s="255" t="s">
        <v>132</v>
      </c>
      <c r="AR556" s="255" t="s">
        <v>2480</v>
      </c>
      <c r="AS556" s="429"/>
      <c r="AT556" s="429"/>
      <c r="AU556" s="258"/>
      <c r="AV556" s="243"/>
      <c r="AX556" s="243"/>
      <c r="AY556" s="103"/>
      <c r="BA556" s="13"/>
      <c r="BC556" s="32"/>
      <c r="BD556" s="241"/>
      <c r="BE556" s="241"/>
      <c r="BF556" s="71"/>
      <c r="BG556" s="241"/>
      <c r="BH556" s="241"/>
      <c r="BI556" s="71"/>
      <c r="BJ556" s="123"/>
      <c r="BK556" s="108"/>
      <c r="BL556" s="108"/>
      <c r="BM556" s="108"/>
      <c r="BN556" s="71"/>
      <c r="BO556" s="83"/>
      <c r="BP556" s="83"/>
      <c r="BQ556" s="144"/>
      <c r="BR556" s="140"/>
      <c r="BS556" s="100"/>
      <c r="BT556" s="38"/>
      <c r="BU556" s="288"/>
      <c r="BV556" s="248"/>
      <c r="BW556" s="173"/>
      <c r="BX556" s="288"/>
      <c r="BY556" s="288"/>
      <c r="BZ556" s="173"/>
      <c r="CA556" s="271"/>
    </row>
    <row r="557" spans="1:79" s="72" customFormat="1" ht="29.1">
      <c r="A557" s="13" t="s">
        <v>2110</v>
      </c>
      <c r="B557" s="13" t="s">
        <v>2461</v>
      </c>
      <c r="C557" s="13" t="s">
        <v>1323</v>
      </c>
      <c r="D557" s="13" t="s">
        <v>2484</v>
      </c>
      <c r="E557" s="13" t="s">
        <v>118</v>
      </c>
      <c r="F557" s="13" t="s">
        <v>119</v>
      </c>
      <c r="G557" s="13" t="s">
        <v>2485</v>
      </c>
      <c r="H557" s="13" t="s">
        <v>146</v>
      </c>
      <c r="I557" s="13" t="s">
        <v>147</v>
      </c>
      <c r="J557" s="13" t="s">
        <v>5</v>
      </c>
      <c r="K557" s="13" t="s">
        <v>123</v>
      </c>
      <c r="L557" s="13"/>
      <c r="M557" s="13"/>
      <c r="N557" s="387" t="s">
        <v>251</v>
      </c>
      <c r="O557" s="247">
        <v>0.46</v>
      </c>
      <c r="P557" s="13">
        <v>105</v>
      </c>
      <c r="Q557" s="13">
        <v>30</v>
      </c>
      <c r="R557" s="13" t="s">
        <v>127</v>
      </c>
      <c r="S557" s="430" t="str">
        <f t="shared" si="246"/>
        <v>N/A</v>
      </c>
      <c r="T557" s="247">
        <v>0.8</v>
      </c>
      <c r="U557" s="13">
        <v>220</v>
      </c>
      <c r="V557" s="13">
        <v>600</v>
      </c>
      <c r="W557" s="430">
        <f t="shared" si="244"/>
        <v>380</v>
      </c>
      <c r="X557" s="430">
        <f t="shared" si="245"/>
        <v>150</v>
      </c>
      <c r="Y557" s="13">
        <v>210</v>
      </c>
      <c r="Z557" s="13">
        <v>610</v>
      </c>
      <c r="AA557" s="430">
        <f t="shared" si="250"/>
        <v>400</v>
      </c>
      <c r="AB557" s="430">
        <f t="shared" si="251"/>
        <v>140</v>
      </c>
      <c r="AC557" s="430" t="str">
        <f t="shared" si="252"/>
        <v>N/A</v>
      </c>
      <c r="AD557" s="430">
        <f t="shared" si="253"/>
        <v>75</v>
      </c>
      <c r="AE557" s="431">
        <f t="shared" si="254"/>
        <v>1.145</v>
      </c>
      <c r="AF557" s="431"/>
      <c r="AG557" s="431">
        <f t="shared" si="255"/>
        <v>1.0217857142857143</v>
      </c>
      <c r="AH557" s="431">
        <f t="shared" si="256"/>
        <v>1.0830928571428571</v>
      </c>
      <c r="AI557" s="432">
        <f t="shared" si="257"/>
        <v>877.94839200000001</v>
      </c>
      <c r="AJ557" s="432">
        <f t="shared" si="258"/>
        <v>145.99625156319479</v>
      </c>
      <c r="AK557" s="432">
        <f t="shared" si="259"/>
        <v>159.6356389788543</v>
      </c>
      <c r="AL557" s="432">
        <f t="shared" si="260"/>
        <v>317.33261519289209</v>
      </c>
      <c r="AM557" s="250">
        <v>317</v>
      </c>
      <c r="AN557" s="432">
        <f t="shared" si="261"/>
        <v>332.85</v>
      </c>
      <c r="AO557" s="432">
        <f t="shared" si="262"/>
        <v>360.50745749999999</v>
      </c>
      <c r="AP557" s="432">
        <f t="shared" si="263"/>
        <v>1201.691525</v>
      </c>
      <c r="AQ557" s="255"/>
      <c r="AR557" s="255"/>
      <c r="AS557" s="447" t="s">
        <v>2486</v>
      </c>
      <c r="AT557" s="429"/>
      <c r="AU557" s="258"/>
      <c r="AV557" s="243"/>
      <c r="AX557" s="243"/>
      <c r="AY557" s="103"/>
      <c r="BA557" s="13"/>
      <c r="BC557" s="32"/>
      <c r="BD557" s="241"/>
      <c r="BE557" s="241"/>
      <c r="BF557" s="71"/>
      <c r="BG557" s="241"/>
      <c r="BH557" s="241"/>
      <c r="BI557" s="71"/>
      <c r="BJ557" s="123"/>
      <c r="BK557" s="108"/>
      <c r="BL557" s="108"/>
      <c r="BM557" s="108"/>
      <c r="BN557" s="71"/>
      <c r="BO557" s="83"/>
      <c r="BP557" s="83"/>
      <c r="BQ557" s="144"/>
      <c r="BR557" s="140"/>
      <c r="BS557" s="100"/>
      <c r="BT557" s="38"/>
      <c r="BU557" s="288"/>
      <c r="BV557" s="248"/>
      <c r="BW557" s="173"/>
      <c r="BX557" s="288"/>
      <c r="BY557" s="288"/>
      <c r="BZ557" s="173"/>
      <c r="CA557" s="271"/>
    </row>
    <row r="558" spans="1:79" s="72" customFormat="1">
      <c r="A558" s="13" t="s">
        <v>2110</v>
      </c>
      <c r="B558" s="387" t="s">
        <v>2487</v>
      </c>
      <c r="C558" s="13" t="s">
        <v>2488</v>
      </c>
      <c r="D558" s="387" t="s">
        <v>132</v>
      </c>
      <c r="E558" s="13" t="s">
        <v>118</v>
      </c>
      <c r="F558" s="13" t="s">
        <v>167</v>
      </c>
      <c r="G558" s="13" t="s">
        <v>2489</v>
      </c>
      <c r="H558" s="13" t="s">
        <v>146</v>
      </c>
      <c r="I558" s="13" t="s">
        <v>147</v>
      </c>
      <c r="J558" s="13" t="s">
        <v>5</v>
      </c>
      <c r="K558" s="13" t="s">
        <v>123</v>
      </c>
      <c r="L558" s="13" t="s">
        <v>2490</v>
      </c>
      <c r="M558" s="13" t="s">
        <v>125</v>
      </c>
      <c r="N558" s="13" t="s">
        <v>126</v>
      </c>
      <c r="O558" s="247">
        <v>0.21</v>
      </c>
      <c r="P558" s="13">
        <v>107</v>
      </c>
      <c r="Q558" s="13">
        <v>30</v>
      </c>
      <c r="R558" s="13" t="s">
        <v>127</v>
      </c>
      <c r="S558" s="430" t="str">
        <f t="shared" si="246"/>
        <v>N/A</v>
      </c>
      <c r="T558" s="247">
        <v>0.8</v>
      </c>
      <c r="U558" s="13">
        <v>200</v>
      </c>
      <c r="V558" s="13">
        <v>600</v>
      </c>
      <c r="W558" s="430">
        <f t="shared" si="244"/>
        <v>400</v>
      </c>
      <c r="X558" s="430">
        <f t="shared" si="245"/>
        <v>170</v>
      </c>
      <c r="Y558" s="13">
        <v>200</v>
      </c>
      <c r="Z558" s="13">
        <v>600</v>
      </c>
      <c r="AA558" s="430">
        <f t="shared" si="250"/>
        <v>400</v>
      </c>
      <c r="AB558" s="430">
        <f t="shared" si="251"/>
        <v>170</v>
      </c>
      <c r="AC558" s="430" t="str">
        <f t="shared" si="252"/>
        <v>N/A</v>
      </c>
      <c r="AD558" s="430">
        <f t="shared" si="253"/>
        <v>77</v>
      </c>
      <c r="AE558" s="431">
        <f t="shared" si="254"/>
        <v>0.9617</v>
      </c>
      <c r="AF558" s="431"/>
      <c r="AG558" s="431">
        <f t="shared" si="255"/>
        <v>0.90351822429906548</v>
      </c>
      <c r="AH558" s="431">
        <f t="shared" si="256"/>
        <v>0.95772931775700942</v>
      </c>
      <c r="AI558" s="432">
        <f t="shared" si="257"/>
        <v>861.67209200000002</v>
      </c>
      <c r="AJ558" s="432">
        <f t="shared" si="258"/>
        <v>173.82313407492776</v>
      </c>
      <c r="AK558" s="432">
        <f t="shared" si="259"/>
        <v>190.06218844836036</v>
      </c>
      <c r="AL558" s="432">
        <f t="shared" si="260"/>
        <v>377.81620504924763</v>
      </c>
      <c r="AM558" s="250">
        <v>190</v>
      </c>
      <c r="AN558" s="432">
        <f t="shared" si="261"/>
        <v>203.3</v>
      </c>
      <c r="AO558" s="432">
        <f t="shared" si="262"/>
        <v>194.70637030000003</v>
      </c>
      <c r="AP558" s="432">
        <f t="shared" si="263"/>
        <v>649.0212343333335</v>
      </c>
      <c r="AQ558" s="255">
        <v>45100</v>
      </c>
      <c r="AR558" s="13" t="s">
        <v>2491</v>
      </c>
      <c r="AS558" s="429" t="s">
        <v>2492</v>
      </c>
      <c r="AT558" s="429"/>
      <c r="AU558" s="241"/>
      <c r="AV558" s="243"/>
      <c r="AW558" s="72" t="s">
        <v>127</v>
      </c>
      <c r="AX558" s="243"/>
      <c r="AY558" s="103">
        <f>(V558/10)/P558</f>
        <v>0.56074766355140182</v>
      </c>
      <c r="BA558" s="13" t="str">
        <f>LEFT(G558,3)</f>
        <v>W22</v>
      </c>
      <c r="BC558" s="32"/>
      <c r="BD558" s="241"/>
      <c r="BE558" s="241"/>
      <c r="BF558" s="71"/>
      <c r="BG558" s="241"/>
      <c r="BH558" s="241"/>
      <c r="BI558" s="71"/>
      <c r="BJ558" s="162"/>
      <c r="BK558" s="123"/>
      <c r="BL558" s="126"/>
      <c r="BM558" s="123"/>
      <c r="BN558" s="123"/>
      <c r="BO558" s="130"/>
      <c r="BP558" s="130"/>
      <c r="BQ558" s="115"/>
      <c r="BR558" s="113"/>
      <c r="BS558" s="80"/>
      <c r="BT558" s="22"/>
      <c r="BU558" s="87"/>
      <c r="BV558" s="73"/>
      <c r="BW558" s="109"/>
      <c r="BX558" s="87"/>
      <c r="BY558" s="87"/>
      <c r="BZ558" s="109"/>
      <c r="CA558" s="76"/>
    </row>
    <row r="559" spans="1:79" s="72" customFormat="1">
      <c r="A559" s="13" t="s">
        <v>2110</v>
      </c>
      <c r="B559" s="13" t="s">
        <v>2487</v>
      </c>
      <c r="C559" s="13" t="s">
        <v>1147</v>
      </c>
      <c r="D559" s="387" t="s">
        <v>2493</v>
      </c>
      <c r="E559" s="13" t="s">
        <v>118</v>
      </c>
      <c r="F559" s="13" t="s">
        <v>119</v>
      </c>
      <c r="G559" s="13" t="s">
        <v>2494</v>
      </c>
      <c r="H559" s="13" t="s">
        <v>146</v>
      </c>
      <c r="I559" s="13" t="s">
        <v>147</v>
      </c>
      <c r="J559" s="13" t="s">
        <v>5</v>
      </c>
      <c r="K559" s="13" t="s">
        <v>123</v>
      </c>
      <c r="L559" s="13" t="s">
        <v>2495</v>
      </c>
      <c r="M559" s="13" t="s">
        <v>125</v>
      </c>
      <c r="N559" s="13" t="s">
        <v>126</v>
      </c>
      <c r="O559" s="247">
        <v>0.2</v>
      </c>
      <c r="P559" s="13">
        <v>105</v>
      </c>
      <c r="Q559" s="13">
        <v>30</v>
      </c>
      <c r="R559" s="13" t="s">
        <v>127</v>
      </c>
      <c r="S559" s="430" t="str">
        <f t="shared" si="246"/>
        <v>N/A</v>
      </c>
      <c r="T559" s="247">
        <v>0.8</v>
      </c>
      <c r="U559" s="13">
        <v>200</v>
      </c>
      <c r="V559" s="13">
        <v>600</v>
      </c>
      <c r="W559" s="430">
        <f t="shared" si="244"/>
        <v>400</v>
      </c>
      <c r="X559" s="430">
        <f t="shared" si="245"/>
        <v>150</v>
      </c>
      <c r="Y559" s="13">
        <v>200</v>
      </c>
      <c r="Z559" s="13">
        <v>600</v>
      </c>
      <c r="AA559" s="430">
        <f t="shared" si="250"/>
        <v>400</v>
      </c>
      <c r="AB559" s="430">
        <f t="shared" si="251"/>
        <v>150</v>
      </c>
      <c r="AC559" s="430" t="str">
        <f t="shared" si="252"/>
        <v>N/A</v>
      </c>
      <c r="AD559" s="430">
        <f t="shared" si="253"/>
        <v>75</v>
      </c>
      <c r="AE559" s="431">
        <f t="shared" si="254"/>
        <v>0.95000000000000007</v>
      </c>
      <c r="AF559" s="431"/>
      <c r="AG559" s="431">
        <f t="shared" si="255"/>
        <v>0.89642857142857146</v>
      </c>
      <c r="AH559" s="431">
        <f t="shared" si="256"/>
        <v>0.95021428571428579</v>
      </c>
      <c r="AI559" s="432">
        <f t="shared" si="257"/>
        <v>861.02103999999997</v>
      </c>
      <c r="AJ559" s="432">
        <f t="shared" si="258"/>
        <v>175.96390319985056</v>
      </c>
      <c r="AK559" s="432">
        <f t="shared" si="259"/>
        <v>192.40295434819808</v>
      </c>
      <c r="AL559" s="432">
        <f t="shared" si="260"/>
        <v>382.46930989038049</v>
      </c>
      <c r="AM559" s="250">
        <v>192</v>
      </c>
      <c r="AN559" s="432">
        <f t="shared" si="261"/>
        <v>201.6</v>
      </c>
      <c r="AO559" s="432">
        <f t="shared" si="262"/>
        <v>191.56320000000002</v>
      </c>
      <c r="AP559" s="432">
        <f t="shared" si="263"/>
        <v>638.5440000000001</v>
      </c>
      <c r="AQ559" s="255">
        <v>45261</v>
      </c>
      <c r="AR559" s="13" t="s">
        <v>2496</v>
      </c>
      <c r="AS559" s="429" t="s">
        <v>2497</v>
      </c>
      <c r="AT559" s="13"/>
      <c r="AU559" s="252"/>
      <c r="AV559" s="260"/>
      <c r="AX559" s="243"/>
      <c r="AY559" s="103">
        <f>(V559/10)/P559</f>
        <v>0.5714285714285714</v>
      </c>
      <c r="BA559" s="13" t="str">
        <f>LEFT(G559,3)</f>
        <v>W22</v>
      </c>
      <c r="BC559" s="32"/>
      <c r="BD559" s="241"/>
      <c r="BE559" s="241"/>
      <c r="BF559" s="71"/>
      <c r="BG559" s="241"/>
      <c r="BH559" s="241"/>
      <c r="BI559" s="71"/>
      <c r="BJ559" s="114"/>
      <c r="BK559" s="111"/>
      <c r="BL559" s="112"/>
      <c r="BM559" s="111"/>
      <c r="BN559" s="123"/>
      <c r="BO559" s="83"/>
      <c r="BP559" s="88"/>
      <c r="BQ559" s="115"/>
      <c r="BR559" s="113"/>
      <c r="BS559" s="80"/>
      <c r="BT559" s="22"/>
      <c r="BU559" s="87"/>
      <c r="BV559" s="73"/>
      <c r="BW559" s="109"/>
      <c r="BX559" s="87"/>
      <c r="BY559" s="87"/>
      <c r="BZ559" s="109"/>
      <c r="CA559" s="76"/>
    </row>
    <row r="560" spans="1:79" s="72" customFormat="1">
      <c r="A560" s="13" t="s">
        <v>2110</v>
      </c>
      <c r="B560" s="13" t="s">
        <v>2487</v>
      </c>
      <c r="C560" s="13" t="s">
        <v>1147</v>
      </c>
      <c r="D560" s="387" t="s">
        <v>2498</v>
      </c>
      <c r="E560" s="13" t="s">
        <v>118</v>
      </c>
      <c r="F560" s="13" t="s">
        <v>119</v>
      </c>
      <c r="G560" s="13" t="s">
        <v>2499</v>
      </c>
      <c r="H560" s="13" t="s">
        <v>146</v>
      </c>
      <c r="I560" s="13" t="s">
        <v>147</v>
      </c>
      <c r="J560" s="13" t="s">
        <v>5</v>
      </c>
      <c r="K560" s="13" t="s">
        <v>123</v>
      </c>
      <c r="L560" s="13" t="s">
        <v>2500</v>
      </c>
      <c r="M560" s="13" t="s">
        <v>125</v>
      </c>
      <c r="N560" s="13" t="s">
        <v>126</v>
      </c>
      <c r="O560" s="247">
        <v>0.25</v>
      </c>
      <c r="P560" s="13">
        <v>105</v>
      </c>
      <c r="Q560" s="13">
        <v>20</v>
      </c>
      <c r="R560" s="13" t="s">
        <v>127</v>
      </c>
      <c r="S560" s="430" t="str">
        <f t="shared" si="246"/>
        <v>N/A</v>
      </c>
      <c r="T560" s="247">
        <v>0.8</v>
      </c>
      <c r="U560" s="13">
        <v>100</v>
      </c>
      <c r="V560" s="13">
        <v>720</v>
      </c>
      <c r="W560" s="430">
        <f t="shared" si="244"/>
        <v>620</v>
      </c>
      <c r="X560" s="430">
        <f t="shared" si="245"/>
        <v>130</v>
      </c>
      <c r="Y560" s="13">
        <v>100</v>
      </c>
      <c r="Z560" s="13">
        <v>720</v>
      </c>
      <c r="AA560" s="430">
        <f t="shared" si="250"/>
        <v>620</v>
      </c>
      <c r="AB560" s="430">
        <f t="shared" si="251"/>
        <v>130</v>
      </c>
      <c r="AC560" s="430" t="str">
        <f t="shared" si="252"/>
        <v>N/A</v>
      </c>
      <c r="AD560" s="430">
        <f t="shared" si="253"/>
        <v>85</v>
      </c>
      <c r="AE560" s="431">
        <f t="shared" si="254"/>
        <v>1.0125</v>
      </c>
      <c r="AF560" s="431"/>
      <c r="AG560" s="431">
        <f t="shared" si="255"/>
        <v>0.92648809523809528</v>
      </c>
      <c r="AH560" s="431">
        <f t="shared" si="256"/>
        <v>0.98207738095238095</v>
      </c>
      <c r="AI560" s="432">
        <f t="shared" si="257"/>
        <v>864.27630000000011</v>
      </c>
      <c r="AJ560" s="432">
        <f t="shared" si="258"/>
        <v>165.10193386652645</v>
      </c>
      <c r="AK560" s="432">
        <f t="shared" si="259"/>
        <v>180.52622877114882</v>
      </c>
      <c r="AL560" s="432">
        <f t="shared" si="260"/>
        <v>358.86009323048052</v>
      </c>
      <c r="AM560" s="250">
        <v>181</v>
      </c>
      <c r="AN560" s="432">
        <f t="shared" si="261"/>
        <v>190.05</v>
      </c>
      <c r="AO560" s="432">
        <f t="shared" si="262"/>
        <v>186.64380625000001</v>
      </c>
      <c r="AP560" s="432">
        <f t="shared" si="263"/>
        <v>933.21903125000006</v>
      </c>
      <c r="AQ560" s="255" t="s">
        <v>132</v>
      </c>
      <c r="AR560" s="13" t="s">
        <v>2501</v>
      </c>
      <c r="AS560" s="429"/>
      <c r="AT560" s="13"/>
      <c r="AU560" s="252"/>
      <c r="AV560" s="260"/>
      <c r="AX560" s="243"/>
      <c r="AY560" s="103"/>
      <c r="BA560" s="13"/>
      <c r="BC560" s="32"/>
      <c r="BD560" s="241"/>
      <c r="BE560" s="241"/>
      <c r="BF560" s="71"/>
      <c r="BG560" s="241"/>
      <c r="BH560" s="241"/>
      <c r="BI560" s="71"/>
      <c r="BJ560" s="114"/>
      <c r="BK560" s="111"/>
      <c r="BL560" s="112"/>
      <c r="BM560" s="111"/>
      <c r="BN560" s="123"/>
      <c r="BO560" s="83"/>
      <c r="BP560" s="88"/>
      <c r="BQ560" s="115"/>
      <c r="BR560" s="113"/>
      <c r="BS560" s="80"/>
      <c r="BT560" s="22"/>
      <c r="BU560" s="87"/>
      <c r="BV560" s="73"/>
      <c r="BW560" s="109"/>
      <c r="BX560" s="87"/>
      <c r="BY560" s="87"/>
      <c r="BZ560" s="109"/>
      <c r="CA560" s="76"/>
    </row>
    <row r="561" spans="1:79" s="72" customFormat="1">
      <c r="A561" s="13" t="s">
        <v>2110</v>
      </c>
      <c r="B561" s="13" t="s">
        <v>2487</v>
      </c>
      <c r="C561" s="13" t="s">
        <v>1147</v>
      </c>
      <c r="D561" s="387" t="s">
        <v>2498</v>
      </c>
      <c r="E561" s="13" t="s">
        <v>118</v>
      </c>
      <c r="F561" s="13" t="s">
        <v>119</v>
      </c>
      <c r="G561" s="13" t="s">
        <v>2502</v>
      </c>
      <c r="H561" s="13" t="s">
        <v>146</v>
      </c>
      <c r="I561" s="13" t="s">
        <v>147</v>
      </c>
      <c r="J561" s="13" t="s">
        <v>5</v>
      </c>
      <c r="K561" s="13" t="s">
        <v>123</v>
      </c>
      <c r="L561" s="13"/>
      <c r="M561" s="13"/>
      <c r="N561" s="13" t="s">
        <v>126</v>
      </c>
      <c r="O561" s="247">
        <v>0.25</v>
      </c>
      <c r="P561" s="13">
        <v>110</v>
      </c>
      <c r="Q561" s="13">
        <v>25</v>
      </c>
      <c r="R561" s="13" t="s">
        <v>127</v>
      </c>
      <c r="S561" s="430" t="str">
        <f t="shared" si="246"/>
        <v>N/A</v>
      </c>
      <c r="T561" s="247">
        <v>0.8</v>
      </c>
      <c r="U561" s="13">
        <v>100</v>
      </c>
      <c r="V561" s="13">
        <v>720</v>
      </c>
      <c r="W561" s="430">
        <f t="shared" si="244"/>
        <v>620</v>
      </c>
      <c r="X561" s="430">
        <f t="shared" si="245"/>
        <v>130</v>
      </c>
      <c r="Y561" s="13">
        <v>100</v>
      </c>
      <c r="Z561" s="13">
        <v>720</v>
      </c>
      <c r="AA561" s="430">
        <f t="shared" si="250"/>
        <v>620</v>
      </c>
      <c r="AB561" s="430">
        <f t="shared" si="251"/>
        <v>130</v>
      </c>
      <c r="AC561" s="430" t="str">
        <f t="shared" si="252"/>
        <v>N/A</v>
      </c>
      <c r="AD561" s="430">
        <f t="shared" si="253"/>
        <v>85</v>
      </c>
      <c r="AE561" s="431">
        <f t="shared" si="254"/>
        <v>1.0125</v>
      </c>
      <c r="AF561" s="431"/>
      <c r="AG561" s="431">
        <f t="shared" si="255"/>
        <v>0.93039772727272729</v>
      </c>
      <c r="AH561" s="431">
        <f t="shared" si="256"/>
        <v>0.98622159090909089</v>
      </c>
      <c r="AI561" s="432">
        <f t="shared" si="257"/>
        <v>864.27630000000011</v>
      </c>
      <c r="AJ561" s="432">
        <f t="shared" si="258"/>
        <v>165.10193386652645</v>
      </c>
      <c r="AK561" s="432">
        <f t="shared" si="259"/>
        <v>180.52622877114882</v>
      </c>
      <c r="AL561" s="432">
        <f t="shared" si="260"/>
        <v>358.86009323048052</v>
      </c>
      <c r="AM561" s="250">
        <v>181</v>
      </c>
      <c r="AN561" s="432">
        <f t="shared" si="261"/>
        <v>199.1</v>
      </c>
      <c r="AO561" s="432">
        <f t="shared" si="262"/>
        <v>196.35671875</v>
      </c>
      <c r="AP561" s="432">
        <f t="shared" si="263"/>
        <v>785.426875</v>
      </c>
      <c r="AQ561" s="255"/>
      <c r="AR561" s="13"/>
      <c r="AS561" s="429"/>
      <c r="AT561" s="13"/>
      <c r="AU561" s="252"/>
      <c r="AV561" s="260"/>
      <c r="AX561" s="243"/>
      <c r="AY561" s="103"/>
      <c r="BA561" s="13"/>
      <c r="BC561" s="32"/>
      <c r="BD561" s="241"/>
      <c r="BE561" s="241"/>
      <c r="BF561" s="71"/>
      <c r="BG561" s="241"/>
      <c r="BH561" s="241"/>
      <c r="BI561" s="71"/>
      <c r="BJ561" s="114"/>
      <c r="BK561" s="111"/>
      <c r="BL561" s="112"/>
      <c r="BM561" s="111"/>
      <c r="BN561" s="123"/>
      <c r="BO561" s="83"/>
      <c r="BP561" s="88"/>
      <c r="BQ561" s="115"/>
      <c r="BR561" s="113"/>
      <c r="BS561" s="80"/>
      <c r="BT561" s="22"/>
      <c r="BU561" s="87"/>
      <c r="BV561" s="73"/>
      <c r="BW561" s="109"/>
      <c r="BX561" s="87"/>
      <c r="BY561" s="87"/>
      <c r="BZ561" s="109"/>
      <c r="CA561" s="76"/>
    </row>
    <row r="562" spans="1:79" s="72" customFormat="1">
      <c r="A562" s="13" t="s">
        <v>2110</v>
      </c>
      <c r="B562" s="13" t="s">
        <v>2487</v>
      </c>
      <c r="C562" s="13" t="s">
        <v>1147</v>
      </c>
      <c r="D562" s="387" t="s">
        <v>2498</v>
      </c>
      <c r="E562" s="13" t="s">
        <v>118</v>
      </c>
      <c r="F562" s="13" t="s">
        <v>119</v>
      </c>
      <c r="G562" s="13" t="s">
        <v>2503</v>
      </c>
      <c r="H562" s="13" t="s">
        <v>146</v>
      </c>
      <c r="I562" s="13" t="s">
        <v>147</v>
      </c>
      <c r="J562" s="13" t="s">
        <v>5</v>
      </c>
      <c r="K562" s="13" t="s">
        <v>123</v>
      </c>
      <c r="L562" s="13"/>
      <c r="M562" s="13"/>
      <c r="N562" s="13" t="s">
        <v>126</v>
      </c>
      <c r="O562" s="247">
        <v>0.28000000000000003</v>
      </c>
      <c r="P562" s="13">
        <v>110</v>
      </c>
      <c r="Q562" s="13">
        <v>25</v>
      </c>
      <c r="R562" s="13" t="s">
        <v>127</v>
      </c>
      <c r="S562" s="430" t="str">
        <f t="shared" si="246"/>
        <v>N/A</v>
      </c>
      <c r="T562" s="247">
        <v>0.8</v>
      </c>
      <c r="U562" s="13">
        <v>100</v>
      </c>
      <c r="V562" s="13">
        <v>720</v>
      </c>
      <c r="W562" s="430">
        <f t="shared" si="244"/>
        <v>620</v>
      </c>
      <c r="X562" s="430">
        <f t="shared" si="245"/>
        <v>130</v>
      </c>
      <c r="Y562" s="13">
        <v>100</v>
      </c>
      <c r="Z562" s="13">
        <v>720</v>
      </c>
      <c r="AA562" s="430">
        <f t="shared" si="250"/>
        <v>620</v>
      </c>
      <c r="AB562" s="430">
        <f t="shared" si="251"/>
        <v>130</v>
      </c>
      <c r="AC562" s="430" t="str">
        <f t="shared" si="252"/>
        <v>N/A</v>
      </c>
      <c r="AD562" s="430">
        <f t="shared" si="253"/>
        <v>85</v>
      </c>
      <c r="AE562" s="431">
        <f t="shared" si="254"/>
        <v>1.038</v>
      </c>
      <c r="AF562" s="431"/>
      <c r="AG562" s="431">
        <f t="shared" si="255"/>
        <v>0.94604545454545463</v>
      </c>
      <c r="AH562" s="431">
        <f t="shared" si="256"/>
        <v>1.002808181818182</v>
      </c>
      <c r="AI562" s="432">
        <f t="shared" si="257"/>
        <v>866.22945600000003</v>
      </c>
      <c r="AJ562" s="432">
        <f t="shared" si="258"/>
        <v>161.04596150275339</v>
      </c>
      <c r="AK562" s="432">
        <f t="shared" si="259"/>
        <v>176.09133586781132</v>
      </c>
      <c r="AL562" s="432">
        <f t="shared" si="260"/>
        <v>350.04416608464498</v>
      </c>
      <c r="AM562" s="250">
        <v>176</v>
      </c>
      <c r="AN562" s="432">
        <f t="shared" si="261"/>
        <v>193.6</v>
      </c>
      <c r="AO562" s="432">
        <f t="shared" si="262"/>
        <v>194.14366400000003</v>
      </c>
      <c r="AP562" s="432">
        <f t="shared" si="263"/>
        <v>776.57465600000012</v>
      </c>
      <c r="AQ562" s="255"/>
      <c r="AR562" s="13"/>
      <c r="AS562" s="429"/>
      <c r="AT562" s="13"/>
      <c r="AU562" s="252"/>
      <c r="AV562" s="260"/>
      <c r="AX562" s="243"/>
      <c r="AY562" s="103"/>
      <c r="BA562" s="13"/>
      <c r="BC562" s="32"/>
      <c r="BD562" s="241"/>
      <c r="BE562" s="241"/>
      <c r="BF562" s="71"/>
      <c r="BG562" s="241"/>
      <c r="BH562" s="241"/>
      <c r="BI562" s="71"/>
      <c r="BJ562" s="114"/>
      <c r="BK562" s="111"/>
      <c r="BL562" s="112"/>
      <c r="BM562" s="111"/>
      <c r="BN562" s="123"/>
      <c r="BO562" s="83"/>
      <c r="BP562" s="88"/>
      <c r="BQ562" s="115"/>
      <c r="BR562" s="113"/>
      <c r="BS562" s="80"/>
      <c r="BT562" s="22"/>
      <c r="BU562" s="87"/>
      <c r="BV562" s="73"/>
      <c r="BW562" s="109"/>
      <c r="BX562" s="87"/>
      <c r="BY562" s="87"/>
      <c r="BZ562" s="109"/>
      <c r="CA562" s="76"/>
    </row>
    <row r="563" spans="1:79" s="72" customFormat="1">
      <c r="A563" s="13" t="s">
        <v>2110</v>
      </c>
      <c r="B563" s="13" t="s">
        <v>2487</v>
      </c>
      <c r="C563" s="13" t="s">
        <v>1147</v>
      </c>
      <c r="D563" s="387" t="s">
        <v>2504</v>
      </c>
      <c r="E563" s="13" t="s">
        <v>118</v>
      </c>
      <c r="F563" s="13" t="s">
        <v>119</v>
      </c>
      <c r="G563" s="13" t="s">
        <v>2505</v>
      </c>
      <c r="H563" s="13" t="s">
        <v>146</v>
      </c>
      <c r="I563" s="13" t="s">
        <v>147</v>
      </c>
      <c r="J563" s="13" t="s">
        <v>5</v>
      </c>
      <c r="K563" s="13" t="s">
        <v>123</v>
      </c>
      <c r="L563" s="13" t="s">
        <v>2506</v>
      </c>
      <c r="M563" s="13" t="s">
        <v>125</v>
      </c>
      <c r="N563" s="13" t="s">
        <v>126</v>
      </c>
      <c r="O563" s="247">
        <v>0.21</v>
      </c>
      <c r="P563" s="13">
        <v>113</v>
      </c>
      <c r="Q563" s="13">
        <v>30</v>
      </c>
      <c r="R563" s="13" t="s">
        <v>127</v>
      </c>
      <c r="S563" s="430" t="str">
        <f t="shared" si="246"/>
        <v>N/A</v>
      </c>
      <c r="T563" s="247">
        <v>0.8</v>
      </c>
      <c r="U563" s="13">
        <v>150</v>
      </c>
      <c r="V563" s="13">
        <v>700</v>
      </c>
      <c r="W563" s="430">
        <f t="shared" si="244"/>
        <v>550</v>
      </c>
      <c r="X563" s="430">
        <f t="shared" si="245"/>
        <v>130</v>
      </c>
      <c r="Y563" s="13">
        <v>150</v>
      </c>
      <c r="Z563" s="13">
        <v>700</v>
      </c>
      <c r="AA563" s="430">
        <f t="shared" si="250"/>
        <v>550</v>
      </c>
      <c r="AB563" s="430">
        <f t="shared" si="251"/>
        <v>130</v>
      </c>
      <c r="AC563" s="430" t="str">
        <f t="shared" si="252"/>
        <v>N/A</v>
      </c>
      <c r="AD563" s="430">
        <f t="shared" si="253"/>
        <v>83</v>
      </c>
      <c r="AE563" s="431">
        <f t="shared" si="254"/>
        <v>0.97430000000000005</v>
      </c>
      <c r="AF563" s="431"/>
      <c r="AG563" s="431">
        <f t="shared" si="255"/>
        <v>0.91028716814159305</v>
      </c>
      <c r="AH563" s="431">
        <f t="shared" si="256"/>
        <v>0.96490439823008867</v>
      </c>
      <c r="AI563" s="432">
        <f t="shared" si="257"/>
        <v>861.67209200000002</v>
      </c>
      <c r="AJ563" s="432">
        <f t="shared" si="258"/>
        <v>171.57519043401214</v>
      </c>
      <c r="AK563" s="432">
        <f t="shared" si="259"/>
        <v>187.60423548269341</v>
      </c>
      <c r="AL563" s="432">
        <f t="shared" si="260"/>
        <v>372.93014923110076</v>
      </c>
      <c r="AM563" s="250">
        <v>188</v>
      </c>
      <c r="AN563" s="432">
        <f t="shared" si="261"/>
        <v>212.44</v>
      </c>
      <c r="AO563" s="432">
        <f t="shared" si="262"/>
        <v>204.98429036000005</v>
      </c>
      <c r="AP563" s="432">
        <f t="shared" si="263"/>
        <v>683.28096786666686</v>
      </c>
      <c r="AQ563" s="255">
        <v>45741</v>
      </c>
      <c r="AR563" s="13" t="s">
        <v>2507</v>
      </c>
      <c r="AS563" s="429"/>
      <c r="AT563" s="429" t="s">
        <v>2508</v>
      </c>
      <c r="AU563" s="252"/>
      <c r="AV563" s="260"/>
      <c r="AX563" s="243"/>
      <c r="AY563" s="103">
        <f>(V563/10)/P563</f>
        <v>0.61946902654867253</v>
      </c>
      <c r="BA563" s="13" t="str">
        <f>LEFT(G563,3)</f>
        <v>W22</v>
      </c>
      <c r="BC563" s="32"/>
      <c r="BD563" s="241"/>
      <c r="BE563" s="241"/>
      <c r="BF563" s="71"/>
      <c r="BG563" s="241"/>
      <c r="BH563" s="241"/>
      <c r="BI563" s="71"/>
      <c r="BJ563" s="114"/>
      <c r="BK563" s="111"/>
      <c r="BL563" s="112"/>
      <c r="BM563" s="111"/>
      <c r="BN563" s="123"/>
      <c r="BO563" s="83"/>
      <c r="BP563" s="88"/>
      <c r="BQ563" s="108"/>
      <c r="BR563" s="71"/>
      <c r="BS563" s="71"/>
      <c r="BT563" s="72">
        <f>P563-V563/10-120/10</f>
        <v>31</v>
      </c>
      <c r="BU563" s="78">
        <f>BT563-Q563</f>
        <v>1</v>
      </c>
      <c r="BV563" s="32">
        <f>T563+(O563/100*(P563-BT563))</f>
        <v>0.97220000000000006</v>
      </c>
      <c r="BW563" s="127">
        <f>(AE563-BV563)/AE563</f>
        <v>2.1553936159293755E-3</v>
      </c>
      <c r="BX563" s="78">
        <f>(PI()*((51/2)^2-(16.545/2)^2)/(BV563/10))/100</f>
        <v>188.00946989383684</v>
      </c>
      <c r="BY563" s="78">
        <f>BX563-AK563</f>
        <v>0.40523441114342518</v>
      </c>
      <c r="BZ563" s="127">
        <f>BY563/AK563</f>
        <v>2.1600493725569873E-3</v>
      </c>
      <c r="CA563" s="76"/>
    </row>
    <row r="564" spans="1:79" s="72" customFormat="1">
      <c r="A564" s="13" t="s">
        <v>2110</v>
      </c>
      <c r="B564" s="387" t="s">
        <v>2487</v>
      </c>
      <c r="C564" s="13" t="s">
        <v>1147</v>
      </c>
      <c r="D564" s="13" t="s">
        <v>2504</v>
      </c>
      <c r="E564" s="387" t="s">
        <v>118</v>
      </c>
      <c r="F564" s="13" t="s">
        <v>119</v>
      </c>
      <c r="G564" s="13" t="s">
        <v>2509</v>
      </c>
      <c r="H564" s="13" t="s">
        <v>146</v>
      </c>
      <c r="I564" s="13" t="s">
        <v>147</v>
      </c>
      <c r="J564" s="13" t="s">
        <v>5</v>
      </c>
      <c r="K564" s="13" t="s">
        <v>123</v>
      </c>
      <c r="L564" s="13"/>
      <c r="M564" s="13" t="s">
        <v>125</v>
      </c>
      <c r="N564" s="13" t="s">
        <v>126</v>
      </c>
      <c r="O564" s="247">
        <v>0.21</v>
      </c>
      <c r="P564" s="13">
        <v>108</v>
      </c>
      <c r="Q564" s="13">
        <v>25</v>
      </c>
      <c r="R564" s="13" t="s">
        <v>127</v>
      </c>
      <c r="S564" s="430" t="str">
        <f t="shared" si="246"/>
        <v>N/A</v>
      </c>
      <c r="T564" s="247">
        <v>0.8</v>
      </c>
      <c r="U564" s="13">
        <v>150</v>
      </c>
      <c r="V564" s="13">
        <v>700</v>
      </c>
      <c r="W564" s="430">
        <f t="shared" si="244"/>
        <v>550</v>
      </c>
      <c r="X564" s="430">
        <f t="shared" si="245"/>
        <v>130</v>
      </c>
      <c r="Y564" s="13">
        <v>150</v>
      </c>
      <c r="Z564" s="13">
        <v>700</v>
      </c>
      <c r="AA564" s="430">
        <f t="shared" si="250"/>
        <v>550</v>
      </c>
      <c r="AB564" s="430">
        <f t="shared" si="251"/>
        <v>130</v>
      </c>
      <c r="AC564" s="430" t="str">
        <f t="shared" si="252"/>
        <v>N/A</v>
      </c>
      <c r="AD564" s="430">
        <f t="shared" si="253"/>
        <v>83</v>
      </c>
      <c r="AE564" s="431">
        <f t="shared" si="254"/>
        <v>0.97430000000000005</v>
      </c>
      <c r="AF564" s="431"/>
      <c r="AG564" s="431">
        <f t="shared" si="255"/>
        <v>0.90732361111111126</v>
      </c>
      <c r="AH564" s="431">
        <f t="shared" si="256"/>
        <v>0.961763027777778</v>
      </c>
      <c r="AI564" s="432">
        <f t="shared" si="257"/>
        <v>861.67209200000002</v>
      </c>
      <c r="AJ564" s="432">
        <f t="shared" si="258"/>
        <v>171.57519043401214</v>
      </c>
      <c r="AK564" s="432">
        <f t="shared" si="259"/>
        <v>187.60423548269341</v>
      </c>
      <c r="AL564" s="432">
        <f t="shared" si="260"/>
        <v>372.93014923110076</v>
      </c>
      <c r="AM564" s="250">
        <v>188</v>
      </c>
      <c r="AN564" s="432">
        <f t="shared" si="261"/>
        <v>203.04</v>
      </c>
      <c r="AO564" s="432">
        <f t="shared" si="262"/>
        <v>195.27636516000004</v>
      </c>
      <c r="AP564" s="432">
        <f t="shared" si="263"/>
        <v>781.10546064000016</v>
      </c>
      <c r="AQ564" s="255" t="s">
        <v>132</v>
      </c>
      <c r="AR564" s="13" t="s">
        <v>2510</v>
      </c>
      <c r="AS564" s="429"/>
      <c r="AT564" s="429" t="s">
        <v>2511</v>
      </c>
      <c r="AU564" s="252"/>
      <c r="AV564" s="260"/>
      <c r="AX564" s="243"/>
      <c r="AY564" s="103"/>
      <c r="BA564" s="13"/>
      <c r="BC564" s="32"/>
      <c r="BD564" s="241"/>
      <c r="BE564" s="241"/>
      <c r="BF564" s="71"/>
      <c r="BG564" s="241"/>
      <c r="BH564" s="241"/>
      <c r="BI564" s="71"/>
      <c r="BJ564" s="114"/>
      <c r="BK564" s="111"/>
      <c r="BL564" s="112"/>
      <c r="BM564" s="111"/>
      <c r="BN564" s="123"/>
      <c r="BO564" s="83"/>
      <c r="BP564" s="88"/>
      <c r="BQ564" s="102"/>
      <c r="BR564" s="100"/>
      <c r="BS564" s="100"/>
      <c r="BT564" s="38"/>
      <c r="BU564" s="288"/>
      <c r="BV564" s="248"/>
      <c r="BW564" s="173"/>
      <c r="BX564" s="288"/>
      <c r="BY564" s="288"/>
      <c r="BZ564" s="173"/>
      <c r="CA564" s="76"/>
    </row>
    <row r="565" spans="1:79" s="72" customFormat="1">
      <c r="A565" s="13" t="s">
        <v>2110</v>
      </c>
      <c r="B565" s="13" t="s">
        <v>2487</v>
      </c>
      <c r="C565" s="13" t="s">
        <v>1147</v>
      </c>
      <c r="D565" s="387" t="s">
        <v>2512</v>
      </c>
      <c r="E565" s="13" t="s">
        <v>118</v>
      </c>
      <c r="F565" s="13" t="s">
        <v>119</v>
      </c>
      <c r="G565" s="13" t="s">
        <v>2513</v>
      </c>
      <c r="H565" s="13" t="s">
        <v>146</v>
      </c>
      <c r="I565" s="13" t="s">
        <v>147</v>
      </c>
      <c r="J565" s="13" t="s">
        <v>5</v>
      </c>
      <c r="K565" s="13" t="s">
        <v>123</v>
      </c>
      <c r="L565" s="13" t="s">
        <v>2514</v>
      </c>
      <c r="M565" s="13" t="s">
        <v>125</v>
      </c>
      <c r="N565" s="13" t="s">
        <v>126</v>
      </c>
      <c r="O565" s="247">
        <v>0.28999999999999998</v>
      </c>
      <c r="P565" s="438">
        <v>118</v>
      </c>
      <c r="Q565" s="13">
        <v>30</v>
      </c>
      <c r="R565" s="13" t="s">
        <v>127</v>
      </c>
      <c r="S565" s="430" t="str">
        <f t="shared" si="246"/>
        <v>N/A</v>
      </c>
      <c r="T565" s="247">
        <v>0.8</v>
      </c>
      <c r="U565" s="13">
        <v>200</v>
      </c>
      <c r="V565" s="13">
        <v>650</v>
      </c>
      <c r="W565" s="430">
        <f t="shared" si="244"/>
        <v>450</v>
      </c>
      <c r="X565" s="430">
        <f t="shared" si="245"/>
        <v>230</v>
      </c>
      <c r="Y565" s="13">
        <v>200</v>
      </c>
      <c r="Z565" s="13">
        <v>650</v>
      </c>
      <c r="AA565" s="430">
        <f t="shared" si="250"/>
        <v>450</v>
      </c>
      <c r="AB565" s="430">
        <f t="shared" si="251"/>
        <v>230</v>
      </c>
      <c r="AC565" s="430" t="str">
        <f t="shared" si="252"/>
        <v>N/A</v>
      </c>
      <c r="AD565" s="430">
        <f t="shared" si="253"/>
        <v>88</v>
      </c>
      <c r="AE565" s="431">
        <f t="shared" si="254"/>
        <v>1.0552000000000001</v>
      </c>
      <c r="AF565" s="431"/>
      <c r="AG565" s="431">
        <f t="shared" si="255"/>
        <v>0.96004067796610182</v>
      </c>
      <c r="AH565" s="431">
        <f t="shared" si="256"/>
        <v>1.017643118644068</v>
      </c>
      <c r="AI565" s="432">
        <f t="shared" si="257"/>
        <v>866.88050800000008</v>
      </c>
      <c r="AJ565" s="432">
        <f t="shared" si="258"/>
        <v>158.4208757011543</v>
      </c>
      <c r="AK565" s="432">
        <f t="shared" si="259"/>
        <v>173.22100704206608</v>
      </c>
      <c r="AL565" s="432">
        <f t="shared" si="260"/>
        <v>344.33836656165789</v>
      </c>
      <c r="AM565" s="250">
        <v>173</v>
      </c>
      <c r="AN565" s="432">
        <f t="shared" si="261"/>
        <v>204.14</v>
      </c>
      <c r="AO565" s="432">
        <f t="shared" si="262"/>
        <v>207.74166624000003</v>
      </c>
      <c r="AP565" s="432">
        <f t="shared" si="263"/>
        <v>692.47222080000017</v>
      </c>
      <c r="AQ565" s="255">
        <v>45536</v>
      </c>
      <c r="AR565" s="13" t="s">
        <v>2515</v>
      </c>
      <c r="AS565" s="429"/>
      <c r="AT565" s="13"/>
      <c r="AU565" s="252"/>
      <c r="AV565" s="260"/>
      <c r="AX565" s="243"/>
      <c r="AY565" s="103">
        <f>(V565/10)/P565</f>
        <v>0.55084745762711862</v>
      </c>
      <c r="BA565" s="13"/>
      <c r="BC565" s="32"/>
      <c r="BD565" s="241"/>
      <c r="BE565" s="241"/>
      <c r="BF565" s="71"/>
      <c r="BG565" s="241"/>
      <c r="BH565" s="241"/>
      <c r="BI565" s="71"/>
      <c r="BJ565" s="114"/>
      <c r="BK565" s="111"/>
      <c r="BL565" s="112"/>
      <c r="BM565" s="111"/>
      <c r="BN565" s="123"/>
      <c r="BO565" s="83"/>
      <c r="BP565" s="88"/>
      <c r="BQ565" s="124"/>
      <c r="BR565" s="124"/>
      <c r="BS565" s="71"/>
      <c r="BU565" s="78"/>
      <c r="BV565" s="32"/>
      <c r="BW565" s="127"/>
      <c r="BX565" s="78"/>
      <c r="BY565" s="78"/>
      <c r="BZ565" s="127"/>
      <c r="CA565" s="76"/>
    </row>
    <row r="566" spans="1:79" s="77" customFormat="1">
      <c r="A566" s="13" t="s">
        <v>2110</v>
      </c>
      <c r="B566" s="13" t="s">
        <v>2487</v>
      </c>
      <c r="C566" s="13" t="s">
        <v>1147</v>
      </c>
      <c r="D566" s="387" t="s">
        <v>2512</v>
      </c>
      <c r="E566" s="13" t="s">
        <v>118</v>
      </c>
      <c r="F566" s="13" t="s">
        <v>119</v>
      </c>
      <c r="G566" s="13" t="s">
        <v>2516</v>
      </c>
      <c r="H566" s="13" t="s">
        <v>146</v>
      </c>
      <c r="I566" s="13" t="s">
        <v>147</v>
      </c>
      <c r="J566" s="13" t="s">
        <v>5</v>
      </c>
      <c r="K566" s="13" t="s">
        <v>123</v>
      </c>
      <c r="L566" s="13" t="s">
        <v>2517</v>
      </c>
      <c r="M566" s="13" t="s">
        <v>125</v>
      </c>
      <c r="N566" s="13" t="s">
        <v>126</v>
      </c>
      <c r="O566" s="247">
        <v>0.28999999999999998</v>
      </c>
      <c r="P566" s="13">
        <v>114</v>
      </c>
      <c r="Q566" s="13">
        <v>30</v>
      </c>
      <c r="R566" s="13" t="s">
        <v>127</v>
      </c>
      <c r="S566" s="430" t="str">
        <f t="shared" si="246"/>
        <v>N/A</v>
      </c>
      <c r="T566" s="247">
        <v>0.8</v>
      </c>
      <c r="U566" s="13">
        <v>200</v>
      </c>
      <c r="V566" s="13">
        <v>650</v>
      </c>
      <c r="W566" s="430">
        <f t="shared" si="244"/>
        <v>450</v>
      </c>
      <c r="X566" s="430">
        <f t="shared" si="245"/>
        <v>190</v>
      </c>
      <c r="Y566" s="13">
        <v>200</v>
      </c>
      <c r="Z566" s="13">
        <v>650</v>
      </c>
      <c r="AA566" s="430">
        <f t="shared" si="250"/>
        <v>450</v>
      </c>
      <c r="AB566" s="430">
        <f t="shared" si="251"/>
        <v>190</v>
      </c>
      <c r="AC566" s="430" t="str">
        <f t="shared" si="252"/>
        <v>N/A</v>
      </c>
      <c r="AD566" s="430">
        <f t="shared" si="253"/>
        <v>84</v>
      </c>
      <c r="AE566" s="431">
        <f t="shared" si="254"/>
        <v>1.0436000000000001</v>
      </c>
      <c r="AF566" s="431"/>
      <c r="AG566" s="431">
        <f t="shared" si="255"/>
        <v>0.95385263157894751</v>
      </c>
      <c r="AH566" s="431">
        <f t="shared" si="256"/>
        <v>1.0110837894736844</v>
      </c>
      <c r="AI566" s="432">
        <f t="shared" si="257"/>
        <v>866.88050800000008</v>
      </c>
      <c r="AJ566" s="432">
        <f t="shared" si="258"/>
        <v>160.18178233025873</v>
      </c>
      <c r="AK566" s="432">
        <f t="shared" si="259"/>
        <v>175.14642260520137</v>
      </c>
      <c r="AL566" s="432">
        <f t="shared" si="260"/>
        <v>348.16581486763266</v>
      </c>
      <c r="AM566" s="250">
        <v>175</v>
      </c>
      <c r="AN566" s="432">
        <f t="shared" si="261"/>
        <v>199.5</v>
      </c>
      <c r="AO566" s="432">
        <f t="shared" si="262"/>
        <v>201.71121600000004</v>
      </c>
      <c r="AP566" s="432">
        <f t="shared" si="263"/>
        <v>672.37072000000012</v>
      </c>
      <c r="AQ566" s="255">
        <v>45627</v>
      </c>
      <c r="AR566" s="13" t="s">
        <v>2518</v>
      </c>
      <c r="AS566" s="429"/>
      <c r="AT566" s="429" t="s">
        <v>2519</v>
      </c>
      <c r="AU566" s="252"/>
      <c r="AV566" s="260"/>
      <c r="AW566" s="72"/>
      <c r="AX566" s="243"/>
      <c r="AY566" s="103">
        <f>(V566/10)/P566</f>
        <v>0.57017543859649122</v>
      </c>
      <c r="AZ566" s="72"/>
      <c r="BA566" s="13"/>
      <c r="BB566" s="72"/>
      <c r="BC566" s="32"/>
      <c r="BD566" s="241"/>
      <c r="BE566" s="241"/>
      <c r="BF566" s="71"/>
      <c r="BG566" s="241"/>
      <c r="BH566" s="241"/>
      <c r="BI566" s="71"/>
      <c r="BJ566" s="114"/>
      <c r="BK566" s="111"/>
      <c r="BL566" s="112"/>
      <c r="BM566" s="111"/>
      <c r="BN566" s="123"/>
      <c r="BO566" s="83"/>
      <c r="BP566" s="88"/>
      <c r="BQ566" s="155"/>
      <c r="BR566" s="124"/>
      <c r="BS566" s="71"/>
      <c r="BT566" s="72"/>
      <c r="BU566" s="78"/>
      <c r="BV566" s="32"/>
      <c r="BW566" s="127"/>
      <c r="BX566" s="78"/>
      <c r="BY566" s="78"/>
      <c r="BZ566" s="127"/>
      <c r="CA566" s="76"/>
    </row>
    <row r="567" spans="1:79" s="72" customFormat="1">
      <c r="A567" s="13" t="s">
        <v>2110</v>
      </c>
      <c r="B567" s="13" t="s">
        <v>2487</v>
      </c>
      <c r="C567" s="13" t="s">
        <v>1147</v>
      </c>
      <c r="D567" s="387" t="s">
        <v>2512</v>
      </c>
      <c r="E567" s="13" t="s">
        <v>118</v>
      </c>
      <c r="F567" s="13" t="s">
        <v>119</v>
      </c>
      <c r="G567" s="13" t="s">
        <v>2520</v>
      </c>
      <c r="H567" s="13" t="s">
        <v>146</v>
      </c>
      <c r="I567" s="13" t="s">
        <v>147</v>
      </c>
      <c r="J567" s="13" t="s">
        <v>5</v>
      </c>
      <c r="K567" s="13" t="s">
        <v>123</v>
      </c>
      <c r="L567" s="13" t="s">
        <v>2521</v>
      </c>
      <c r="M567" s="13" t="s">
        <v>125</v>
      </c>
      <c r="N567" s="13" t="s">
        <v>126</v>
      </c>
      <c r="O567" s="247">
        <v>0.28999999999999998</v>
      </c>
      <c r="P567" s="13">
        <v>111</v>
      </c>
      <c r="Q567" s="13">
        <v>30</v>
      </c>
      <c r="R567" s="13" t="s">
        <v>127</v>
      </c>
      <c r="S567" s="430" t="str">
        <f t="shared" si="246"/>
        <v>N/A</v>
      </c>
      <c r="T567" s="247">
        <v>0.8</v>
      </c>
      <c r="U567" s="13">
        <v>200</v>
      </c>
      <c r="V567" s="13">
        <v>650</v>
      </c>
      <c r="W567" s="430">
        <f t="shared" si="244"/>
        <v>450</v>
      </c>
      <c r="X567" s="430">
        <f t="shared" si="245"/>
        <v>160</v>
      </c>
      <c r="Y567" s="13">
        <v>200</v>
      </c>
      <c r="Z567" s="13">
        <v>650</v>
      </c>
      <c r="AA567" s="430">
        <f t="shared" si="250"/>
        <v>450</v>
      </c>
      <c r="AB567" s="430">
        <f t="shared" si="251"/>
        <v>160</v>
      </c>
      <c r="AC567" s="430" t="str">
        <f t="shared" si="252"/>
        <v>N/A</v>
      </c>
      <c r="AD567" s="430">
        <f t="shared" si="253"/>
        <v>81</v>
      </c>
      <c r="AE567" s="431">
        <f t="shared" si="254"/>
        <v>1.0348999999999999</v>
      </c>
      <c r="AF567" s="431"/>
      <c r="AG567" s="431">
        <f t="shared" si="255"/>
        <v>0.94919324324324328</v>
      </c>
      <c r="AH567" s="431">
        <f t="shared" si="256"/>
        <v>1.0061448378378379</v>
      </c>
      <c r="AI567" s="432">
        <f t="shared" si="257"/>
        <v>866.88050800000008</v>
      </c>
      <c r="AJ567" s="432">
        <f t="shared" si="258"/>
        <v>161.52836799677073</v>
      </c>
      <c r="AK567" s="432">
        <f t="shared" si="259"/>
        <v>176.61881015633219</v>
      </c>
      <c r="AL567" s="432">
        <f t="shared" si="260"/>
        <v>351.09270885676051</v>
      </c>
      <c r="AM567" s="250">
        <v>177</v>
      </c>
      <c r="AN567" s="432">
        <f t="shared" si="261"/>
        <v>196.47</v>
      </c>
      <c r="AO567" s="432">
        <f t="shared" si="262"/>
        <v>197.67727629000001</v>
      </c>
      <c r="AP567" s="432">
        <f t="shared" si="263"/>
        <v>658.92425430000003</v>
      </c>
      <c r="AQ567" s="255">
        <v>45839</v>
      </c>
      <c r="AR567" s="13" t="s">
        <v>2522</v>
      </c>
      <c r="AS567" s="429" t="s">
        <v>2523</v>
      </c>
      <c r="AT567" s="13"/>
      <c r="AU567" s="252"/>
      <c r="AV567" s="260"/>
      <c r="AX567" s="243"/>
      <c r="AY567" s="103"/>
      <c r="BA567" s="13"/>
      <c r="BC567" s="32"/>
      <c r="BD567" s="241"/>
      <c r="BE567" s="241"/>
      <c r="BF567" s="71"/>
      <c r="BG567" s="241"/>
      <c r="BH567" s="241"/>
      <c r="BI567" s="71"/>
      <c r="BJ567" s="114"/>
      <c r="BK567" s="111"/>
      <c r="BL567" s="112"/>
      <c r="BM567" s="111"/>
      <c r="BN567" s="123"/>
      <c r="BO567" s="83"/>
      <c r="BP567" s="88"/>
      <c r="BQ567" s="124"/>
      <c r="BR567" s="124"/>
      <c r="BS567" s="71"/>
      <c r="BU567" s="78"/>
      <c r="BV567" s="32"/>
      <c r="BW567" s="127"/>
      <c r="BX567" s="78"/>
      <c r="BY567" s="78"/>
      <c r="BZ567" s="127"/>
      <c r="CA567" s="76"/>
    </row>
    <row r="568" spans="1:79" s="72" customFormat="1">
      <c r="A568" s="13" t="s">
        <v>2110</v>
      </c>
      <c r="B568" s="387" t="s">
        <v>2524</v>
      </c>
      <c r="C568" s="13" t="s">
        <v>204</v>
      </c>
      <c r="D568" s="13" t="s">
        <v>2525</v>
      </c>
      <c r="E568" s="13" t="s">
        <v>118</v>
      </c>
      <c r="F568" s="13" t="s">
        <v>119</v>
      </c>
      <c r="G568" s="13" t="s">
        <v>2526</v>
      </c>
      <c r="H568" s="13" t="s">
        <v>146</v>
      </c>
      <c r="I568" s="13" t="s">
        <v>147</v>
      </c>
      <c r="J568" s="13" t="s">
        <v>5</v>
      </c>
      <c r="K568" s="13" t="s">
        <v>123</v>
      </c>
      <c r="L568" s="13" t="s">
        <v>2527</v>
      </c>
      <c r="M568" s="13" t="s">
        <v>125</v>
      </c>
      <c r="N568" s="13" t="s">
        <v>12</v>
      </c>
      <c r="O568" s="247">
        <v>0.5</v>
      </c>
      <c r="P568" s="13">
        <v>105</v>
      </c>
      <c r="Q568" s="13">
        <v>30</v>
      </c>
      <c r="R568" s="13" t="s">
        <v>127</v>
      </c>
      <c r="S568" s="430" t="str">
        <f t="shared" si="246"/>
        <v>N/A</v>
      </c>
      <c r="T568" s="247">
        <v>0.8</v>
      </c>
      <c r="U568" s="13">
        <v>260</v>
      </c>
      <c r="V568" s="13">
        <v>610</v>
      </c>
      <c r="W568" s="430">
        <f t="shared" si="244"/>
        <v>350</v>
      </c>
      <c r="X568" s="430">
        <f t="shared" si="245"/>
        <v>140</v>
      </c>
      <c r="Y568" s="13">
        <v>210</v>
      </c>
      <c r="Z568" s="13">
        <v>610</v>
      </c>
      <c r="AA568" s="430">
        <f t="shared" si="250"/>
        <v>400</v>
      </c>
      <c r="AB568" s="430">
        <f t="shared" si="251"/>
        <v>140</v>
      </c>
      <c r="AC568" s="430" t="str">
        <f t="shared" si="252"/>
        <v>N/A</v>
      </c>
      <c r="AD568" s="430">
        <f t="shared" si="253"/>
        <v>75</v>
      </c>
      <c r="AE568" s="431">
        <f t="shared" si="254"/>
        <v>1.175</v>
      </c>
      <c r="AF568" s="431"/>
      <c r="AG568" s="431">
        <f t="shared" si="255"/>
        <v>1.0410714285714286</v>
      </c>
      <c r="AH568" s="431">
        <f t="shared" si="256"/>
        <v>1.1035357142857145</v>
      </c>
      <c r="AI568" s="432">
        <f t="shared" si="257"/>
        <v>880.5526000000001</v>
      </c>
      <c r="AJ568" s="432">
        <f t="shared" si="258"/>
        <v>142.26868769349619</v>
      </c>
      <c r="AK568" s="432">
        <f t="shared" si="259"/>
        <v>155.55983543045801</v>
      </c>
      <c r="AL568" s="432">
        <f t="shared" si="260"/>
        <v>309.23050586881823</v>
      </c>
      <c r="AM568" s="250">
        <v>156</v>
      </c>
      <c r="AN568" s="432">
        <f t="shared" si="261"/>
        <v>163.80000000000001</v>
      </c>
      <c r="AO568" s="432">
        <f t="shared" si="262"/>
        <v>180.75915000000006</v>
      </c>
      <c r="AP568" s="432">
        <f t="shared" si="263"/>
        <v>602.53050000000019</v>
      </c>
      <c r="AQ568" s="255">
        <v>45231</v>
      </c>
      <c r="AR568" s="13" t="s">
        <v>2528</v>
      </c>
      <c r="AS568" s="436" t="s">
        <v>2529</v>
      </c>
      <c r="AT568" s="429"/>
      <c r="AU568" s="250"/>
      <c r="AV568" s="255"/>
      <c r="AW568" s="13"/>
      <c r="AX568" s="255"/>
      <c r="AY568" s="103">
        <f>(V568/10)/P568</f>
        <v>0.580952380952381</v>
      </c>
      <c r="AZ568" s="13"/>
      <c r="BA568" s="13" t="str">
        <f>LEFT(G568,3)</f>
        <v>W22</v>
      </c>
      <c r="BB568" s="13"/>
      <c r="BC568" s="29">
        <f>IF(Q568="","",((P568/100*O568)+T568))</f>
        <v>1.3250000000000002</v>
      </c>
      <c r="BD568" s="250">
        <f>IF(BC568="","",((PI()*((51/2)^2-(16.545/2)^2)/(BC568/10))/100))</f>
        <v>137.94928802323636</v>
      </c>
      <c r="BE568" s="250"/>
      <c r="BF568" s="103"/>
      <c r="BG568" s="250"/>
      <c r="BH568" s="250"/>
      <c r="BI568" s="103"/>
      <c r="BJ568" s="111"/>
      <c r="BK568" s="111"/>
      <c r="BL568" s="112"/>
      <c r="BM568" s="101"/>
      <c r="BN568" s="111"/>
      <c r="BO568" s="83"/>
      <c r="BP568" s="83"/>
      <c r="BQ568" s="151"/>
      <c r="BR568" s="115"/>
      <c r="BS568" s="80"/>
      <c r="BT568" s="22"/>
      <c r="BU568" s="87"/>
      <c r="BV568" s="73"/>
      <c r="BW568" s="109"/>
      <c r="BX568" s="87"/>
      <c r="BY568" s="87"/>
      <c r="BZ568" s="109"/>
      <c r="CA568" s="284"/>
    </row>
    <row r="569" spans="1:79" s="72" customFormat="1">
      <c r="A569" s="13" t="s">
        <v>2110</v>
      </c>
      <c r="B569" s="387" t="s">
        <v>2524</v>
      </c>
      <c r="C569" s="13" t="s">
        <v>204</v>
      </c>
      <c r="D569" s="13" t="s">
        <v>2530</v>
      </c>
      <c r="E569" s="13" t="s">
        <v>137</v>
      </c>
      <c r="F569" s="13" t="s">
        <v>119</v>
      </c>
      <c r="G569" s="13" t="s">
        <v>2531</v>
      </c>
      <c r="H569" s="387" t="s">
        <v>146</v>
      </c>
      <c r="I569" s="13" t="s">
        <v>147</v>
      </c>
      <c r="J569" s="13" t="s">
        <v>5</v>
      </c>
      <c r="K569" s="13" t="s">
        <v>123</v>
      </c>
      <c r="L569" s="13"/>
      <c r="M569" s="13" t="s">
        <v>125</v>
      </c>
      <c r="N569" s="13" t="s">
        <v>12</v>
      </c>
      <c r="O569" s="247">
        <v>0.45</v>
      </c>
      <c r="P569" s="438">
        <v>110</v>
      </c>
      <c r="Q569" s="13">
        <v>30</v>
      </c>
      <c r="R569" s="13" t="s">
        <v>127</v>
      </c>
      <c r="S569" s="430" t="str">
        <f t="shared" si="246"/>
        <v>N/A</v>
      </c>
      <c r="T569" s="247">
        <v>0.8</v>
      </c>
      <c r="U569" s="13">
        <v>235</v>
      </c>
      <c r="V569" s="13">
        <v>635</v>
      </c>
      <c r="W569" s="430">
        <f t="shared" si="244"/>
        <v>400</v>
      </c>
      <c r="X569" s="430">
        <f t="shared" si="245"/>
        <v>165</v>
      </c>
      <c r="Y569" s="13">
        <v>235</v>
      </c>
      <c r="Z569" s="13">
        <v>635</v>
      </c>
      <c r="AA569" s="430">
        <f t="shared" si="250"/>
        <v>400</v>
      </c>
      <c r="AB569" s="430">
        <f t="shared" si="251"/>
        <v>165</v>
      </c>
      <c r="AC569" s="430" t="str">
        <f t="shared" si="252"/>
        <v>N/A</v>
      </c>
      <c r="AD569" s="430">
        <f t="shared" si="253"/>
        <v>80</v>
      </c>
      <c r="AE569" s="431">
        <f t="shared" si="254"/>
        <v>1.1600000000000001</v>
      </c>
      <c r="AF569" s="431"/>
      <c r="AG569" s="431">
        <f t="shared" si="255"/>
        <v>1.0290909090909093</v>
      </c>
      <c r="AH569" s="431">
        <f t="shared" si="256"/>
        <v>1.0908363636363638</v>
      </c>
      <c r="AI569" s="432">
        <f t="shared" si="257"/>
        <v>877.29733999999996</v>
      </c>
      <c r="AJ569" s="432">
        <f t="shared" si="258"/>
        <v>144.1083689998776</v>
      </c>
      <c r="AK569" s="432">
        <f t="shared" si="259"/>
        <v>157.57138502654149</v>
      </c>
      <c r="AL569" s="432">
        <f t="shared" si="260"/>
        <v>313.22917620332879</v>
      </c>
      <c r="AM569" s="250">
        <v>158</v>
      </c>
      <c r="AN569" s="432">
        <f t="shared" si="261"/>
        <v>173.8</v>
      </c>
      <c r="AO569" s="432">
        <f t="shared" si="262"/>
        <v>189.58736000000005</v>
      </c>
      <c r="AP569" s="432">
        <f t="shared" si="263"/>
        <v>631.95786666666686</v>
      </c>
      <c r="AQ569" s="255">
        <v>45839</v>
      </c>
      <c r="AR569" s="451" t="s">
        <v>2532</v>
      </c>
      <c r="AS569" s="434"/>
      <c r="AT569" s="435"/>
      <c r="AU569" s="250"/>
      <c r="AV569" s="255"/>
      <c r="AW569" s="13"/>
      <c r="AX569" s="255"/>
      <c r="AY569" s="103"/>
      <c r="AZ569" s="13"/>
      <c r="BA569" s="13"/>
      <c r="BC569" s="32"/>
      <c r="BD569" s="241"/>
      <c r="BE569" s="241"/>
      <c r="BF569" s="71"/>
      <c r="BG569" s="241"/>
      <c r="BH569" s="241"/>
      <c r="BI569" s="71"/>
      <c r="BJ569" s="114"/>
      <c r="BK569" s="363"/>
      <c r="BL569" s="112"/>
      <c r="BM569" s="111"/>
      <c r="BN569" s="123"/>
      <c r="BO569" s="141"/>
      <c r="BP569" s="141"/>
      <c r="BQ569" s="124"/>
      <c r="BR569" s="124"/>
      <c r="BS569" s="71"/>
      <c r="BU569" s="78"/>
      <c r="BV569" s="32"/>
      <c r="BW569" s="127"/>
      <c r="BX569" s="78"/>
      <c r="BY569" s="78"/>
      <c r="BZ569" s="127"/>
      <c r="CA569" s="76"/>
    </row>
    <row r="570" spans="1:79" s="22" customFormat="1">
      <c r="A570" s="13" t="s">
        <v>2110</v>
      </c>
      <c r="B570" s="13" t="s">
        <v>2533</v>
      </c>
      <c r="C570" s="13" t="s">
        <v>2534</v>
      </c>
      <c r="D570" s="13" t="s">
        <v>2535</v>
      </c>
      <c r="E570" s="13" t="s">
        <v>118</v>
      </c>
      <c r="F570" s="13" t="s">
        <v>119</v>
      </c>
      <c r="G570" s="13" t="s">
        <v>2536</v>
      </c>
      <c r="H570" s="13" t="s">
        <v>146</v>
      </c>
      <c r="I570" s="13" t="s">
        <v>147</v>
      </c>
      <c r="J570" s="13" t="s">
        <v>5</v>
      </c>
      <c r="K570" s="13" t="s">
        <v>123</v>
      </c>
      <c r="L570" s="13" t="s">
        <v>2537</v>
      </c>
      <c r="M570" s="13" t="s">
        <v>125</v>
      </c>
      <c r="N570" s="13" t="s">
        <v>12</v>
      </c>
      <c r="O570" s="247">
        <v>0.21</v>
      </c>
      <c r="P570" s="13">
        <v>116</v>
      </c>
      <c r="Q570" s="13">
        <v>30</v>
      </c>
      <c r="R570" s="13" t="s">
        <v>127</v>
      </c>
      <c r="S570" s="430" t="str">
        <f t="shared" si="246"/>
        <v>N/A</v>
      </c>
      <c r="T570" s="247">
        <v>0.8</v>
      </c>
      <c r="U570" s="13">
        <v>390</v>
      </c>
      <c r="V570" s="13">
        <v>690</v>
      </c>
      <c r="W570" s="430">
        <f t="shared" si="244"/>
        <v>300</v>
      </c>
      <c r="X570" s="430">
        <f t="shared" si="245"/>
        <v>170</v>
      </c>
      <c r="Y570" s="13">
        <v>350</v>
      </c>
      <c r="Z570" s="13">
        <v>750</v>
      </c>
      <c r="AA570" s="430">
        <f t="shared" si="250"/>
        <v>400</v>
      </c>
      <c r="AB570" s="430">
        <f t="shared" si="251"/>
        <v>110</v>
      </c>
      <c r="AC570" s="430" t="str">
        <f t="shared" si="252"/>
        <v>N/A</v>
      </c>
      <c r="AD570" s="430">
        <f t="shared" si="253"/>
        <v>86</v>
      </c>
      <c r="AE570" s="431">
        <f t="shared" si="254"/>
        <v>0.98060000000000003</v>
      </c>
      <c r="AF570" s="431"/>
      <c r="AG570" s="431">
        <f t="shared" si="255"/>
        <v>0.91365344827586203</v>
      </c>
      <c r="AH570" s="431">
        <f t="shared" si="256"/>
        <v>0.96847265517241377</v>
      </c>
      <c r="AI570" s="432">
        <f t="shared" si="257"/>
        <v>861.67209200000002</v>
      </c>
      <c r="AJ570" s="432">
        <f t="shared" si="258"/>
        <v>170.47288194968183</v>
      </c>
      <c r="AK570" s="432">
        <f t="shared" si="259"/>
        <v>186.39894618681231</v>
      </c>
      <c r="AL570" s="432">
        <f t="shared" si="260"/>
        <v>370.53420803167597</v>
      </c>
      <c r="AM570" s="250">
        <v>186</v>
      </c>
      <c r="AN570" s="432">
        <f t="shared" si="261"/>
        <v>215.76</v>
      </c>
      <c r="AO570" s="432">
        <f t="shared" si="262"/>
        <v>208.95766007999998</v>
      </c>
      <c r="AP570" s="432">
        <f t="shared" si="263"/>
        <v>696.52553360000002</v>
      </c>
      <c r="AQ570" s="255">
        <v>44986</v>
      </c>
      <c r="AR570" s="255" t="s">
        <v>2538</v>
      </c>
      <c r="AS570" s="429"/>
      <c r="AT570" s="429"/>
      <c r="AU570" s="252"/>
      <c r="AV570" s="260"/>
      <c r="AW570" s="72" t="s">
        <v>127</v>
      </c>
      <c r="AX570" s="243"/>
      <c r="AY570" s="103">
        <f>(V570/10)/P570</f>
        <v>0.59482758620689657</v>
      </c>
      <c r="AZ570" s="72"/>
      <c r="BA570" s="13" t="str">
        <f>LEFT(G570,3)</f>
        <v>W22</v>
      </c>
      <c r="BB570" s="72" t="str">
        <f>IF(R570="n/a","Clear","S/B")</f>
        <v>Clear</v>
      </c>
      <c r="BC570" s="32"/>
      <c r="BD570" s="241"/>
      <c r="BE570" s="241"/>
      <c r="BF570" s="71"/>
      <c r="BG570" s="241"/>
      <c r="BH570" s="241"/>
      <c r="BI570" s="71"/>
      <c r="BJ570" s="114"/>
      <c r="BK570" s="111"/>
      <c r="BL570" s="112"/>
      <c r="BM570" s="101"/>
      <c r="BN570" s="123"/>
      <c r="BO570" s="83"/>
      <c r="BP570" s="88"/>
      <c r="BQ570" s="71"/>
      <c r="BR570" s="71"/>
      <c r="BS570" s="71"/>
      <c r="BT570" s="72"/>
      <c r="BU570" s="72"/>
      <c r="BV570" s="72"/>
      <c r="BW570" s="72"/>
      <c r="BX570" s="72"/>
      <c r="BY570" s="72"/>
      <c r="BZ570" s="72"/>
      <c r="CA570" s="72"/>
    </row>
    <row r="571" spans="1:79" s="22" customFormat="1">
      <c r="A571" s="13" t="s">
        <v>2110</v>
      </c>
      <c r="B571" s="13" t="s">
        <v>2533</v>
      </c>
      <c r="C571" s="13" t="s">
        <v>2539</v>
      </c>
      <c r="D571" s="13" t="s">
        <v>2540</v>
      </c>
      <c r="E571" s="13" t="s">
        <v>118</v>
      </c>
      <c r="F571" s="13" t="s">
        <v>119</v>
      </c>
      <c r="G571" s="13" t="s">
        <v>2541</v>
      </c>
      <c r="H571" s="13" t="s">
        <v>146</v>
      </c>
      <c r="I571" s="13" t="s">
        <v>147</v>
      </c>
      <c r="J571" s="13" t="s">
        <v>5</v>
      </c>
      <c r="K571" s="13" t="s">
        <v>123</v>
      </c>
      <c r="L571" s="13" t="s">
        <v>228</v>
      </c>
      <c r="M571" s="13" t="s">
        <v>125</v>
      </c>
      <c r="N571" s="13" t="s">
        <v>12</v>
      </c>
      <c r="O571" s="247">
        <v>0.25</v>
      </c>
      <c r="P571" s="13">
        <v>118</v>
      </c>
      <c r="Q571" s="13">
        <v>30</v>
      </c>
      <c r="R571" s="13" t="s">
        <v>127</v>
      </c>
      <c r="S571" s="430" t="str">
        <f t="shared" si="246"/>
        <v>N/A</v>
      </c>
      <c r="T571" s="247">
        <v>0.8</v>
      </c>
      <c r="U571" s="13">
        <v>350</v>
      </c>
      <c r="V571" s="13">
        <v>750</v>
      </c>
      <c r="W571" s="430">
        <f t="shared" si="244"/>
        <v>400</v>
      </c>
      <c r="X571" s="430">
        <f t="shared" si="245"/>
        <v>130</v>
      </c>
      <c r="Y571" s="13">
        <v>350</v>
      </c>
      <c r="Z571" s="13">
        <v>750</v>
      </c>
      <c r="AA571" s="430">
        <f t="shared" si="250"/>
        <v>400</v>
      </c>
      <c r="AB571" s="430">
        <f t="shared" si="251"/>
        <v>130</v>
      </c>
      <c r="AC571" s="430" t="str">
        <f t="shared" si="252"/>
        <v>N/A</v>
      </c>
      <c r="AD571" s="430">
        <f t="shared" si="253"/>
        <v>88</v>
      </c>
      <c r="AE571" s="431">
        <f t="shared" si="254"/>
        <v>1.02</v>
      </c>
      <c r="AF571" s="431"/>
      <c r="AG571" s="431">
        <f t="shared" si="255"/>
        <v>0.93796610169491534</v>
      </c>
      <c r="AH571" s="431">
        <f t="shared" si="256"/>
        <v>0.99424406779661023</v>
      </c>
      <c r="AI571" s="432">
        <f t="shared" si="257"/>
        <v>864.27630000000011</v>
      </c>
      <c r="AJ571" s="432">
        <f t="shared" si="258"/>
        <v>163.88794905868431</v>
      </c>
      <c r="AK571" s="432">
        <f t="shared" si="259"/>
        <v>179.19883003018447</v>
      </c>
      <c r="AL571" s="432">
        <f t="shared" si="260"/>
        <v>356.22141607437402</v>
      </c>
      <c r="AM571" s="250">
        <v>356</v>
      </c>
      <c r="AN571" s="432">
        <f t="shared" si="261"/>
        <v>420.08</v>
      </c>
      <c r="AO571" s="432">
        <f t="shared" si="262"/>
        <v>417.66204800000003</v>
      </c>
      <c r="AP571" s="432">
        <f t="shared" si="263"/>
        <v>1392.2068266666668</v>
      </c>
      <c r="AQ571" s="255" t="s">
        <v>132</v>
      </c>
      <c r="AR571" s="255" t="s">
        <v>2542</v>
      </c>
      <c r="AS571" s="429"/>
      <c r="AT571" s="429"/>
      <c r="AU571" s="252"/>
      <c r="AV571" s="260"/>
      <c r="AW571" s="72"/>
      <c r="AX571" s="243"/>
      <c r="AY571" s="103"/>
      <c r="AZ571" s="72"/>
      <c r="BA571" s="13"/>
      <c r="BB571" s="72"/>
      <c r="BC571" s="32"/>
      <c r="BD571" s="241"/>
      <c r="BE571" s="241"/>
      <c r="BF571" s="71"/>
      <c r="BG571" s="241"/>
      <c r="BH571" s="241"/>
      <c r="BI571" s="71"/>
      <c r="BJ571" s="114"/>
      <c r="BK571" s="111"/>
      <c r="BL571" s="112"/>
      <c r="BM571" s="101"/>
      <c r="BN571" s="123"/>
      <c r="BO571" s="83"/>
      <c r="BP571" s="88"/>
      <c r="BQ571" s="71"/>
      <c r="BR571" s="71"/>
      <c r="BS571" s="71"/>
      <c r="BT571" s="72"/>
      <c r="BU571" s="72"/>
      <c r="BV571" s="72"/>
      <c r="BW571" s="72"/>
      <c r="BX571" s="72"/>
      <c r="BY571" s="72"/>
      <c r="BZ571" s="72"/>
      <c r="CA571" s="72"/>
    </row>
    <row r="572" spans="1:79" s="22" customFormat="1">
      <c r="A572" s="13" t="s">
        <v>2110</v>
      </c>
      <c r="B572" s="387" t="s">
        <v>1071</v>
      </c>
      <c r="C572" s="13" t="s">
        <v>1122</v>
      </c>
      <c r="D572" s="387" t="s">
        <v>2543</v>
      </c>
      <c r="E572" s="13" t="s">
        <v>118</v>
      </c>
      <c r="F572" s="13" t="s">
        <v>119</v>
      </c>
      <c r="G572" s="13" t="s">
        <v>2544</v>
      </c>
      <c r="H572" s="13" t="s">
        <v>146</v>
      </c>
      <c r="I572" s="13" t="s">
        <v>147</v>
      </c>
      <c r="J572" s="13" t="s">
        <v>5</v>
      </c>
      <c r="K572" s="13" t="s">
        <v>123</v>
      </c>
      <c r="L572" s="13" t="s">
        <v>2545</v>
      </c>
      <c r="M572" s="13" t="s">
        <v>125</v>
      </c>
      <c r="N572" s="13" t="s">
        <v>126</v>
      </c>
      <c r="O572" s="247">
        <v>0.66</v>
      </c>
      <c r="P572" s="13">
        <v>108</v>
      </c>
      <c r="Q572" s="13">
        <v>30</v>
      </c>
      <c r="R572" s="13" t="s">
        <v>127</v>
      </c>
      <c r="S572" s="430" t="str">
        <f t="shared" si="246"/>
        <v>N/A</v>
      </c>
      <c r="T572" s="247">
        <v>0.8</v>
      </c>
      <c r="U572" s="13">
        <v>200</v>
      </c>
      <c r="V572" s="13">
        <v>600</v>
      </c>
      <c r="W572" s="430">
        <f t="shared" si="244"/>
        <v>400</v>
      </c>
      <c r="X572" s="430">
        <f t="shared" si="245"/>
        <v>180</v>
      </c>
      <c r="Y572" s="13">
        <v>200</v>
      </c>
      <c r="Z572" s="13">
        <v>600</v>
      </c>
      <c r="AA572" s="430">
        <f t="shared" si="250"/>
        <v>400</v>
      </c>
      <c r="AB572" s="430">
        <f t="shared" si="251"/>
        <v>180</v>
      </c>
      <c r="AC572" s="430" t="str">
        <f t="shared" si="252"/>
        <v>N/A</v>
      </c>
      <c r="AD572" s="430">
        <f t="shared" si="253"/>
        <v>78</v>
      </c>
      <c r="AE572" s="431">
        <f t="shared" si="254"/>
        <v>1.3148</v>
      </c>
      <c r="AF572" s="431"/>
      <c r="AG572" s="431">
        <f t="shared" si="255"/>
        <v>1.1289</v>
      </c>
      <c r="AH572" s="431">
        <f t="shared" si="256"/>
        <v>1.196634</v>
      </c>
      <c r="AI572" s="432">
        <f t="shared" si="257"/>
        <v>890.9694320000001</v>
      </c>
      <c r="AJ572" s="432">
        <f t="shared" si="258"/>
        <v>127.14154855480534</v>
      </c>
      <c r="AK572" s="432">
        <f t="shared" si="259"/>
        <v>139.01947568511423</v>
      </c>
      <c r="AL572" s="432">
        <f t="shared" si="260"/>
        <v>276.35065743524609</v>
      </c>
      <c r="AM572" s="250">
        <v>139</v>
      </c>
      <c r="AN572" s="432">
        <f t="shared" si="261"/>
        <v>150.12</v>
      </c>
      <c r="AO572" s="432">
        <f t="shared" si="262"/>
        <v>179.63869607999999</v>
      </c>
      <c r="AP572" s="432">
        <f t="shared" si="263"/>
        <v>598.79565360000004</v>
      </c>
      <c r="AQ572" s="255">
        <v>45261</v>
      </c>
      <c r="AR572" s="13" t="s">
        <v>625</v>
      </c>
      <c r="AS572" s="429" t="s">
        <v>2546</v>
      </c>
      <c r="AT572" s="13"/>
      <c r="AU572" s="252"/>
      <c r="AV572" s="260"/>
      <c r="AW572" s="72"/>
      <c r="AX572" s="243"/>
      <c r="AY572" s="103">
        <f>(V572/10)/P572</f>
        <v>0.55555555555555558</v>
      </c>
      <c r="AZ572" s="72"/>
      <c r="BA572" s="13" t="str">
        <f>LEFT(G572,3)</f>
        <v>W22</v>
      </c>
      <c r="BB572" s="72"/>
      <c r="BC572" s="32"/>
      <c r="BD572" s="241"/>
      <c r="BE572" s="241"/>
      <c r="BF572" s="71"/>
      <c r="BG572" s="241"/>
      <c r="BH572" s="241"/>
      <c r="BI572" s="71"/>
      <c r="BJ572" s="114"/>
      <c r="BK572" s="111"/>
      <c r="BL572" s="112"/>
      <c r="BM572" s="111"/>
      <c r="BN572" s="123"/>
      <c r="BO572" s="83"/>
      <c r="BP572" s="88"/>
      <c r="BQ572" s="124"/>
      <c r="BR572" s="124"/>
      <c r="BS572" s="71"/>
      <c r="BT572" s="72">
        <f>P572-V572/10-120/10</f>
        <v>36</v>
      </c>
      <c r="BU572" s="78">
        <f>BT572-Q572</f>
        <v>6</v>
      </c>
      <c r="BV572" s="32">
        <f>T572+(O572/100*(P572-BT572))</f>
        <v>1.2752000000000001</v>
      </c>
      <c r="BW572" s="127">
        <f>(AE572-BV572)/AE572</f>
        <v>3.0118649224216504E-2</v>
      </c>
      <c r="BX572" s="78">
        <f>(PI()*((51/2)^2-(16.545/2)^2)/(BV572/10))/100</f>
        <v>143.33657985475858</v>
      </c>
      <c r="BY572" s="78">
        <f>BX572-AK572</f>
        <v>4.3171041696443524</v>
      </c>
      <c r="BZ572" s="127">
        <f>BY572/AK572</f>
        <v>3.105395232120426E-2</v>
      </c>
      <c r="CA572" s="76"/>
    </row>
    <row r="573" spans="1:79" s="72" customFormat="1">
      <c r="A573" s="13" t="s">
        <v>2110</v>
      </c>
      <c r="B573" s="387" t="s">
        <v>1071</v>
      </c>
      <c r="C573" s="13" t="s">
        <v>1056</v>
      </c>
      <c r="D573" s="387" t="s">
        <v>2437</v>
      </c>
      <c r="E573" s="13" t="s">
        <v>118</v>
      </c>
      <c r="F573" s="13" t="s">
        <v>119</v>
      </c>
      <c r="G573" s="13" t="s">
        <v>2547</v>
      </c>
      <c r="H573" s="13" t="s">
        <v>146</v>
      </c>
      <c r="I573" s="13" t="s">
        <v>147</v>
      </c>
      <c r="J573" s="13" t="s">
        <v>5</v>
      </c>
      <c r="K573" s="13" t="s">
        <v>123</v>
      </c>
      <c r="L573" s="13"/>
      <c r="M573" s="13" t="s">
        <v>125</v>
      </c>
      <c r="N573" s="13" t="s">
        <v>126</v>
      </c>
      <c r="O573" s="247">
        <v>0.31</v>
      </c>
      <c r="P573" s="13">
        <v>145</v>
      </c>
      <c r="Q573" s="13">
        <v>30</v>
      </c>
      <c r="R573" s="13" t="s">
        <v>127</v>
      </c>
      <c r="S573" s="430" t="str">
        <f t="shared" si="246"/>
        <v>N/A</v>
      </c>
      <c r="T573" s="247">
        <v>0.8</v>
      </c>
      <c r="U573" s="13">
        <v>200</v>
      </c>
      <c r="V573" s="13">
        <v>700</v>
      </c>
      <c r="W573" s="430">
        <f t="shared" si="244"/>
        <v>500</v>
      </c>
      <c r="X573" s="430">
        <f t="shared" si="245"/>
        <v>450</v>
      </c>
      <c r="Y573" s="13">
        <v>200</v>
      </c>
      <c r="Z573" s="13">
        <v>700</v>
      </c>
      <c r="AA573" s="430">
        <f t="shared" si="250"/>
        <v>500</v>
      </c>
      <c r="AB573" s="430">
        <f t="shared" si="251"/>
        <v>450</v>
      </c>
      <c r="AC573" s="430" t="str">
        <f t="shared" si="252"/>
        <v>N/A</v>
      </c>
      <c r="AD573" s="430">
        <f t="shared" si="253"/>
        <v>115</v>
      </c>
      <c r="AE573" s="431">
        <f t="shared" si="254"/>
        <v>1.1565000000000001</v>
      </c>
      <c r="AF573" s="431"/>
      <c r="AG573" s="431">
        <f t="shared" si="255"/>
        <v>1.0151293103448276</v>
      </c>
      <c r="AH573" s="431">
        <f t="shared" si="256"/>
        <v>1.0760370689655172</v>
      </c>
      <c r="AI573" s="432">
        <f t="shared" si="257"/>
        <v>868.18261199999995</v>
      </c>
      <c r="AJ573" s="432">
        <f t="shared" si="258"/>
        <v>144.54449463022743</v>
      </c>
      <c r="AK573" s="432">
        <f t="shared" si="259"/>
        <v>158.04825476073339</v>
      </c>
      <c r="AL573" s="432">
        <f t="shared" si="260"/>
        <v>314.17712442357237</v>
      </c>
      <c r="AM573" s="250">
        <v>158</v>
      </c>
      <c r="AN573" s="432">
        <f t="shared" si="261"/>
        <v>229.1</v>
      </c>
      <c r="AO573" s="432">
        <f t="shared" si="262"/>
        <v>246.52009249999998</v>
      </c>
      <c r="AP573" s="432">
        <f t="shared" si="263"/>
        <v>821.73364166666659</v>
      </c>
      <c r="AQ573" s="255">
        <v>45658</v>
      </c>
      <c r="AR573" s="13" t="s">
        <v>2548</v>
      </c>
      <c r="AS573" s="429" t="s">
        <v>2549</v>
      </c>
      <c r="AT573" s="13"/>
      <c r="AU573" s="252"/>
      <c r="AV573" s="260"/>
      <c r="AX573" s="243"/>
      <c r="AY573" s="103"/>
      <c r="BA573" s="13"/>
      <c r="BC573" s="32"/>
      <c r="BD573" s="241"/>
      <c r="BE573" s="241"/>
      <c r="BF573" s="71"/>
      <c r="BG573" s="241"/>
      <c r="BH573" s="241"/>
      <c r="BI573" s="71"/>
      <c r="BJ573" s="114"/>
      <c r="BK573" s="111"/>
      <c r="BL573" s="112"/>
      <c r="BM573" s="111"/>
      <c r="BN573" s="123"/>
      <c r="BO573" s="83"/>
      <c r="BP573" s="88"/>
      <c r="BQ573" s="108"/>
      <c r="BR573" s="71"/>
      <c r="BS573" s="71"/>
      <c r="BU573" s="78"/>
      <c r="BV573" s="32"/>
      <c r="BW573" s="127"/>
      <c r="BX573" s="78"/>
      <c r="BY573" s="78"/>
      <c r="BZ573" s="127"/>
      <c r="CA573" s="76"/>
    </row>
    <row r="574" spans="1:79" s="72" customFormat="1">
      <c r="A574" s="13" t="s">
        <v>2110</v>
      </c>
      <c r="B574" s="387" t="s">
        <v>1071</v>
      </c>
      <c r="C574" s="13" t="s">
        <v>1056</v>
      </c>
      <c r="D574" s="387" t="s">
        <v>2437</v>
      </c>
      <c r="E574" s="13" t="s">
        <v>118</v>
      </c>
      <c r="F574" s="13" t="s">
        <v>167</v>
      </c>
      <c r="G574" s="13" t="s">
        <v>2550</v>
      </c>
      <c r="H574" s="13" t="s">
        <v>146</v>
      </c>
      <c r="I574" s="13" t="s">
        <v>147</v>
      </c>
      <c r="J574" s="13" t="s">
        <v>5</v>
      </c>
      <c r="K574" s="13" t="s">
        <v>123</v>
      </c>
      <c r="L574" s="13" t="s">
        <v>127</v>
      </c>
      <c r="M574" s="13" t="s">
        <v>125</v>
      </c>
      <c r="N574" s="13" t="s">
        <v>126</v>
      </c>
      <c r="O574" s="247">
        <v>0.35</v>
      </c>
      <c r="P574" s="13">
        <v>145</v>
      </c>
      <c r="Q574" s="13">
        <v>30</v>
      </c>
      <c r="R574" s="13" t="s">
        <v>127</v>
      </c>
      <c r="S574" s="430" t="str">
        <f t="shared" si="246"/>
        <v>N/A</v>
      </c>
      <c r="T574" s="247">
        <v>0.8</v>
      </c>
      <c r="U574" s="13">
        <v>200</v>
      </c>
      <c r="V574" s="13">
        <v>700</v>
      </c>
      <c r="W574" s="430">
        <f t="shared" si="244"/>
        <v>500</v>
      </c>
      <c r="X574" s="430">
        <f t="shared" si="245"/>
        <v>450</v>
      </c>
      <c r="Y574" s="13">
        <v>20</v>
      </c>
      <c r="Z574" s="13">
        <v>700</v>
      </c>
      <c r="AA574" s="430">
        <f t="shared" si="250"/>
        <v>680</v>
      </c>
      <c r="AB574" s="430">
        <f t="shared" si="251"/>
        <v>450</v>
      </c>
      <c r="AC574" s="430" t="str">
        <f t="shared" si="252"/>
        <v>N/A</v>
      </c>
      <c r="AD574" s="430">
        <f t="shared" si="253"/>
        <v>115</v>
      </c>
      <c r="AE574" s="431">
        <f t="shared" si="254"/>
        <v>1.2025000000000001</v>
      </c>
      <c r="AF574" s="431"/>
      <c r="AG574" s="431">
        <f t="shared" si="255"/>
        <v>1.042887931034483</v>
      </c>
      <c r="AH574" s="431">
        <f t="shared" si="256"/>
        <v>1.1054612068965519</v>
      </c>
      <c r="AI574" s="432">
        <f t="shared" si="257"/>
        <v>870.78682000000003</v>
      </c>
      <c r="AJ574" s="432">
        <f t="shared" si="258"/>
        <v>139.01514182108775</v>
      </c>
      <c r="AK574" s="432">
        <f t="shared" si="259"/>
        <v>152.00233399649744</v>
      </c>
      <c r="AL574" s="432">
        <f t="shared" si="260"/>
        <v>302.15870635830476</v>
      </c>
      <c r="AM574" s="250"/>
      <c r="AN574" s="432">
        <f t="shared" si="261"/>
        <v>0</v>
      </c>
      <c r="AO574" s="432">
        <f t="shared" si="262"/>
        <v>0</v>
      </c>
      <c r="AP574" s="432">
        <f t="shared" si="263"/>
        <v>0</v>
      </c>
      <c r="AQ574" s="255" t="s">
        <v>170</v>
      </c>
      <c r="AR574" s="13" t="s">
        <v>366</v>
      </c>
      <c r="AS574" s="429"/>
      <c r="AT574" s="13" t="s">
        <v>2551</v>
      </c>
      <c r="AU574" s="241"/>
      <c r="AV574" s="243"/>
      <c r="AX574" s="243"/>
      <c r="AY574" s="71">
        <f>(V574/10)/P574</f>
        <v>0.48275862068965519</v>
      </c>
      <c r="BC574" s="32"/>
      <c r="BD574" s="241"/>
      <c r="BE574" s="241"/>
      <c r="BF574" s="71"/>
      <c r="BG574" s="241"/>
      <c r="BH574" s="241"/>
      <c r="BI574" s="71"/>
      <c r="BJ574" s="123"/>
      <c r="BK574" s="123"/>
      <c r="BL574" s="126"/>
      <c r="BM574" s="123"/>
      <c r="BN574" s="123"/>
      <c r="BO574" s="108"/>
      <c r="BP574" s="108"/>
      <c r="BQ574" s="124"/>
      <c r="BR574" s="124">
        <v>11136</v>
      </c>
      <c r="BS574" s="71"/>
      <c r="BU574" s="78"/>
      <c r="BV574" s="32"/>
      <c r="BW574" s="127"/>
      <c r="BX574" s="78"/>
      <c r="BY574" s="78"/>
      <c r="BZ574" s="127"/>
      <c r="CA574" s="76"/>
    </row>
    <row r="575" spans="1:79" s="72" customFormat="1">
      <c r="A575" s="13" t="s">
        <v>2110</v>
      </c>
      <c r="B575" s="387" t="s">
        <v>2552</v>
      </c>
      <c r="C575" s="13" t="s">
        <v>2553</v>
      </c>
      <c r="D575" s="387" t="s">
        <v>2554</v>
      </c>
      <c r="E575" s="13" t="s">
        <v>118</v>
      </c>
      <c r="F575" s="13" t="s">
        <v>119</v>
      </c>
      <c r="G575" s="13" t="s">
        <v>2555</v>
      </c>
      <c r="H575" s="13" t="s">
        <v>146</v>
      </c>
      <c r="I575" s="13" t="s">
        <v>147</v>
      </c>
      <c r="J575" s="13" t="s">
        <v>5</v>
      </c>
      <c r="K575" s="13" t="s">
        <v>123</v>
      </c>
      <c r="L575" s="13" t="s">
        <v>2556</v>
      </c>
      <c r="M575" s="13" t="s">
        <v>125</v>
      </c>
      <c r="N575" s="13" t="s">
        <v>126</v>
      </c>
      <c r="O575" s="247">
        <v>0.3</v>
      </c>
      <c r="P575" s="13">
        <v>110</v>
      </c>
      <c r="Q575" s="13">
        <v>30</v>
      </c>
      <c r="R575" s="13" t="s">
        <v>127</v>
      </c>
      <c r="S575" s="430" t="str">
        <f t="shared" si="246"/>
        <v>N/A</v>
      </c>
      <c r="T575" s="247">
        <v>0.8</v>
      </c>
      <c r="U575" s="13">
        <v>366</v>
      </c>
      <c r="V575" s="13">
        <v>613</v>
      </c>
      <c r="W575" s="430">
        <f t="shared" si="244"/>
        <v>247</v>
      </c>
      <c r="X575" s="430">
        <f t="shared" si="245"/>
        <v>187</v>
      </c>
      <c r="Y575" s="13">
        <v>280</v>
      </c>
      <c r="Z575" s="13">
        <v>700</v>
      </c>
      <c r="AA575" s="430">
        <f t="shared" si="250"/>
        <v>420</v>
      </c>
      <c r="AB575" s="430">
        <f t="shared" si="251"/>
        <v>100</v>
      </c>
      <c r="AC575" s="430" t="str">
        <f t="shared" si="252"/>
        <v>N/A</v>
      </c>
      <c r="AD575" s="430">
        <f t="shared" si="253"/>
        <v>80</v>
      </c>
      <c r="AE575" s="431">
        <f t="shared" si="254"/>
        <v>1.04</v>
      </c>
      <c r="AF575" s="431"/>
      <c r="AG575" s="431">
        <f t="shared" si="255"/>
        <v>0.95272727272727287</v>
      </c>
      <c r="AH575" s="431">
        <f t="shared" si="256"/>
        <v>1.0098909090909092</v>
      </c>
      <c r="AI575" s="432">
        <f t="shared" si="257"/>
        <v>867.53156000000013</v>
      </c>
      <c r="AJ575" s="432">
        <f t="shared" si="258"/>
        <v>160.7362577306327</v>
      </c>
      <c r="AK575" s="432">
        <f t="shared" si="259"/>
        <v>175.75269868345015</v>
      </c>
      <c r="AL575" s="432">
        <f t="shared" si="260"/>
        <v>349.37100422678981</v>
      </c>
      <c r="AM575" s="250">
        <v>120</v>
      </c>
      <c r="AN575" s="432">
        <f t="shared" si="261"/>
        <v>132</v>
      </c>
      <c r="AO575" s="432">
        <f t="shared" si="262"/>
        <v>133.3056</v>
      </c>
      <c r="AP575" s="432">
        <f t="shared" si="263"/>
        <v>444.35200000000003</v>
      </c>
      <c r="AQ575" s="255">
        <v>45536</v>
      </c>
      <c r="AR575" s="13" t="s">
        <v>2557</v>
      </c>
      <c r="AS575" s="429" t="s">
        <v>2558</v>
      </c>
      <c r="AT575" s="429" t="s">
        <v>2559</v>
      </c>
      <c r="AU575" s="252"/>
      <c r="AV575" s="260"/>
      <c r="AX575" s="243"/>
      <c r="AY575" s="103"/>
      <c r="BA575" s="13" t="str">
        <f t="shared" ref="BA575:BA580" si="264">LEFT(G575,3)</f>
        <v>W22</v>
      </c>
      <c r="BC575" s="32"/>
      <c r="BD575" s="241"/>
      <c r="BE575" s="241"/>
      <c r="BF575" s="71"/>
      <c r="BG575" s="241"/>
      <c r="BH575" s="241"/>
      <c r="BI575" s="71"/>
      <c r="BJ575" s="114"/>
      <c r="BK575" s="111"/>
      <c r="BL575" s="112"/>
      <c r="BM575" s="111"/>
      <c r="BN575" s="123"/>
      <c r="BO575" s="83"/>
      <c r="BP575" s="88"/>
      <c r="BQ575" s="155"/>
      <c r="BR575" s="155"/>
      <c r="BS575" s="167"/>
      <c r="BU575" s="78"/>
      <c r="BV575" s="32"/>
      <c r="BW575" s="127"/>
      <c r="BX575" s="78"/>
      <c r="BY575" s="78"/>
      <c r="BZ575" s="127"/>
      <c r="CA575" s="76"/>
    </row>
    <row r="576" spans="1:79" s="72" customFormat="1">
      <c r="A576" s="13" t="s">
        <v>2110</v>
      </c>
      <c r="B576" s="387" t="s">
        <v>2552</v>
      </c>
      <c r="C576" s="13" t="s">
        <v>2553</v>
      </c>
      <c r="D576" s="387" t="s">
        <v>2554</v>
      </c>
      <c r="E576" s="13" t="s">
        <v>118</v>
      </c>
      <c r="F576" s="13" t="s">
        <v>119</v>
      </c>
      <c r="G576" s="13" t="s">
        <v>2560</v>
      </c>
      <c r="H576" s="13" t="s">
        <v>146</v>
      </c>
      <c r="I576" s="13" t="s">
        <v>147</v>
      </c>
      <c r="J576" s="13" t="s">
        <v>5</v>
      </c>
      <c r="K576" s="13" t="s">
        <v>123</v>
      </c>
      <c r="L576" s="13" t="s">
        <v>2561</v>
      </c>
      <c r="M576" s="13" t="s">
        <v>125</v>
      </c>
      <c r="N576" s="13" t="s">
        <v>126</v>
      </c>
      <c r="O576" s="247">
        <v>0.33</v>
      </c>
      <c r="P576" s="13">
        <v>110</v>
      </c>
      <c r="Q576" s="13">
        <v>30</v>
      </c>
      <c r="R576" s="13" t="s">
        <v>127</v>
      </c>
      <c r="S576" s="430" t="str">
        <f t="shared" si="246"/>
        <v>N/A</v>
      </c>
      <c r="T576" s="247">
        <v>0.8</v>
      </c>
      <c r="U576" s="13">
        <v>366</v>
      </c>
      <c r="V576" s="13">
        <v>613</v>
      </c>
      <c r="W576" s="430">
        <f t="shared" si="244"/>
        <v>247</v>
      </c>
      <c r="X576" s="430">
        <f t="shared" si="245"/>
        <v>187</v>
      </c>
      <c r="Y576" s="13">
        <v>280</v>
      </c>
      <c r="Z576" s="13">
        <v>700</v>
      </c>
      <c r="AA576" s="430">
        <f t="shared" si="250"/>
        <v>420</v>
      </c>
      <c r="AB576" s="430">
        <f t="shared" si="251"/>
        <v>100</v>
      </c>
      <c r="AC576" s="430" t="str">
        <f t="shared" si="252"/>
        <v>N/A</v>
      </c>
      <c r="AD576" s="430">
        <f t="shared" si="253"/>
        <v>80</v>
      </c>
      <c r="AE576" s="431">
        <f t="shared" si="254"/>
        <v>1.0640000000000001</v>
      </c>
      <c r="AF576" s="431"/>
      <c r="AG576" s="431">
        <f t="shared" si="255"/>
        <v>0.96800000000000008</v>
      </c>
      <c r="AH576" s="431">
        <f t="shared" si="256"/>
        <v>1.0260800000000001</v>
      </c>
      <c r="AI576" s="432">
        <f t="shared" si="257"/>
        <v>869.48471600000005</v>
      </c>
      <c r="AJ576" s="432">
        <f t="shared" si="258"/>
        <v>157.11062785700943</v>
      </c>
      <c r="AK576" s="432">
        <f t="shared" si="259"/>
        <v>171.78835209660542</v>
      </c>
      <c r="AL576" s="432">
        <f t="shared" si="260"/>
        <v>341.49045525926829</v>
      </c>
      <c r="AM576" s="250">
        <v>120</v>
      </c>
      <c r="AN576" s="432">
        <f t="shared" si="261"/>
        <v>132</v>
      </c>
      <c r="AO576" s="432">
        <f t="shared" si="262"/>
        <v>135.44256000000001</v>
      </c>
      <c r="AP576" s="432">
        <f t="shared" si="263"/>
        <v>451.47520000000009</v>
      </c>
      <c r="AQ576" s="255">
        <v>45536</v>
      </c>
      <c r="AR576" s="13" t="s">
        <v>2557</v>
      </c>
      <c r="AS576" s="429" t="s">
        <v>2562</v>
      </c>
      <c r="AT576" s="429" t="s">
        <v>2559</v>
      </c>
      <c r="AU576" s="252"/>
      <c r="AV576" s="260"/>
      <c r="AX576" s="243"/>
      <c r="AY576" s="103"/>
      <c r="BA576" s="13" t="str">
        <f t="shared" si="264"/>
        <v>W22</v>
      </c>
      <c r="BC576" s="32"/>
      <c r="BD576" s="241"/>
      <c r="BE576" s="241"/>
      <c r="BF576" s="71"/>
      <c r="BG576" s="241"/>
      <c r="BH576" s="241"/>
      <c r="BI576" s="71"/>
      <c r="BJ576" s="114"/>
      <c r="BK576" s="111"/>
      <c r="BL576" s="112"/>
      <c r="BM576" s="111"/>
      <c r="BN576" s="123"/>
      <c r="BO576" s="83"/>
      <c r="BP576" s="88"/>
      <c r="BQ576" s="80"/>
      <c r="BR576" s="80"/>
      <c r="BS576" s="80"/>
      <c r="BT576" s="22"/>
      <c r="BU576" s="87"/>
      <c r="BV576" s="73"/>
      <c r="BW576" s="109"/>
      <c r="BX576" s="87"/>
      <c r="BY576" s="87"/>
      <c r="BZ576" s="109"/>
      <c r="CA576" s="76"/>
    </row>
    <row r="577" spans="1:79" s="72" customFormat="1" ht="15" customHeight="1">
      <c r="A577" s="13" t="s">
        <v>2110</v>
      </c>
      <c r="B577" s="13" t="s">
        <v>2563</v>
      </c>
      <c r="C577" s="13" t="s">
        <v>2564</v>
      </c>
      <c r="D577" s="13" t="s">
        <v>2565</v>
      </c>
      <c r="E577" s="13" t="s">
        <v>118</v>
      </c>
      <c r="F577" s="13" t="s">
        <v>167</v>
      </c>
      <c r="G577" s="13" t="s">
        <v>2566</v>
      </c>
      <c r="H577" s="13" t="s">
        <v>146</v>
      </c>
      <c r="I577" s="13" t="s">
        <v>147</v>
      </c>
      <c r="J577" s="13" t="s">
        <v>5</v>
      </c>
      <c r="K577" s="13" t="s">
        <v>123</v>
      </c>
      <c r="L577" s="13" t="s">
        <v>2567</v>
      </c>
      <c r="M577" s="13" t="s">
        <v>125</v>
      </c>
      <c r="N577" s="13" t="s">
        <v>12</v>
      </c>
      <c r="O577" s="247">
        <v>0.26</v>
      </c>
      <c r="P577" s="13">
        <v>100</v>
      </c>
      <c r="Q577" s="13">
        <v>22</v>
      </c>
      <c r="R577" s="13" t="s">
        <v>127</v>
      </c>
      <c r="S577" s="430" t="str">
        <f t="shared" si="246"/>
        <v>N/A</v>
      </c>
      <c r="T577" s="247">
        <v>0.8</v>
      </c>
      <c r="U577" s="13">
        <v>220</v>
      </c>
      <c r="V577" s="13">
        <v>660</v>
      </c>
      <c r="W577" s="430">
        <f t="shared" si="244"/>
        <v>440</v>
      </c>
      <c r="X577" s="430">
        <f t="shared" si="245"/>
        <v>120</v>
      </c>
      <c r="Y577" s="13">
        <f>U577</f>
        <v>220</v>
      </c>
      <c r="Z577" s="13">
        <f>V577</f>
        <v>660</v>
      </c>
      <c r="AA577" s="430">
        <f t="shared" si="250"/>
        <v>440</v>
      </c>
      <c r="AB577" s="430">
        <f t="shared" si="251"/>
        <v>120</v>
      </c>
      <c r="AC577" s="430" t="str">
        <f t="shared" si="252"/>
        <v>N/A</v>
      </c>
      <c r="AD577" s="430">
        <f t="shared" si="253"/>
        <v>78</v>
      </c>
      <c r="AE577" s="431">
        <f t="shared" si="254"/>
        <v>1.0028000000000001</v>
      </c>
      <c r="AF577" s="431"/>
      <c r="AG577" s="431">
        <f t="shared" si="255"/>
        <v>0.92370799999999997</v>
      </c>
      <c r="AH577" s="431">
        <f t="shared" si="256"/>
        <v>0.97913048000000003</v>
      </c>
      <c r="AI577" s="432">
        <f t="shared" si="257"/>
        <v>864.92735200000004</v>
      </c>
      <c r="AJ577" s="432">
        <f t="shared" si="258"/>
        <v>166.69895097712208</v>
      </c>
      <c r="AK577" s="432">
        <f t="shared" si="259"/>
        <v>182.27244378818125</v>
      </c>
      <c r="AL577" s="432">
        <f t="shared" si="260"/>
        <v>362.33131670907608</v>
      </c>
      <c r="AM577" s="250">
        <v>182</v>
      </c>
      <c r="AN577" s="432">
        <f t="shared" si="261"/>
        <v>182</v>
      </c>
      <c r="AO577" s="432">
        <f t="shared" si="262"/>
        <v>178.20174736000001</v>
      </c>
      <c r="AP577" s="432">
        <f t="shared" si="263"/>
        <v>810.00794254545463</v>
      </c>
      <c r="AQ577" s="255">
        <v>44136</v>
      </c>
      <c r="AR577" s="13" t="s">
        <v>2568</v>
      </c>
      <c r="AS577" s="429"/>
      <c r="AT577" s="429"/>
      <c r="AU577" s="241">
        <v>1</v>
      </c>
      <c r="AV577" s="243"/>
      <c r="AW577" s="72" t="s">
        <v>127</v>
      </c>
      <c r="AX577" s="243"/>
      <c r="AY577" s="103">
        <f>(V577/10)/P577</f>
        <v>0.66</v>
      </c>
      <c r="BA577" s="13" t="str">
        <f t="shared" si="264"/>
        <v>W22</v>
      </c>
      <c r="BB577" s="72" t="str">
        <f>IF(R577="n/a","Clear","S/B")</f>
        <v>Clear</v>
      </c>
      <c r="BC577" s="32">
        <f>IF(Q577="","",((P577/100*O577)+T577))</f>
        <v>1.06</v>
      </c>
      <c r="BD577" s="241">
        <f>IF(BC577="","",((PI()*((51/2)^2-(16.545/2)^2)/(BC577/10))/100))</f>
        <v>172.43661002904545</v>
      </c>
      <c r="BE577" s="241">
        <f>IF(BC577="","",(BD577-AK577))</f>
        <v>-9.8358337591357952</v>
      </c>
      <c r="BF577" s="71">
        <f>IF(BC577="","",(BE577/AK577))</f>
        <v>-5.3962264150943268E-2</v>
      </c>
      <c r="BG577" s="241">
        <f>IF(BF577="","",((PI()*((70/2)^2-(16.545/2)^2)/(BC577/10))/100))</f>
        <v>342.77909848666172</v>
      </c>
      <c r="BH577" s="241">
        <f>IF(BF577="","",(BG577-AL577))</f>
        <v>-19.552218222414353</v>
      </c>
      <c r="BI577" s="71">
        <f>IF(BG577="","",(BH577/AL577))</f>
        <v>-5.3962264150943559E-2</v>
      </c>
      <c r="BJ577" s="123"/>
      <c r="BK577" s="108"/>
      <c r="BL577" s="108"/>
      <c r="BM577" s="108"/>
      <c r="BN577" s="71"/>
      <c r="BO577" s="83"/>
      <c r="BP577" s="83"/>
      <c r="BQ577" s="142"/>
      <c r="BR577" s="71"/>
      <c r="BS577" s="71"/>
      <c r="BT577" s="13">
        <f>P577-V577/10-120/10</f>
        <v>22</v>
      </c>
      <c r="BU577" s="79">
        <f>BT577-Q577</f>
        <v>0</v>
      </c>
      <c r="BV577" s="29">
        <f>T577+(O577/100*(P577-BT577))</f>
        <v>1.0028000000000001</v>
      </c>
      <c r="BW577" s="86">
        <f>(AE577-BV577)/AE577</f>
        <v>0</v>
      </c>
      <c r="BX577" s="79">
        <f>(PI()*((51/2)^2-(16.545/2)^2)/(BV577/10))/100</f>
        <v>182.27244378818125</v>
      </c>
      <c r="BY577" s="79">
        <f>BX577-AK577</f>
        <v>0</v>
      </c>
      <c r="BZ577" s="86">
        <f>BY577/AK577</f>
        <v>0</v>
      </c>
      <c r="CA577" s="76"/>
    </row>
    <row r="578" spans="1:79" s="72" customFormat="1">
      <c r="A578" s="13" t="s">
        <v>2110</v>
      </c>
      <c r="B578" s="13" t="s">
        <v>2563</v>
      </c>
      <c r="C578" s="13" t="s">
        <v>2214</v>
      </c>
      <c r="D578" s="13" t="s">
        <v>2569</v>
      </c>
      <c r="E578" s="13" t="s">
        <v>118</v>
      </c>
      <c r="F578" s="13" t="s">
        <v>119</v>
      </c>
      <c r="G578" s="13" t="s">
        <v>2570</v>
      </c>
      <c r="H578" s="13" t="s">
        <v>146</v>
      </c>
      <c r="I578" s="13" t="s">
        <v>147</v>
      </c>
      <c r="J578" s="13" t="s">
        <v>5</v>
      </c>
      <c r="K578" s="13" t="s">
        <v>123</v>
      </c>
      <c r="L578" s="13"/>
      <c r="M578" s="13" t="s">
        <v>125</v>
      </c>
      <c r="N578" s="13" t="s">
        <v>12</v>
      </c>
      <c r="O578" s="247">
        <v>0.48</v>
      </c>
      <c r="P578" s="13">
        <v>112</v>
      </c>
      <c r="Q578" s="13">
        <v>32</v>
      </c>
      <c r="R578" s="13" t="s">
        <v>127</v>
      </c>
      <c r="S578" s="430" t="str">
        <f t="shared" si="246"/>
        <v>N/A</v>
      </c>
      <c r="T578" s="247">
        <v>0.8</v>
      </c>
      <c r="U578" s="13">
        <v>200</v>
      </c>
      <c r="V578" s="13">
        <v>670</v>
      </c>
      <c r="W578" s="430">
        <f t="shared" si="244"/>
        <v>470</v>
      </c>
      <c r="X578" s="430">
        <f t="shared" si="245"/>
        <v>130</v>
      </c>
      <c r="Y578" s="13">
        <v>200</v>
      </c>
      <c r="Z578" s="13">
        <v>670</v>
      </c>
      <c r="AA578" s="430">
        <f t="shared" si="250"/>
        <v>470</v>
      </c>
      <c r="AB578" s="430">
        <f t="shared" si="251"/>
        <v>130</v>
      </c>
      <c r="AC578" s="430" t="str">
        <f t="shared" si="252"/>
        <v>N/A</v>
      </c>
      <c r="AD578" s="430">
        <f t="shared" si="253"/>
        <v>80</v>
      </c>
      <c r="AE578" s="431">
        <f t="shared" si="254"/>
        <v>1.1839999999999999</v>
      </c>
      <c r="AF578" s="431"/>
      <c r="AG578" s="431">
        <f t="shared" si="255"/>
        <v>1.0468571428571427</v>
      </c>
      <c r="AH578" s="431">
        <f t="shared" si="256"/>
        <v>1.1096685714285714</v>
      </c>
      <c r="AI578" s="432">
        <f t="shared" si="257"/>
        <v>879.250496</v>
      </c>
      <c r="AJ578" s="432">
        <f t="shared" si="258"/>
        <v>141.18725341204225</v>
      </c>
      <c r="AK578" s="432">
        <f t="shared" si="259"/>
        <v>154.37737046519271</v>
      </c>
      <c r="AL578" s="432">
        <f t="shared" si="260"/>
        <v>306.87993614515329</v>
      </c>
      <c r="AM578" s="250">
        <v>307</v>
      </c>
      <c r="AN578" s="432">
        <f t="shared" si="261"/>
        <v>343.84</v>
      </c>
      <c r="AO578" s="432">
        <f t="shared" si="262"/>
        <v>381.54844159999999</v>
      </c>
      <c r="AP578" s="432">
        <f t="shared" si="263"/>
        <v>1192.33888</v>
      </c>
      <c r="AQ578" s="255">
        <v>45658</v>
      </c>
      <c r="AR578" s="13" t="s">
        <v>2571</v>
      </c>
      <c r="AS578" s="429"/>
      <c r="AT578" s="429"/>
      <c r="AU578" s="250"/>
      <c r="AV578" s="255"/>
      <c r="AW578" s="13"/>
      <c r="AX578" s="255"/>
      <c r="AY578" s="103"/>
      <c r="AZ578" s="13"/>
      <c r="BA578" s="13" t="str">
        <f t="shared" si="264"/>
        <v>W22</v>
      </c>
      <c r="BB578" s="13"/>
      <c r="BC578" s="29"/>
      <c r="BD578" s="250"/>
      <c r="BE578" s="250"/>
      <c r="BF578" s="103"/>
      <c r="BG578" s="250"/>
      <c r="BH578" s="250"/>
      <c r="BI578" s="103"/>
      <c r="BJ578" s="111"/>
      <c r="BK578" s="83"/>
      <c r="BL578" s="83"/>
      <c r="BM578" s="83"/>
      <c r="BN578" s="103"/>
      <c r="BO578" s="83"/>
      <c r="BP578" s="83"/>
      <c r="BQ578" s="115"/>
      <c r="BR578" s="152"/>
      <c r="BS578" s="71"/>
      <c r="BT578" s="13"/>
      <c r="BU578" s="79"/>
      <c r="BV578" s="29"/>
      <c r="BW578" s="86"/>
      <c r="BX578" s="79"/>
      <c r="BY578" s="79"/>
      <c r="BZ578" s="86"/>
      <c r="CA578" s="76"/>
    </row>
    <row r="579" spans="1:79" s="38" customFormat="1">
      <c r="A579" s="13" t="s">
        <v>2110</v>
      </c>
      <c r="B579" s="13" t="s">
        <v>2563</v>
      </c>
      <c r="C579" s="13" t="s">
        <v>2214</v>
      </c>
      <c r="D579" s="13" t="s">
        <v>2569</v>
      </c>
      <c r="E579" s="13" t="s">
        <v>118</v>
      </c>
      <c r="F579" s="13" t="s">
        <v>119</v>
      </c>
      <c r="G579" s="13" t="s">
        <v>2572</v>
      </c>
      <c r="H579" s="13" t="s">
        <v>146</v>
      </c>
      <c r="I579" s="13" t="s">
        <v>147</v>
      </c>
      <c r="J579" s="13" t="s">
        <v>5</v>
      </c>
      <c r="K579" s="13" t="s">
        <v>123</v>
      </c>
      <c r="L579" s="13" t="s">
        <v>2573</v>
      </c>
      <c r="M579" s="13" t="s">
        <v>125</v>
      </c>
      <c r="N579" s="13" t="s">
        <v>12</v>
      </c>
      <c r="O579" s="247">
        <v>0.55000000000000004</v>
      </c>
      <c r="P579" s="13">
        <v>107</v>
      </c>
      <c r="Q579" s="13">
        <v>35</v>
      </c>
      <c r="R579" s="13" t="s">
        <v>127</v>
      </c>
      <c r="S579" s="430" t="str">
        <f t="shared" si="246"/>
        <v>N/A</v>
      </c>
      <c r="T579" s="247">
        <v>0.8</v>
      </c>
      <c r="U579" s="13">
        <v>250</v>
      </c>
      <c r="V579" s="13">
        <v>580</v>
      </c>
      <c r="W579" s="430">
        <f t="shared" si="244"/>
        <v>330</v>
      </c>
      <c r="X579" s="430">
        <f t="shared" si="245"/>
        <v>140</v>
      </c>
      <c r="Y579" s="13">
        <v>190</v>
      </c>
      <c r="Z579" s="13">
        <v>590</v>
      </c>
      <c r="AA579" s="430">
        <f t="shared" si="250"/>
        <v>400</v>
      </c>
      <c r="AB579" s="430">
        <f t="shared" si="251"/>
        <v>130</v>
      </c>
      <c r="AC579" s="430" t="str">
        <f t="shared" si="252"/>
        <v>N/A</v>
      </c>
      <c r="AD579" s="430">
        <f t="shared" si="253"/>
        <v>72</v>
      </c>
      <c r="AE579" s="431">
        <f t="shared" si="254"/>
        <v>1.1960000000000002</v>
      </c>
      <c r="AF579" s="431"/>
      <c r="AG579" s="431">
        <f t="shared" si="255"/>
        <v>1.0627663551401869</v>
      </c>
      <c r="AH579" s="431">
        <f t="shared" si="256"/>
        <v>1.1265323364485982</v>
      </c>
      <c r="AI579" s="432">
        <f t="shared" si="257"/>
        <v>883.80786000000012</v>
      </c>
      <c r="AJ579" s="432">
        <f t="shared" si="258"/>
        <v>139.77065889620235</v>
      </c>
      <c r="AK579" s="432">
        <f t="shared" si="259"/>
        <v>152.82843363778275</v>
      </c>
      <c r="AL579" s="432">
        <f t="shared" si="260"/>
        <v>303.80087324068683</v>
      </c>
      <c r="AM579" s="250">
        <v>304</v>
      </c>
      <c r="AN579" s="432">
        <f t="shared" si="261"/>
        <v>325.27999999999997</v>
      </c>
      <c r="AO579" s="432">
        <f t="shared" si="262"/>
        <v>366.4384384</v>
      </c>
      <c r="AP579" s="432">
        <f t="shared" si="263"/>
        <v>1046.966966857143</v>
      </c>
      <c r="AQ579" s="255">
        <v>45413</v>
      </c>
      <c r="AR579" s="13" t="s">
        <v>2574</v>
      </c>
      <c r="AS579" s="429" t="s">
        <v>2575</v>
      </c>
      <c r="AT579" s="429"/>
      <c r="AU579" s="200"/>
      <c r="AV579" s="203"/>
      <c r="AW579" s="198"/>
      <c r="AX579" s="203"/>
      <c r="AY579" s="204">
        <f>(V579/10)/P579</f>
        <v>0.54205607476635509</v>
      </c>
      <c r="AZ579" s="198"/>
      <c r="BA579" s="198" t="str">
        <f t="shared" si="264"/>
        <v>W22</v>
      </c>
      <c r="BB579" s="198" t="str">
        <f>IF(R579="n/a","Clear","S/B")</f>
        <v>Clear</v>
      </c>
      <c r="BC579" s="199">
        <f>IF(Q579="","",((P579/100*O579)+T579))</f>
        <v>1.3885000000000001</v>
      </c>
      <c r="BD579" s="200">
        <f>IF(BC579="","",((PI()*((51/2)^2-(16.545/2)^2)/(BC579/10))/100))</f>
        <v>131.6404801085979</v>
      </c>
      <c r="BE579" s="200">
        <f>IF(BC579="","",(BD579-AK579))</f>
        <v>-21.187953529184853</v>
      </c>
      <c r="BF579" s="204">
        <f>IF(BC579="","",(BE579/AK579))</f>
        <v>-0.13863881886928334</v>
      </c>
      <c r="BG579" s="200">
        <f>IF(BF579="","",((PI()*((70/2)^2-(16.545/2)^2)/(BC579/10))/100))</f>
        <v>261.6822790031411</v>
      </c>
      <c r="BH579" s="200">
        <f>IF(BF579="","",(BG579-AL579))</f>
        <v>-42.118594237545722</v>
      </c>
      <c r="BI579" s="204">
        <f>IF(BG579="","",(BH579/AL579))</f>
        <v>-0.13863881886928345</v>
      </c>
      <c r="BJ579" s="210"/>
      <c r="BK579" s="211"/>
      <c r="BL579" s="211"/>
      <c r="BM579" s="211"/>
      <c r="BN579" s="204"/>
      <c r="BO579" s="211"/>
      <c r="BP579" s="211"/>
      <c r="BQ579" s="207"/>
      <c r="BR579" s="207"/>
      <c r="BS579" s="207"/>
      <c r="BT579" s="205"/>
      <c r="BU579" s="205"/>
      <c r="BV579" s="205"/>
      <c r="BW579" s="205"/>
      <c r="BX579" s="205"/>
      <c r="BY579" s="205"/>
      <c r="BZ579" s="205"/>
      <c r="CA579" s="72"/>
    </row>
    <row r="580" spans="1:79" s="72" customFormat="1">
      <c r="A580" s="13" t="s">
        <v>2576</v>
      </c>
      <c r="B580" s="13" t="s">
        <v>2577</v>
      </c>
      <c r="C580" s="13" t="s">
        <v>2578</v>
      </c>
      <c r="D580" s="13" t="s">
        <v>2579</v>
      </c>
      <c r="E580" s="13" t="s">
        <v>137</v>
      </c>
      <c r="F580" s="13" t="s">
        <v>119</v>
      </c>
      <c r="G580" s="13" t="s">
        <v>2580</v>
      </c>
      <c r="H580" s="13" t="s">
        <v>146</v>
      </c>
      <c r="I580" s="13" t="s">
        <v>147</v>
      </c>
      <c r="J580" s="13" t="s">
        <v>5</v>
      </c>
      <c r="K580" s="13" t="s">
        <v>123</v>
      </c>
      <c r="L580" s="13" t="s">
        <v>2581</v>
      </c>
      <c r="M580" s="13" t="s">
        <v>125</v>
      </c>
      <c r="N580" s="13" t="s">
        <v>12</v>
      </c>
      <c r="O580" s="247">
        <v>0.41</v>
      </c>
      <c r="P580" s="13">
        <v>111</v>
      </c>
      <c r="Q580" s="13">
        <v>30</v>
      </c>
      <c r="R580" s="13" t="s">
        <v>127</v>
      </c>
      <c r="S580" s="430" t="str">
        <f t="shared" si="246"/>
        <v>N/A</v>
      </c>
      <c r="T580" s="247">
        <v>0.8</v>
      </c>
      <c r="U580" s="13">
        <v>250</v>
      </c>
      <c r="V580" s="13">
        <v>650</v>
      </c>
      <c r="W580" s="430">
        <f t="shared" si="244"/>
        <v>400</v>
      </c>
      <c r="X580" s="430">
        <f t="shared" si="245"/>
        <v>160</v>
      </c>
      <c r="Y580" s="13">
        <v>250</v>
      </c>
      <c r="Z580" s="13">
        <v>650</v>
      </c>
      <c r="AA580" s="430">
        <f t="shared" si="250"/>
        <v>400</v>
      </c>
      <c r="AB580" s="430">
        <f t="shared" si="251"/>
        <v>160</v>
      </c>
      <c r="AC580" s="430" t="str">
        <f t="shared" si="252"/>
        <v>N/A</v>
      </c>
      <c r="AD580" s="430">
        <f t="shared" si="253"/>
        <v>81</v>
      </c>
      <c r="AE580" s="431">
        <f t="shared" si="254"/>
        <v>1.1320999999999999</v>
      </c>
      <c r="AF580" s="431"/>
      <c r="AG580" s="431">
        <f t="shared" si="255"/>
        <v>1.0109283783783782</v>
      </c>
      <c r="AH580" s="431">
        <f t="shared" si="256"/>
        <v>1.0715840810810808</v>
      </c>
      <c r="AI580" s="432">
        <f t="shared" si="257"/>
        <v>874.69313200000011</v>
      </c>
      <c r="AJ580" s="432">
        <f t="shared" si="258"/>
        <v>147.6598428052805</v>
      </c>
      <c r="AK580" s="432">
        <f t="shared" si="259"/>
        <v>161.45464767316332</v>
      </c>
      <c r="AL580" s="432">
        <f t="shared" si="260"/>
        <v>320.9485419979344</v>
      </c>
      <c r="AM580" s="250">
        <v>50</v>
      </c>
      <c r="AN580" s="432">
        <f t="shared" si="261"/>
        <v>55.5</v>
      </c>
      <c r="AO580" s="432">
        <f t="shared" si="262"/>
        <v>59.47291649999999</v>
      </c>
      <c r="AP580" s="432">
        <f t="shared" si="263"/>
        <v>198.24305499999997</v>
      </c>
      <c r="AQ580" s="255">
        <v>44621</v>
      </c>
      <c r="AR580" s="13" t="s">
        <v>2582</v>
      </c>
      <c r="AS580" s="434" t="s">
        <v>2583</v>
      </c>
      <c r="AT580" s="429"/>
      <c r="AU580" s="322"/>
      <c r="AV580" s="246"/>
      <c r="AW580" s="246" t="s">
        <v>127</v>
      </c>
      <c r="AX580" s="324"/>
      <c r="AY580" s="325">
        <f>(V580/10)/P580</f>
        <v>0.5855855855855856</v>
      </c>
      <c r="AZ580" s="246"/>
      <c r="BA580" s="246" t="str">
        <f t="shared" si="264"/>
        <v>W22</v>
      </c>
      <c r="BB580" s="234" t="str">
        <f>IF(R580="n/a","Clear","S/B")</f>
        <v>Clear</v>
      </c>
      <c r="BC580" s="326">
        <f>IF(Q580="","",((P580/100*O580)+T580))</f>
        <v>1.2551000000000001</v>
      </c>
      <c r="BD580" s="323">
        <f>IF(BC580="","",((PI()*((51/2)^2-(16.545/2)^2)/(BC580/10))/100))</f>
        <v>145.63206647341897</v>
      </c>
      <c r="BE580" s="323">
        <f>IF(BC580="","",(BD580-AK580))</f>
        <v>-15.822581199744349</v>
      </c>
      <c r="BF580" s="327">
        <f>IF(BC580="","",(BE580/AK580))</f>
        <v>-9.8000159349852817E-2</v>
      </c>
      <c r="BG580" s="323">
        <f>IF(BF580="","",((PI()*((70/2)^2-(16.545/2)^2)/(BC580/10))/100))</f>
        <v>289.49553373903387</v>
      </c>
      <c r="BH580" s="323">
        <f>IF(BF580="","",(BG580-AL580))</f>
        <v>-31.453008258900525</v>
      </c>
      <c r="BI580" s="327">
        <f>IF(BG580="","",(BH580/AL580))</f>
        <v>-9.8000159349852886E-2</v>
      </c>
      <c r="BJ580" s="328"/>
      <c r="BK580" s="329"/>
      <c r="BL580" s="330"/>
      <c r="BM580" s="331"/>
      <c r="BN580" s="332"/>
      <c r="BO580" s="333"/>
      <c r="BP580" s="334"/>
      <c r="BQ580" s="335"/>
      <c r="BR580" s="336"/>
      <c r="BS580" s="327"/>
      <c r="BT580" s="234"/>
      <c r="BU580" s="337"/>
      <c r="BV580" s="326"/>
      <c r="BW580" s="338"/>
      <c r="BX580" s="337"/>
      <c r="BY580" s="337"/>
      <c r="BZ580" s="338"/>
      <c r="CA580" s="76"/>
    </row>
    <row r="581" spans="1:79" s="72" customFormat="1">
      <c r="A581" s="13" t="s">
        <v>2584</v>
      </c>
      <c r="B581" s="13" t="s">
        <v>2585</v>
      </c>
      <c r="C581" s="13" t="s">
        <v>2586</v>
      </c>
      <c r="D581" s="13"/>
      <c r="E581" s="13" t="s">
        <v>118</v>
      </c>
      <c r="F581" s="13" t="s">
        <v>119</v>
      </c>
      <c r="G581" s="13" t="s">
        <v>2587</v>
      </c>
      <c r="H581" s="13" t="s">
        <v>121</v>
      </c>
      <c r="I581" s="13" t="s">
        <v>147</v>
      </c>
      <c r="J581" s="13" t="s">
        <v>5</v>
      </c>
      <c r="K581" s="13" t="s">
        <v>123</v>
      </c>
      <c r="L581" s="13" t="s">
        <v>228</v>
      </c>
      <c r="M581" s="13" t="s">
        <v>125</v>
      </c>
      <c r="N581" s="13" t="s">
        <v>126</v>
      </c>
      <c r="O581" s="247">
        <v>0.23</v>
      </c>
      <c r="P581" s="438">
        <v>138</v>
      </c>
      <c r="Q581" s="13">
        <v>30</v>
      </c>
      <c r="R581" s="13" t="s">
        <v>127</v>
      </c>
      <c r="S581" s="430" t="str">
        <f t="shared" si="246"/>
        <v>N/A</v>
      </c>
      <c r="T581" s="247">
        <v>0.8</v>
      </c>
      <c r="U581" s="13">
        <v>250</v>
      </c>
      <c r="V581" s="13">
        <v>850</v>
      </c>
      <c r="W581" s="430">
        <f t="shared" si="244"/>
        <v>600</v>
      </c>
      <c r="X581" s="430">
        <f t="shared" si="245"/>
        <v>230</v>
      </c>
      <c r="Y581" s="13">
        <v>250</v>
      </c>
      <c r="Z581" s="13">
        <v>850</v>
      </c>
      <c r="AA581" s="430">
        <f t="shared" si="250"/>
        <v>600</v>
      </c>
      <c r="AB581" s="430">
        <f t="shared" si="251"/>
        <v>230</v>
      </c>
      <c r="AC581" s="430" t="str">
        <f t="shared" si="252"/>
        <v>N/A</v>
      </c>
      <c r="AD581" s="430">
        <f t="shared" si="253"/>
        <v>108</v>
      </c>
      <c r="AE581" s="431">
        <f t="shared" si="254"/>
        <v>1.0484</v>
      </c>
      <c r="AF581" s="431"/>
      <c r="AG581" s="431">
        <f t="shared" si="255"/>
        <v>0.95120000000000005</v>
      </c>
      <c r="AH581" s="431">
        <f t="shared" si="256"/>
        <v>1.0082720000000001</v>
      </c>
      <c r="AI581" s="432">
        <f t="shared" si="257"/>
        <v>862.97419600000001</v>
      </c>
      <c r="AJ581" s="432">
        <f t="shared" si="258"/>
        <v>159.44840522687716</v>
      </c>
      <c r="AK581" s="432">
        <f t="shared" si="259"/>
        <v>174.34453131513561</v>
      </c>
      <c r="AL581" s="432">
        <f t="shared" si="260"/>
        <v>346.57177069425933</v>
      </c>
      <c r="AM581" s="250">
        <v>174</v>
      </c>
      <c r="AN581" s="432">
        <f t="shared" si="261"/>
        <v>240.12</v>
      </c>
      <c r="AO581" s="432">
        <f t="shared" si="262"/>
        <v>242.10627264000001</v>
      </c>
      <c r="AP581" s="432">
        <f t="shared" si="263"/>
        <v>807.02090880000003</v>
      </c>
      <c r="AQ581" s="255" t="s">
        <v>132</v>
      </c>
      <c r="AR581" s="13" t="s">
        <v>2588</v>
      </c>
      <c r="AS581" s="455" t="s">
        <v>2589</v>
      </c>
      <c r="AT581" s="429" t="s">
        <v>2590</v>
      </c>
      <c r="AU581" s="250"/>
      <c r="AV581" s="13"/>
      <c r="AW581" s="13"/>
      <c r="AX581" s="255"/>
      <c r="AY581" s="103"/>
      <c r="AZ581" s="13"/>
      <c r="BA581" s="13"/>
      <c r="BC581" s="32"/>
      <c r="BD581" s="241"/>
      <c r="BE581" s="241"/>
      <c r="BF581" s="71"/>
      <c r="BG581" s="241"/>
      <c r="BH581" s="241"/>
      <c r="BI581" s="71"/>
      <c r="BJ581" s="143"/>
      <c r="BK581" s="139"/>
      <c r="BL581" s="112"/>
      <c r="BM581" s="101"/>
      <c r="BN581" s="123"/>
      <c r="BO581" s="111"/>
      <c r="BP581" s="83"/>
      <c r="BQ581" s="124"/>
      <c r="BR581" s="159"/>
      <c r="BS581" s="71"/>
      <c r="BU581" s="78"/>
      <c r="BV581" s="32"/>
      <c r="BW581" s="127"/>
      <c r="BX581" s="78"/>
      <c r="BY581" s="78"/>
      <c r="BZ581" s="127"/>
      <c r="CA581" s="76"/>
    </row>
    <row r="582" spans="1:79" s="72" customFormat="1">
      <c r="A582" s="13" t="s">
        <v>2584</v>
      </c>
      <c r="B582" s="13" t="s">
        <v>2591</v>
      </c>
      <c r="C582" s="13" t="s">
        <v>2586</v>
      </c>
      <c r="D582" s="13"/>
      <c r="E582" s="13" t="s">
        <v>118</v>
      </c>
      <c r="F582" s="13" t="s">
        <v>186</v>
      </c>
      <c r="G582" s="13" t="s">
        <v>2592</v>
      </c>
      <c r="H582" s="13" t="s">
        <v>121</v>
      </c>
      <c r="I582" s="13" t="s">
        <v>147</v>
      </c>
      <c r="J582" s="13" t="s">
        <v>5</v>
      </c>
      <c r="K582" s="13" t="s">
        <v>123</v>
      </c>
      <c r="L582" s="13"/>
      <c r="M582" s="13" t="s">
        <v>125</v>
      </c>
      <c r="N582" s="13" t="s">
        <v>126</v>
      </c>
      <c r="O582" s="247">
        <v>0.22</v>
      </c>
      <c r="P582" s="438">
        <v>138</v>
      </c>
      <c r="Q582" s="13">
        <v>30</v>
      </c>
      <c r="R582" s="13" t="s">
        <v>127</v>
      </c>
      <c r="S582" s="430" t="str">
        <f t="shared" si="246"/>
        <v>N/A</v>
      </c>
      <c r="T582" s="247">
        <v>0.8</v>
      </c>
      <c r="U582" s="13">
        <v>250</v>
      </c>
      <c r="V582" s="13">
        <v>850</v>
      </c>
      <c r="W582" s="430">
        <f t="shared" ref="W582:W645" si="265">V582-U582</f>
        <v>600</v>
      </c>
      <c r="X582" s="430">
        <f t="shared" ref="X582:X645" si="266">AD582*10-V582</f>
        <v>230</v>
      </c>
      <c r="Y582" s="13">
        <v>250</v>
      </c>
      <c r="Z582" s="13">
        <v>850</v>
      </c>
      <c r="AA582" s="430">
        <f t="shared" si="250"/>
        <v>600</v>
      </c>
      <c r="AB582" s="430">
        <f t="shared" si="251"/>
        <v>230</v>
      </c>
      <c r="AC582" s="430" t="str">
        <f t="shared" si="252"/>
        <v>N/A</v>
      </c>
      <c r="AD582" s="430">
        <f t="shared" si="253"/>
        <v>108</v>
      </c>
      <c r="AE582" s="431">
        <f t="shared" si="254"/>
        <v>1.0376000000000001</v>
      </c>
      <c r="AF582" s="431"/>
      <c r="AG582" s="431">
        <f t="shared" si="255"/>
        <v>0.94462608695652184</v>
      </c>
      <c r="AH582" s="431">
        <f t="shared" si="256"/>
        <v>1.0013036521739132</v>
      </c>
      <c r="AI582" s="432">
        <f t="shared" si="257"/>
        <v>862.32314400000007</v>
      </c>
      <c r="AJ582" s="432">
        <f t="shared" si="258"/>
        <v>161.10804552800505</v>
      </c>
      <c r="AK582" s="432">
        <f t="shared" si="259"/>
        <v>176.15921996028158</v>
      </c>
      <c r="AL582" s="432">
        <f t="shared" si="260"/>
        <v>350.17910986493973</v>
      </c>
      <c r="AM582" s="250">
        <v>176</v>
      </c>
      <c r="AN582" s="432">
        <f t="shared" si="261"/>
        <v>242.88</v>
      </c>
      <c r="AO582" s="432">
        <f t="shared" si="262"/>
        <v>243.19663104000003</v>
      </c>
      <c r="AP582" s="432">
        <f t="shared" si="263"/>
        <v>810.65543680000007</v>
      </c>
      <c r="AQ582" s="255"/>
      <c r="AR582" s="13"/>
      <c r="AS582" s="447" t="s">
        <v>2593</v>
      </c>
      <c r="AT582" s="429" t="s">
        <v>2594</v>
      </c>
      <c r="AU582" s="250"/>
      <c r="AV582" s="13"/>
      <c r="AW582" s="13"/>
      <c r="AX582" s="255"/>
      <c r="AY582" s="103"/>
      <c r="AZ582" s="13"/>
      <c r="BA582" s="13"/>
      <c r="BC582" s="32"/>
      <c r="BD582" s="241"/>
      <c r="BE582" s="241"/>
      <c r="BF582" s="71"/>
      <c r="BG582" s="241"/>
      <c r="BH582" s="241"/>
      <c r="BI582" s="71"/>
      <c r="BJ582" s="143"/>
      <c r="BK582" s="139"/>
      <c r="BL582" s="112"/>
      <c r="BM582" s="101"/>
      <c r="BN582" s="123"/>
      <c r="BO582" s="111"/>
      <c r="BP582" s="83"/>
      <c r="BQ582" s="124"/>
      <c r="BR582" s="159"/>
      <c r="BS582" s="71"/>
      <c r="BU582" s="78"/>
      <c r="BV582" s="32"/>
      <c r="BW582" s="127"/>
      <c r="BX582" s="78"/>
      <c r="BY582" s="78"/>
      <c r="BZ582" s="127"/>
      <c r="CA582" s="76"/>
    </row>
    <row r="583" spans="1:79" s="77" customFormat="1" ht="14.25" customHeight="1">
      <c r="A583" s="13" t="s">
        <v>2584</v>
      </c>
      <c r="B583" s="13" t="s">
        <v>1071</v>
      </c>
      <c r="C583" s="13" t="s">
        <v>357</v>
      </c>
      <c r="D583" s="13" t="s">
        <v>2595</v>
      </c>
      <c r="E583" s="13" t="s">
        <v>118</v>
      </c>
      <c r="F583" s="13" t="s">
        <v>119</v>
      </c>
      <c r="G583" s="13" t="s">
        <v>2596</v>
      </c>
      <c r="H583" s="13" t="s">
        <v>121</v>
      </c>
      <c r="I583" s="13" t="s">
        <v>147</v>
      </c>
      <c r="J583" s="13" t="s">
        <v>5</v>
      </c>
      <c r="K583" s="13" t="s">
        <v>123</v>
      </c>
      <c r="L583" s="13" t="s">
        <v>2597</v>
      </c>
      <c r="M583" s="13" t="s">
        <v>125</v>
      </c>
      <c r="N583" s="13" t="s">
        <v>126</v>
      </c>
      <c r="O583" s="247">
        <v>0.62</v>
      </c>
      <c r="P583" s="13">
        <v>100</v>
      </c>
      <c r="Q583" s="13">
        <v>22</v>
      </c>
      <c r="R583" s="13" t="s">
        <v>127</v>
      </c>
      <c r="S583" s="430" t="str">
        <f t="shared" si="246"/>
        <v>N/A</v>
      </c>
      <c r="T583" s="247">
        <v>0.8</v>
      </c>
      <c r="U583" s="13">
        <v>160</v>
      </c>
      <c r="V583" s="13">
        <v>660</v>
      </c>
      <c r="W583" s="430">
        <f t="shared" si="265"/>
        <v>500</v>
      </c>
      <c r="X583" s="430">
        <f t="shared" si="266"/>
        <v>120</v>
      </c>
      <c r="Y583" s="13">
        <v>160</v>
      </c>
      <c r="Z583" s="13">
        <v>660</v>
      </c>
      <c r="AA583" s="430">
        <f t="shared" si="250"/>
        <v>500</v>
      </c>
      <c r="AB583" s="430">
        <f t="shared" si="251"/>
        <v>120</v>
      </c>
      <c r="AC583" s="430" t="str">
        <f t="shared" si="252"/>
        <v>N/A</v>
      </c>
      <c r="AD583" s="430">
        <f t="shared" si="253"/>
        <v>78</v>
      </c>
      <c r="AE583" s="431">
        <f t="shared" si="254"/>
        <v>1.2836000000000001</v>
      </c>
      <c r="AF583" s="431"/>
      <c r="AG583" s="431">
        <f t="shared" si="255"/>
        <v>1.0949960000000001</v>
      </c>
      <c r="AH583" s="431">
        <f t="shared" si="256"/>
        <v>1.1606957600000001</v>
      </c>
      <c r="AI583" s="432">
        <f t="shared" si="257"/>
        <v>888.36522400000001</v>
      </c>
      <c r="AJ583" s="432">
        <f t="shared" si="258"/>
        <v>130.23193209711596</v>
      </c>
      <c r="AK583" s="432">
        <f t="shared" si="259"/>
        <v>142.39857169740432</v>
      </c>
      <c r="AL583" s="432">
        <f t="shared" si="260"/>
        <v>283.06781271101704</v>
      </c>
      <c r="AM583" s="250">
        <v>50</v>
      </c>
      <c r="AN583" s="432">
        <f t="shared" si="261"/>
        <v>50</v>
      </c>
      <c r="AO583" s="432">
        <f t="shared" si="262"/>
        <v>58.034788000000006</v>
      </c>
      <c r="AP583" s="432">
        <f t="shared" si="263"/>
        <v>263.79449090909094</v>
      </c>
      <c r="AQ583" s="456">
        <v>44866</v>
      </c>
      <c r="AR583" s="13" t="s">
        <v>2598</v>
      </c>
      <c r="AS583" s="434" t="s">
        <v>2599</v>
      </c>
      <c r="AT583" s="429"/>
      <c r="AU583" s="250"/>
      <c r="AV583" s="13"/>
      <c r="AW583" s="13" t="s">
        <v>127</v>
      </c>
      <c r="AX583" s="255"/>
      <c r="AY583" s="103">
        <f>(V583/10)/P583</f>
        <v>0.66</v>
      </c>
      <c r="AZ583" s="13"/>
      <c r="BA583" s="13" t="str">
        <f t="shared" ref="BA583:BA622" si="267">LEFT(G583,3)</f>
        <v>W22</v>
      </c>
      <c r="BB583" s="72" t="str">
        <f t="shared" ref="BB583:BB615" si="268">IF(R583="n/a","Clear","S/B")</f>
        <v>Clear</v>
      </c>
      <c r="BC583" s="32">
        <f t="shared" ref="BC583:BC613" si="269">IF(Q583="","",((P583/100*O583)+T583))</f>
        <v>1.42</v>
      </c>
      <c r="BD583" s="241">
        <f t="shared" ref="BD583:BD613" si="270">IF(BC583="","",((PI()*((51/2)^2-(16.545/2)^2)/(BC583/10))/100))</f>
        <v>128.72028635971</v>
      </c>
      <c r="BE583" s="241">
        <f>IF(BC583="","",(BD583-AK583))</f>
        <v>-13.678285337694319</v>
      </c>
      <c r="BF583" s="71">
        <f>IF(BC583="","",(BE583/AK583))</f>
        <v>-9.6056338028168931E-2</v>
      </c>
      <c r="BG583" s="241">
        <f>IF(BF583="","",((PI()*((70/2)^2-(16.545/2)^2)/(BC583/10))/100))</f>
        <v>255.87735520835318</v>
      </c>
      <c r="BH583" s="241">
        <f>IF(BF583="","",(BG583-AL583))</f>
        <v>-27.190457502663861</v>
      </c>
      <c r="BI583" s="71">
        <f>IF(BG583="","",(BH583/AL583))</f>
        <v>-9.6056338028168917E-2</v>
      </c>
      <c r="BJ583" s="114"/>
      <c r="BK583" s="158"/>
      <c r="BL583" s="112"/>
      <c r="BM583" s="101"/>
      <c r="BN583" s="123"/>
      <c r="BO583" s="103"/>
      <c r="BP583" s="141"/>
      <c r="BQ583" s="108"/>
      <c r="BR583" s="71"/>
      <c r="BS583" s="71"/>
      <c r="BT583" s="72"/>
      <c r="BU583" s="78"/>
      <c r="BV583" s="32"/>
      <c r="BW583" s="127"/>
      <c r="BX583" s="78"/>
      <c r="BY583" s="78"/>
      <c r="BZ583" s="127"/>
      <c r="CA583" s="76"/>
    </row>
    <row r="584" spans="1:79" s="77" customFormat="1">
      <c r="A584" s="13" t="s">
        <v>2584</v>
      </c>
      <c r="B584" s="13"/>
      <c r="C584" s="13"/>
      <c r="D584" s="13"/>
      <c r="E584" s="13"/>
      <c r="F584" s="13" t="s">
        <v>119</v>
      </c>
      <c r="G584" s="13" t="s">
        <v>2600</v>
      </c>
      <c r="H584" s="13" t="s">
        <v>389</v>
      </c>
      <c r="I584" s="13" t="s">
        <v>139</v>
      </c>
      <c r="J584" s="13" t="s">
        <v>5</v>
      </c>
      <c r="K584" s="13" t="s">
        <v>140</v>
      </c>
      <c r="L584" s="13" t="s">
        <v>2601</v>
      </c>
      <c r="M584" s="13" t="s">
        <v>125</v>
      </c>
      <c r="N584" s="13" t="s">
        <v>142</v>
      </c>
      <c r="O584" s="247">
        <v>0.54</v>
      </c>
      <c r="P584" s="13">
        <v>98</v>
      </c>
      <c r="Q584" s="13">
        <v>25</v>
      </c>
      <c r="R584" s="13" t="s">
        <v>127</v>
      </c>
      <c r="S584" s="430" t="str">
        <f t="shared" ref="S584:S647" si="271">IF(R584="n/a","N/A",P584-R584)</f>
        <v>N/A</v>
      </c>
      <c r="T584" s="247">
        <v>0.76</v>
      </c>
      <c r="U584" s="13">
        <v>200</v>
      </c>
      <c r="V584" s="13">
        <v>600</v>
      </c>
      <c r="W584" s="430">
        <f t="shared" si="265"/>
        <v>400</v>
      </c>
      <c r="X584" s="430">
        <f t="shared" si="266"/>
        <v>130</v>
      </c>
      <c r="Y584" s="13">
        <v>200</v>
      </c>
      <c r="Z584" s="13">
        <v>600</v>
      </c>
      <c r="AA584" s="430">
        <f t="shared" si="250"/>
        <v>400</v>
      </c>
      <c r="AB584" s="430">
        <f t="shared" si="251"/>
        <v>130</v>
      </c>
      <c r="AC584" s="430" t="str">
        <f t="shared" si="252"/>
        <v>N/A</v>
      </c>
      <c r="AD584" s="430">
        <f t="shared" si="253"/>
        <v>73</v>
      </c>
      <c r="AE584" s="431">
        <f t="shared" si="254"/>
        <v>1.1541999999999999</v>
      </c>
      <c r="AF584" s="431"/>
      <c r="AG584" s="431">
        <f t="shared" si="255"/>
        <v>1.0073806122448978</v>
      </c>
      <c r="AH584" s="431">
        <f t="shared" si="256"/>
        <v>1.0728603520408162</v>
      </c>
      <c r="AI584" s="432">
        <f t="shared" si="257"/>
        <v>844.72264200000006</v>
      </c>
      <c r="AJ584" s="432">
        <f t="shared" si="258"/>
        <v>144.83253165816848</v>
      </c>
      <c r="AK584" s="432">
        <f t="shared" si="259"/>
        <v>158.36320103170002</v>
      </c>
      <c r="AL584" s="432">
        <f t="shared" si="260"/>
        <v>314.80319216414961</v>
      </c>
      <c r="AM584" s="250">
        <v>151</v>
      </c>
      <c r="AN584" s="432">
        <f t="shared" si="261"/>
        <v>147.97999999999999</v>
      </c>
      <c r="AO584" s="432">
        <f t="shared" si="262"/>
        <v>158.76187489499998</v>
      </c>
      <c r="AP584" s="432">
        <f t="shared" si="263"/>
        <v>635.04749957999991</v>
      </c>
      <c r="AQ584" s="456" t="s">
        <v>132</v>
      </c>
      <c r="AR584" s="13" t="s">
        <v>2602</v>
      </c>
      <c r="AS584" s="434" t="s">
        <v>2603</v>
      </c>
      <c r="AT584" s="429"/>
      <c r="AU584" s="200"/>
      <c r="AV584" s="198"/>
      <c r="AW584" s="198"/>
      <c r="AX584" s="203"/>
      <c r="AY584" s="204">
        <f>(V584/10)/P584</f>
        <v>0.61224489795918369</v>
      </c>
      <c r="AZ584" s="198"/>
      <c r="BA584" s="198" t="str">
        <f t="shared" si="267"/>
        <v>W50</v>
      </c>
      <c r="BB584" s="205" t="str">
        <f t="shared" si="268"/>
        <v>Clear</v>
      </c>
      <c r="BC584" s="206">
        <f t="shared" si="269"/>
        <v>1.2892000000000001</v>
      </c>
      <c r="BD584" s="202">
        <f t="shared" si="270"/>
        <v>141.78002375953162</v>
      </c>
      <c r="BE584" s="202"/>
      <c r="BF584" s="207"/>
      <c r="BG584" s="202"/>
      <c r="BH584" s="202"/>
      <c r="BI584" s="207"/>
      <c r="BJ584" s="223"/>
      <c r="BK584" s="238"/>
      <c r="BL584" s="208"/>
      <c r="BM584" s="237"/>
      <c r="BN584" s="209"/>
      <c r="BO584" s="204"/>
      <c r="BP584" s="239"/>
      <c r="BQ584" s="224"/>
      <c r="BR584" s="212"/>
      <c r="BS584" s="212"/>
      <c r="BT584" s="213"/>
      <c r="BU584" s="214"/>
      <c r="BV584" s="215"/>
      <c r="BW584" s="216"/>
      <c r="BX584" s="214"/>
      <c r="BY584" s="214"/>
      <c r="BZ584" s="216"/>
      <c r="CA584" s="76"/>
    </row>
    <row r="585" spans="1:79" s="13" customFormat="1">
      <c r="A585" s="13" t="s">
        <v>2604</v>
      </c>
      <c r="B585" s="13" t="s">
        <v>2605</v>
      </c>
      <c r="C585" s="13" t="s">
        <v>2606</v>
      </c>
      <c r="D585" s="429" t="s">
        <v>2607</v>
      </c>
      <c r="E585" s="387" t="s">
        <v>137</v>
      </c>
      <c r="F585" s="13" t="s">
        <v>167</v>
      </c>
      <c r="G585" s="13" t="s">
        <v>2608</v>
      </c>
      <c r="H585" s="13" t="s">
        <v>389</v>
      </c>
      <c r="I585" s="13" t="s">
        <v>290</v>
      </c>
      <c r="J585" s="13" t="s">
        <v>274</v>
      </c>
      <c r="K585" s="13" t="s">
        <v>140</v>
      </c>
      <c r="L585" s="13" t="s">
        <v>2609</v>
      </c>
      <c r="M585" s="13" t="s">
        <v>276</v>
      </c>
      <c r="N585" s="13" t="s">
        <v>142</v>
      </c>
      <c r="O585" s="247">
        <v>0.45</v>
      </c>
      <c r="P585" s="13">
        <v>118</v>
      </c>
      <c r="Q585" s="13">
        <v>46</v>
      </c>
      <c r="R585" s="13">
        <v>23</v>
      </c>
      <c r="S585" s="430">
        <f t="shared" si="271"/>
        <v>95</v>
      </c>
      <c r="T585" s="247">
        <v>0.76</v>
      </c>
      <c r="U585" s="13" t="s">
        <v>127</v>
      </c>
      <c r="V585" s="13" t="s">
        <v>127</v>
      </c>
      <c r="W585" s="430" t="e">
        <f t="shared" si="265"/>
        <v>#VALUE!</v>
      </c>
      <c r="X585" s="430" t="e">
        <f t="shared" si="266"/>
        <v>#VALUE!</v>
      </c>
      <c r="Y585" s="13" t="str">
        <f t="shared" ref="Y585:Z586" si="272">U585</f>
        <v>N/A</v>
      </c>
      <c r="Z585" s="13" t="str">
        <f t="shared" si="272"/>
        <v>N/A</v>
      </c>
      <c r="AA585" s="430" t="e">
        <f t="shared" ref="AA585:AA648" si="273">Z585-Y585</f>
        <v>#VALUE!</v>
      </c>
      <c r="AB585" s="430" t="e">
        <f t="shared" ref="AB585:AB648" si="274">AD585*10-Z585</f>
        <v>#VALUE!</v>
      </c>
      <c r="AC585" s="430">
        <f t="shared" ref="AC585:AC648" si="275">IF(J585="clear","N/A",((Q585-R585)*10))</f>
        <v>230</v>
      </c>
      <c r="AD585" s="430">
        <f t="shared" ref="AD585:AD648" si="276">P585-Q585</f>
        <v>72</v>
      </c>
      <c r="AE585" s="431">
        <f t="shared" ref="AE585:AE648" si="277">T585+(O585/100*AD585)</f>
        <v>1.0840000000000001</v>
      </c>
      <c r="AF585" s="431"/>
      <c r="AG585" s="431">
        <f t="shared" ref="AG585:AG648" si="278">(((T585+(0.5*(AE585-T585)))*AD585)+(AE585*Q585))/P585</f>
        <v>0.98515254237288141</v>
      </c>
      <c r="AH585" s="431">
        <f t="shared" ref="AH585:AH648" si="279">IF(MID(G585,2,2)="10",(AG585/1000*$W$2),(IF(MID(G585,2,2)="11",(AG585/1000*$X$2),(IF(MID(G585,2,2)="12",(AG585/1000*$Y$2),(IF(MID(G585,2,2)="13",(AG585/1000*$Z$2),(IF(MID(G585,2,2)="20",(AG585/1000*$AA$2),(IF(MID(G585,2,2)="21",(AG585/1000*$AB$2),(IF(MID(G585,2,2)="22",(AG585/1000*$AC$2),(IF(MID(G585,2,2)="23",(AG585/1000*$AD$2),(IF(MID(G585,2,2)="50",(AG585/1000*$AE$2),(IF(MID(G585,2,2)="51",(AG585/1000*$AG$2),"?")))))))))))))))))))</f>
        <v>1.0491874576271187</v>
      </c>
      <c r="AI585" s="432">
        <f t="shared" ref="AI585:AI648" si="280">IF(MID(G585,2,2)="10",((T585+O585*(6.142)/100)*$W$2),(IF(MID(G585,2,2)="11",((T585+O585*(6.142)/100)*$X$2),(IF(MID(G585,2,2)="12",((T585+O585*(6.142)/100)*$Y$2),(IF(MID(G585,2,2)="13",((T585+O585*(6.142)/100)*$Z$2),(IF(MID(G585,2,2)="20",((T585+O585*(6.142)/100)*$AA$2),(IF(MID(G585,2,2)="21",((T585+O585*(6.142)/100)*$AB$2),(IF(MID(G585,2,2)="22",((T585+O585*(6.142)/100)*$AC$2),(IF(MID(G585,2,2)="23",((T585+O585*(6.142)/100)*$AD$2),(IF(MID(G585,2,2)="50",((T585+O585*(6.142)/100)*$AE$2),(IF(MID(G585,2,2)="51",((T585+O585*(6.142)/100)*$AG$2),"?")))))))))))))))))))</f>
        <v>838.83553499999994</v>
      </c>
      <c r="AJ585" s="432">
        <f t="shared" ref="AJ585:AJ648" si="281">(PI()*((49/2)^2-(16.51/2)^2)/(AE585/10))/100</f>
        <v>154.21190778584688</v>
      </c>
      <c r="AK585" s="432">
        <f t="shared" ref="AK585:AK648" si="282">(PI()*((51/2)^2-(16.545/2)^2)/(AE585/10))/100</f>
        <v>168.61882530515513</v>
      </c>
      <c r="AL585" s="432">
        <f t="shared" ref="AL585:AL648" si="283">(PI()*((70/2)^2-(16.545/2)^2)/(AE585/10))/100</f>
        <v>335.18989335411572</v>
      </c>
      <c r="AM585" s="250">
        <v>335</v>
      </c>
      <c r="AN585" s="432">
        <f t="shared" ref="AN585:AN648" si="284">AM585*P585/100</f>
        <v>395.3</v>
      </c>
      <c r="AO585" s="432">
        <f t="shared" ref="AO585:AO648" si="285">AN585*AH585</f>
        <v>414.74380200000007</v>
      </c>
      <c r="AP585" s="432">
        <f t="shared" ref="AP585:AP648" si="286">AO585/(Q585/100)</f>
        <v>901.61696086956533</v>
      </c>
      <c r="AQ585" s="279" t="s">
        <v>2610</v>
      </c>
      <c r="AR585" s="255" t="s">
        <v>238</v>
      </c>
      <c r="AS585" s="434" t="s">
        <v>2611</v>
      </c>
      <c r="AT585" s="429"/>
      <c r="AU585" s="280"/>
      <c r="AV585" s="281"/>
      <c r="AW585" s="72" t="s">
        <v>2612</v>
      </c>
      <c r="AX585" s="243"/>
      <c r="AY585" s="103"/>
      <c r="AZ585" s="72"/>
      <c r="BA585" s="13" t="str">
        <f t="shared" si="267"/>
        <v>W51</v>
      </c>
      <c r="BB585" s="72" t="str">
        <f t="shared" si="268"/>
        <v>S/B</v>
      </c>
      <c r="BC585" s="32">
        <f t="shared" si="269"/>
        <v>1.2909999999999999</v>
      </c>
      <c r="BD585" s="241">
        <f t="shared" si="270"/>
        <v>141.58234440804662</v>
      </c>
      <c r="BE585" s="241">
        <f t="shared" ref="BE585:BE590" si="287">IF(BC585="","",(BD585-AK585))</f>
        <v>-27.036480897108504</v>
      </c>
      <c r="BF585" s="71">
        <f t="shared" ref="BF585:BF590" si="288">IF(BC585="","",(BE585/AK585))</f>
        <v>-0.16034082106893865</v>
      </c>
      <c r="BG585" s="241">
        <f t="shared" ref="BG585:BG590" si="289">IF(BF585="","",((PI()*((70/2)^2-(16.545/2)^2)/(BC585/10))/100))</f>
        <v>281.44527063970679</v>
      </c>
      <c r="BH585" s="241">
        <f t="shared" ref="BH585:BH590" si="290">IF(BF585="","",(BG585-AL585))</f>
        <v>-53.744622714408933</v>
      </c>
      <c r="BI585" s="71">
        <f t="shared" ref="BI585:BI590" si="291">IF(BG585="","",(BH585/AL585))</f>
        <v>-0.16034082106893877</v>
      </c>
      <c r="BJ585" s="123"/>
      <c r="BK585" s="123"/>
      <c r="BL585" s="126"/>
      <c r="BM585" s="108"/>
      <c r="BN585" s="71"/>
      <c r="BO585" s="71"/>
      <c r="BP585" s="71"/>
      <c r="BQ585" s="71"/>
      <c r="BR585" s="71"/>
      <c r="BS585" s="71"/>
      <c r="BT585" s="72"/>
      <c r="BU585" s="78"/>
      <c r="BV585" s="32"/>
      <c r="BW585" s="127"/>
      <c r="BX585" s="78"/>
      <c r="BY585" s="78"/>
      <c r="BZ585" s="127"/>
      <c r="CA585" s="76"/>
    </row>
    <row r="586" spans="1:79" s="72" customFormat="1" ht="15" customHeight="1">
      <c r="A586" s="13" t="s">
        <v>2604</v>
      </c>
      <c r="B586" s="13" t="s">
        <v>2605</v>
      </c>
      <c r="C586" s="13" t="s">
        <v>2613</v>
      </c>
      <c r="D586" s="429" t="s">
        <v>2614</v>
      </c>
      <c r="E586" s="13" t="s">
        <v>137</v>
      </c>
      <c r="F586" s="13" t="s">
        <v>167</v>
      </c>
      <c r="G586" s="13" t="s">
        <v>2615</v>
      </c>
      <c r="H586" s="13" t="s">
        <v>389</v>
      </c>
      <c r="I586" s="13" t="s">
        <v>139</v>
      </c>
      <c r="J586" s="13" t="s">
        <v>274</v>
      </c>
      <c r="K586" s="13" t="s">
        <v>140</v>
      </c>
      <c r="L586" s="13" t="s">
        <v>2616</v>
      </c>
      <c r="M586" s="13" t="s">
        <v>276</v>
      </c>
      <c r="N586" s="13" t="s">
        <v>142</v>
      </c>
      <c r="O586" s="247">
        <v>0.3</v>
      </c>
      <c r="P586" s="13">
        <v>117</v>
      </c>
      <c r="Q586" s="13">
        <v>35</v>
      </c>
      <c r="R586" s="13">
        <v>26</v>
      </c>
      <c r="S586" s="430">
        <f t="shared" si="271"/>
        <v>91</v>
      </c>
      <c r="T586" s="247">
        <v>0.76</v>
      </c>
      <c r="U586" s="13" t="s">
        <v>127</v>
      </c>
      <c r="V586" s="13" t="s">
        <v>127</v>
      </c>
      <c r="W586" s="430" t="e">
        <f t="shared" si="265"/>
        <v>#VALUE!</v>
      </c>
      <c r="X586" s="430" t="e">
        <f t="shared" si="266"/>
        <v>#VALUE!</v>
      </c>
      <c r="Y586" s="13" t="str">
        <f t="shared" si="272"/>
        <v>N/A</v>
      </c>
      <c r="Z586" s="13" t="str">
        <f t="shared" si="272"/>
        <v>N/A</v>
      </c>
      <c r="AA586" s="430" t="e">
        <f t="shared" si="273"/>
        <v>#VALUE!</v>
      </c>
      <c r="AB586" s="430" t="e">
        <f t="shared" si="274"/>
        <v>#VALUE!</v>
      </c>
      <c r="AC586" s="430">
        <f t="shared" si="275"/>
        <v>90</v>
      </c>
      <c r="AD586" s="430">
        <f t="shared" si="276"/>
        <v>82</v>
      </c>
      <c r="AE586" s="431">
        <f t="shared" si="277"/>
        <v>1.006</v>
      </c>
      <c r="AF586" s="431"/>
      <c r="AG586" s="431">
        <f t="shared" si="278"/>
        <v>0.91979487179487196</v>
      </c>
      <c r="AH586" s="431">
        <f t="shared" si="279"/>
        <v>0.97958153846153873</v>
      </c>
      <c r="AI586" s="432">
        <f t="shared" si="280"/>
        <v>829.0236900000001</v>
      </c>
      <c r="AJ586" s="432">
        <f t="shared" si="281"/>
        <v>166.16869586467001</v>
      </c>
      <c r="AK586" s="432">
        <f t="shared" si="282"/>
        <v>181.6926507264296</v>
      </c>
      <c r="AL586" s="432">
        <f t="shared" si="283"/>
        <v>361.17877176526986</v>
      </c>
      <c r="AM586" s="250">
        <v>335</v>
      </c>
      <c r="AN586" s="432">
        <f t="shared" si="284"/>
        <v>391.95</v>
      </c>
      <c r="AO586" s="432">
        <f t="shared" si="285"/>
        <v>383.9469840000001</v>
      </c>
      <c r="AP586" s="432">
        <f t="shared" si="286"/>
        <v>1096.9913828571432</v>
      </c>
      <c r="AQ586" s="439">
        <v>1996</v>
      </c>
      <c r="AR586" s="255" t="s">
        <v>238</v>
      </c>
      <c r="AS586" s="434" t="s">
        <v>2617</v>
      </c>
      <c r="AT586" s="429"/>
      <c r="AU586" s="280"/>
      <c r="AV586" s="289"/>
      <c r="AW586" s="72" t="s">
        <v>2618</v>
      </c>
      <c r="AX586" s="243"/>
      <c r="AY586" s="103"/>
      <c r="BA586" s="13" t="str">
        <f t="shared" si="267"/>
        <v>W51</v>
      </c>
      <c r="BB586" s="72" t="str">
        <f t="shared" si="268"/>
        <v>S/B</v>
      </c>
      <c r="BC586" s="32">
        <f t="shared" si="269"/>
        <v>1.111</v>
      </c>
      <c r="BD586" s="241">
        <f t="shared" si="270"/>
        <v>164.52097806551589</v>
      </c>
      <c r="BE586" s="241">
        <f t="shared" si="287"/>
        <v>-17.171672660913714</v>
      </c>
      <c r="BF586" s="71">
        <f t="shared" si="288"/>
        <v>-9.450945094509465E-2</v>
      </c>
      <c r="BG586" s="241">
        <f t="shared" si="289"/>
        <v>327.04396435271059</v>
      </c>
      <c r="BH586" s="241">
        <f t="shared" si="290"/>
        <v>-34.134807412559269</v>
      </c>
      <c r="BI586" s="71">
        <f t="shared" si="291"/>
        <v>-9.4509450945094539E-2</v>
      </c>
      <c r="BJ586" s="123"/>
      <c r="BK586" s="123"/>
      <c r="BL586" s="126"/>
      <c r="BM586" s="108"/>
      <c r="BN586" s="71"/>
      <c r="BO586" s="71"/>
      <c r="BP586" s="71"/>
      <c r="BQ586" s="155"/>
      <c r="BR586" s="155"/>
      <c r="BS586" s="167"/>
      <c r="BU586" s="78"/>
      <c r="BV586" s="32"/>
      <c r="BW586" s="127"/>
      <c r="BX586" s="78"/>
      <c r="BY586" s="78"/>
      <c r="BZ586" s="127"/>
      <c r="CA586" s="76"/>
    </row>
    <row r="587" spans="1:79" s="22" customFormat="1">
      <c r="A587" s="13" t="s">
        <v>2604</v>
      </c>
      <c r="B587" s="13" t="s">
        <v>2619</v>
      </c>
      <c r="C587" s="13" t="s">
        <v>2620</v>
      </c>
      <c r="D587" s="429" t="s">
        <v>2621</v>
      </c>
      <c r="E587" s="13" t="s">
        <v>118</v>
      </c>
      <c r="F587" s="13" t="s">
        <v>167</v>
      </c>
      <c r="G587" s="13" t="s">
        <v>2622</v>
      </c>
      <c r="H587" s="13" t="s">
        <v>121</v>
      </c>
      <c r="I587" s="13" t="s">
        <v>147</v>
      </c>
      <c r="J587" s="13" t="s">
        <v>5</v>
      </c>
      <c r="K587" s="13" t="s">
        <v>123</v>
      </c>
      <c r="L587" s="13" t="s">
        <v>2623</v>
      </c>
      <c r="M587" s="13" t="s">
        <v>125</v>
      </c>
      <c r="N587" s="13" t="s">
        <v>12</v>
      </c>
      <c r="O587" s="247">
        <v>0.48</v>
      </c>
      <c r="P587" s="13">
        <v>107</v>
      </c>
      <c r="Q587" s="13">
        <v>34</v>
      </c>
      <c r="R587" s="13" t="s">
        <v>127</v>
      </c>
      <c r="S587" s="430" t="str">
        <f t="shared" si="271"/>
        <v>N/A</v>
      </c>
      <c r="T587" s="247">
        <v>0.8</v>
      </c>
      <c r="U587" s="13">
        <v>120</v>
      </c>
      <c r="V587" s="13">
        <v>420</v>
      </c>
      <c r="W587" s="430">
        <f t="shared" si="265"/>
        <v>300</v>
      </c>
      <c r="X587" s="430">
        <f t="shared" si="266"/>
        <v>310</v>
      </c>
      <c r="Y587" s="13"/>
      <c r="Z587" s="13"/>
      <c r="AA587" s="430">
        <f t="shared" si="273"/>
        <v>0</v>
      </c>
      <c r="AB587" s="430">
        <f t="shared" si="274"/>
        <v>730</v>
      </c>
      <c r="AC587" s="430" t="str">
        <f t="shared" si="275"/>
        <v>N/A</v>
      </c>
      <c r="AD587" s="430">
        <f t="shared" si="276"/>
        <v>73</v>
      </c>
      <c r="AE587" s="431">
        <f t="shared" si="277"/>
        <v>1.1504000000000001</v>
      </c>
      <c r="AF587" s="431"/>
      <c r="AG587" s="431">
        <f t="shared" si="278"/>
        <v>1.0308710280373832</v>
      </c>
      <c r="AH587" s="431">
        <f t="shared" si="279"/>
        <v>1.0927232897196262</v>
      </c>
      <c r="AI587" s="432">
        <f t="shared" si="280"/>
        <v>879.250496</v>
      </c>
      <c r="AJ587" s="432">
        <f t="shared" si="281"/>
        <v>145.31094231559285</v>
      </c>
      <c r="AK587" s="432">
        <f t="shared" si="282"/>
        <v>158.88630618114411</v>
      </c>
      <c r="AL587" s="432">
        <f t="shared" si="283"/>
        <v>315.84304971823838</v>
      </c>
      <c r="AM587" s="250">
        <v>150</v>
      </c>
      <c r="AN587" s="432">
        <f t="shared" si="284"/>
        <v>160.5</v>
      </c>
      <c r="AO587" s="432">
        <f t="shared" si="285"/>
        <v>175.38208800000001</v>
      </c>
      <c r="AP587" s="432">
        <f t="shared" si="286"/>
        <v>515.82967058823533</v>
      </c>
      <c r="AQ587" s="255">
        <v>43831</v>
      </c>
      <c r="AR587" s="255" t="s">
        <v>2624</v>
      </c>
      <c r="AS587" s="434" t="s">
        <v>2625</v>
      </c>
      <c r="AT587" s="429" t="s">
        <v>2626</v>
      </c>
      <c r="AU587" s="241">
        <v>2</v>
      </c>
      <c r="AV587" s="243" t="s">
        <v>405</v>
      </c>
      <c r="AW587" s="72" t="s">
        <v>127</v>
      </c>
      <c r="AX587" s="243"/>
      <c r="AY587" s="103">
        <f t="shared" ref="AY587:AY626" si="292">(V587/10)/P587</f>
        <v>0.3925233644859813</v>
      </c>
      <c r="AZ587" s="72">
        <f>221/5</f>
        <v>44.2</v>
      </c>
      <c r="BA587" s="13" t="str">
        <f t="shared" si="267"/>
        <v>W22</v>
      </c>
      <c r="BB587" s="72" t="str">
        <f t="shared" si="268"/>
        <v>Clear</v>
      </c>
      <c r="BC587" s="32">
        <f t="shared" si="269"/>
        <v>1.3136000000000001</v>
      </c>
      <c r="BD587" s="241">
        <f t="shared" si="270"/>
        <v>139.14647277008845</v>
      </c>
      <c r="BE587" s="241">
        <f t="shared" si="287"/>
        <v>-19.739833411055656</v>
      </c>
      <c r="BF587" s="71">
        <f t="shared" si="288"/>
        <v>-0.1242387332521315</v>
      </c>
      <c r="BG587" s="241">
        <f t="shared" si="289"/>
        <v>276.60310931475448</v>
      </c>
      <c r="BH587" s="241">
        <f t="shared" si="290"/>
        <v>-39.239940403483899</v>
      </c>
      <c r="BI587" s="71">
        <f t="shared" si="291"/>
        <v>-0.12423873325213142</v>
      </c>
      <c r="BJ587" s="111"/>
      <c r="BK587" s="111"/>
      <c r="BL587" s="83"/>
      <c r="BM587" s="83"/>
      <c r="BN587" s="71"/>
      <c r="BO587" s="83"/>
      <c r="BP587" s="83"/>
      <c r="BQ587" s="144"/>
      <c r="BR587" s="140"/>
      <c r="BS587" s="106"/>
      <c r="BT587" s="262"/>
      <c r="BU587" s="269"/>
      <c r="BV587" s="263"/>
      <c r="BW587" s="132"/>
      <c r="BX587" s="269"/>
      <c r="BY587" s="269"/>
      <c r="BZ587" s="132"/>
      <c r="CA587" s="271"/>
    </row>
    <row r="588" spans="1:79" s="72" customFormat="1">
      <c r="A588" s="13" t="s">
        <v>2604</v>
      </c>
      <c r="B588" s="13" t="s">
        <v>2619</v>
      </c>
      <c r="C588" s="13" t="s">
        <v>2620</v>
      </c>
      <c r="D588" s="429" t="s">
        <v>2621</v>
      </c>
      <c r="E588" s="13" t="s">
        <v>118</v>
      </c>
      <c r="F588" s="13" t="s">
        <v>167</v>
      </c>
      <c r="G588" s="13" t="s">
        <v>2627</v>
      </c>
      <c r="H588" s="13" t="s">
        <v>121</v>
      </c>
      <c r="I588" s="13" t="s">
        <v>147</v>
      </c>
      <c r="J588" s="13" t="s">
        <v>5</v>
      </c>
      <c r="K588" s="13" t="s">
        <v>123</v>
      </c>
      <c r="L588" s="13" t="s">
        <v>2628</v>
      </c>
      <c r="M588" s="13" t="s">
        <v>125</v>
      </c>
      <c r="N588" s="13" t="s">
        <v>12</v>
      </c>
      <c r="O588" s="247">
        <v>0.6</v>
      </c>
      <c r="P588" s="13">
        <v>104</v>
      </c>
      <c r="Q588" s="13">
        <v>34</v>
      </c>
      <c r="R588" s="13" t="s">
        <v>127</v>
      </c>
      <c r="S588" s="430" t="str">
        <f t="shared" si="271"/>
        <v>N/A</v>
      </c>
      <c r="T588" s="247">
        <v>0.8</v>
      </c>
      <c r="U588" s="13">
        <v>120</v>
      </c>
      <c r="V588" s="13">
        <v>420</v>
      </c>
      <c r="W588" s="430">
        <f t="shared" si="265"/>
        <v>300</v>
      </c>
      <c r="X588" s="430">
        <f t="shared" si="266"/>
        <v>280</v>
      </c>
      <c r="Y588" s="13"/>
      <c r="Z588" s="13"/>
      <c r="AA588" s="430">
        <f t="shared" si="273"/>
        <v>0</v>
      </c>
      <c r="AB588" s="430">
        <f t="shared" si="274"/>
        <v>700</v>
      </c>
      <c r="AC588" s="430" t="str">
        <f t="shared" si="275"/>
        <v>N/A</v>
      </c>
      <c r="AD588" s="430">
        <f t="shared" si="276"/>
        <v>70</v>
      </c>
      <c r="AE588" s="431">
        <f t="shared" si="277"/>
        <v>1.22</v>
      </c>
      <c r="AF588" s="431"/>
      <c r="AG588" s="431">
        <f t="shared" si="278"/>
        <v>1.0786538461538462</v>
      </c>
      <c r="AH588" s="431">
        <f t="shared" si="279"/>
        <v>0</v>
      </c>
      <c r="AI588" s="432">
        <f t="shared" si="280"/>
        <v>0</v>
      </c>
      <c r="AJ588" s="432">
        <f t="shared" si="281"/>
        <v>137.02107216381808</v>
      </c>
      <c r="AK588" s="432">
        <f t="shared" si="282"/>
        <v>149.82197264818703</v>
      </c>
      <c r="AL588" s="432">
        <f t="shared" si="283"/>
        <v>297.82446261955857</v>
      </c>
      <c r="AM588" s="250">
        <v>150</v>
      </c>
      <c r="AN588" s="432">
        <f t="shared" si="284"/>
        <v>156</v>
      </c>
      <c r="AO588" s="432">
        <f t="shared" si="285"/>
        <v>0</v>
      </c>
      <c r="AP588" s="432">
        <f t="shared" si="286"/>
        <v>0</v>
      </c>
      <c r="AQ588" s="255">
        <v>43647</v>
      </c>
      <c r="AR588" s="255" t="s">
        <v>366</v>
      </c>
      <c r="AS588" s="429" t="s">
        <v>2629</v>
      </c>
      <c r="AT588" s="429" t="s">
        <v>2630</v>
      </c>
      <c r="AU588" s="241">
        <v>2</v>
      </c>
      <c r="AV588" s="243" t="s">
        <v>405</v>
      </c>
      <c r="AW588" s="72" t="s">
        <v>127</v>
      </c>
      <c r="AX588" s="243"/>
      <c r="AY588" s="103">
        <f t="shared" si="292"/>
        <v>0.40384615384615385</v>
      </c>
      <c r="BA588" s="13" t="str">
        <f t="shared" si="267"/>
        <v>W12</v>
      </c>
      <c r="BB588" s="72" t="str">
        <f t="shared" si="268"/>
        <v>Clear</v>
      </c>
      <c r="BC588" s="32">
        <f t="shared" si="269"/>
        <v>1.4239999999999999</v>
      </c>
      <c r="BD588" s="241">
        <f t="shared" si="270"/>
        <v>128.3587125216209</v>
      </c>
      <c r="BE588" s="241">
        <f t="shared" si="287"/>
        <v>-21.463260126566126</v>
      </c>
      <c r="BF588" s="71">
        <f t="shared" si="288"/>
        <v>-0.14325842696629218</v>
      </c>
      <c r="BG588" s="241">
        <f t="shared" si="289"/>
        <v>255.15859859259933</v>
      </c>
      <c r="BH588" s="241">
        <f t="shared" si="290"/>
        <v>-42.665864026959241</v>
      </c>
      <c r="BI588" s="71">
        <f t="shared" si="291"/>
        <v>-0.14325842696629215</v>
      </c>
      <c r="BJ588" s="111"/>
      <c r="BK588" s="111"/>
      <c r="BL588" s="83"/>
      <c r="BM588" s="83"/>
      <c r="BN588" s="71"/>
      <c r="BO588" s="83"/>
      <c r="BP588" s="83"/>
      <c r="BQ588" s="115"/>
      <c r="BR588" s="113">
        <v>2280</v>
      </c>
      <c r="BS588" s="80"/>
      <c r="BT588" s="22"/>
      <c r="BU588" s="87"/>
      <c r="BV588" s="73"/>
      <c r="BW588" s="109"/>
      <c r="BX588" s="87"/>
      <c r="BY588" s="87"/>
      <c r="BZ588" s="109"/>
      <c r="CA588" s="76"/>
    </row>
    <row r="589" spans="1:79" s="38" customFormat="1">
      <c r="A589" s="13" t="s">
        <v>2604</v>
      </c>
      <c r="B589" s="13" t="s">
        <v>2619</v>
      </c>
      <c r="C589" s="13" t="s">
        <v>895</v>
      </c>
      <c r="D589" s="429" t="s">
        <v>2631</v>
      </c>
      <c r="E589" s="13" t="s">
        <v>118</v>
      </c>
      <c r="F589" s="13" t="s">
        <v>167</v>
      </c>
      <c r="G589" s="13" t="s">
        <v>2632</v>
      </c>
      <c r="H589" s="13" t="s">
        <v>121</v>
      </c>
      <c r="I589" s="13" t="s">
        <v>147</v>
      </c>
      <c r="J589" s="13" t="s">
        <v>5</v>
      </c>
      <c r="K589" s="13" t="s">
        <v>123</v>
      </c>
      <c r="L589" s="13" t="s">
        <v>2633</v>
      </c>
      <c r="M589" s="13" t="s">
        <v>125</v>
      </c>
      <c r="N589" s="13" t="s">
        <v>12</v>
      </c>
      <c r="O589" s="247">
        <v>0.28000000000000003</v>
      </c>
      <c r="P589" s="13">
        <v>121</v>
      </c>
      <c r="Q589" s="13">
        <v>41</v>
      </c>
      <c r="R589" s="13" t="s">
        <v>127</v>
      </c>
      <c r="S589" s="430" t="str">
        <f t="shared" si="271"/>
        <v>N/A</v>
      </c>
      <c r="T589" s="247">
        <v>0.8</v>
      </c>
      <c r="U589" s="13">
        <v>220</v>
      </c>
      <c r="V589" s="13">
        <v>520</v>
      </c>
      <c r="W589" s="430">
        <f t="shared" si="265"/>
        <v>300</v>
      </c>
      <c r="X589" s="430">
        <f t="shared" si="266"/>
        <v>280</v>
      </c>
      <c r="Y589" s="13"/>
      <c r="Z589" s="13"/>
      <c r="AA589" s="430">
        <f t="shared" si="273"/>
        <v>0</v>
      </c>
      <c r="AB589" s="430">
        <f t="shared" si="274"/>
        <v>800</v>
      </c>
      <c r="AC589" s="430" t="str">
        <f t="shared" si="275"/>
        <v>N/A</v>
      </c>
      <c r="AD589" s="430">
        <f t="shared" si="276"/>
        <v>80</v>
      </c>
      <c r="AE589" s="431">
        <f t="shared" si="277"/>
        <v>1.024</v>
      </c>
      <c r="AF589" s="431"/>
      <c r="AG589" s="431">
        <f t="shared" si="278"/>
        <v>0.94995041322314067</v>
      </c>
      <c r="AH589" s="431">
        <f t="shared" si="279"/>
        <v>1.0069474380165291</v>
      </c>
      <c r="AI589" s="432">
        <f t="shared" si="280"/>
        <v>866.22945600000003</v>
      </c>
      <c r="AJ589" s="432">
        <f t="shared" si="281"/>
        <v>163.24776175767386</v>
      </c>
      <c r="AK589" s="432">
        <f t="shared" si="282"/>
        <v>178.49883460037904</v>
      </c>
      <c r="AL589" s="432">
        <f t="shared" si="283"/>
        <v>354.82992616783349</v>
      </c>
      <c r="AM589" s="250">
        <v>150</v>
      </c>
      <c r="AN589" s="432">
        <f t="shared" si="284"/>
        <v>181.5</v>
      </c>
      <c r="AO589" s="432">
        <f t="shared" si="285"/>
        <v>182.76096000000004</v>
      </c>
      <c r="AP589" s="432">
        <f t="shared" si="286"/>
        <v>445.75843902439038</v>
      </c>
      <c r="AQ589" s="255">
        <v>43831</v>
      </c>
      <c r="AR589" s="255" t="s">
        <v>2624</v>
      </c>
      <c r="AS589" s="434" t="s">
        <v>2634</v>
      </c>
      <c r="AT589" s="429" t="s">
        <v>2635</v>
      </c>
      <c r="AU589" s="241">
        <v>2</v>
      </c>
      <c r="AV589" s="243" t="s">
        <v>405</v>
      </c>
      <c r="AW589" s="72" t="s">
        <v>127</v>
      </c>
      <c r="AX589" s="243"/>
      <c r="AY589" s="103">
        <f t="shared" si="292"/>
        <v>0.42975206611570249</v>
      </c>
      <c r="AZ589" s="78">
        <f>7.3/5</f>
        <v>1.46</v>
      </c>
      <c r="BA589" s="13" t="str">
        <f t="shared" si="267"/>
        <v>W22</v>
      </c>
      <c r="BB589" s="72" t="str">
        <f t="shared" si="268"/>
        <v>Clear</v>
      </c>
      <c r="BC589" s="32">
        <f t="shared" si="269"/>
        <v>1.1388</v>
      </c>
      <c r="BD589" s="241">
        <f t="shared" si="270"/>
        <v>160.50474765611887</v>
      </c>
      <c r="BE589" s="241">
        <f t="shared" si="287"/>
        <v>-17.994086944260175</v>
      </c>
      <c r="BF589" s="71">
        <f t="shared" si="288"/>
        <v>-0.10080786793115547</v>
      </c>
      <c r="BG589" s="241">
        <f t="shared" si="289"/>
        <v>319.06027783268479</v>
      </c>
      <c r="BH589" s="241">
        <f t="shared" si="290"/>
        <v>-35.769648335148702</v>
      </c>
      <c r="BI589" s="71">
        <f t="shared" si="291"/>
        <v>-0.10080786793115575</v>
      </c>
      <c r="BJ589" s="111"/>
      <c r="BK589" s="111"/>
      <c r="BL589" s="83"/>
      <c r="BM589" s="83"/>
      <c r="BN589" s="71"/>
      <c r="BO589" s="83"/>
      <c r="BP589" s="83"/>
      <c r="BQ589" s="124"/>
      <c r="BR589" s="124"/>
      <c r="BS589" s="71"/>
      <c r="BT589" s="72"/>
      <c r="BU589" s="78"/>
      <c r="BV589" s="32"/>
      <c r="BW589" s="127"/>
      <c r="BX589" s="78"/>
      <c r="BY589" s="78"/>
      <c r="BZ589" s="127"/>
      <c r="CA589" s="76"/>
    </row>
    <row r="590" spans="1:79" s="77" customFormat="1">
      <c r="A590" s="13" t="s">
        <v>2604</v>
      </c>
      <c r="B590" s="13" t="s">
        <v>2619</v>
      </c>
      <c r="C590" s="13" t="s">
        <v>895</v>
      </c>
      <c r="D590" s="429" t="s">
        <v>2631</v>
      </c>
      <c r="E590" s="13" t="s">
        <v>118</v>
      </c>
      <c r="F590" s="13" t="s">
        <v>167</v>
      </c>
      <c r="G590" s="13" t="s">
        <v>2636</v>
      </c>
      <c r="H590" s="13" t="s">
        <v>121</v>
      </c>
      <c r="I590" s="13" t="s">
        <v>147</v>
      </c>
      <c r="J590" s="13" t="s">
        <v>5</v>
      </c>
      <c r="K590" s="13" t="s">
        <v>123</v>
      </c>
      <c r="L590" s="13" t="s">
        <v>2637</v>
      </c>
      <c r="M590" s="13" t="s">
        <v>125</v>
      </c>
      <c r="N590" s="13" t="s">
        <v>12</v>
      </c>
      <c r="O590" s="247">
        <v>0.3</v>
      </c>
      <c r="P590" s="13">
        <v>121</v>
      </c>
      <c r="Q590" s="13">
        <v>41</v>
      </c>
      <c r="R590" s="13" t="s">
        <v>127</v>
      </c>
      <c r="S590" s="430" t="str">
        <f t="shared" si="271"/>
        <v>N/A</v>
      </c>
      <c r="T590" s="247">
        <v>0.8</v>
      </c>
      <c r="U590" s="13">
        <v>220</v>
      </c>
      <c r="V590" s="13">
        <v>520</v>
      </c>
      <c r="W590" s="430">
        <f t="shared" si="265"/>
        <v>300</v>
      </c>
      <c r="X590" s="430">
        <f t="shared" si="266"/>
        <v>280</v>
      </c>
      <c r="Y590" s="13"/>
      <c r="Z590" s="13"/>
      <c r="AA590" s="430">
        <f t="shared" si="273"/>
        <v>0</v>
      </c>
      <c r="AB590" s="430">
        <f t="shared" si="274"/>
        <v>800</v>
      </c>
      <c r="AC590" s="430" t="str">
        <f t="shared" si="275"/>
        <v>N/A</v>
      </c>
      <c r="AD590" s="430">
        <f t="shared" si="276"/>
        <v>80</v>
      </c>
      <c r="AE590" s="431">
        <f t="shared" si="277"/>
        <v>1.04</v>
      </c>
      <c r="AF590" s="431"/>
      <c r="AG590" s="431">
        <f t="shared" si="278"/>
        <v>0.96066115702479349</v>
      </c>
      <c r="AH590" s="431">
        <f t="shared" si="279"/>
        <v>0</v>
      </c>
      <c r="AI590" s="432">
        <f t="shared" si="280"/>
        <v>0</v>
      </c>
      <c r="AJ590" s="432">
        <f t="shared" si="281"/>
        <v>160.7362577306327</v>
      </c>
      <c r="AK590" s="432">
        <f t="shared" si="282"/>
        <v>175.75269868345015</v>
      </c>
      <c r="AL590" s="432">
        <f t="shared" si="283"/>
        <v>349.37100422678981</v>
      </c>
      <c r="AM590" s="250">
        <v>150</v>
      </c>
      <c r="AN590" s="432">
        <f t="shared" si="284"/>
        <v>181.5</v>
      </c>
      <c r="AO590" s="432">
        <f t="shared" si="285"/>
        <v>0</v>
      </c>
      <c r="AP590" s="432">
        <f t="shared" si="286"/>
        <v>0</v>
      </c>
      <c r="AQ590" s="255">
        <v>43647</v>
      </c>
      <c r="AR590" s="255" t="s">
        <v>366</v>
      </c>
      <c r="AS590" s="429" t="s">
        <v>2638</v>
      </c>
      <c r="AT590" s="429" t="s">
        <v>2639</v>
      </c>
      <c r="AU590" s="241">
        <v>4</v>
      </c>
      <c r="AV590" s="243" t="s">
        <v>405</v>
      </c>
      <c r="AW590" s="72" t="s">
        <v>127</v>
      </c>
      <c r="AX590" s="243"/>
      <c r="AY590" s="103">
        <f t="shared" si="292"/>
        <v>0.42975206611570249</v>
      </c>
      <c r="AZ590" s="72"/>
      <c r="BA590" s="13" t="str">
        <f t="shared" si="267"/>
        <v>W12</v>
      </c>
      <c r="BB590" s="72" t="str">
        <f t="shared" si="268"/>
        <v>Clear</v>
      </c>
      <c r="BC590" s="32">
        <f t="shared" si="269"/>
        <v>1.163</v>
      </c>
      <c r="BD590" s="241">
        <f t="shared" si="270"/>
        <v>157.16492401615494</v>
      </c>
      <c r="BE590" s="241">
        <f t="shared" si="287"/>
        <v>-18.587774667295207</v>
      </c>
      <c r="BF590" s="71">
        <f t="shared" si="288"/>
        <v>-0.105760963026655</v>
      </c>
      <c r="BG590" s="241">
        <f t="shared" si="289"/>
        <v>312.42119036617498</v>
      </c>
      <c r="BH590" s="241">
        <f t="shared" si="290"/>
        <v>-36.949813860614825</v>
      </c>
      <c r="BI590" s="71">
        <f t="shared" si="291"/>
        <v>-0.10576096302665494</v>
      </c>
      <c r="BJ590" s="111"/>
      <c r="BK590" s="111"/>
      <c r="BL590" s="83"/>
      <c r="BM590" s="83"/>
      <c r="BN590" s="71"/>
      <c r="BO590" s="83"/>
      <c r="BP590" s="83"/>
      <c r="BQ590" s="155"/>
      <c r="BR590" s="155">
        <v>2640</v>
      </c>
      <c r="BS590" s="71"/>
      <c r="BT590" s="72"/>
      <c r="BU590" s="78"/>
      <c r="BV590" s="32"/>
      <c r="BW590" s="127"/>
      <c r="BX590" s="78"/>
      <c r="BY590" s="78"/>
      <c r="BZ590" s="127"/>
      <c r="CA590" s="76"/>
    </row>
    <row r="591" spans="1:79" s="262" customFormat="1">
      <c r="A591" s="13" t="s">
        <v>2604</v>
      </c>
      <c r="B591" s="13" t="s">
        <v>2640</v>
      </c>
      <c r="C591" s="13" t="s">
        <v>895</v>
      </c>
      <c r="D591" s="13" t="s">
        <v>2641</v>
      </c>
      <c r="E591" s="13" t="s">
        <v>118</v>
      </c>
      <c r="F591" s="13" t="s">
        <v>119</v>
      </c>
      <c r="G591" s="13" t="s">
        <v>2642</v>
      </c>
      <c r="H591" s="13" t="s">
        <v>146</v>
      </c>
      <c r="I591" s="13" t="s">
        <v>147</v>
      </c>
      <c r="J591" s="13" t="s">
        <v>5</v>
      </c>
      <c r="K591" s="13" t="s">
        <v>140</v>
      </c>
      <c r="L591" s="13" t="s">
        <v>2643</v>
      </c>
      <c r="M591" s="13" t="s">
        <v>125</v>
      </c>
      <c r="N591" s="13" t="s">
        <v>12</v>
      </c>
      <c r="O591" s="247">
        <v>0.64</v>
      </c>
      <c r="P591" s="13">
        <v>115</v>
      </c>
      <c r="Q591" s="13">
        <v>30</v>
      </c>
      <c r="R591" s="13" t="s">
        <v>127</v>
      </c>
      <c r="S591" s="430" t="str">
        <f t="shared" si="271"/>
        <v>N/A</v>
      </c>
      <c r="T591" s="247">
        <v>0.76</v>
      </c>
      <c r="U591" s="13">
        <v>200</v>
      </c>
      <c r="V591" s="13">
        <v>600</v>
      </c>
      <c r="W591" s="430">
        <f t="shared" si="265"/>
        <v>400</v>
      </c>
      <c r="X591" s="430">
        <f t="shared" si="266"/>
        <v>250</v>
      </c>
      <c r="Y591" s="13">
        <v>200</v>
      </c>
      <c r="Z591" s="13">
        <v>600</v>
      </c>
      <c r="AA591" s="430">
        <f t="shared" si="273"/>
        <v>400</v>
      </c>
      <c r="AB591" s="430">
        <f t="shared" si="274"/>
        <v>250</v>
      </c>
      <c r="AC591" s="430" t="str">
        <f t="shared" si="275"/>
        <v>N/A</v>
      </c>
      <c r="AD591" s="430">
        <f t="shared" si="276"/>
        <v>85</v>
      </c>
      <c r="AE591" s="431">
        <f t="shared" si="277"/>
        <v>1.304</v>
      </c>
      <c r="AF591" s="431"/>
      <c r="AG591" s="431">
        <f t="shared" si="278"/>
        <v>1.1029565217391304</v>
      </c>
      <c r="AH591" s="431">
        <f t="shared" si="279"/>
        <v>1.1746486956521738</v>
      </c>
      <c r="AI591" s="432">
        <f t="shared" si="280"/>
        <v>851.26387199999999</v>
      </c>
      <c r="AJ591" s="432">
        <f t="shared" si="281"/>
        <v>128.19456138025922</v>
      </c>
      <c r="AK591" s="432">
        <f t="shared" si="282"/>
        <v>140.17086398066576</v>
      </c>
      <c r="AL591" s="432">
        <f t="shared" si="283"/>
        <v>278.63945122382012</v>
      </c>
      <c r="AM591" s="250">
        <v>140</v>
      </c>
      <c r="AN591" s="432">
        <f t="shared" si="284"/>
        <v>161</v>
      </c>
      <c r="AO591" s="432">
        <f t="shared" si="285"/>
        <v>189.11843999999999</v>
      </c>
      <c r="AP591" s="432">
        <f t="shared" si="286"/>
        <v>630.39480000000003</v>
      </c>
      <c r="AQ591" s="255" t="s">
        <v>132</v>
      </c>
      <c r="AR591" s="255" t="s">
        <v>2644</v>
      </c>
      <c r="AS591" s="434" t="s">
        <v>2645</v>
      </c>
      <c r="AT591" s="429" t="s">
        <v>2646</v>
      </c>
      <c r="AU591" s="250"/>
      <c r="AV591" s="255"/>
      <c r="AW591" s="13"/>
      <c r="AX591" s="255"/>
      <c r="AY591" s="103">
        <f t="shared" si="292"/>
        <v>0.52173913043478259</v>
      </c>
      <c r="AZ591" s="250"/>
      <c r="BA591" s="13" t="str">
        <f t="shared" si="267"/>
        <v>W20</v>
      </c>
      <c r="BB591" s="13" t="str">
        <f t="shared" si="268"/>
        <v>Clear</v>
      </c>
      <c r="BC591" s="29">
        <f t="shared" si="269"/>
        <v>1.496</v>
      </c>
      <c r="BD591" s="250">
        <f t="shared" si="270"/>
        <v>122.18102047512576</v>
      </c>
      <c r="BE591" s="250"/>
      <c r="BF591" s="103"/>
      <c r="BG591" s="250"/>
      <c r="BH591" s="250"/>
      <c r="BI591" s="103"/>
      <c r="BJ591" s="111"/>
      <c r="BK591" s="111"/>
      <c r="BL591" s="83"/>
      <c r="BM591" s="83"/>
      <c r="BN591" s="103"/>
      <c r="BO591" s="83"/>
      <c r="BP591" s="83"/>
      <c r="BQ591" s="115"/>
      <c r="BR591" s="113"/>
      <c r="BS591" s="80"/>
      <c r="BT591" s="22"/>
      <c r="BU591" s="87"/>
      <c r="BV591" s="73"/>
      <c r="BW591" s="109"/>
      <c r="BX591" s="87"/>
      <c r="BY591" s="87"/>
      <c r="BZ591" s="109"/>
      <c r="CA591" s="76"/>
    </row>
    <row r="592" spans="1:79" s="262" customFormat="1">
      <c r="A592" s="13" t="s">
        <v>2604</v>
      </c>
      <c r="B592" s="13" t="s">
        <v>2640</v>
      </c>
      <c r="C592" s="13"/>
      <c r="D592" s="13"/>
      <c r="E592" s="13"/>
      <c r="F592" s="13" t="s">
        <v>119</v>
      </c>
      <c r="G592" s="13" t="s">
        <v>2647</v>
      </c>
      <c r="H592" s="13" t="s">
        <v>146</v>
      </c>
      <c r="I592" s="13" t="s">
        <v>147</v>
      </c>
      <c r="J592" s="13" t="s">
        <v>5</v>
      </c>
      <c r="K592" s="13" t="s">
        <v>140</v>
      </c>
      <c r="L592" s="13"/>
      <c r="M592" s="13" t="s">
        <v>125</v>
      </c>
      <c r="N592" s="13" t="s">
        <v>12</v>
      </c>
      <c r="O592" s="247">
        <v>0.52</v>
      </c>
      <c r="P592" s="13">
        <v>115</v>
      </c>
      <c r="Q592" s="13">
        <v>30</v>
      </c>
      <c r="R592" s="13" t="s">
        <v>127</v>
      </c>
      <c r="S592" s="430" t="str">
        <f t="shared" si="271"/>
        <v>N/A</v>
      </c>
      <c r="T592" s="247">
        <v>0.76</v>
      </c>
      <c r="U592" s="13">
        <v>200</v>
      </c>
      <c r="V592" s="13">
        <v>600</v>
      </c>
      <c r="W592" s="430">
        <f t="shared" si="265"/>
        <v>400</v>
      </c>
      <c r="X592" s="430">
        <f t="shared" si="266"/>
        <v>250</v>
      </c>
      <c r="Y592" s="13">
        <v>200</v>
      </c>
      <c r="Z592" s="13">
        <v>600</v>
      </c>
      <c r="AA592" s="430">
        <f t="shared" si="273"/>
        <v>400</v>
      </c>
      <c r="AB592" s="430">
        <f t="shared" si="274"/>
        <v>250</v>
      </c>
      <c r="AC592" s="430" t="str">
        <f t="shared" si="275"/>
        <v>N/A</v>
      </c>
      <c r="AD592" s="430">
        <f t="shared" si="276"/>
        <v>85</v>
      </c>
      <c r="AE592" s="431">
        <f t="shared" si="277"/>
        <v>1.202</v>
      </c>
      <c r="AF592" s="431"/>
      <c r="AG592" s="431">
        <f t="shared" si="278"/>
        <v>1.0386521739130437</v>
      </c>
      <c r="AH592" s="431">
        <f t="shared" si="279"/>
        <v>1.1061645652173915</v>
      </c>
      <c r="AI592" s="432">
        <f t="shared" si="280"/>
        <v>843.41439600000001</v>
      </c>
      <c r="AJ592" s="432">
        <f t="shared" si="281"/>
        <v>139.07296841918304</v>
      </c>
      <c r="AK592" s="432">
        <f t="shared" si="282"/>
        <v>152.06556292078884</v>
      </c>
      <c r="AL592" s="432">
        <f t="shared" si="283"/>
        <v>302.28439633599123</v>
      </c>
      <c r="AM592" s="250">
        <v>152</v>
      </c>
      <c r="AN592" s="432">
        <f t="shared" si="284"/>
        <v>174.8</v>
      </c>
      <c r="AO592" s="432">
        <f t="shared" si="285"/>
        <v>193.35756600000005</v>
      </c>
      <c r="AP592" s="432">
        <f t="shared" si="286"/>
        <v>644.52522000000022</v>
      </c>
      <c r="AQ592" s="255" t="s">
        <v>132</v>
      </c>
      <c r="AR592" s="457" t="s">
        <v>2648</v>
      </c>
      <c r="AS592" s="434" t="s">
        <v>2649</v>
      </c>
      <c r="AT592" s="429"/>
      <c r="AU592" s="250"/>
      <c r="AV592" s="255"/>
      <c r="AW592" s="13"/>
      <c r="AX592" s="255"/>
      <c r="AY592" s="103"/>
      <c r="AZ592" s="250"/>
      <c r="BA592" s="13"/>
      <c r="BB592" s="13"/>
      <c r="BC592" s="29"/>
      <c r="BD592" s="250"/>
      <c r="BE592" s="250"/>
      <c r="BF592" s="103"/>
      <c r="BG592" s="250"/>
      <c r="BH592" s="250"/>
      <c r="BI592" s="103"/>
      <c r="BJ592" s="111"/>
      <c r="BK592" s="111"/>
      <c r="BL592" s="83"/>
      <c r="BM592" s="83"/>
      <c r="BN592" s="103"/>
      <c r="BO592" s="83"/>
      <c r="BP592" s="83"/>
      <c r="BQ592" s="115"/>
      <c r="BR592" s="113"/>
      <c r="BS592" s="80"/>
      <c r="BT592" s="22"/>
      <c r="BU592" s="87"/>
      <c r="BV592" s="73"/>
      <c r="BW592" s="109"/>
      <c r="BX592" s="87"/>
      <c r="BY592" s="87"/>
      <c r="BZ592" s="109"/>
      <c r="CA592" s="76"/>
    </row>
    <row r="593" spans="1:79" s="262" customFormat="1">
      <c r="A593" s="13" t="s">
        <v>2604</v>
      </c>
      <c r="B593" s="13" t="s">
        <v>2640</v>
      </c>
      <c r="C593" s="13"/>
      <c r="D593" s="13"/>
      <c r="E593" s="13"/>
      <c r="F593" s="13" t="s">
        <v>119</v>
      </c>
      <c r="G593" s="13" t="s">
        <v>2650</v>
      </c>
      <c r="H593" s="13" t="s">
        <v>146</v>
      </c>
      <c r="I593" s="13" t="s">
        <v>147</v>
      </c>
      <c r="J593" s="13" t="s">
        <v>5</v>
      </c>
      <c r="K593" s="13" t="s">
        <v>140</v>
      </c>
      <c r="L593" s="13"/>
      <c r="M593" s="13" t="s">
        <v>125</v>
      </c>
      <c r="N593" s="13" t="s">
        <v>12</v>
      </c>
      <c r="O593" s="247">
        <v>0.56000000000000005</v>
      </c>
      <c r="P593" s="13">
        <v>115</v>
      </c>
      <c r="Q593" s="13">
        <v>30</v>
      </c>
      <c r="R593" s="13" t="s">
        <v>127</v>
      </c>
      <c r="S593" s="430" t="str">
        <f t="shared" si="271"/>
        <v>N/A</v>
      </c>
      <c r="T593" s="247">
        <v>0.76</v>
      </c>
      <c r="U593" s="13">
        <v>200</v>
      </c>
      <c r="V593" s="13">
        <v>600</v>
      </c>
      <c r="W593" s="430">
        <f t="shared" si="265"/>
        <v>400</v>
      </c>
      <c r="X593" s="430">
        <f t="shared" si="266"/>
        <v>250</v>
      </c>
      <c r="Y593" s="13">
        <v>200</v>
      </c>
      <c r="Z593" s="13">
        <v>600</v>
      </c>
      <c r="AA593" s="430">
        <f t="shared" si="273"/>
        <v>400</v>
      </c>
      <c r="AB593" s="430">
        <f t="shared" si="274"/>
        <v>250</v>
      </c>
      <c r="AC593" s="430" t="str">
        <f t="shared" si="275"/>
        <v>N/A</v>
      </c>
      <c r="AD593" s="430">
        <f t="shared" si="276"/>
        <v>85</v>
      </c>
      <c r="AE593" s="431">
        <f t="shared" si="277"/>
        <v>1.2360000000000002</v>
      </c>
      <c r="AF593" s="431"/>
      <c r="AG593" s="431">
        <f t="shared" si="278"/>
        <v>1.0600869565217395</v>
      </c>
      <c r="AH593" s="431">
        <f t="shared" si="279"/>
        <v>1.1289926086956525</v>
      </c>
      <c r="AI593" s="432">
        <f t="shared" si="280"/>
        <v>846.030888</v>
      </c>
      <c r="AJ593" s="432">
        <f t="shared" si="281"/>
        <v>135.24733660182687</v>
      </c>
      <c r="AK593" s="432">
        <f t="shared" si="282"/>
        <v>147.88252963655998</v>
      </c>
      <c r="AL593" s="432">
        <f t="shared" si="283"/>
        <v>293.96912977011442</v>
      </c>
      <c r="AM593" s="250">
        <v>148</v>
      </c>
      <c r="AN593" s="432">
        <f t="shared" si="284"/>
        <v>170.2</v>
      </c>
      <c r="AO593" s="432">
        <f t="shared" si="285"/>
        <v>192.15454200000005</v>
      </c>
      <c r="AP593" s="432">
        <f t="shared" si="286"/>
        <v>640.5151400000002</v>
      </c>
      <c r="AQ593" s="255" t="s">
        <v>132</v>
      </c>
      <c r="AR593" s="457" t="s">
        <v>2648</v>
      </c>
      <c r="AS593" s="434" t="s">
        <v>2651</v>
      </c>
      <c r="AT593" s="429"/>
      <c r="AU593" s="250"/>
      <c r="AV593" s="255"/>
      <c r="AW593" s="13"/>
      <c r="AX593" s="255"/>
      <c r="AY593" s="103"/>
      <c r="AZ593" s="250"/>
      <c r="BA593" s="13"/>
      <c r="BB593" s="13"/>
      <c r="BC593" s="29"/>
      <c r="BD593" s="250"/>
      <c r="BE593" s="250"/>
      <c r="BF593" s="103"/>
      <c r="BG593" s="250"/>
      <c r="BH593" s="250"/>
      <c r="BI593" s="103"/>
      <c r="BJ593" s="111"/>
      <c r="BK593" s="111"/>
      <c r="BL593" s="83"/>
      <c r="BM593" s="83"/>
      <c r="BN593" s="103"/>
      <c r="BO593" s="83"/>
      <c r="BP593" s="83"/>
      <c r="BQ593" s="115"/>
      <c r="BR593" s="113"/>
      <c r="BS593" s="80"/>
      <c r="BT593" s="22"/>
      <c r="BU593" s="87"/>
      <c r="BV593" s="73"/>
      <c r="BW593" s="109"/>
      <c r="BX593" s="87"/>
      <c r="BY593" s="87"/>
      <c r="BZ593" s="109"/>
      <c r="CA593" s="76"/>
    </row>
    <row r="594" spans="1:79" s="262" customFormat="1">
      <c r="A594" s="13" t="s">
        <v>2604</v>
      </c>
      <c r="B594" s="13" t="s">
        <v>2640</v>
      </c>
      <c r="C594" s="13"/>
      <c r="D594" s="13"/>
      <c r="E594" s="13"/>
      <c r="F594" s="13" t="s">
        <v>119</v>
      </c>
      <c r="G594" s="13" t="s">
        <v>2652</v>
      </c>
      <c r="H594" s="13" t="s">
        <v>146</v>
      </c>
      <c r="I594" s="13" t="s">
        <v>147</v>
      </c>
      <c r="J594" s="13" t="s">
        <v>5</v>
      </c>
      <c r="K594" s="13" t="s">
        <v>140</v>
      </c>
      <c r="L594" s="13"/>
      <c r="M594" s="13" t="s">
        <v>125</v>
      </c>
      <c r="N594" s="13" t="s">
        <v>12</v>
      </c>
      <c r="O594" s="247">
        <v>0.56999999999999995</v>
      </c>
      <c r="P594" s="13">
        <v>115</v>
      </c>
      <c r="Q594" s="13">
        <v>30</v>
      </c>
      <c r="R594" s="13" t="s">
        <v>127</v>
      </c>
      <c r="S594" s="430" t="str">
        <f t="shared" si="271"/>
        <v>N/A</v>
      </c>
      <c r="T594" s="247">
        <v>0.76</v>
      </c>
      <c r="U594" s="13">
        <v>200</v>
      </c>
      <c r="V594" s="13">
        <v>600</v>
      </c>
      <c r="W594" s="430">
        <f t="shared" si="265"/>
        <v>400</v>
      </c>
      <c r="X594" s="430">
        <f t="shared" si="266"/>
        <v>250</v>
      </c>
      <c r="Y594" s="13">
        <v>200</v>
      </c>
      <c r="Z594" s="13">
        <v>600</v>
      </c>
      <c r="AA594" s="430">
        <f t="shared" si="273"/>
        <v>400</v>
      </c>
      <c r="AB594" s="430">
        <f t="shared" si="274"/>
        <v>250</v>
      </c>
      <c r="AC594" s="430" t="str">
        <f t="shared" si="275"/>
        <v>N/A</v>
      </c>
      <c r="AD594" s="430">
        <f t="shared" si="276"/>
        <v>85</v>
      </c>
      <c r="AE594" s="431">
        <f t="shared" si="277"/>
        <v>1.2444999999999999</v>
      </c>
      <c r="AF594" s="431"/>
      <c r="AG594" s="431">
        <f t="shared" si="278"/>
        <v>1.0654456521739131</v>
      </c>
      <c r="AH594" s="431">
        <f t="shared" si="279"/>
        <v>1.1346996195652175</v>
      </c>
      <c r="AI594" s="432">
        <f t="shared" si="280"/>
        <v>846.68501100000003</v>
      </c>
      <c r="AJ594" s="432">
        <f t="shared" si="281"/>
        <v>134.32359022889358</v>
      </c>
      <c r="AK594" s="432">
        <f t="shared" si="282"/>
        <v>146.87248423526572</v>
      </c>
      <c r="AL594" s="432">
        <f t="shared" si="283"/>
        <v>291.96130525983244</v>
      </c>
      <c r="AM594" s="250">
        <v>148</v>
      </c>
      <c r="AN594" s="432">
        <f t="shared" si="284"/>
        <v>170.2</v>
      </c>
      <c r="AO594" s="432">
        <f t="shared" si="285"/>
        <v>193.12587525000001</v>
      </c>
      <c r="AP594" s="432">
        <f t="shared" si="286"/>
        <v>643.75291750000008</v>
      </c>
      <c r="AQ594" s="255"/>
      <c r="AR594" s="457"/>
      <c r="AS594" s="434"/>
      <c r="AT594" s="429"/>
      <c r="AU594" s="250"/>
      <c r="AV594" s="255"/>
      <c r="AW594" s="13"/>
      <c r="AX594" s="255"/>
      <c r="AY594" s="103"/>
      <c r="AZ594" s="250"/>
      <c r="BA594" s="13"/>
      <c r="BB594" s="13"/>
      <c r="BC594" s="29"/>
      <c r="BD594" s="250"/>
      <c r="BE594" s="250"/>
      <c r="BF594" s="103"/>
      <c r="BG594" s="250"/>
      <c r="BH594" s="250"/>
      <c r="BI594" s="103"/>
      <c r="BJ594" s="111"/>
      <c r="BK594" s="111"/>
      <c r="BL594" s="83"/>
      <c r="BM594" s="83"/>
      <c r="BN594" s="103"/>
      <c r="BO594" s="83"/>
      <c r="BP594" s="83"/>
      <c r="BQ594" s="115"/>
      <c r="BR594" s="113"/>
      <c r="BS594" s="80"/>
      <c r="BT594" s="22"/>
      <c r="BU594" s="87"/>
      <c r="BV594" s="73"/>
      <c r="BW594" s="109"/>
      <c r="BX594" s="87"/>
      <c r="BY594" s="87"/>
      <c r="BZ594" s="109"/>
      <c r="CA594" s="76"/>
    </row>
    <row r="595" spans="1:79" s="262" customFormat="1">
      <c r="A595" s="13" t="s">
        <v>2604</v>
      </c>
      <c r="B595" s="13" t="s">
        <v>2640</v>
      </c>
      <c r="C595" s="13"/>
      <c r="D595" s="13"/>
      <c r="E595" s="13"/>
      <c r="F595" s="13" t="s">
        <v>119</v>
      </c>
      <c r="G595" s="13" t="s">
        <v>2653</v>
      </c>
      <c r="H595" s="13" t="s">
        <v>146</v>
      </c>
      <c r="I595" s="13" t="s">
        <v>147</v>
      </c>
      <c r="J595" s="13" t="s">
        <v>5</v>
      </c>
      <c r="K595" s="13" t="s">
        <v>140</v>
      </c>
      <c r="L595" s="13"/>
      <c r="M595" s="13" t="s">
        <v>125</v>
      </c>
      <c r="N595" s="13" t="s">
        <v>12</v>
      </c>
      <c r="O595" s="247">
        <v>0.72</v>
      </c>
      <c r="P595" s="13">
        <v>115</v>
      </c>
      <c r="Q595" s="13">
        <v>30</v>
      </c>
      <c r="R595" s="13" t="s">
        <v>127</v>
      </c>
      <c r="S595" s="430" t="str">
        <f t="shared" si="271"/>
        <v>N/A</v>
      </c>
      <c r="T595" s="247">
        <v>0.76</v>
      </c>
      <c r="U595" s="13">
        <v>200</v>
      </c>
      <c r="V595" s="13">
        <v>600</v>
      </c>
      <c r="W595" s="430">
        <f t="shared" si="265"/>
        <v>400</v>
      </c>
      <c r="X595" s="430">
        <f t="shared" si="266"/>
        <v>250</v>
      </c>
      <c r="Y595" s="13">
        <v>200</v>
      </c>
      <c r="Z595" s="13">
        <v>600</v>
      </c>
      <c r="AA595" s="430">
        <f t="shared" si="273"/>
        <v>400</v>
      </c>
      <c r="AB595" s="430">
        <f t="shared" si="274"/>
        <v>250</v>
      </c>
      <c r="AC595" s="430" t="str">
        <f t="shared" si="275"/>
        <v>N/A</v>
      </c>
      <c r="AD595" s="430">
        <f t="shared" si="276"/>
        <v>85</v>
      </c>
      <c r="AE595" s="431">
        <f t="shared" si="277"/>
        <v>1.3719999999999999</v>
      </c>
      <c r="AF595" s="431"/>
      <c r="AG595" s="431">
        <f t="shared" si="278"/>
        <v>1.1458260869565216</v>
      </c>
      <c r="AH595" s="431">
        <f t="shared" si="279"/>
        <v>1.2203047826086955</v>
      </c>
      <c r="AI595" s="432">
        <f t="shared" si="280"/>
        <v>856.49685599999998</v>
      </c>
      <c r="AJ595" s="432">
        <f t="shared" si="281"/>
        <v>121.84089507278283</v>
      </c>
      <c r="AK595" s="432">
        <f t="shared" si="282"/>
        <v>133.22361999328584</v>
      </c>
      <c r="AL595" s="432">
        <f t="shared" si="283"/>
        <v>264.82933265004482</v>
      </c>
      <c r="AM595" s="250">
        <v>133</v>
      </c>
      <c r="AN595" s="432">
        <f t="shared" si="284"/>
        <v>152.94999999999999</v>
      </c>
      <c r="AO595" s="432">
        <f t="shared" si="285"/>
        <v>186.64561649999996</v>
      </c>
      <c r="AP595" s="432">
        <f t="shared" si="286"/>
        <v>622.1520549999999</v>
      </c>
      <c r="AQ595" s="255" t="s">
        <v>132</v>
      </c>
      <c r="AR595" s="457" t="s">
        <v>2648</v>
      </c>
      <c r="AS595" s="434" t="s">
        <v>2654</v>
      </c>
      <c r="AT595" s="429"/>
      <c r="AU595" s="250"/>
      <c r="AV595" s="255"/>
      <c r="AW595" s="13"/>
      <c r="AX595" s="255"/>
      <c r="AY595" s="103"/>
      <c r="AZ595" s="250"/>
      <c r="BA595" s="13"/>
      <c r="BB595" s="13"/>
      <c r="BC595" s="29"/>
      <c r="BD595" s="250"/>
      <c r="BE595" s="250"/>
      <c r="BF595" s="103"/>
      <c r="BG595" s="250"/>
      <c r="BH595" s="250"/>
      <c r="BI595" s="103"/>
      <c r="BJ595" s="111"/>
      <c r="BK595" s="111"/>
      <c r="BL595" s="83"/>
      <c r="BM595" s="83"/>
      <c r="BN595" s="103"/>
      <c r="BO595" s="83"/>
      <c r="BP595" s="83"/>
      <c r="BQ595" s="115"/>
      <c r="BR595" s="113"/>
      <c r="BS595" s="80"/>
      <c r="BT595" s="22"/>
      <c r="BU595" s="87"/>
      <c r="BV595" s="73"/>
      <c r="BW595" s="109"/>
      <c r="BX595" s="87"/>
      <c r="BY595" s="87"/>
      <c r="BZ595" s="109"/>
      <c r="CA595" s="76"/>
    </row>
    <row r="596" spans="1:79" s="262" customFormat="1">
      <c r="A596" s="13" t="s">
        <v>2604</v>
      </c>
      <c r="B596" s="13" t="s">
        <v>2640</v>
      </c>
      <c r="C596" s="13"/>
      <c r="D596" s="13"/>
      <c r="E596" s="13"/>
      <c r="F596" s="13" t="s">
        <v>119</v>
      </c>
      <c r="G596" s="13" t="s">
        <v>2655</v>
      </c>
      <c r="H596" s="13" t="s">
        <v>146</v>
      </c>
      <c r="I596" s="13" t="s">
        <v>147</v>
      </c>
      <c r="J596" s="13" t="s">
        <v>5</v>
      </c>
      <c r="K596" s="13" t="s">
        <v>123</v>
      </c>
      <c r="L596" s="13"/>
      <c r="M596" s="13" t="s">
        <v>125</v>
      </c>
      <c r="N596" s="13" t="s">
        <v>126</v>
      </c>
      <c r="O596" s="247">
        <v>0.52</v>
      </c>
      <c r="P596" s="13">
        <v>115</v>
      </c>
      <c r="Q596" s="13">
        <v>30</v>
      </c>
      <c r="R596" s="13" t="s">
        <v>127</v>
      </c>
      <c r="S596" s="430" t="str">
        <f t="shared" si="271"/>
        <v>N/A</v>
      </c>
      <c r="T596" s="247">
        <v>0.8</v>
      </c>
      <c r="U596" s="13">
        <v>200</v>
      </c>
      <c r="V596" s="13">
        <v>600</v>
      </c>
      <c r="W596" s="430">
        <f t="shared" si="265"/>
        <v>400</v>
      </c>
      <c r="X596" s="430">
        <f t="shared" si="266"/>
        <v>250</v>
      </c>
      <c r="Y596" s="13">
        <v>200</v>
      </c>
      <c r="Z596" s="13">
        <v>600</v>
      </c>
      <c r="AA596" s="430">
        <f t="shared" si="273"/>
        <v>400</v>
      </c>
      <c r="AB596" s="430">
        <f t="shared" si="274"/>
        <v>250</v>
      </c>
      <c r="AC596" s="430" t="str">
        <f t="shared" si="275"/>
        <v>N/A</v>
      </c>
      <c r="AD596" s="430">
        <f t="shared" si="276"/>
        <v>85</v>
      </c>
      <c r="AE596" s="431">
        <f t="shared" si="277"/>
        <v>1.242</v>
      </c>
      <c r="AF596" s="431"/>
      <c r="AG596" s="431">
        <f t="shared" si="278"/>
        <v>1.0786521739130435</v>
      </c>
      <c r="AH596" s="431">
        <f t="shared" si="279"/>
        <v>1.1433713043478262</v>
      </c>
      <c r="AI596" s="432">
        <f t="shared" si="280"/>
        <v>881.85470400000008</v>
      </c>
      <c r="AJ596" s="432">
        <f t="shared" si="281"/>
        <v>134.59396782597264</v>
      </c>
      <c r="AK596" s="432">
        <f t="shared" si="282"/>
        <v>147.16812128082785</v>
      </c>
      <c r="AL596" s="432">
        <f t="shared" si="283"/>
        <v>292.54898904658734</v>
      </c>
      <c r="AM596" s="250">
        <v>147</v>
      </c>
      <c r="AN596" s="432">
        <f t="shared" si="284"/>
        <v>169.05</v>
      </c>
      <c r="AO596" s="432">
        <f t="shared" si="285"/>
        <v>193.28691900000004</v>
      </c>
      <c r="AP596" s="432">
        <f t="shared" si="286"/>
        <v>644.28973000000019</v>
      </c>
      <c r="AQ596" s="255"/>
      <c r="AR596" s="457"/>
      <c r="AS596" s="434"/>
      <c r="AT596" s="429"/>
      <c r="AU596" s="250"/>
      <c r="AV596" s="255"/>
      <c r="AW596" s="13"/>
      <c r="AX596" s="255"/>
      <c r="AY596" s="103"/>
      <c r="AZ596" s="250"/>
      <c r="BA596" s="13"/>
      <c r="BB596" s="13"/>
      <c r="BC596" s="29"/>
      <c r="BD596" s="250"/>
      <c r="BE596" s="250"/>
      <c r="BF596" s="103"/>
      <c r="BG596" s="250"/>
      <c r="BH596" s="250"/>
      <c r="BI596" s="103"/>
      <c r="BJ596" s="111"/>
      <c r="BK596" s="111"/>
      <c r="BL596" s="83"/>
      <c r="BM596" s="83"/>
      <c r="BN596" s="103"/>
      <c r="BO596" s="83"/>
      <c r="BP596" s="83"/>
      <c r="BQ596" s="115"/>
      <c r="BR596" s="113"/>
      <c r="BS596" s="80"/>
      <c r="BT596" s="22"/>
      <c r="BU596" s="87"/>
      <c r="BV596" s="73"/>
      <c r="BW596" s="109"/>
      <c r="BX596" s="87"/>
      <c r="BY596" s="87"/>
      <c r="BZ596" s="109"/>
      <c r="CA596" s="76"/>
    </row>
    <row r="597" spans="1:79" s="262" customFormat="1">
      <c r="A597" s="13" t="s">
        <v>2604</v>
      </c>
      <c r="B597" s="13" t="s">
        <v>2640</v>
      </c>
      <c r="C597" s="13"/>
      <c r="D597" s="13"/>
      <c r="E597" s="13"/>
      <c r="F597" s="13" t="s">
        <v>119</v>
      </c>
      <c r="G597" s="13" t="s">
        <v>2656</v>
      </c>
      <c r="H597" s="13" t="s">
        <v>146</v>
      </c>
      <c r="I597" s="13" t="s">
        <v>147</v>
      </c>
      <c r="J597" s="13" t="s">
        <v>5</v>
      </c>
      <c r="K597" s="13" t="s">
        <v>123</v>
      </c>
      <c r="L597" s="13"/>
      <c r="M597" s="13" t="s">
        <v>125</v>
      </c>
      <c r="N597" s="13" t="s">
        <v>126</v>
      </c>
      <c r="O597" s="247">
        <v>0.56999999999999995</v>
      </c>
      <c r="P597" s="13">
        <v>115</v>
      </c>
      <c r="Q597" s="13">
        <v>30</v>
      </c>
      <c r="R597" s="13" t="s">
        <v>127</v>
      </c>
      <c r="S597" s="430" t="str">
        <f t="shared" si="271"/>
        <v>N/A</v>
      </c>
      <c r="T597" s="247">
        <v>0.8</v>
      </c>
      <c r="U597" s="13">
        <v>200</v>
      </c>
      <c r="V597" s="13">
        <v>600</v>
      </c>
      <c r="W597" s="430">
        <f t="shared" si="265"/>
        <v>400</v>
      </c>
      <c r="X597" s="430">
        <f t="shared" si="266"/>
        <v>250</v>
      </c>
      <c r="Y597" s="13">
        <v>200</v>
      </c>
      <c r="Z597" s="13">
        <v>600</v>
      </c>
      <c r="AA597" s="430">
        <f t="shared" si="273"/>
        <v>400</v>
      </c>
      <c r="AB597" s="430">
        <f t="shared" si="274"/>
        <v>250</v>
      </c>
      <c r="AC597" s="430" t="str">
        <f t="shared" si="275"/>
        <v>N/A</v>
      </c>
      <c r="AD597" s="430">
        <f t="shared" si="276"/>
        <v>85</v>
      </c>
      <c r="AE597" s="431">
        <f t="shared" si="277"/>
        <v>1.2845</v>
      </c>
      <c r="AF597" s="431"/>
      <c r="AG597" s="431">
        <f t="shared" si="278"/>
        <v>1.1054456521739131</v>
      </c>
      <c r="AH597" s="431">
        <f t="shared" si="279"/>
        <v>1.1717723913043478</v>
      </c>
      <c r="AI597" s="432">
        <f t="shared" si="280"/>
        <v>885.10996399999999</v>
      </c>
      <c r="AJ597" s="432">
        <f t="shared" si="281"/>
        <v>130.14068356547921</v>
      </c>
      <c r="AK597" s="432">
        <f t="shared" si="282"/>
        <v>142.29879846694291</v>
      </c>
      <c r="AL597" s="432">
        <f t="shared" si="283"/>
        <v>282.86947792593338</v>
      </c>
      <c r="AM597" s="250">
        <v>142</v>
      </c>
      <c r="AN597" s="432">
        <f t="shared" si="284"/>
        <v>163.30000000000001</v>
      </c>
      <c r="AO597" s="432">
        <f t="shared" si="285"/>
        <v>191.35043150000001</v>
      </c>
      <c r="AP597" s="432">
        <f t="shared" si="286"/>
        <v>637.83477166666671</v>
      </c>
      <c r="AQ597" s="255"/>
      <c r="AR597" s="457"/>
      <c r="AS597" s="434"/>
      <c r="AT597" s="429"/>
      <c r="AU597" s="250"/>
      <c r="AV597" s="255"/>
      <c r="AW597" s="13"/>
      <c r="AX597" s="255"/>
      <c r="AY597" s="103"/>
      <c r="AZ597" s="250"/>
      <c r="BA597" s="13"/>
      <c r="BB597" s="13"/>
      <c r="BC597" s="29"/>
      <c r="BD597" s="250"/>
      <c r="BE597" s="250"/>
      <c r="BF597" s="103"/>
      <c r="BG597" s="250"/>
      <c r="BH597" s="250"/>
      <c r="BI597" s="103"/>
      <c r="BJ597" s="111"/>
      <c r="BK597" s="111"/>
      <c r="BL597" s="83"/>
      <c r="BM597" s="83"/>
      <c r="BN597" s="103"/>
      <c r="BO597" s="83"/>
      <c r="BP597" s="83"/>
      <c r="BQ597" s="115"/>
      <c r="BR597" s="113"/>
      <c r="BS597" s="80"/>
      <c r="BT597" s="22"/>
      <c r="BU597" s="87"/>
      <c r="BV597" s="73"/>
      <c r="BW597" s="109"/>
      <c r="BX597" s="87"/>
      <c r="BY597" s="87"/>
      <c r="BZ597" s="109"/>
      <c r="CA597" s="76"/>
    </row>
    <row r="598" spans="1:79" s="262" customFormat="1">
      <c r="A598" s="13" t="s">
        <v>2604</v>
      </c>
      <c r="B598" s="13" t="s">
        <v>2640</v>
      </c>
      <c r="C598" s="13"/>
      <c r="D598" s="13"/>
      <c r="E598" s="13"/>
      <c r="F598" s="13" t="s">
        <v>119</v>
      </c>
      <c r="G598" s="13" t="s">
        <v>2657</v>
      </c>
      <c r="H598" s="13" t="s">
        <v>146</v>
      </c>
      <c r="I598" s="13" t="s">
        <v>147</v>
      </c>
      <c r="J598" s="13" t="s">
        <v>5</v>
      </c>
      <c r="K598" s="13" t="s">
        <v>123</v>
      </c>
      <c r="L598" s="13"/>
      <c r="M598" s="13" t="s">
        <v>125</v>
      </c>
      <c r="N598" s="13" t="s">
        <v>126</v>
      </c>
      <c r="O598" s="247">
        <v>0.72</v>
      </c>
      <c r="P598" s="13">
        <v>115</v>
      </c>
      <c r="Q598" s="13">
        <v>30</v>
      </c>
      <c r="R598" s="13" t="s">
        <v>127</v>
      </c>
      <c r="S598" s="430" t="str">
        <f t="shared" si="271"/>
        <v>N/A</v>
      </c>
      <c r="T598" s="247">
        <v>0.8</v>
      </c>
      <c r="U598" s="13">
        <v>200</v>
      </c>
      <c r="V598" s="13">
        <v>600</v>
      </c>
      <c r="W598" s="430">
        <f t="shared" si="265"/>
        <v>400</v>
      </c>
      <c r="X598" s="430">
        <f t="shared" si="266"/>
        <v>250</v>
      </c>
      <c r="Y598" s="13">
        <v>200</v>
      </c>
      <c r="Z598" s="13">
        <v>600</v>
      </c>
      <c r="AA598" s="430">
        <f t="shared" si="273"/>
        <v>400</v>
      </c>
      <c r="AB598" s="430">
        <f t="shared" si="274"/>
        <v>250</v>
      </c>
      <c r="AC598" s="430" t="str">
        <f t="shared" si="275"/>
        <v>N/A</v>
      </c>
      <c r="AD598" s="430">
        <f t="shared" si="276"/>
        <v>85</v>
      </c>
      <c r="AE598" s="431">
        <f t="shared" si="277"/>
        <v>1.4119999999999999</v>
      </c>
      <c r="AF598" s="431"/>
      <c r="AG598" s="431">
        <f t="shared" si="278"/>
        <v>1.1858260869565218</v>
      </c>
      <c r="AH598" s="431">
        <f t="shared" si="279"/>
        <v>1.2569756521739133</v>
      </c>
      <c r="AI598" s="432">
        <f t="shared" si="280"/>
        <v>894.87574400000005</v>
      </c>
      <c r="AJ598" s="432">
        <f t="shared" si="281"/>
        <v>118.38931164295894</v>
      </c>
      <c r="AK598" s="432">
        <f t="shared" si="282"/>
        <v>129.44957976684714</v>
      </c>
      <c r="AL598" s="432">
        <f t="shared" si="283"/>
        <v>257.32708526619086</v>
      </c>
      <c r="AM598" s="250">
        <v>129</v>
      </c>
      <c r="AN598" s="432">
        <f t="shared" si="284"/>
        <v>148.35</v>
      </c>
      <c r="AO598" s="432">
        <f t="shared" si="285"/>
        <v>186.47233800000004</v>
      </c>
      <c r="AP598" s="432">
        <f t="shared" si="286"/>
        <v>621.57446000000016</v>
      </c>
      <c r="AQ598" s="255"/>
      <c r="AR598" s="457"/>
      <c r="AS598" s="434"/>
      <c r="AT598" s="429"/>
      <c r="AU598" s="250"/>
      <c r="AV598" s="255"/>
      <c r="AW598" s="13"/>
      <c r="AX598" s="255"/>
      <c r="AY598" s="103"/>
      <c r="AZ598" s="250"/>
      <c r="BA598" s="13"/>
      <c r="BB598" s="13"/>
      <c r="BC598" s="29"/>
      <c r="BD598" s="250"/>
      <c r="BE598" s="250"/>
      <c r="BF598" s="103"/>
      <c r="BG598" s="250"/>
      <c r="BH598" s="250"/>
      <c r="BI598" s="103"/>
      <c r="BJ598" s="111"/>
      <c r="BK598" s="111"/>
      <c r="BL598" s="83"/>
      <c r="BM598" s="83"/>
      <c r="BN598" s="103"/>
      <c r="BO598" s="83"/>
      <c r="BP598" s="83"/>
      <c r="BQ598" s="115"/>
      <c r="BR598" s="113"/>
      <c r="BS598" s="80"/>
      <c r="BT598" s="22"/>
      <c r="BU598" s="87"/>
      <c r="BV598" s="73"/>
      <c r="BW598" s="109"/>
      <c r="BX598" s="87"/>
      <c r="BY598" s="87"/>
      <c r="BZ598" s="109"/>
      <c r="CA598" s="76"/>
    </row>
    <row r="599" spans="1:79" s="72" customFormat="1">
      <c r="A599" s="13" t="s">
        <v>2604</v>
      </c>
      <c r="B599" s="13" t="s">
        <v>2640</v>
      </c>
      <c r="C599" s="13" t="s">
        <v>657</v>
      </c>
      <c r="D599" s="13" t="s">
        <v>657</v>
      </c>
      <c r="E599" s="387" t="s">
        <v>137</v>
      </c>
      <c r="F599" s="13" t="s">
        <v>167</v>
      </c>
      <c r="G599" s="13" t="s">
        <v>2658</v>
      </c>
      <c r="H599" s="13" t="s">
        <v>146</v>
      </c>
      <c r="I599" s="13" t="s">
        <v>147</v>
      </c>
      <c r="J599" s="13" t="s">
        <v>5</v>
      </c>
      <c r="K599" s="13" t="s">
        <v>123</v>
      </c>
      <c r="L599" s="451" t="s">
        <v>2659</v>
      </c>
      <c r="M599" s="13" t="s">
        <v>125</v>
      </c>
      <c r="N599" s="13" t="s">
        <v>12</v>
      </c>
      <c r="O599" s="247">
        <v>0.52</v>
      </c>
      <c r="P599" s="13">
        <v>121</v>
      </c>
      <c r="Q599" s="13">
        <v>30</v>
      </c>
      <c r="R599" s="13" t="s">
        <v>127</v>
      </c>
      <c r="S599" s="430" t="str">
        <f t="shared" si="271"/>
        <v>N/A</v>
      </c>
      <c r="T599" s="247">
        <v>0.8</v>
      </c>
      <c r="U599" s="13">
        <v>170</v>
      </c>
      <c r="V599" s="13">
        <f>170+390</f>
        <v>560</v>
      </c>
      <c r="W599" s="430">
        <f t="shared" si="265"/>
        <v>390</v>
      </c>
      <c r="X599" s="430">
        <f t="shared" si="266"/>
        <v>350</v>
      </c>
      <c r="Y599" s="13">
        <v>170</v>
      </c>
      <c r="Z599" s="13">
        <v>570</v>
      </c>
      <c r="AA599" s="430">
        <f t="shared" si="273"/>
        <v>400</v>
      </c>
      <c r="AB599" s="430">
        <f t="shared" si="274"/>
        <v>340</v>
      </c>
      <c r="AC599" s="430" t="str">
        <f t="shared" si="275"/>
        <v>N/A</v>
      </c>
      <c r="AD599" s="430">
        <f t="shared" si="276"/>
        <v>91</v>
      </c>
      <c r="AE599" s="431">
        <f t="shared" si="277"/>
        <v>1.2732000000000001</v>
      </c>
      <c r="AF599" s="431"/>
      <c r="AG599" s="431">
        <f t="shared" si="278"/>
        <v>1.0952611570247934</v>
      </c>
      <c r="AH599" s="431">
        <f t="shared" si="279"/>
        <v>1.1609768264462812</v>
      </c>
      <c r="AI599" s="432">
        <f t="shared" si="280"/>
        <v>881.85470400000008</v>
      </c>
      <c r="AJ599" s="432">
        <f t="shared" si="281"/>
        <v>131.2957179075228</v>
      </c>
      <c r="AK599" s="432">
        <f t="shared" si="282"/>
        <v>143.56173942097718</v>
      </c>
      <c r="AL599" s="432">
        <f t="shared" si="283"/>
        <v>285.38002230275009</v>
      </c>
      <c r="AM599" s="250">
        <v>144</v>
      </c>
      <c r="AN599" s="432">
        <f t="shared" si="284"/>
        <v>174.24</v>
      </c>
      <c r="AO599" s="432">
        <f t="shared" si="285"/>
        <v>202.28860224000005</v>
      </c>
      <c r="AP599" s="432">
        <f t="shared" si="286"/>
        <v>674.29534080000019</v>
      </c>
      <c r="AQ599" s="255">
        <v>44949</v>
      </c>
      <c r="AR599" s="255" t="s">
        <v>2660</v>
      </c>
      <c r="AS599" s="434" t="s">
        <v>2661</v>
      </c>
      <c r="AT599" s="429"/>
      <c r="AU599" s="241"/>
      <c r="AV599" s="243"/>
      <c r="AW599" s="72" t="s">
        <v>127</v>
      </c>
      <c r="AX599" s="243"/>
      <c r="AY599" s="71">
        <f t="shared" si="292"/>
        <v>0.46280991735537191</v>
      </c>
      <c r="AZ599" s="241"/>
      <c r="BA599" s="72" t="str">
        <f t="shared" si="267"/>
        <v>W22</v>
      </c>
      <c r="BB599" s="72" t="str">
        <f t="shared" si="268"/>
        <v>Clear</v>
      </c>
      <c r="BC599" s="32">
        <f t="shared" si="269"/>
        <v>1.4292</v>
      </c>
      <c r="BD599" s="241">
        <f t="shared" si="270"/>
        <v>127.89169229694107</v>
      </c>
      <c r="BE599" s="241">
        <f t="shared" ref="BE599:BE613" si="293">IF(BC599="","",(BD599-AK599))</f>
        <v>-15.670047124036103</v>
      </c>
      <c r="BF599" s="71">
        <f t="shared" ref="BF599:BF613" si="294">IF(BC599="","",(BE599/AK599))</f>
        <v>-0.10915197313182179</v>
      </c>
      <c r="BG599" s="241">
        <f t="shared" ref="BG599:BG613" si="295">IF(BF599="","",((PI()*((70/2)^2-(16.545/2)^2)/(BC599/10))/100))</f>
        <v>254.23022977600161</v>
      </c>
      <c r="BH599" s="241">
        <f t="shared" ref="BH599:BH613" si="296">IF(BF599="","",(BG599-AL599))</f>
        <v>-31.149792526748485</v>
      </c>
      <c r="BI599" s="71">
        <f t="shared" ref="BI599:BI613" si="297">IF(BG599="","",(BH599/AL599))</f>
        <v>-0.1091519731318218</v>
      </c>
      <c r="BJ599" s="123"/>
      <c r="BK599" s="123"/>
      <c r="BL599" s="126"/>
      <c r="BM599" s="130"/>
      <c r="BN599" s="123"/>
      <c r="BO599" s="108"/>
      <c r="BP599" s="108"/>
      <c r="BQ599" s="115"/>
      <c r="BR599" s="113"/>
      <c r="BS599" s="80"/>
      <c r="BT599" s="22"/>
      <c r="BU599" s="87"/>
      <c r="BV599" s="73"/>
      <c r="BW599" s="109"/>
      <c r="BX599" s="87"/>
      <c r="BY599" s="87"/>
      <c r="BZ599" s="109"/>
      <c r="CA599" s="76"/>
    </row>
    <row r="600" spans="1:79" s="72" customFormat="1">
      <c r="A600" s="13" t="s">
        <v>2604</v>
      </c>
      <c r="B600" s="13" t="s">
        <v>2640</v>
      </c>
      <c r="C600" s="13" t="s">
        <v>657</v>
      </c>
      <c r="D600" s="13" t="s">
        <v>657</v>
      </c>
      <c r="E600" s="387" t="s">
        <v>137</v>
      </c>
      <c r="F600" s="13" t="s">
        <v>167</v>
      </c>
      <c r="G600" s="13" t="s">
        <v>2662</v>
      </c>
      <c r="H600" s="13" t="s">
        <v>146</v>
      </c>
      <c r="I600" s="13" t="s">
        <v>147</v>
      </c>
      <c r="J600" s="13" t="s">
        <v>274</v>
      </c>
      <c r="K600" s="13" t="s">
        <v>123</v>
      </c>
      <c r="L600" s="451" t="s">
        <v>2663</v>
      </c>
      <c r="M600" s="13" t="s">
        <v>125</v>
      </c>
      <c r="N600" s="13" t="s">
        <v>126</v>
      </c>
      <c r="O600" s="247">
        <v>0.53</v>
      </c>
      <c r="P600" s="13">
        <v>94</v>
      </c>
      <c r="Q600" s="13">
        <v>26</v>
      </c>
      <c r="R600" s="445">
        <v>18</v>
      </c>
      <c r="S600" s="430">
        <f t="shared" si="271"/>
        <v>76</v>
      </c>
      <c r="T600" s="247">
        <v>0.8</v>
      </c>
      <c r="U600" s="13">
        <v>170</v>
      </c>
      <c r="V600" s="13">
        <f>170+390</f>
        <v>560</v>
      </c>
      <c r="W600" s="430">
        <f t="shared" si="265"/>
        <v>390</v>
      </c>
      <c r="X600" s="430">
        <f t="shared" si="266"/>
        <v>120</v>
      </c>
      <c r="Y600" s="13">
        <v>160</v>
      </c>
      <c r="Z600" s="13">
        <v>560</v>
      </c>
      <c r="AA600" s="430">
        <f t="shared" si="273"/>
        <v>400</v>
      </c>
      <c r="AB600" s="430">
        <f t="shared" si="274"/>
        <v>120</v>
      </c>
      <c r="AC600" s="430">
        <f t="shared" si="275"/>
        <v>80</v>
      </c>
      <c r="AD600" s="430">
        <f t="shared" si="276"/>
        <v>68</v>
      </c>
      <c r="AE600" s="431">
        <f t="shared" si="277"/>
        <v>1.1604000000000001</v>
      </c>
      <c r="AF600" s="431"/>
      <c r="AG600" s="431">
        <f t="shared" si="278"/>
        <v>1.0300425531914894</v>
      </c>
      <c r="AH600" s="431">
        <f t="shared" si="279"/>
        <v>1.0918451063829788</v>
      </c>
      <c r="AI600" s="432">
        <f t="shared" si="280"/>
        <v>882.50575600000013</v>
      </c>
      <c r="AJ600" s="432">
        <f t="shared" si="281"/>
        <v>144.05869358829545</v>
      </c>
      <c r="AK600" s="432">
        <f t="shared" si="282"/>
        <v>157.51706879592223</v>
      </c>
      <c r="AL600" s="432">
        <f t="shared" si="283"/>
        <v>313.12120337457895</v>
      </c>
      <c r="AM600" s="250">
        <v>158</v>
      </c>
      <c r="AN600" s="432">
        <f t="shared" si="284"/>
        <v>148.52000000000001</v>
      </c>
      <c r="AO600" s="432">
        <f t="shared" si="285"/>
        <v>162.16083520000004</v>
      </c>
      <c r="AP600" s="432">
        <f t="shared" si="286"/>
        <v>623.6955200000001</v>
      </c>
      <c r="AQ600" s="255">
        <v>44896</v>
      </c>
      <c r="AR600" s="255" t="s">
        <v>2664</v>
      </c>
      <c r="AS600" s="429" t="s">
        <v>2665</v>
      </c>
      <c r="AT600" s="429"/>
      <c r="AU600" s="241"/>
      <c r="AV600" s="243"/>
      <c r="AW600" s="72" t="s">
        <v>127</v>
      </c>
      <c r="AX600" s="243"/>
      <c r="AY600" s="71">
        <f t="shared" si="292"/>
        <v>0.5957446808510638</v>
      </c>
      <c r="AZ600" s="241"/>
      <c r="BA600" s="72" t="str">
        <f t="shared" si="267"/>
        <v>W23</v>
      </c>
      <c r="BB600" s="72" t="str">
        <f t="shared" si="268"/>
        <v>S/B</v>
      </c>
      <c r="BC600" s="32">
        <f t="shared" si="269"/>
        <v>1.2982</v>
      </c>
      <c r="BD600" s="241">
        <f t="shared" si="270"/>
        <v>140.79710878969973</v>
      </c>
      <c r="BE600" s="241">
        <f t="shared" si="293"/>
        <v>-16.719960006222493</v>
      </c>
      <c r="BF600" s="71">
        <f t="shared" si="294"/>
        <v>-0.10614697273147414</v>
      </c>
      <c r="BG600" s="241">
        <f t="shared" si="295"/>
        <v>279.88433553833113</v>
      </c>
      <c r="BH600" s="241">
        <f t="shared" si="296"/>
        <v>-33.236867836247825</v>
      </c>
      <c r="BI600" s="71">
        <f t="shared" si="297"/>
        <v>-0.10614697273147422</v>
      </c>
      <c r="BJ600" s="123"/>
      <c r="BK600" s="314"/>
      <c r="BL600" s="126"/>
      <c r="BM600" s="130"/>
      <c r="BN600" s="123"/>
      <c r="BO600" s="108"/>
      <c r="BP600" s="108"/>
      <c r="BQ600" s="124"/>
      <c r="BR600" s="124"/>
      <c r="BS600" s="71"/>
      <c r="BU600" s="78"/>
      <c r="BV600" s="32"/>
      <c r="BW600" s="127"/>
      <c r="BX600" s="78"/>
      <c r="BY600" s="78"/>
      <c r="BZ600" s="127"/>
      <c r="CA600" s="76"/>
    </row>
    <row r="601" spans="1:79" s="72" customFormat="1">
      <c r="A601" s="13" t="s">
        <v>2604</v>
      </c>
      <c r="B601" s="13" t="s">
        <v>2640</v>
      </c>
      <c r="C601" s="13" t="s">
        <v>657</v>
      </c>
      <c r="D601" s="13" t="s">
        <v>657</v>
      </c>
      <c r="E601" s="387" t="s">
        <v>137</v>
      </c>
      <c r="F601" s="13" t="s">
        <v>167</v>
      </c>
      <c r="G601" s="13" t="s">
        <v>2666</v>
      </c>
      <c r="H601" s="13" t="s">
        <v>146</v>
      </c>
      <c r="I601" s="13" t="s">
        <v>147</v>
      </c>
      <c r="J601" s="13" t="s">
        <v>5</v>
      </c>
      <c r="K601" s="13" t="s">
        <v>123</v>
      </c>
      <c r="L601" s="451" t="s">
        <v>2667</v>
      </c>
      <c r="M601" s="13" t="s">
        <v>125</v>
      </c>
      <c r="N601" s="13" t="s">
        <v>126</v>
      </c>
      <c r="O601" s="247">
        <v>0.56999999999999995</v>
      </c>
      <c r="P601" s="13">
        <v>110</v>
      </c>
      <c r="Q601" s="13">
        <v>30</v>
      </c>
      <c r="R601" s="13" t="s">
        <v>127</v>
      </c>
      <c r="S601" s="430" t="str">
        <f t="shared" si="271"/>
        <v>N/A</v>
      </c>
      <c r="T601" s="247">
        <v>0.8</v>
      </c>
      <c r="U601" s="13">
        <v>170</v>
      </c>
      <c r="V601" s="13">
        <f>170+390</f>
        <v>560</v>
      </c>
      <c r="W601" s="430">
        <f t="shared" si="265"/>
        <v>390</v>
      </c>
      <c r="X601" s="430">
        <f t="shared" si="266"/>
        <v>240</v>
      </c>
      <c r="Y601" s="13">
        <v>170</v>
      </c>
      <c r="Z601" s="13">
        <v>570</v>
      </c>
      <c r="AA601" s="430">
        <f t="shared" si="273"/>
        <v>400</v>
      </c>
      <c r="AB601" s="430">
        <f t="shared" si="274"/>
        <v>230</v>
      </c>
      <c r="AC601" s="430" t="str">
        <f t="shared" si="275"/>
        <v>N/A</v>
      </c>
      <c r="AD601" s="430">
        <f t="shared" si="276"/>
        <v>80</v>
      </c>
      <c r="AE601" s="431">
        <f t="shared" si="277"/>
        <v>1.256</v>
      </c>
      <c r="AF601" s="431"/>
      <c r="AG601" s="431">
        <f t="shared" si="278"/>
        <v>1.0901818181818184</v>
      </c>
      <c r="AH601" s="431">
        <f t="shared" si="279"/>
        <v>1.1555927272727273</v>
      </c>
      <c r="AI601" s="432">
        <f t="shared" si="280"/>
        <v>885.10996399999999</v>
      </c>
      <c r="AJ601" s="432">
        <f t="shared" si="281"/>
        <v>133.09371659224368</v>
      </c>
      <c r="AK601" s="432">
        <f t="shared" si="282"/>
        <v>145.52771228565939</v>
      </c>
      <c r="AL601" s="432">
        <f t="shared" si="283"/>
        <v>289.28809267186426</v>
      </c>
      <c r="AM601" s="250">
        <v>146</v>
      </c>
      <c r="AN601" s="432">
        <f t="shared" si="284"/>
        <v>160.6</v>
      </c>
      <c r="AO601" s="432">
        <f t="shared" si="285"/>
        <v>185.58819199999999</v>
      </c>
      <c r="AP601" s="432">
        <f t="shared" si="286"/>
        <v>618.62730666666664</v>
      </c>
      <c r="AQ601" s="255">
        <v>44949</v>
      </c>
      <c r="AR601" s="255" t="s">
        <v>2664</v>
      </c>
      <c r="AS601" s="434" t="s">
        <v>2668</v>
      </c>
      <c r="AT601" s="429"/>
      <c r="AU601" s="241"/>
      <c r="AV601" s="243"/>
      <c r="AW601" s="72" t="s">
        <v>127</v>
      </c>
      <c r="AX601" s="243"/>
      <c r="AY601" s="71">
        <f t="shared" si="292"/>
        <v>0.50909090909090904</v>
      </c>
      <c r="AZ601" s="241"/>
      <c r="BA601" s="72" t="str">
        <f t="shared" si="267"/>
        <v>W22</v>
      </c>
      <c r="BB601" s="72" t="str">
        <f t="shared" si="268"/>
        <v>Clear</v>
      </c>
      <c r="BC601" s="32">
        <f t="shared" si="269"/>
        <v>1.427</v>
      </c>
      <c r="BD601" s="241">
        <f t="shared" si="270"/>
        <v>128.08886239018094</v>
      </c>
      <c r="BE601" s="241">
        <f t="shared" si="293"/>
        <v>-17.438849895478455</v>
      </c>
      <c r="BF601" s="71">
        <f t="shared" si="294"/>
        <v>-0.11983181499649614</v>
      </c>
      <c r="BG601" s="241">
        <f t="shared" si="295"/>
        <v>254.62217547012017</v>
      </c>
      <c r="BH601" s="241">
        <f t="shared" si="296"/>
        <v>-34.665917201744094</v>
      </c>
      <c r="BI601" s="71">
        <f t="shared" si="297"/>
        <v>-0.11983181499649623</v>
      </c>
      <c r="BJ601" s="123"/>
      <c r="BK601" s="123"/>
      <c r="BL601" s="126"/>
      <c r="BM601" s="130"/>
      <c r="BN601" s="123"/>
      <c r="BO601" s="108"/>
      <c r="BP601" s="108"/>
      <c r="BQ601" s="83"/>
      <c r="BR601" s="71"/>
      <c r="BS601" s="71"/>
      <c r="BT601" s="13">
        <f>P601-V601/10-120/10</f>
        <v>42</v>
      </c>
      <c r="BU601" s="79">
        <f>BT601-Q601</f>
        <v>12</v>
      </c>
      <c r="BV601" s="29">
        <f>T601+(O601/100*(P601-BT601))</f>
        <v>1.1876</v>
      </c>
      <c r="BW601" s="86">
        <f>(AE601-BV601)/AE601</f>
        <v>5.4458598726114665E-2</v>
      </c>
      <c r="BX601" s="79">
        <f>(PI()*((51/2)^2-(16.545/2)^2)/(BV601/10))/100</f>
        <v>153.90940268675325</v>
      </c>
      <c r="BY601" s="79">
        <f>BX601-AK601</f>
        <v>8.3816904010938629</v>
      </c>
      <c r="BZ601" s="86">
        <f>BY601/AK601</f>
        <v>5.7595149882115011E-2</v>
      </c>
      <c r="CA601" s="76"/>
    </row>
    <row r="602" spans="1:79" s="72" customFormat="1">
      <c r="A602" s="13" t="s">
        <v>2604</v>
      </c>
      <c r="B602" s="13" t="s">
        <v>2461</v>
      </c>
      <c r="C602" s="13" t="s">
        <v>208</v>
      </c>
      <c r="D602" s="13" t="s">
        <v>2669</v>
      </c>
      <c r="E602" s="13" t="s">
        <v>118</v>
      </c>
      <c r="F602" s="13" t="s">
        <v>167</v>
      </c>
      <c r="G602" s="13" t="s">
        <v>2670</v>
      </c>
      <c r="H602" s="13" t="s">
        <v>121</v>
      </c>
      <c r="I602" s="13" t="s">
        <v>147</v>
      </c>
      <c r="J602" s="13" t="s">
        <v>5</v>
      </c>
      <c r="K602" s="13" t="s">
        <v>123</v>
      </c>
      <c r="L602" s="13" t="s">
        <v>2671</v>
      </c>
      <c r="M602" s="13" t="s">
        <v>125</v>
      </c>
      <c r="N602" s="13" t="s">
        <v>12</v>
      </c>
      <c r="O602" s="247">
        <v>0.21</v>
      </c>
      <c r="P602" s="13">
        <v>101</v>
      </c>
      <c r="Q602" s="13">
        <v>25</v>
      </c>
      <c r="R602" s="13" t="s">
        <v>127</v>
      </c>
      <c r="S602" s="430" t="str">
        <f t="shared" si="271"/>
        <v>N/A</v>
      </c>
      <c r="T602" s="247">
        <v>0.8</v>
      </c>
      <c r="U602" s="13">
        <v>181</v>
      </c>
      <c r="V602" s="13">
        <v>633</v>
      </c>
      <c r="W602" s="430">
        <f t="shared" si="265"/>
        <v>452</v>
      </c>
      <c r="X602" s="430">
        <f t="shared" si="266"/>
        <v>127</v>
      </c>
      <c r="Y602" s="13">
        <f>U602</f>
        <v>181</v>
      </c>
      <c r="Z602" s="13">
        <f>V602</f>
        <v>633</v>
      </c>
      <c r="AA602" s="430">
        <f t="shared" si="273"/>
        <v>452</v>
      </c>
      <c r="AB602" s="430">
        <f t="shared" si="274"/>
        <v>127</v>
      </c>
      <c r="AC602" s="430" t="str">
        <f t="shared" si="275"/>
        <v>N/A</v>
      </c>
      <c r="AD602" s="430">
        <f t="shared" si="276"/>
        <v>76</v>
      </c>
      <c r="AE602" s="431">
        <f t="shared" si="277"/>
        <v>0.95960000000000001</v>
      </c>
      <c r="AF602" s="431"/>
      <c r="AG602" s="431">
        <f t="shared" si="278"/>
        <v>0.89955247524752491</v>
      </c>
      <c r="AH602" s="431">
        <f t="shared" si="279"/>
        <v>0.95352562376237637</v>
      </c>
      <c r="AI602" s="432">
        <f t="shared" si="280"/>
        <v>861.67209200000002</v>
      </c>
      <c r="AJ602" s="432">
        <f t="shared" si="281"/>
        <v>174.20353067930179</v>
      </c>
      <c r="AK602" s="432">
        <f t="shared" si="282"/>
        <v>190.47812279156747</v>
      </c>
      <c r="AL602" s="432">
        <f t="shared" si="283"/>
        <v>378.64302250506609</v>
      </c>
      <c r="AM602" s="250">
        <v>195</v>
      </c>
      <c r="AN602" s="432">
        <f t="shared" si="284"/>
        <v>196.95</v>
      </c>
      <c r="AO602" s="432">
        <f t="shared" si="285"/>
        <v>187.7968716</v>
      </c>
      <c r="AP602" s="432">
        <f t="shared" si="286"/>
        <v>751.18748640000001</v>
      </c>
      <c r="AQ602" s="255">
        <v>43952</v>
      </c>
      <c r="AR602" s="255" t="s">
        <v>2672</v>
      </c>
      <c r="AS602" s="429" t="s">
        <v>2673</v>
      </c>
      <c r="AT602" s="429" t="s">
        <v>2674</v>
      </c>
      <c r="AU602" s="241">
        <v>2</v>
      </c>
      <c r="AV602" s="243" t="s">
        <v>405</v>
      </c>
      <c r="AW602" s="72" t="s">
        <v>127</v>
      </c>
      <c r="AX602" s="243"/>
      <c r="AY602" s="103">
        <f t="shared" si="292"/>
        <v>0.62673267326732673</v>
      </c>
      <c r="AZ602" s="241">
        <f>518/5</f>
        <v>103.6</v>
      </c>
      <c r="BA602" s="13" t="str">
        <f t="shared" si="267"/>
        <v>W22</v>
      </c>
      <c r="BB602" s="72" t="str">
        <f t="shared" si="268"/>
        <v>Clear</v>
      </c>
      <c r="BC602" s="32">
        <f t="shared" si="269"/>
        <v>1.0121</v>
      </c>
      <c r="BD602" s="241">
        <f t="shared" si="270"/>
        <v>180.59757596165218</v>
      </c>
      <c r="BE602" s="241">
        <f t="shared" si="293"/>
        <v>-9.8805468299152892</v>
      </c>
      <c r="BF602" s="71">
        <f t="shared" si="294"/>
        <v>-5.1872344629977127E-2</v>
      </c>
      <c r="BG602" s="241">
        <f t="shared" si="295"/>
        <v>359.00192114994718</v>
      </c>
      <c r="BH602" s="241">
        <f t="shared" si="296"/>
        <v>-19.641101355118906</v>
      </c>
      <c r="BI602" s="71">
        <f t="shared" si="297"/>
        <v>-5.1872344629976946E-2</v>
      </c>
      <c r="BJ602" s="123">
        <v>19.8</v>
      </c>
      <c r="BK602" s="123"/>
      <c r="BL602" s="108"/>
      <c r="BM602" s="108"/>
      <c r="BN602" s="71"/>
      <c r="BO602" s="83"/>
      <c r="BP602" s="83"/>
      <c r="BQ602" s="115">
        <v>10504</v>
      </c>
      <c r="BR602" s="113">
        <v>17242</v>
      </c>
      <c r="BS602" s="71"/>
      <c r="BT602" s="13">
        <f>P602-V602/10-120/10</f>
        <v>25.700000000000003</v>
      </c>
      <c r="BU602" s="79">
        <f>BT602-Q602</f>
        <v>0.70000000000000284</v>
      </c>
      <c r="BV602" s="29">
        <f>T602+(O602/100*(P602-BT602))</f>
        <v>0.95813000000000004</v>
      </c>
      <c r="BW602" s="86">
        <f>(AE602-BV602)/AE602</f>
        <v>1.531888286786131E-3</v>
      </c>
      <c r="BX602" s="79">
        <f>(PI()*((51/2)^2-(16.545/2)^2)/(BV602/10))/100</f>
        <v>190.77036167408198</v>
      </c>
      <c r="BY602" s="79">
        <f>BX602-AK602</f>
        <v>0.29223888251451058</v>
      </c>
      <c r="BZ602" s="86">
        <f>BY602/AK602</f>
        <v>1.5342385688790928E-3</v>
      </c>
      <c r="CA602" s="76"/>
    </row>
    <row r="603" spans="1:79" s="72" customFormat="1" ht="15" customHeight="1">
      <c r="A603" s="13" t="s">
        <v>2604</v>
      </c>
      <c r="B603" s="13" t="s">
        <v>2461</v>
      </c>
      <c r="C603" s="13" t="s">
        <v>208</v>
      </c>
      <c r="D603" s="13" t="s">
        <v>2669</v>
      </c>
      <c r="E603" s="13" t="s">
        <v>118</v>
      </c>
      <c r="F603" s="13" t="s">
        <v>167</v>
      </c>
      <c r="G603" s="13" t="s">
        <v>2675</v>
      </c>
      <c r="H603" s="13" t="s">
        <v>121</v>
      </c>
      <c r="I603" s="13" t="s">
        <v>147</v>
      </c>
      <c r="J603" s="13" t="s">
        <v>5</v>
      </c>
      <c r="K603" s="13" t="s">
        <v>123</v>
      </c>
      <c r="L603" s="13" t="s">
        <v>2676</v>
      </c>
      <c r="M603" s="13" t="s">
        <v>125</v>
      </c>
      <c r="N603" s="13" t="s">
        <v>12</v>
      </c>
      <c r="O603" s="247">
        <v>0.32</v>
      </c>
      <c r="P603" s="13">
        <v>93</v>
      </c>
      <c r="Q603" s="13">
        <v>17</v>
      </c>
      <c r="R603" s="13" t="s">
        <v>127</v>
      </c>
      <c r="S603" s="430" t="str">
        <f t="shared" si="271"/>
        <v>N/A</v>
      </c>
      <c r="T603" s="247">
        <v>0.8</v>
      </c>
      <c r="U603" s="13">
        <v>151</v>
      </c>
      <c r="V603" s="13">
        <v>603</v>
      </c>
      <c r="W603" s="430">
        <f t="shared" si="265"/>
        <v>452</v>
      </c>
      <c r="X603" s="430">
        <f t="shared" si="266"/>
        <v>157</v>
      </c>
      <c r="Y603" s="13">
        <f>U603</f>
        <v>151</v>
      </c>
      <c r="Z603" s="13">
        <f>V603</f>
        <v>603</v>
      </c>
      <c r="AA603" s="430">
        <f t="shared" si="273"/>
        <v>452</v>
      </c>
      <c r="AB603" s="430">
        <f t="shared" si="274"/>
        <v>157</v>
      </c>
      <c r="AC603" s="430" t="str">
        <f t="shared" si="275"/>
        <v>N/A</v>
      </c>
      <c r="AD603" s="430">
        <f t="shared" si="276"/>
        <v>76</v>
      </c>
      <c r="AE603" s="431">
        <f t="shared" si="277"/>
        <v>1.0432000000000001</v>
      </c>
      <c r="AF603" s="431"/>
      <c r="AG603" s="431">
        <f t="shared" si="278"/>
        <v>0.94382795698924737</v>
      </c>
      <c r="AH603" s="431">
        <f t="shared" si="279"/>
        <v>1.0004576344086022</v>
      </c>
      <c r="AI603" s="432">
        <f t="shared" si="280"/>
        <v>868.833664</v>
      </c>
      <c r="AJ603" s="432">
        <f t="shared" si="281"/>
        <v>160.24320172532401</v>
      </c>
      <c r="AK603" s="432">
        <f t="shared" si="282"/>
        <v>175.2135799758322</v>
      </c>
      <c r="AL603" s="432">
        <f t="shared" si="283"/>
        <v>348.29931402977513</v>
      </c>
      <c r="AM603" s="250">
        <v>175</v>
      </c>
      <c r="AN603" s="432">
        <f t="shared" si="284"/>
        <v>162.75</v>
      </c>
      <c r="AO603" s="432">
        <f t="shared" si="285"/>
        <v>162.82448000000002</v>
      </c>
      <c r="AP603" s="432">
        <f t="shared" si="286"/>
        <v>957.79105882352951</v>
      </c>
      <c r="AQ603" s="255">
        <v>43952</v>
      </c>
      <c r="AR603" s="255" t="s">
        <v>2677</v>
      </c>
      <c r="AS603" s="429" t="s">
        <v>2678</v>
      </c>
      <c r="AT603" s="429" t="s">
        <v>2679</v>
      </c>
      <c r="AU603" s="241">
        <v>2</v>
      </c>
      <c r="AV603" s="243" t="s">
        <v>2680</v>
      </c>
      <c r="AW603" s="72" t="s">
        <v>127</v>
      </c>
      <c r="AX603" s="243"/>
      <c r="AY603" s="103">
        <f t="shared" si="292"/>
        <v>0.64838709677419348</v>
      </c>
      <c r="BA603" s="13" t="str">
        <f t="shared" si="267"/>
        <v>W22</v>
      </c>
      <c r="BB603" s="72" t="str">
        <f t="shared" si="268"/>
        <v>Clear</v>
      </c>
      <c r="BC603" s="32">
        <f t="shared" si="269"/>
        <v>1.0976000000000001</v>
      </c>
      <c r="BD603" s="241">
        <f t="shared" si="270"/>
        <v>166.52952499160727</v>
      </c>
      <c r="BE603" s="241">
        <f t="shared" si="293"/>
        <v>-8.6840549842249288</v>
      </c>
      <c r="BF603" s="71">
        <f t="shared" si="294"/>
        <v>-4.9562682215743489E-2</v>
      </c>
      <c r="BG603" s="241">
        <f t="shared" si="295"/>
        <v>331.03666581255595</v>
      </c>
      <c r="BH603" s="241">
        <f t="shared" si="296"/>
        <v>-17.26264821721918</v>
      </c>
      <c r="BI603" s="71">
        <f t="shared" si="297"/>
        <v>-4.9562682215743455E-2</v>
      </c>
      <c r="BJ603" s="123">
        <v>19.8</v>
      </c>
      <c r="BK603" s="123"/>
      <c r="BL603" s="108"/>
      <c r="BM603" s="108"/>
      <c r="BN603" s="71"/>
      <c r="BO603" s="83"/>
      <c r="BP603" s="83"/>
      <c r="BQ603" s="71"/>
      <c r="BR603" s="71"/>
      <c r="BS603" s="71"/>
    </row>
    <row r="604" spans="1:79" s="22" customFormat="1">
      <c r="A604" s="13" t="s">
        <v>2604</v>
      </c>
      <c r="B604" s="13" t="s">
        <v>2461</v>
      </c>
      <c r="C604" s="13" t="s">
        <v>208</v>
      </c>
      <c r="D604" s="13" t="s">
        <v>2681</v>
      </c>
      <c r="E604" s="387" t="s">
        <v>137</v>
      </c>
      <c r="F604" s="13" t="s">
        <v>119</v>
      </c>
      <c r="G604" s="13" t="s">
        <v>2682</v>
      </c>
      <c r="H604" s="13" t="s">
        <v>146</v>
      </c>
      <c r="I604" s="13" t="s">
        <v>147</v>
      </c>
      <c r="J604" s="13" t="s">
        <v>5</v>
      </c>
      <c r="K604" s="13" t="s">
        <v>123</v>
      </c>
      <c r="L604" s="451" t="s">
        <v>2683</v>
      </c>
      <c r="M604" s="13" t="s">
        <v>125</v>
      </c>
      <c r="N604" s="13" t="s">
        <v>12</v>
      </c>
      <c r="O604" s="247">
        <v>0.54</v>
      </c>
      <c r="P604" s="13">
        <v>108</v>
      </c>
      <c r="Q604" s="13">
        <v>25</v>
      </c>
      <c r="R604" s="13" t="s">
        <v>127</v>
      </c>
      <c r="S604" s="430" t="str">
        <f t="shared" si="271"/>
        <v>N/A</v>
      </c>
      <c r="T604" s="247">
        <v>0.8</v>
      </c>
      <c r="U604" s="13">
        <v>250</v>
      </c>
      <c r="V604" s="13">
        <v>650</v>
      </c>
      <c r="W604" s="430">
        <f t="shared" si="265"/>
        <v>400</v>
      </c>
      <c r="X604" s="430">
        <f t="shared" si="266"/>
        <v>180</v>
      </c>
      <c r="Y604" s="13">
        <v>250</v>
      </c>
      <c r="Z604" s="13">
        <v>650</v>
      </c>
      <c r="AA604" s="430">
        <f t="shared" si="273"/>
        <v>400</v>
      </c>
      <c r="AB604" s="430">
        <f t="shared" si="274"/>
        <v>180</v>
      </c>
      <c r="AC604" s="430" t="str">
        <f t="shared" si="275"/>
        <v>N/A</v>
      </c>
      <c r="AD604" s="430">
        <f t="shared" si="276"/>
        <v>83</v>
      </c>
      <c r="AE604" s="431">
        <f t="shared" si="277"/>
        <v>1.2482000000000002</v>
      </c>
      <c r="AF604" s="431"/>
      <c r="AG604" s="431">
        <f t="shared" si="278"/>
        <v>1.0759750000000001</v>
      </c>
      <c r="AH604" s="431">
        <f t="shared" si="279"/>
        <v>1.1405335000000001</v>
      </c>
      <c r="AI604" s="432">
        <f t="shared" si="280"/>
        <v>883.15680800000007</v>
      </c>
      <c r="AJ604" s="432">
        <f t="shared" si="281"/>
        <v>133.92541903529724</v>
      </c>
      <c r="AK604" s="432">
        <f t="shared" si="282"/>
        <v>146.43711474987035</v>
      </c>
      <c r="AL604" s="432">
        <f t="shared" si="283"/>
        <v>291.09585354579508</v>
      </c>
      <c r="AM604" s="250">
        <v>146</v>
      </c>
      <c r="AN604" s="432">
        <f t="shared" si="284"/>
        <v>157.68</v>
      </c>
      <c r="AO604" s="432">
        <f t="shared" si="285"/>
        <v>179.83932228000003</v>
      </c>
      <c r="AP604" s="432">
        <f t="shared" si="286"/>
        <v>719.35728912000013</v>
      </c>
      <c r="AQ604" s="255">
        <v>44743</v>
      </c>
      <c r="AR604" s="255" t="s">
        <v>2684</v>
      </c>
      <c r="AS604" s="434" t="s">
        <v>2685</v>
      </c>
      <c r="AT604" s="429"/>
      <c r="AU604" s="250"/>
      <c r="AV604" s="255"/>
      <c r="AW604" s="13" t="s">
        <v>127</v>
      </c>
      <c r="AX604" s="255"/>
      <c r="AY604" s="103">
        <f t="shared" si="292"/>
        <v>0.60185185185185186</v>
      </c>
      <c r="AZ604" s="250"/>
      <c r="BA604" s="13" t="str">
        <f t="shared" si="267"/>
        <v>W22</v>
      </c>
      <c r="BB604" s="72" t="str">
        <f t="shared" si="268"/>
        <v>Clear</v>
      </c>
      <c r="BC604" s="32">
        <f t="shared" si="269"/>
        <v>1.3832</v>
      </c>
      <c r="BD604" s="241">
        <f t="shared" si="270"/>
        <v>132.14488622815804</v>
      </c>
      <c r="BE604" s="241">
        <f t="shared" si="293"/>
        <v>-14.292228521712303</v>
      </c>
      <c r="BF604" s="71">
        <f t="shared" si="294"/>
        <v>-9.759976865240004E-2</v>
      </c>
      <c r="BG604" s="241">
        <f t="shared" si="295"/>
        <v>262.68496558405258</v>
      </c>
      <c r="BH604" s="241">
        <f t="shared" si="296"/>
        <v>-28.410887961742503</v>
      </c>
      <c r="BI604" s="71">
        <f t="shared" si="297"/>
        <v>-9.7599768652399971E-2</v>
      </c>
      <c r="BJ604" s="114"/>
      <c r="BK604" s="111"/>
      <c r="BL604" s="112"/>
      <c r="BM604" s="101"/>
      <c r="BN604" s="123"/>
      <c r="BO604" s="83"/>
      <c r="BP604" s="83"/>
      <c r="BQ604" s="80"/>
      <c r="BR604" s="80"/>
      <c r="BS604" s="80"/>
      <c r="BU604" s="87"/>
      <c r="BV604" s="73"/>
      <c r="BW604" s="109"/>
      <c r="BX604" s="87"/>
      <c r="BY604" s="87"/>
      <c r="BZ604" s="109"/>
      <c r="CA604" s="76"/>
    </row>
    <row r="605" spans="1:79" s="22" customFormat="1">
      <c r="A605" s="13" t="s">
        <v>2604</v>
      </c>
      <c r="B605" s="13" t="s">
        <v>2461</v>
      </c>
      <c r="C605" s="13"/>
      <c r="D605" s="13"/>
      <c r="E605" s="13" t="s">
        <v>118</v>
      </c>
      <c r="F605" s="13" t="s">
        <v>167</v>
      </c>
      <c r="G605" s="13" t="s">
        <v>2686</v>
      </c>
      <c r="H605" s="13" t="s">
        <v>146</v>
      </c>
      <c r="I605" s="13" t="s">
        <v>147</v>
      </c>
      <c r="J605" s="13" t="s">
        <v>5</v>
      </c>
      <c r="K605" s="13" t="s">
        <v>123</v>
      </c>
      <c r="L605" s="451"/>
      <c r="M605" s="13" t="s">
        <v>125</v>
      </c>
      <c r="N605" s="13" t="s">
        <v>251</v>
      </c>
      <c r="O605" s="247">
        <v>0.36</v>
      </c>
      <c r="P605" s="13">
        <v>106</v>
      </c>
      <c r="Q605" s="13">
        <v>29</v>
      </c>
      <c r="R605" s="13" t="s">
        <v>127</v>
      </c>
      <c r="S605" s="430" t="str">
        <f t="shared" si="271"/>
        <v>N/A</v>
      </c>
      <c r="T605" s="247">
        <v>0.8</v>
      </c>
      <c r="U605" s="13">
        <v>220</v>
      </c>
      <c r="V605" s="13">
        <v>640</v>
      </c>
      <c r="W605" s="430">
        <f t="shared" si="265"/>
        <v>420</v>
      </c>
      <c r="X605" s="430">
        <f t="shared" si="266"/>
        <v>130</v>
      </c>
      <c r="Y605" s="13">
        <v>220</v>
      </c>
      <c r="Z605" s="13">
        <v>640</v>
      </c>
      <c r="AA605" s="430">
        <f t="shared" si="273"/>
        <v>420</v>
      </c>
      <c r="AB605" s="430">
        <f t="shared" si="274"/>
        <v>130</v>
      </c>
      <c r="AC605" s="430" t="str">
        <f t="shared" si="275"/>
        <v>N/A</v>
      </c>
      <c r="AD605" s="430">
        <f t="shared" si="276"/>
        <v>77</v>
      </c>
      <c r="AE605" s="431">
        <f t="shared" si="277"/>
        <v>1.0771999999999999</v>
      </c>
      <c r="AF605" s="431"/>
      <c r="AG605" s="431">
        <f t="shared" si="278"/>
        <v>0.97651886792452824</v>
      </c>
      <c r="AH605" s="431">
        <f t="shared" si="279"/>
        <v>1.03511</v>
      </c>
      <c r="AI605" s="432">
        <f t="shared" si="280"/>
        <v>871.43787200000008</v>
      </c>
      <c r="AJ605" s="432">
        <f t="shared" si="281"/>
        <v>155.18539550673788</v>
      </c>
      <c r="AK605" s="432">
        <f t="shared" si="282"/>
        <v>169.683259033409</v>
      </c>
      <c r="AL605" s="432">
        <f t="shared" si="283"/>
        <v>337.30583401026871</v>
      </c>
      <c r="AM605" s="250">
        <v>337</v>
      </c>
      <c r="AN605" s="432">
        <f t="shared" si="284"/>
        <v>357.22</v>
      </c>
      <c r="AO605" s="432">
        <f t="shared" si="285"/>
        <v>369.7619942</v>
      </c>
      <c r="AP605" s="432">
        <f t="shared" si="286"/>
        <v>1275.0413593103449</v>
      </c>
      <c r="AQ605" s="255" t="s">
        <v>132</v>
      </c>
      <c r="AR605" s="255" t="s">
        <v>2687</v>
      </c>
      <c r="AS605" s="434"/>
      <c r="AT605" s="429"/>
      <c r="AU605" s="250"/>
      <c r="AV605" s="255"/>
      <c r="AW605" s="13"/>
      <c r="AX605" s="255"/>
      <c r="AY605" s="103">
        <f t="shared" si="292"/>
        <v>0.60377358490566035</v>
      </c>
      <c r="AZ605" s="250"/>
      <c r="BA605" s="13" t="str">
        <f t="shared" si="267"/>
        <v>W22</v>
      </c>
      <c r="BB605" s="72"/>
      <c r="BC605" s="32"/>
      <c r="BD605" s="241"/>
      <c r="BE605" s="241"/>
      <c r="BF605" s="71"/>
      <c r="BG605" s="241"/>
      <c r="BH605" s="241"/>
      <c r="BI605" s="71"/>
      <c r="BJ605" s="114"/>
      <c r="BK605" s="111"/>
      <c r="BL605" s="112"/>
      <c r="BM605" s="101"/>
      <c r="BN605" s="123"/>
      <c r="BO605" s="83"/>
      <c r="BP605" s="83"/>
      <c r="BQ605" s="80"/>
      <c r="BR605" s="80"/>
      <c r="BS605" s="80"/>
      <c r="BU605" s="87"/>
      <c r="BV605" s="73"/>
      <c r="BW605" s="109"/>
      <c r="BX605" s="87"/>
      <c r="BY605" s="87"/>
      <c r="BZ605" s="109"/>
      <c r="CA605" s="76"/>
    </row>
    <row r="606" spans="1:79" s="13" customFormat="1">
      <c r="A606" s="13" t="s">
        <v>2604</v>
      </c>
      <c r="B606" s="13" t="s">
        <v>2461</v>
      </c>
      <c r="C606" s="13" t="s">
        <v>2214</v>
      </c>
      <c r="D606" s="13" t="s">
        <v>2688</v>
      </c>
      <c r="E606" s="13" t="s">
        <v>118</v>
      </c>
      <c r="F606" s="13" t="s">
        <v>167</v>
      </c>
      <c r="G606" s="13" t="s">
        <v>2689</v>
      </c>
      <c r="H606" s="13" t="s">
        <v>121</v>
      </c>
      <c r="I606" s="13" t="s">
        <v>147</v>
      </c>
      <c r="J606" s="13" t="s">
        <v>5</v>
      </c>
      <c r="K606" s="13" t="s">
        <v>123</v>
      </c>
      <c r="L606" s="13" t="s">
        <v>2690</v>
      </c>
      <c r="M606" s="13" t="s">
        <v>125</v>
      </c>
      <c r="N606" s="13" t="s">
        <v>12</v>
      </c>
      <c r="O606" s="247">
        <v>0.36</v>
      </c>
      <c r="P606" s="13">
        <v>109</v>
      </c>
      <c r="Q606" s="13">
        <v>34</v>
      </c>
      <c r="R606" s="13" t="s">
        <v>127</v>
      </c>
      <c r="S606" s="430" t="str">
        <f t="shared" si="271"/>
        <v>N/A</v>
      </c>
      <c r="T606" s="247">
        <v>0.8</v>
      </c>
      <c r="U606" s="13">
        <v>150</v>
      </c>
      <c r="V606" s="13">
        <v>450</v>
      </c>
      <c r="W606" s="430">
        <f t="shared" si="265"/>
        <v>300</v>
      </c>
      <c r="X606" s="430">
        <f t="shared" si="266"/>
        <v>300</v>
      </c>
      <c r="AA606" s="430">
        <f t="shared" si="273"/>
        <v>0</v>
      </c>
      <c r="AB606" s="430">
        <f t="shared" si="274"/>
        <v>750</v>
      </c>
      <c r="AC606" s="430" t="str">
        <f t="shared" si="275"/>
        <v>N/A</v>
      </c>
      <c r="AD606" s="430">
        <f t="shared" si="276"/>
        <v>75</v>
      </c>
      <c r="AE606" s="431">
        <f t="shared" si="277"/>
        <v>1.07</v>
      </c>
      <c r="AF606" s="431"/>
      <c r="AG606" s="431">
        <f t="shared" si="278"/>
        <v>0.97711009174311925</v>
      </c>
      <c r="AH606" s="431">
        <f t="shared" si="279"/>
        <v>0</v>
      </c>
      <c r="AI606" s="432">
        <f t="shared" si="280"/>
        <v>0</v>
      </c>
      <c r="AJ606" s="432">
        <f t="shared" si="281"/>
        <v>156.22963368211029</v>
      </c>
      <c r="AK606" s="432">
        <f t="shared" si="282"/>
        <v>170.82505292597023</v>
      </c>
      <c r="AL606" s="432">
        <f t="shared" si="283"/>
        <v>339.57555551015088</v>
      </c>
      <c r="AM606" s="250">
        <v>150</v>
      </c>
      <c r="AN606" s="432">
        <f t="shared" si="284"/>
        <v>163.5</v>
      </c>
      <c r="AO606" s="432">
        <f t="shared" si="285"/>
        <v>0</v>
      </c>
      <c r="AP606" s="432">
        <f t="shared" si="286"/>
        <v>0</v>
      </c>
      <c r="AQ606" s="255">
        <v>43647</v>
      </c>
      <c r="AR606" s="255" t="s">
        <v>366</v>
      </c>
      <c r="AS606" s="429" t="s">
        <v>2691</v>
      </c>
      <c r="AT606" s="429" t="s">
        <v>2692</v>
      </c>
      <c r="AU606" s="241">
        <v>2</v>
      </c>
      <c r="AV606" s="243" t="s">
        <v>405</v>
      </c>
      <c r="AW606" s="72" t="s">
        <v>127</v>
      </c>
      <c r="AX606" s="243"/>
      <c r="AY606" s="103">
        <f t="shared" si="292"/>
        <v>0.41284403669724773</v>
      </c>
      <c r="AZ606" s="72"/>
      <c r="BA606" s="13" t="str">
        <f t="shared" si="267"/>
        <v>W12</v>
      </c>
      <c r="BB606" s="72" t="str">
        <f t="shared" si="268"/>
        <v>Clear</v>
      </c>
      <c r="BC606" s="32">
        <f t="shared" si="269"/>
        <v>1.1924000000000001</v>
      </c>
      <c r="BD606" s="241">
        <f t="shared" si="270"/>
        <v>153.28984118650465</v>
      </c>
      <c r="BE606" s="241">
        <f t="shared" si="293"/>
        <v>-17.535211739465581</v>
      </c>
      <c r="BF606" s="71">
        <f t="shared" si="294"/>
        <v>-0.10265011741026503</v>
      </c>
      <c r="BG606" s="241">
        <f t="shared" si="295"/>
        <v>304.71808486737791</v>
      </c>
      <c r="BH606" s="241">
        <f t="shared" si="296"/>
        <v>-34.857470642772967</v>
      </c>
      <c r="BI606" s="71">
        <f t="shared" si="297"/>
        <v>-0.10265011741026506</v>
      </c>
      <c r="BJ606" s="111"/>
      <c r="BK606" s="111"/>
      <c r="BL606" s="83"/>
      <c r="BM606" s="83"/>
      <c r="BN606" s="71"/>
      <c r="BO606" s="83"/>
      <c r="BP606" s="83"/>
      <c r="BQ606" s="151">
        <v>94355</v>
      </c>
      <c r="BR606" s="113">
        <v>33096</v>
      </c>
      <c r="BS606" s="177"/>
      <c r="BT606" s="13">
        <f>P606-V606/10-120/10</f>
        <v>52</v>
      </c>
      <c r="BU606" s="79">
        <f>BT606-Q606</f>
        <v>18</v>
      </c>
      <c r="BV606" s="29">
        <f>T606+(O606/100*(P606-BT606))</f>
        <v>1.0052000000000001</v>
      </c>
      <c r="BW606" s="86">
        <f>(AE606-BV606)/AE606</f>
        <v>6.0560747663551372E-2</v>
      </c>
      <c r="BX606" s="79">
        <f>(PI()*((51/2)^2-(16.545/2)^2)/(BV606/10))/100</f>
        <v>181.83725291562689</v>
      </c>
      <c r="BY606" s="79">
        <f>BX606-AK606</f>
        <v>11.012199989656665</v>
      </c>
      <c r="BZ606" s="86">
        <f>BY606/AK606</f>
        <v>6.446478312773582E-2</v>
      </c>
      <c r="CA606" s="76"/>
    </row>
    <row r="607" spans="1:79" s="13" customFormat="1">
      <c r="A607" s="13" t="s">
        <v>2604</v>
      </c>
      <c r="B607" s="13" t="s">
        <v>2461</v>
      </c>
      <c r="C607" s="13" t="s">
        <v>2214</v>
      </c>
      <c r="D607" s="13" t="s">
        <v>2688</v>
      </c>
      <c r="E607" s="13" t="s">
        <v>118</v>
      </c>
      <c r="F607" s="13" t="s">
        <v>167</v>
      </c>
      <c r="G607" s="13" t="s">
        <v>2693</v>
      </c>
      <c r="H607" s="13" t="s">
        <v>121</v>
      </c>
      <c r="I607" s="13" t="s">
        <v>147</v>
      </c>
      <c r="J607" s="13" t="s">
        <v>5</v>
      </c>
      <c r="K607" s="13" t="s">
        <v>123</v>
      </c>
      <c r="L607" s="13" t="s">
        <v>2694</v>
      </c>
      <c r="M607" s="13" t="s">
        <v>125</v>
      </c>
      <c r="N607" s="13" t="s">
        <v>12</v>
      </c>
      <c r="O607" s="247">
        <v>0.36</v>
      </c>
      <c r="P607" s="13">
        <v>109</v>
      </c>
      <c r="Q607" s="13">
        <v>34</v>
      </c>
      <c r="R607" s="13" t="s">
        <v>127</v>
      </c>
      <c r="S607" s="430" t="str">
        <f t="shared" si="271"/>
        <v>N/A</v>
      </c>
      <c r="T607" s="247">
        <v>0.8</v>
      </c>
      <c r="U607" s="13">
        <v>150</v>
      </c>
      <c r="V607" s="13">
        <v>450</v>
      </c>
      <c r="W607" s="430">
        <f t="shared" si="265"/>
        <v>300</v>
      </c>
      <c r="X607" s="430">
        <f t="shared" si="266"/>
        <v>300</v>
      </c>
      <c r="AA607" s="430">
        <f t="shared" si="273"/>
        <v>0</v>
      </c>
      <c r="AB607" s="430">
        <f t="shared" si="274"/>
        <v>750</v>
      </c>
      <c r="AC607" s="430" t="str">
        <f t="shared" si="275"/>
        <v>N/A</v>
      </c>
      <c r="AD607" s="430">
        <f t="shared" si="276"/>
        <v>75</v>
      </c>
      <c r="AE607" s="431">
        <f t="shared" si="277"/>
        <v>1.07</v>
      </c>
      <c r="AF607" s="431"/>
      <c r="AG607" s="431">
        <f t="shared" si="278"/>
        <v>0.97711009174311925</v>
      </c>
      <c r="AH607" s="431">
        <f t="shared" si="279"/>
        <v>1.0357366972477062</v>
      </c>
      <c r="AI607" s="432">
        <f t="shared" si="280"/>
        <v>871.43787200000008</v>
      </c>
      <c r="AJ607" s="432">
        <f t="shared" si="281"/>
        <v>156.22963368211029</v>
      </c>
      <c r="AK607" s="432">
        <f t="shared" si="282"/>
        <v>170.82505292597023</v>
      </c>
      <c r="AL607" s="432">
        <f t="shared" si="283"/>
        <v>339.57555551015088</v>
      </c>
      <c r="AM607" s="250">
        <v>150</v>
      </c>
      <c r="AN607" s="432">
        <f t="shared" si="284"/>
        <v>163.5</v>
      </c>
      <c r="AO607" s="432">
        <f t="shared" si="285"/>
        <v>169.34294999999997</v>
      </c>
      <c r="AP607" s="432">
        <f t="shared" si="286"/>
        <v>498.06749999999988</v>
      </c>
      <c r="AQ607" s="255">
        <v>43831</v>
      </c>
      <c r="AR607" s="255" t="s">
        <v>2624</v>
      </c>
      <c r="AS607" s="434" t="s">
        <v>2695</v>
      </c>
      <c r="AT607" s="429" t="s">
        <v>2696</v>
      </c>
      <c r="AU607" s="241">
        <v>2</v>
      </c>
      <c r="AV607" s="243" t="s">
        <v>405</v>
      </c>
      <c r="AW607" s="72" t="s">
        <v>127</v>
      </c>
      <c r="AX607" s="243"/>
      <c r="AY607" s="103">
        <f t="shared" si="292"/>
        <v>0.41284403669724773</v>
      </c>
      <c r="AZ607" s="241">
        <f>312/5</f>
        <v>62.4</v>
      </c>
      <c r="BA607" s="13" t="str">
        <f t="shared" si="267"/>
        <v>W22</v>
      </c>
      <c r="BB607" s="72" t="str">
        <f t="shared" si="268"/>
        <v>Clear</v>
      </c>
      <c r="BC607" s="32">
        <f t="shared" si="269"/>
        <v>1.1924000000000001</v>
      </c>
      <c r="BD607" s="241">
        <f t="shared" si="270"/>
        <v>153.28984118650465</v>
      </c>
      <c r="BE607" s="241">
        <f t="shared" si="293"/>
        <v>-17.535211739465581</v>
      </c>
      <c r="BF607" s="71">
        <f t="shared" si="294"/>
        <v>-0.10265011741026503</v>
      </c>
      <c r="BG607" s="241">
        <f t="shared" si="295"/>
        <v>304.71808486737791</v>
      </c>
      <c r="BH607" s="241">
        <f t="shared" si="296"/>
        <v>-34.857470642772967</v>
      </c>
      <c r="BI607" s="71">
        <f t="shared" si="297"/>
        <v>-0.10265011741026506</v>
      </c>
      <c r="BJ607" s="111"/>
      <c r="BK607" s="111"/>
      <c r="BL607" s="83"/>
      <c r="BM607" s="83"/>
      <c r="BN607" s="71"/>
      <c r="BO607" s="83"/>
      <c r="BP607" s="83"/>
      <c r="BQ607" s="124"/>
      <c r="BR607" s="159"/>
      <c r="BS607" s="71"/>
      <c r="BT607" s="72">
        <f>P607-V607/10-120/10</f>
        <v>52</v>
      </c>
      <c r="BU607" s="78">
        <f>BT607-Q607</f>
        <v>18</v>
      </c>
      <c r="BV607" s="32">
        <f>T607+(O607/100*(P607-BT607))</f>
        <v>1.0052000000000001</v>
      </c>
      <c r="BW607" s="127">
        <f>(AE607-BV607)/AE607</f>
        <v>6.0560747663551372E-2</v>
      </c>
      <c r="BX607" s="78">
        <f>(PI()*((51/2)^2-(16.545/2)^2)/(BV607/10))/100</f>
        <v>181.83725291562689</v>
      </c>
      <c r="BY607" s="78">
        <f>BX607-AK607</f>
        <v>11.012199989656665</v>
      </c>
      <c r="BZ607" s="127">
        <f>BY607/AK607</f>
        <v>6.446478312773582E-2</v>
      </c>
      <c r="CA607" s="76"/>
    </row>
    <row r="608" spans="1:79" s="13" customFormat="1">
      <c r="A608" s="13" t="s">
        <v>2604</v>
      </c>
      <c r="B608" s="13" t="s">
        <v>2697</v>
      </c>
      <c r="C608" s="13" t="s">
        <v>280</v>
      </c>
      <c r="D608" s="429" t="s">
        <v>2698</v>
      </c>
      <c r="E608" s="13" t="s">
        <v>118</v>
      </c>
      <c r="F608" s="13" t="s">
        <v>167</v>
      </c>
      <c r="G608" s="13" t="s">
        <v>2699</v>
      </c>
      <c r="H608" s="13" t="s">
        <v>121</v>
      </c>
      <c r="I608" s="13" t="s">
        <v>147</v>
      </c>
      <c r="J608" s="13" t="s">
        <v>5</v>
      </c>
      <c r="K608" s="13" t="s">
        <v>123</v>
      </c>
      <c r="L608" s="429" t="s">
        <v>2700</v>
      </c>
      <c r="M608" s="13" t="s">
        <v>125</v>
      </c>
      <c r="N608" s="13" t="s">
        <v>12</v>
      </c>
      <c r="O608" s="247">
        <v>0.46</v>
      </c>
      <c r="P608" s="13">
        <v>99</v>
      </c>
      <c r="Q608" s="13">
        <v>30</v>
      </c>
      <c r="R608" s="13" t="s">
        <v>127</v>
      </c>
      <c r="S608" s="430" t="str">
        <f t="shared" si="271"/>
        <v>N/A</v>
      </c>
      <c r="T608" s="247">
        <v>0.8</v>
      </c>
      <c r="U608" s="13">
        <f>227+25</f>
        <v>252</v>
      </c>
      <c r="V608" s="13">
        <f>U608+211</f>
        <v>463</v>
      </c>
      <c r="W608" s="430">
        <f t="shared" si="265"/>
        <v>211</v>
      </c>
      <c r="X608" s="430">
        <f t="shared" si="266"/>
        <v>227</v>
      </c>
      <c r="AA608" s="430">
        <f t="shared" si="273"/>
        <v>0</v>
      </c>
      <c r="AB608" s="430">
        <f t="shared" si="274"/>
        <v>690</v>
      </c>
      <c r="AC608" s="430" t="str">
        <f t="shared" si="275"/>
        <v>N/A</v>
      </c>
      <c r="AD608" s="430">
        <f t="shared" si="276"/>
        <v>69</v>
      </c>
      <c r="AE608" s="431">
        <f t="shared" si="277"/>
        <v>1.1173999999999999</v>
      </c>
      <c r="AF608" s="431"/>
      <c r="AG608" s="431">
        <f t="shared" si="278"/>
        <v>1.0067909090909091</v>
      </c>
      <c r="AH608" s="431">
        <f t="shared" si="279"/>
        <v>1.0671983636363638</v>
      </c>
      <c r="AI608" s="432">
        <f t="shared" si="280"/>
        <v>877.94839200000001</v>
      </c>
      <c r="AJ608" s="432">
        <f t="shared" si="281"/>
        <v>149.6023877213693</v>
      </c>
      <c r="AK608" s="432">
        <f t="shared" si="282"/>
        <v>163.57867069159494</v>
      </c>
      <c r="AL608" s="432">
        <f t="shared" si="283"/>
        <v>325.17079326638759</v>
      </c>
      <c r="AM608" s="250">
        <v>325</v>
      </c>
      <c r="AN608" s="432">
        <f t="shared" si="284"/>
        <v>321.75</v>
      </c>
      <c r="AO608" s="432">
        <f t="shared" si="285"/>
        <v>343.37107350000002</v>
      </c>
      <c r="AP608" s="432">
        <f t="shared" si="286"/>
        <v>1144.5702450000001</v>
      </c>
      <c r="AQ608" s="255" t="s">
        <v>320</v>
      </c>
      <c r="AR608" s="255" t="s">
        <v>2701</v>
      </c>
      <c r="AS608" s="429" t="s">
        <v>2702</v>
      </c>
      <c r="AT608" s="429" t="s">
        <v>2703</v>
      </c>
      <c r="AU608" s="258" t="s">
        <v>1535</v>
      </c>
      <c r="AV608" s="243"/>
      <c r="AW608" s="72" t="s">
        <v>127</v>
      </c>
      <c r="AX608" s="243"/>
      <c r="AY608" s="103">
        <f t="shared" si="292"/>
        <v>0.46767676767676764</v>
      </c>
      <c r="AZ608" s="72"/>
      <c r="BA608" s="13" t="str">
        <f t="shared" si="267"/>
        <v>W22</v>
      </c>
      <c r="BB608" s="72" t="str">
        <f t="shared" si="268"/>
        <v>Clear</v>
      </c>
      <c r="BC608" s="32">
        <f t="shared" si="269"/>
        <v>1.2554000000000001</v>
      </c>
      <c r="BD608" s="241">
        <f t="shared" si="270"/>
        <v>145.5972651193151</v>
      </c>
      <c r="BE608" s="241">
        <f t="shared" si="293"/>
        <v>-17.98140557227984</v>
      </c>
      <c r="BF608" s="71">
        <f t="shared" si="294"/>
        <v>-0.10992512346662422</v>
      </c>
      <c r="BG608" s="241">
        <f t="shared" si="295"/>
        <v>289.42635366883974</v>
      </c>
      <c r="BH608" s="241">
        <f t="shared" si="296"/>
        <v>-35.744439597547853</v>
      </c>
      <c r="BI608" s="71">
        <f t="shared" si="297"/>
        <v>-0.10992512346662439</v>
      </c>
      <c r="BJ608" s="111"/>
      <c r="BK608" s="111"/>
      <c r="BL608" s="83"/>
      <c r="BM608" s="83"/>
      <c r="BN608" s="71"/>
      <c r="BO608" s="83"/>
      <c r="BP608" s="83"/>
      <c r="BQ608" s="124"/>
      <c r="BR608" s="124">
        <v>14532</v>
      </c>
      <c r="BS608" s="71"/>
      <c r="BT608" s="72"/>
      <c r="BU608" s="78"/>
      <c r="BV608" s="32"/>
      <c r="BW608" s="127"/>
      <c r="BX608" s="78"/>
      <c r="BY608" s="78"/>
      <c r="BZ608" s="127"/>
      <c r="CA608" s="76"/>
    </row>
    <row r="609" spans="1:79" s="13" customFormat="1">
      <c r="A609" s="13" t="s">
        <v>2604</v>
      </c>
      <c r="B609" s="13" t="s">
        <v>2697</v>
      </c>
      <c r="C609" s="13" t="s">
        <v>2266</v>
      </c>
      <c r="D609" s="13" t="s">
        <v>2704</v>
      </c>
      <c r="E609" s="13" t="s">
        <v>118</v>
      </c>
      <c r="F609" s="13" t="s">
        <v>167</v>
      </c>
      <c r="G609" s="13" t="s">
        <v>2705</v>
      </c>
      <c r="H609" s="13" t="s">
        <v>121</v>
      </c>
      <c r="I609" s="13" t="s">
        <v>147</v>
      </c>
      <c r="J609" s="13" t="s">
        <v>5</v>
      </c>
      <c r="K609" s="13" t="s">
        <v>123</v>
      </c>
      <c r="L609" s="13" t="s">
        <v>2706</v>
      </c>
      <c r="M609" s="13" t="s">
        <v>125</v>
      </c>
      <c r="N609" s="13" t="s">
        <v>12</v>
      </c>
      <c r="O609" s="247">
        <v>0.39</v>
      </c>
      <c r="P609" s="13">
        <v>115</v>
      </c>
      <c r="Q609" s="13">
        <v>40</v>
      </c>
      <c r="R609" s="13" t="s">
        <v>127</v>
      </c>
      <c r="S609" s="430" t="str">
        <f t="shared" si="271"/>
        <v>N/A</v>
      </c>
      <c r="T609" s="247">
        <v>0.8</v>
      </c>
      <c r="U609" s="13">
        <v>200</v>
      </c>
      <c r="V609" s="13">
        <v>620</v>
      </c>
      <c r="W609" s="430">
        <f t="shared" si="265"/>
        <v>420</v>
      </c>
      <c r="X609" s="430">
        <f t="shared" si="266"/>
        <v>130</v>
      </c>
      <c r="AA609" s="430">
        <f t="shared" si="273"/>
        <v>0</v>
      </c>
      <c r="AB609" s="430">
        <f t="shared" si="274"/>
        <v>750</v>
      </c>
      <c r="AC609" s="430" t="str">
        <f t="shared" si="275"/>
        <v>N/A</v>
      </c>
      <c r="AD609" s="430">
        <f t="shared" si="276"/>
        <v>75</v>
      </c>
      <c r="AE609" s="431">
        <f t="shared" si="277"/>
        <v>1.0925</v>
      </c>
      <c r="AF609" s="431"/>
      <c r="AG609" s="431">
        <f t="shared" si="278"/>
        <v>0.99711956521739131</v>
      </c>
      <c r="AH609" s="431">
        <f t="shared" si="279"/>
        <v>0</v>
      </c>
      <c r="AI609" s="432">
        <f t="shared" si="280"/>
        <v>0</v>
      </c>
      <c r="AJ609" s="432">
        <f t="shared" si="281"/>
        <v>153.01208973900049</v>
      </c>
      <c r="AK609" s="432">
        <f t="shared" si="282"/>
        <v>167.30691682452004</v>
      </c>
      <c r="AL609" s="432">
        <f t="shared" si="283"/>
        <v>332.58200860033088</v>
      </c>
      <c r="AM609" s="250">
        <v>150</v>
      </c>
      <c r="AN609" s="432">
        <f t="shared" si="284"/>
        <v>172.5</v>
      </c>
      <c r="AO609" s="432">
        <f t="shared" si="285"/>
        <v>0</v>
      </c>
      <c r="AP609" s="432">
        <f t="shared" si="286"/>
        <v>0</v>
      </c>
      <c r="AQ609" s="255">
        <v>43922</v>
      </c>
      <c r="AR609" s="255" t="s">
        <v>238</v>
      </c>
      <c r="AS609" s="434" t="s">
        <v>2707</v>
      </c>
      <c r="AT609" s="429" t="s">
        <v>2708</v>
      </c>
      <c r="AU609" s="236" t="s">
        <v>2709</v>
      </c>
      <c r="AV609" s="222"/>
      <c r="AW609" s="205" t="s">
        <v>127</v>
      </c>
      <c r="AX609" s="222"/>
      <c r="AY609" s="204">
        <f t="shared" si="292"/>
        <v>0.53913043478260869</v>
      </c>
      <c r="AZ609" s="205"/>
      <c r="BA609" s="198" t="str">
        <f t="shared" si="267"/>
        <v>W12</v>
      </c>
      <c r="BB609" s="205" t="str">
        <f t="shared" si="268"/>
        <v>Clear</v>
      </c>
      <c r="BC609" s="206">
        <f t="shared" si="269"/>
        <v>1.2484999999999999</v>
      </c>
      <c r="BD609" s="202">
        <f t="shared" si="270"/>
        <v>146.40192761777186</v>
      </c>
      <c r="BE609" s="202">
        <f t="shared" si="293"/>
        <v>-20.904989206748184</v>
      </c>
      <c r="BF609" s="207">
        <f t="shared" si="294"/>
        <v>-0.12494993992791339</v>
      </c>
      <c r="BG609" s="202">
        <f t="shared" si="295"/>
        <v>291.02590660461476</v>
      </c>
      <c r="BH609" s="202">
        <f t="shared" si="296"/>
        <v>-41.556101995716119</v>
      </c>
      <c r="BI609" s="207">
        <f t="shared" si="297"/>
        <v>-0.12494993992791339</v>
      </c>
      <c r="BJ609" s="210"/>
      <c r="BK609" s="210"/>
      <c r="BL609" s="211"/>
      <c r="BM609" s="211"/>
      <c r="BN609" s="207"/>
      <c r="BO609" s="211"/>
      <c r="BP609" s="211"/>
      <c r="BQ609" s="207"/>
      <c r="BR609" s="207"/>
      <c r="BS609" s="207"/>
      <c r="BT609" s="205"/>
      <c r="BU609" s="205"/>
      <c r="BV609" s="205"/>
      <c r="BW609" s="205"/>
      <c r="BX609" s="205"/>
      <c r="BY609" s="205"/>
      <c r="BZ609" s="205"/>
      <c r="CA609" s="72"/>
    </row>
    <row r="610" spans="1:79" s="72" customFormat="1">
      <c r="A610" s="13" t="s">
        <v>2710</v>
      </c>
      <c r="B610" s="13" t="s">
        <v>429</v>
      </c>
      <c r="C610" s="13" t="s">
        <v>430</v>
      </c>
      <c r="D610" s="13" t="s">
        <v>2711</v>
      </c>
      <c r="E610" s="13" t="s">
        <v>118</v>
      </c>
      <c r="F610" s="13" t="s">
        <v>119</v>
      </c>
      <c r="G610" s="13" t="s">
        <v>2712</v>
      </c>
      <c r="H610" s="13" t="s">
        <v>146</v>
      </c>
      <c r="I610" s="13" t="s">
        <v>122</v>
      </c>
      <c r="J610" s="13" t="s">
        <v>5</v>
      </c>
      <c r="K610" s="13" t="s">
        <v>123</v>
      </c>
      <c r="L610" s="13" t="s">
        <v>2713</v>
      </c>
      <c r="M610" s="13" t="s">
        <v>125</v>
      </c>
      <c r="N610" s="13" t="s">
        <v>12</v>
      </c>
      <c r="O610" s="247">
        <v>0.2</v>
      </c>
      <c r="P610" s="13">
        <v>110</v>
      </c>
      <c r="Q610" s="13">
        <v>18</v>
      </c>
      <c r="R610" s="13" t="s">
        <v>127</v>
      </c>
      <c r="S610" s="430" t="str">
        <f t="shared" si="271"/>
        <v>N/A</v>
      </c>
      <c r="T610" s="247">
        <v>0.8</v>
      </c>
      <c r="U610" s="13">
        <v>245</v>
      </c>
      <c r="V610" s="13">
        <v>790</v>
      </c>
      <c r="W610" s="430">
        <f t="shared" si="265"/>
        <v>545</v>
      </c>
      <c r="X610" s="430">
        <f t="shared" si="266"/>
        <v>130</v>
      </c>
      <c r="Y610" s="13">
        <v>245</v>
      </c>
      <c r="Z610" s="13">
        <v>790</v>
      </c>
      <c r="AA610" s="430">
        <f t="shared" si="273"/>
        <v>545</v>
      </c>
      <c r="AB610" s="430">
        <f t="shared" si="274"/>
        <v>130</v>
      </c>
      <c r="AC610" s="430" t="str">
        <f t="shared" si="275"/>
        <v>N/A</v>
      </c>
      <c r="AD610" s="430">
        <f t="shared" si="276"/>
        <v>92</v>
      </c>
      <c r="AE610" s="431">
        <f t="shared" si="277"/>
        <v>0.98399999999999999</v>
      </c>
      <c r="AF610" s="431"/>
      <c r="AG610" s="431">
        <f t="shared" si="278"/>
        <v>0.90705454545454556</v>
      </c>
      <c r="AH610" s="431">
        <f t="shared" si="279"/>
        <v>0.96147781818181832</v>
      </c>
      <c r="AI610" s="432">
        <f t="shared" si="280"/>
        <v>861.02103999999997</v>
      </c>
      <c r="AJ610" s="432">
        <f t="shared" si="281"/>
        <v>169.88384963400208</v>
      </c>
      <c r="AK610" s="432">
        <f t="shared" si="282"/>
        <v>185.75488478738637</v>
      </c>
      <c r="AL610" s="432">
        <f t="shared" si="283"/>
        <v>369.25390690636328</v>
      </c>
      <c r="AM610" s="250">
        <v>186</v>
      </c>
      <c r="AN610" s="432">
        <f t="shared" si="284"/>
        <v>204.6</v>
      </c>
      <c r="AO610" s="432">
        <f t="shared" si="285"/>
        <v>196.71836160000004</v>
      </c>
      <c r="AP610" s="432">
        <f t="shared" si="286"/>
        <v>1092.8797866666669</v>
      </c>
      <c r="AQ610" s="255">
        <v>45444</v>
      </c>
      <c r="AR610" s="255" t="s">
        <v>2714</v>
      </c>
      <c r="AS610" s="434" t="s">
        <v>2715</v>
      </c>
      <c r="AT610" s="429" t="s">
        <v>2716</v>
      </c>
      <c r="AU610" s="339"/>
      <c r="AV610" s="340"/>
      <c r="AW610" s="234"/>
      <c r="AX610" s="340"/>
      <c r="AY610" s="325">
        <f t="shared" si="292"/>
        <v>0.71818181818181814</v>
      </c>
      <c r="AZ610" s="234"/>
      <c r="BA610" s="246" t="str">
        <f t="shared" si="267"/>
        <v>W22</v>
      </c>
      <c r="BB610" s="234" t="str">
        <f t="shared" si="268"/>
        <v>Clear</v>
      </c>
      <c r="BC610" s="326">
        <f t="shared" si="269"/>
        <v>1.02</v>
      </c>
      <c r="BD610" s="323">
        <f t="shared" si="270"/>
        <v>179.19883003018447</v>
      </c>
      <c r="BE610" s="323">
        <f t="shared" si="293"/>
        <v>-6.5560547572019061</v>
      </c>
      <c r="BF610" s="327">
        <f t="shared" si="294"/>
        <v>-3.529411764705901E-2</v>
      </c>
      <c r="BG610" s="323">
        <f t="shared" si="295"/>
        <v>356.22141607437402</v>
      </c>
      <c r="BH610" s="323">
        <f t="shared" si="296"/>
        <v>-13.032490831989264</v>
      </c>
      <c r="BI610" s="327">
        <f t="shared" si="297"/>
        <v>-3.5294117647058747E-2</v>
      </c>
      <c r="BJ610" s="333"/>
      <c r="BK610" s="333"/>
      <c r="BL610" s="334"/>
      <c r="BM610" s="334"/>
      <c r="BN610" s="327"/>
      <c r="BO610" s="334"/>
      <c r="BP610" s="334"/>
      <c r="BQ610" s="334"/>
      <c r="BR610" s="327"/>
      <c r="BS610" s="327"/>
      <c r="BT610" s="246">
        <f>P610-V610/10-120/10</f>
        <v>19</v>
      </c>
      <c r="BU610" s="341">
        <f>BT610-Q610</f>
        <v>1</v>
      </c>
      <c r="BV610" s="321">
        <f>T610+(O610/100*(P610-BT610))</f>
        <v>0.98199999999999998</v>
      </c>
      <c r="BW610" s="342">
        <f>(AE610-BV610)/AE610</f>
        <v>2.032520325203254E-3</v>
      </c>
      <c r="BX610" s="341">
        <f>(PI()*((51/2)^2-(16.545/2)^2)/(BV610/10))/100</f>
        <v>186.13320430833829</v>
      </c>
      <c r="BY610" s="341">
        <f>BX610-AK610</f>
        <v>0.37831952095191923</v>
      </c>
      <c r="BZ610" s="342">
        <f>BY610/AK610</f>
        <v>2.0366598778004726E-3</v>
      </c>
      <c r="CA610" s="76"/>
    </row>
    <row r="611" spans="1:79" s="22" customFormat="1">
      <c r="A611" s="13" t="s">
        <v>2717</v>
      </c>
      <c r="B611" s="13" t="s">
        <v>132</v>
      </c>
      <c r="C611" s="13" t="s">
        <v>657</v>
      </c>
      <c r="D611" s="13" t="s">
        <v>657</v>
      </c>
      <c r="E611" s="13" t="s">
        <v>137</v>
      </c>
      <c r="F611" s="13" t="s">
        <v>167</v>
      </c>
      <c r="G611" s="13" t="s">
        <v>2718</v>
      </c>
      <c r="H611" s="13" t="s">
        <v>146</v>
      </c>
      <c r="I611" s="13" t="s">
        <v>147</v>
      </c>
      <c r="J611" s="13" t="s">
        <v>5</v>
      </c>
      <c r="K611" s="13" t="s">
        <v>123</v>
      </c>
      <c r="L611" s="13" t="s">
        <v>2719</v>
      </c>
      <c r="M611" s="13" t="s">
        <v>125</v>
      </c>
      <c r="N611" s="13" t="s">
        <v>126</v>
      </c>
      <c r="O611" s="247">
        <v>0.5</v>
      </c>
      <c r="P611" s="13">
        <v>100</v>
      </c>
      <c r="Q611" s="13">
        <v>28</v>
      </c>
      <c r="R611" s="13" t="s">
        <v>127</v>
      </c>
      <c r="S611" s="430" t="str">
        <f t="shared" si="271"/>
        <v>N/A</v>
      </c>
      <c r="T611" s="247">
        <v>0.8</v>
      </c>
      <c r="U611" s="13">
        <v>80</v>
      </c>
      <c r="V611" s="13">
        <v>600</v>
      </c>
      <c r="W611" s="430">
        <f t="shared" si="265"/>
        <v>520</v>
      </c>
      <c r="X611" s="430">
        <f t="shared" si="266"/>
        <v>120</v>
      </c>
      <c r="Y611" s="13">
        <v>80</v>
      </c>
      <c r="Z611" s="13">
        <v>600</v>
      </c>
      <c r="AA611" s="430">
        <f t="shared" si="273"/>
        <v>520</v>
      </c>
      <c r="AB611" s="430">
        <f t="shared" si="274"/>
        <v>120</v>
      </c>
      <c r="AC611" s="430" t="str">
        <f t="shared" si="275"/>
        <v>N/A</v>
      </c>
      <c r="AD611" s="430">
        <f t="shared" si="276"/>
        <v>72</v>
      </c>
      <c r="AE611" s="431">
        <f t="shared" si="277"/>
        <v>1.1600000000000001</v>
      </c>
      <c r="AF611" s="431"/>
      <c r="AG611" s="431">
        <f t="shared" si="278"/>
        <v>1.0304</v>
      </c>
      <c r="AH611" s="431">
        <f t="shared" si="279"/>
        <v>1.0922239999999999</v>
      </c>
      <c r="AI611" s="432">
        <f t="shared" si="280"/>
        <v>880.5526000000001</v>
      </c>
      <c r="AJ611" s="432">
        <f t="shared" si="281"/>
        <v>144.1083689998776</v>
      </c>
      <c r="AK611" s="432">
        <f t="shared" si="282"/>
        <v>157.57138502654149</v>
      </c>
      <c r="AL611" s="432">
        <f t="shared" si="283"/>
        <v>313.22917620332879</v>
      </c>
      <c r="AM611" s="250">
        <v>158</v>
      </c>
      <c r="AN611" s="432">
        <f t="shared" si="284"/>
        <v>158</v>
      </c>
      <c r="AO611" s="432">
        <f t="shared" si="285"/>
        <v>172.57139199999997</v>
      </c>
      <c r="AP611" s="432">
        <f t="shared" si="286"/>
        <v>616.32639999999981</v>
      </c>
      <c r="AQ611" s="255">
        <v>44713</v>
      </c>
      <c r="AR611" s="255" t="s">
        <v>2720</v>
      </c>
      <c r="AS611" s="434" t="s">
        <v>2721</v>
      </c>
      <c r="AT611" s="429" t="s">
        <v>2722</v>
      </c>
      <c r="AU611" s="241"/>
      <c r="AV611" s="243"/>
      <c r="AW611" s="72" t="s">
        <v>127</v>
      </c>
      <c r="AX611" s="243"/>
      <c r="AY611" s="103">
        <f t="shared" si="292"/>
        <v>0.6</v>
      </c>
      <c r="AZ611" s="72"/>
      <c r="BA611" s="72" t="str">
        <f t="shared" si="267"/>
        <v>W22</v>
      </c>
      <c r="BB611" s="72" t="str">
        <f t="shared" si="268"/>
        <v>Clear</v>
      </c>
      <c r="BC611" s="32">
        <f t="shared" si="269"/>
        <v>1.3</v>
      </c>
      <c r="BD611" s="241">
        <f t="shared" si="270"/>
        <v>140.60215894676014</v>
      </c>
      <c r="BE611" s="241">
        <f t="shared" si="293"/>
        <v>-16.96922607978135</v>
      </c>
      <c r="BF611" s="71">
        <f t="shared" si="294"/>
        <v>-0.10769230769230743</v>
      </c>
      <c r="BG611" s="241">
        <f t="shared" si="295"/>
        <v>279.4968033814319</v>
      </c>
      <c r="BH611" s="241">
        <f t="shared" si="296"/>
        <v>-33.732372821896888</v>
      </c>
      <c r="BI611" s="71">
        <f t="shared" si="297"/>
        <v>-0.1076923076923075</v>
      </c>
      <c r="BJ611" s="123">
        <v>20</v>
      </c>
      <c r="BK611" s="123">
        <v>25</v>
      </c>
      <c r="BL611" s="126">
        <f>AH611</f>
        <v>1.0922239999999999</v>
      </c>
      <c r="BM611" s="108">
        <f>BK611/AH611</f>
        <v>22.889077698347595</v>
      </c>
      <c r="BN611" s="123">
        <f>BK611-BM611</f>
        <v>2.1109223016524048</v>
      </c>
      <c r="BO611" s="108">
        <v>22.02</v>
      </c>
      <c r="BP611" s="123">
        <f>BO611-BM611</f>
        <v>-0.86907769834759563</v>
      </c>
      <c r="BQ611" s="124">
        <v>12456</v>
      </c>
      <c r="BR611" s="155"/>
      <c r="BS611" s="71"/>
      <c r="BT611" s="72">
        <f>P611-V611/10-120/10</f>
        <v>28</v>
      </c>
      <c r="BU611" s="78">
        <f>BT611-Q611</f>
        <v>0</v>
      </c>
      <c r="BV611" s="32">
        <f>T611+(O611/100*(P611-BT611))</f>
        <v>1.1600000000000001</v>
      </c>
      <c r="BW611" s="127">
        <f>(AE611-BV611)/AE611</f>
        <v>0</v>
      </c>
      <c r="BX611" s="78">
        <f>(PI()*((51/2)^2-(16.545/2)^2)/(BV611/10))/100</f>
        <v>157.57138502654149</v>
      </c>
      <c r="BY611" s="78">
        <f>BX611-AK611</f>
        <v>0</v>
      </c>
      <c r="BZ611" s="127">
        <f>BY611/AK611</f>
        <v>0</v>
      </c>
      <c r="CA611" s="76"/>
    </row>
    <row r="612" spans="1:79" s="72" customFormat="1">
      <c r="A612" s="13" t="s">
        <v>2717</v>
      </c>
      <c r="B612" s="13" t="s">
        <v>132</v>
      </c>
      <c r="C612" s="13" t="s">
        <v>657</v>
      </c>
      <c r="D612" s="13" t="s">
        <v>657</v>
      </c>
      <c r="E612" s="13" t="s">
        <v>137</v>
      </c>
      <c r="F612" s="387" t="s">
        <v>186</v>
      </c>
      <c r="G612" s="13" t="s">
        <v>2723</v>
      </c>
      <c r="H612" s="13" t="s">
        <v>119</v>
      </c>
      <c r="I612" s="13" t="s">
        <v>139</v>
      </c>
      <c r="J612" s="13" t="s">
        <v>5</v>
      </c>
      <c r="K612" s="13" t="s">
        <v>140</v>
      </c>
      <c r="L612" s="13" t="s">
        <v>2724</v>
      </c>
      <c r="M612" s="13"/>
      <c r="N612" s="13" t="s">
        <v>142</v>
      </c>
      <c r="O612" s="247">
        <v>0.5</v>
      </c>
      <c r="P612" s="13">
        <v>96</v>
      </c>
      <c r="Q612" s="13">
        <v>26</v>
      </c>
      <c r="R612" s="13" t="s">
        <v>127</v>
      </c>
      <c r="S612" s="430" t="str">
        <f t="shared" si="271"/>
        <v>N/A</v>
      </c>
      <c r="T612" s="247">
        <v>0.76</v>
      </c>
      <c r="U612" s="13">
        <v>80</v>
      </c>
      <c r="V612" s="13">
        <v>576</v>
      </c>
      <c r="W612" s="430">
        <f t="shared" si="265"/>
        <v>496</v>
      </c>
      <c r="X612" s="430">
        <f t="shared" si="266"/>
        <v>124</v>
      </c>
      <c r="Y612" s="13">
        <v>80</v>
      </c>
      <c r="Z612" s="13">
        <v>576</v>
      </c>
      <c r="AA612" s="430">
        <f t="shared" si="273"/>
        <v>496</v>
      </c>
      <c r="AB612" s="430">
        <f t="shared" si="274"/>
        <v>124</v>
      </c>
      <c r="AC612" s="430" t="str">
        <f t="shared" si="275"/>
        <v>N/A</v>
      </c>
      <c r="AD612" s="430">
        <f t="shared" si="276"/>
        <v>70</v>
      </c>
      <c r="AE612" s="431">
        <f t="shared" si="277"/>
        <v>1.1100000000000001</v>
      </c>
      <c r="AF612" s="431"/>
      <c r="AG612" s="431">
        <f t="shared" si="278"/>
        <v>0.98239583333333336</v>
      </c>
      <c r="AH612" s="431">
        <f t="shared" si="279"/>
        <v>1.0462515625</v>
      </c>
      <c r="AI612" s="432">
        <f t="shared" si="280"/>
        <v>842.10615000000007</v>
      </c>
      <c r="AJ612" s="432">
        <f t="shared" si="281"/>
        <v>150.59973697284505</v>
      </c>
      <c r="AK612" s="432">
        <f t="shared" si="282"/>
        <v>164.6691951628722</v>
      </c>
      <c r="AL612" s="432">
        <f t="shared" si="283"/>
        <v>327.33859855483007</v>
      </c>
      <c r="AM612" s="250">
        <v>165</v>
      </c>
      <c r="AN612" s="432">
        <f t="shared" si="284"/>
        <v>158.4</v>
      </c>
      <c r="AO612" s="432">
        <f t="shared" si="285"/>
        <v>165.7262475</v>
      </c>
      <c r="AP612" s="432">
        <f t="shared" si="286"/>
        <v>637.40864423076926</v>
      </c>
      <c r="AQ612" s="255" t="s">
        <v>132</v>
      </c>
      <c r="AR612" s="255" t="s">
        <v>2720</v>
      </c>
      <c r="AS612" s="434" t="s">
        <v>2725</v>
      </c>
      <c r="AT612" s="429" t="s">
        <v>2726</v>
      </c>
      <c r="AU612" s="249"/>
      <c r="AV612" s="254"/>
      <c r="AW612" s="38" t="s">
        <v>127</v>
      </c>
      <c r="AX612" s="254"/>
      <c r="AY612" s="103">
        <f t="shared" si="292"/>
        <v>0.6</v>
      </c>
      <c r="AZ612" s="38"/>
      <c r="BA612" s="13" t="str">
        <f t="shared" si="267"/>
        <v>W50</v>
      </c>
      <c r="BB612" s="72" t="str">
        <f t="shared" si="268"/>
        <v>Clear</v>
      </c>
      <c r="BC612" s="264">
        <f t="shared" si="269"/>
        <v>1.24</v>
      </c>
      <c r="BD612" s="253">
        <f t="shared" si="270"/>
        <v>147.40548921837754</v>
      </c>
      <c r="BE612" s="253">
        <f t="shared" si="293"/>
        <v>-17.26370594449466</v>
      </c>
      <c r="BF612" s="100">
        <f t="shared" si="294"/>
        <v>-0.10483870967741932</v>
      </c>
      <c r="BG612" s="253">
        <f t="shared" si="295"/>
        <v>293.02084225472697</v>
      </c>
      <c r="BH612" s="253">
        <f t="shared" si="296"/>
        <v>-34.317756300103099</v>
      </c>
      <c r="BI612" s="100">
        <f t="shared" si="297"/>
        <v>-0.10483870967741919</v>
      </c>
      <c r="BJ612" s="139">
        <v>21.25</v>
      </c>
      <c r="BK612" s="139"/>
      <c r="BL612" s="101"/>
      <c r="BM612" s="101"/>
      <c r="BN612" s="100"/>
      <c r="BO612" s="102"/>
      <c r="BP612" s="102"/>
      <c r="BQ612" s="108"/>
      <c r="BR612" s="71"/>
      <c r="BS612" s="71"/>
      <c r="BU612" s="78"/>
      <c r="BV612" s="32"/>
      <c r="BW612" s="127"/>
      <c r="BX612" s="78"/>
      <c r="BY612" s="78"/>
      <c r="BZ612" s="127"/>
      <c r="CA612" s="76"/>
    </row>
    <row r="613" spans="1:79" s="72" customFormat="1">
      <c r="A613" s="13" t="s">
        <v>2717</v>
      </c>
      <c r="B613" s="13" t="s">
        <v>132</v>
      </c>
      <c r="C613" s="13" t="s">
        <v>657</v>
      </c>
      <c r="D613" s="13" t="s">
        <v>657</v>
      </c>
      <c r="E613" s="13" t="s">
        <v>137</v>
      </c>
      <c r="F613" s="387" t="s">
        <v>186</v>
      </c>
      <c r="G613" s="13" t="s">
        <v>2727</v>
      </c>
      <c r="H613" s="13" t="s">
        <v>119</v>
      </c>
      <c r="I613" s="13" t="s">
        <v>139</v>
      </c>
      <c r="J613" s="13" t="s">
        <v>5</v>
      </c>
      <c r="K613" s="13" t="s">
        <v>140</v>
      </c>
      <c r="L613" s="13" t="s">
        <v>2728</v>
      </c>
      <c r="M613" s="13"/>
      <c r="N613" s="13" t="s">
        <v>142</v>
      </c>
      <c r="O613" s="247">
        <v>0.5</v>
      </c>
      <c r="P613" s="13">
        <v>105</v>
      </c>
      <c r="Q613" s="13">
        <v>30</v>
      </c>
      <c r="R613" s="13" t="s">
        <v>127</v>
      </c>
      <c r="S613" s="430" t="str">
        <f t="shared" si="271"/>
        <v>N/A</v>
      </c>
      <c r="T613" s="247">
        <v>0.76</v>
      </c>
      <c r="U613" s="13">
        <v>80</v>
      </c>
      <c r="V613" s="13">
        <v>630</v>
      </c>
      <c r="W613" s="430">
        <f t="shared" si="265"/>
        <v>550</v>
      </c>
      <c r="X613" s="430">
        <f t="shared" si="266"/>
        <v>120</v>
      </c>
      <c r="Y613" s="13">
        <v>80</v>
      </c>
      <c r="Z613" s="13">
        <v>630</v>
      </c>
      <c r="AA613" s="430">
        <f t="shared" si="273"/>
        <v>550</v>
      </c>
      <c r="AB613" s="430">
        <f t="shared" si="274"/>
        <v>120</v>
      </c>
      <c r="AC613" s="430" t="str">
        <f t="shared" si="275"/>
        <v>N/A</v>
      </c>
      <c r="AD613" s="430">
        <f t="shared" si="276"/>
        <v>75</v>
      </c>
      <c r="AE613" s="431">
        <f t="shared" si="277"/>
        <v>1.135</v>
      </c>
      <c r="AF613" s="431"/>
      <c r="AG613" s="431">
        <f t="shared" si="278"/>
        <v>1.0010714285714286</v>
      </c>
      <c r="AH613" s="431">
        <f t="shared" si="279"/>
        <v>1.0661410714285715</v>
      </c>
      <c r="AI613" s="432">
        <f t="shared" si="280"/>
        <v>842.10615000000007</v>
      </c>
      <c r="AJ613" s="432">
        <f t="shared" si="281"/>
        <v>147.28256214965464</v>
      </c>
      <c r="AK613" s="432">
        <f t="shared" si="282"/>
        <v>161.04212037954906</v>
      </c>
      <c r="AL613" s="432">
        <f t="shared" si="283"/>
        <v>320.12849726507619</v>
      </c>
      <c r="AM613" s="250">
        <v>161</v>
      </c>
      <c r="AN613" s="432">
        <f t="shared" si="284"/>
        <v>169.05</v>
      </c>
      <c r="AO613" s="432">
        <f t="shared" si="285"/>
        <v>180.23114812500003</v>
      </c>
      <c r="AP613" s="432">
        <f t="shared" si="286"/>
        <v>600.77049375000013</v>
      </c>
      <c r="AQ613" s="255" t="s">
        <v>132</v>
      </c>
      <c r="AR613" s="255" t="s">
        <v>2720</v>
      </c>
      <c r="AS613" s="434" t="s">
        <v>2729</v>
      </c>
      <c r="AT613" s="429" t="s">
        <v>2730</v>
      </c>
      <c r="AU613" s="249"/>
      <c r="AV613" s="254"/>
      <c r="AW613" s="38" t="s">
        <v>127</v>
      </c>
      <c r="AX613" s="254"/>
      <c r="AY613" s="103">
        <f t="shared" si="292"/>
        <v>0.6</v>
      </c>
      <c r="AZ613" s="38"/>
      <c r="BA613" s="13" t="str">
        <f t="shared" si="267"/>
        <v>W50</v>
      </c>
      <c r="BB613" s="72" t="str">
        <f t="shared" si="268"/>
        <v>Clear</v>
      </c>
      <c r="BC613" s="264">
        <f t="shared" si="269"/>
        <v>1.2850000000000001</v>
      </c>
      <c r="BD613" s="253">
        <f t="shared" si="270"/>
        <v>142.24342928466004</v>
      </c>
      <c r="BE613" s="253">
        <f t="shared" si="293"/>
        <v>-18.798691094889023</v>
      </c>
      <c r="BF613" s="100">
        <f t="shared" si="294"/>
        <v>-0.11673151750972779</v>
      </c>
      <c r="BG613" s="253">
        <f t="shared" si="295"/>
        <v>282.75941198121512</v>
      </c>
      <c r="BH613" s="253">
        <f t="shared" si="296"/>
        <v>-37.369085283861068</v>
      </c>
      <c r="BI613" s="100">
        <f t="shared" si="297"/>
        <v>-0.11673151750972774</v>
      </c>
      <c r="BJ613" s="139">
        <v>21.25</v>
      </c>
      <c r="BK613" s="139"/>
      <c r="BL613" s="101"/>
      <c r="BM613" s="101"/>
      <c r="BN613" s="100"/>
      <c r="BO613" s="102"/>
      <c r="BP613" s="102"/>
      <c r="BQ613" s="83"/>
      <c r="BR613" s="71"/>
      <c r="BS613" s="71"/>
      <c r="BT613" s="13">
        <f>P613-V613/10-120/10</f>
        <v>30</v>
      </c>
      <c r="BU613" s="79">
        <f>BT613-Q613</f>
        <v>0</v>
      </c>
      <c r="BV613" s="29">
        <f>T613+(O613/100*(P613-BT613))</f>
        <v>1.135</v>
      </c>
      <c r="BW613" s="86">
        <f>(AE613-BV613)/AE613</f>
        <v>0</v>
      </c>
      <c r="BX613" s="79">
        <f>(PI()*((51/2)^2-(16.545/2)^2)/(BV613/10))/100</f>
        <v>161.04212037954906</v>
      </c>
      <c r="BY613" s="79">
        <f>BX613-AK613</f>
        <v>0</v>
      </c>
      <c r="BZ613" s="86">
        <f>BY613/AK613</f>
        <v>0</v>
      </c>
      <c r="CA613" s="76"/>
    </row>
    <row r="614" spans="1:79" s="72" customFormat="1">
      <c r="A614" s="13" t="s">
        <v>2717</v>
      </c>
      <c r="B614" s="13" t="s">
        <v>132</v>
      </c>
      <c r="C614" s="13" t="s">
        <v>657</v>
      </c>
      <c r="D614" s="13" t="s">
        <v>657</v>
      </c>
      <c r="E614" s="13" t="s">
        <v>137</v>
      </c>
      <c r="F614" s="13" t="s">
        <v>167</v>
      </c>
      <c r="G614" s="13" t="s">
        <v>2731</v>
      </c>
      <c r="H614" s="13" t="s">
        <v>119</v>
      </c>
      <c r="I614" s="13" t="s">
        <v>139</v>
      </c>
      <c r="J614" s="13" t="s">
        <v>274</v>
      </c>
      <c r="K614" s="13" t="s">
        <v>140</v>
      </c>
      <c r="L614" s="13" t="s">
        <v>2732</v>
      </c>
      <c r="M614" s="13"/>
      <c r="N614" s="13" t="s">
        <v>142</v>
      </c>
      <c r="O614" s="247">
        <v>0.5</v>
      </c>
      <c r="P614" s="13">
        <v>86</v>
      </c>
      <c r="Q614" s="13">
        <v>22</v>
      </c>
      <c r="R614" s="13">
        <v>14</v>
      </c>
      <c r="S614" s="430">
        <f t="shared" si="271"/>
        <v>72</v>
      </c>
      <c r="T614" s="247">
        <v>0.76</v>
      </c>
      <c r="U614" s="13">
        <v>80</v>
      </c>
      <c r="V614" s="13">
        <v>516</v>
      </c>
      <c r="W614" s="430">
        <f t="shared" si="265"/>
        <v>436</v>
      </c>
      <c r="X614" s="430">
        <f t="shared" si="266"/>
        <v>124</v>
      </c>
      <c r="Y614" s="13">
        <v>80</v>
      </c>
      <c r="Z614" s="13">
        <v>516</v>
      </c>
      <c r="AA614" s="430">
        <f t="shared" si="273"/>
        <v>436</v>
      </c>
      <c r="AB614" s="430">
        <f t="shared" si="274"/>
        <v>124</v>
      </c>
      <c r="AC614" s="430">
        <f t="shared" si="275"/>
        <v>80</v>
      </c>
      <c r="AD614" s="430">
        <f t="shared" si="276"/>
        <v>64</v>
      </c>
      <c r="AE614" s="431">
        <f t="shared" si="277"/>
        <v>1.08</v>
      </c>
      <c r="AF614" s="431"/>
      <c r="AG614" s="431">
        <f t="shared" si="278"/>
        <v>0.96093023255813959</v>
      </c>
      <c r="AH614" s="431">
        <f t="shared" si="279"/>
        <v>1.0233906976744187</v>
      </c>
      <c r="AI614" s="432">
        <f t="shared" si="280"/>
        <v>842.10615000000007</v>
      </c>
      <c r="AJ614" s="432">
        <f t="shared" si="281"/>
        <v>154.78306299986852</v>
      </c>
      <c r="AK614" s="432">
        <f t="shared" si="282"/>
        <v>169.24333947295199</v>
      </c>
      <c r="AL614" s="432">
        <f t="shared" si="283"/>
        <v>336.43133740357536</v>
      </c>
      <c r="AM614" s="250">
        <v>169</v>
      </c>
      <c r="AN614" s="432">
        <f t="shared" si="284"/>
        <v>145.34</v>
      </c>
      <c r="AO614" s="432">
        <f t="shared" si="285"/>
        <v>148.73960400000001</v>
      </c>
      <c r="AP614" s="432">
        <f t="shared" si="286"/>
        <v>676.08910909090912</v>
      </c>
      <c r="AQ614" s="255" t="s">
        <v>132</v>
      </c>
      <c r="AR614" s="255" t="s">
        <v>2720</v>
      </c>
      <c r="AS614" s="434" t="s">
        <v>2733</v>
      </c>
      <c r="AT614" s="429" t="s">
        <v>2734</v>
      </c>
      <c r="AU614" s="241"/>
      <c r="AV614" s="243"/>
      <c r="AW614" s="72" t="s">
        <v>127</v>
      </c>
      <c r="AX614" s="243"/>
      <c r="AY614" s="103">
        <f t="shared" si="292"/>
        <v>0.6</v>
      </c>
      <c r="BA614" s="72" t="str">
        <f t="shared" si="267"/>
        <v>W51</v>
      </c>
      <c r="BB614" s="72" t="str">
        <f t="shared" si="268"/>
        <v>S/B</v>
      </c>
      <c r="BC614" s="32"/>
      <c r="BD614" s="241"/>
      <c r="BE614" s="241"/>
      <c r="BF614" s="71"/>
      <c r="BG614" s="241"/>
      <c r="BH614" s="241"/>
      <c r="BI614" s="71"/>
      <c r="BJ614" s="123">
        <v>22.95</v>
      </c>
      <c r="BK614" s="123"/>
      <c r="BL614" s="126"/>
      <c r="BM614" s="108"/>
      <c r="BN614" s="71"/>
      <c r="BO614" s="71"/>
      <c r="BP614" s="71"/>
      <c r="BQ614" s="124"/>
      <c r="BR614" s="124"/>
      <c r="BS614" s="71"/>
      <c r="BU614" s="78"/>
      <c r="BV614" s="32"/>
      <c r="BW614" s="127"/>
      <c r="BX614" s="78"/>
      <c r="BY614" s="78"/>
      <c r="BZ614" s="127"/>
      <c r="CA614" s="76"/>
    </row>
    <row r="615" spans="1:79" s="273" customFormat="1">
      <c r="A615" s="13" t="s">
        <v>2717</v>
      </c>
      <c r="B615" s="13" t="s">
        <v>2735</v>
      </c>
      <c r="C615" s="13" t="s">
        <v>657</v>
      </c>
      <c r="D615" s="13" t="s">
        <v>657</v>
      </c>
      <c r="E615" s="13" t="s">
        <v>137</v>
      </c>
      <c r="F615" s="387" t="s">
        <v>186</v>
      </c>
      <c r="G615" s="13" t="s">
        <v>2736</v>
      </c>
      <c r="H615" s="13" t="s">
        <v>119</v>
      </c>
      <c r="I615" s="13" t="s">
        <v>139</v>
      </c>
      <c r="J615" s="13" t="s">
        <v>274</v>
      </c>
      <c r="K615" s="13" t="s">
        <v>140</v>
      </c>
      <c r="L615" s="13" t="s">
        <v>2737</v>
      </c>
      <c r="M615" s="13"/>
      <c r="N615" s="13" t="s">
        <v>142</v>
      </c>
      <c r="O615" s="247">
        <v>0.4</v>
      </c>
      <c r="P615" s="13">
        <v>91</v>
      </c>
      <c r="Q615" s="13">
        <v>29</v>
      </c>
      <c r="R615" s="13">
        <v>15</v>
      </c>
      <c r="S615" s="430">
        <f t="shared" si="271"/>
        <v>76</v>
      </c>
      <c r="T615" s="247">
        <v>0.76</v>
      </c>
      <c r="U615" s="13">
        <v>100</v>
      </c>
      <c r="V615" s="13">
        <v>490</v>
      </c>
      <c r="W615" s="430">
        <f t="shared" si="265"/>
        <v>390</v>
      </c>
      <c r="X615" s="430">
        <f t="shared" si="266"/>
        <v>130</v>
      </c>
      <c r="Y615" s="13">
        <v>100</v>
      </c>
      <c r="Z615" s="13">
        <v>530</v>
      </c>
      <c r="AA615" s="430">
        <f t="shared" si="273"/>
        <v>430</v>
      </c>
      <c r="AB615" s="430">
        <f t="shared" si="274"/>
        <v>90</v>
      </c>
      <c r="AC615" s="430">
        <f t="shared" si="275"/>
        <v>140</v>
      </c>
      <c r="AD615" s="430">
        <f t="shared" si="276"/>
        <v>62</v>
      </c>
      <c r="AE615" s="431">
        <f t="shared" si="277"/>
        <v>1.008</v>
      </c>
      <c r="AF615" s="431"/>
      <c r="AG615" s="431">
        <f t="shared" si="278"/>
        <v>0.92351648351648341</v>
      </c>
      <c r="AH615" s="431">
        <f t="shared" si="279"/>
        <v>0.98354505494505484</v>
      </c>
      <c r="AI615" s="432">
        <f t="shared" si="280"/>
        <v>835.56492000000003</v>
      </c>
      <c r="AJ615" s="432">
        <f t="shared" si="281"/>
        <v>165.83899607128774</v>
      </c>
      <c r="AK615" s="432">
        <f t="shared" si="282"/>
        <v>181.33214943530572</v>
      </c>
      <c r="AL615" s="432">
        <f t="shared" si="283"/>
        <v>360.46214721811651</v>
      </c>
      <c r="AM615" s="250">
        <v>182</v>
      </c>
      <c r="AN615" s="432">
        <f t="shared" si="284"/>
        <v>165.62</v>
      </c>
      <c r="AO615" s="432">
        <f t="shared" si="285"/>
        <v>162.89473199999998</v>
      </c>
      <c r="AP615" s="432">
        <f t="shared" si="286"/>
        <v>561.70597241379301</v>
      </c>
      <c r="AQ615" s="255">
        <v>45130</v>
      </c>
      <c r="AR615" s="255" t="s">
        <v>2738</v>
      </c>
      <c r="AS615" s="434" t="s">
        <v>2739</v>
      </c>
      <c r="AT615" s="429" t="s">
        <v>2559</v>
      </c>
      <c r="AU615" s="257"/>
      <c r="AV615" s="259"/>
      <c r="AW615" s="38" t="s">
        <v>127</v>
      </c>
      <c r="AX615" s="259"/>
      <c r="AY615" s="103">
        <f t="shared" si="292"/>
        <v>0.53846153846153844</v>
      </c>
      <c r="AZ615" s="262"/>
      <c r="BA615" s="38" t="str">
        <f t="shared" si="267"/>
        <v>W51</v>
      </c>
      <c r="BB615" s="77" t="str">
        <f t="shared" si="268"/>
        <v>S/B</v>
      </c>
      <c r="BC615" s="263"/>
      <c r="BD615" s="257"/>
      <c r="BE615" s="257"/>
      <c r="BF615" s="106"/>
      <c r="BG615" s="257"/>
      <c r="BH615" s="257"/>
      <c r="BI615" s="106"/>
      <c r="BJ615" s="143"/>
      <c r="BK615" s="143"/>
      <c r="BL615" s="170"/>
      <c r="BM615" s="105"/>
      <c r="BN615" s="106"/>
      <c r="BO615" s="106"/>
      <c r="BP615" s="106"/>
      <c r="BQ615" s="102"/>
      <c r="BR615" s="231"/>
      <c r="BS615" s="231"/>
      <c r="BT615" s="13">
        <f>P615-V615/10-120/10</f>
        <v>30</v>
      </c>
      <c r="BU615" s="79">
        <f>BT615-Q615</f>
        <v>1</v>
      </c>
      <c r="BV615" s="29">
        <f>T615+(O615/100*(P615-BT615))</f>
        <v>1.004</v>
      </c>
      <c r="BW615" s="86">
        <f>(AE615-BV615)/AE615</f>
        <v>3.9682539682539715E-3</v>
      </c>
      <c r="BX615" s="79">
        <f>(PI()*((51/2)^2-(16.545/2)^2)/(BV615/10))/100</f>
        <v>182.05458827767745</v>
      </c>
      <c r="BY615" s="79">
        <f>BX615-AK615</f>
        <v>0.72243884237173006</v>
      </c>
      <c r="BZ615" s="86">
        <f>BY615/AK615</f>
        <v>3.9840637450198882E-3</v>
      </c>
      <c r="CA615" s="76"/>
    </row>
    <row r="616" spans="1:79" s="77" customFormat="1">
      <c r="A616" s="13" t="s">
        <v>2717</v>
      </c>
      <c r="B616" s="13" t="s">
        <v>2735</v>
      </c>
      <c r="C616" s="13" t="s">
        <v>657</v>
      </c>
      <c r="D616" s="13" t="s">
        <v>657</v>
      </c>
      <c r="E616" s="13" t="s">
        <v>137</v>
      </c>
      <c r="F616" s="13" t="s">
        <v>167</v>
      </c>
      <c r="G616" s="13" t="s">
        <v>2740</v>
      </c>
      <c r="H616" s="13" t="s">
        <v>119</v>
      </c>
      <c r="I616" s="13" t="s">
        <v>139</v>
      </c>
      <c r="J616" s="13" t="s">
        <v>5</v>
      </c>
      <c r="K616" s="13" t="s">
        <v>140</v>
      </c>
      <c r="L616" s="13" t="s">
        <v>2741</v>
      </c>
      <c r="M616" s="13"/>
      <c r="N616" s="13" t="s">
        <v>142</v>
      </c>
      <c r="O616" s="247">
        <v>0.65</v>
      </c>
      <c r="P616" s="13">
        <v>81</v>
      </c>
      <c r="Q616" s="13">
        <v>15</v>
      </c>
      <c r="R616" s="13" t="s">
        <v>127</v>
      </c>
      <c r="S616" s="430" t="str">
        <f t="shared" si="271"/>
        <v>N/A</v>
      </c>
      <c r="T616" s="247">
        <v>0.76</v>
      </c>
      <c r="U616" s="13">
        <v>130</v>
      </c>
      <c r="V616" s="13">
        <v>530</v>
      </c>
      <c r="W616" s="430">
        <f t="shared" si="265"/>
        <v>400</v>
      </c>
      <c r="X616" s="430">
        <f t="shared" si="266"/>
        <v>130</v>
      </c>
      <c r="Y616" s="13">
        <v>100</v>
      </c>
      <c r="Z616" s="13">
        <v>550</v>
      </c>
      <c r="AA616" s="430">
        <f t="shared" si="273"/>
        <v>450</v>
      </c>
      <c r="AB616" s="430">
        <f t="shared" si="274"/>
        <v>110</v>
      </c>
      <c r="AC616" s="430" t="str">
        <f t="shared" si="275"/>
        <v>N/A</v>
      </c>
      <c r="AD616" s="430">
        <f t="shared" si="276"/>
        <v>66</v>
      </c>
      <c r="AE616" s="431">
        <f t="shared" si="277"/>
        <v>1.1890000000000001</v>
      </c>
      <c r="AF616" s="431"/>
      <c r="AG616" s="431">
        <f t="shared" si="278"/>
        <v>1.0142222222222224</v>
      </c>
      <c r="AH616" s="431">
        <f t="shared" si="279"/>
        <v>1.0801466666666668</v>
      </c>
      <c r="AI616" s="432">
        <f t="shared" si="280"/>
        <v>851.91799500000002</v>
      </c>
      <c r="AJ616" s="432">
        <f t="shared" si="281"/>
        <v>140.59353073158792</v>
      </c>
      <c r="AK616" s="432">
        <f t="shared" si="282"/>
        <v>153.72818051369904</v>
      </c>
      <c r="AL616" s="432">
        <f t="shared" si="283"/>
        <v>305.58944019836957</v>
      </c>
      <c r="AM616" s="250">
        <v>154</v>
      </c>
      <c r="AN616" s="432">
        <f t="shared" si="284"/>
        <v>124.74</v>
      </c>
      <c r="AO616" s="432">
        <f t="shared" si="285"/>
        <v>134.73749520000001</v>
      </c>
      <c r="AP616" s="432">
        <f t="shared" si="286"/>
        <v>898.24996800000008</v>
      </c>
      <c r="AQ616" s="255" t="s">
        <v>132</v>
      </c>
      <c r="AR616" s="255" t="s">
        <v>2742</v>
      </c>
      <c r="AS616" s="434" t="s">
        <v>2743</v>
      </c>
      <c r="AT616" s="429"/>
      <c r="AU616" s="241"/>
      <c r="AV616" s="243"/>
      <c r="AW616" s="72"/>
      <c r="AX616" s="243"/>
      <c r="AY616" s="71">
        <f t="shared" si="292"/>
        <v>0.65432098765432101</v>
      </c>
      <c r="AZ616" s="72"/>
      <c r="BA616" s="72" t="str">
        <f t="shared" si="267"/>
        <v>W50</v>
      </c>
      <c r="BB616" s="72"/>
      <c r="BC616" s="32"/>
      <c r="BD616" s="241"/>
      <c r="BE616" s="241"/>
      <c r="BF616" s="71"/>
      <c r="BG616" s="241"/>
      <c r="BH616" s="241"/>
      <c r="BI616" s="71"/>
      <c r="BJ616" s="123"/>
      <c r="BK616" s="123"/>
      <c r="BL616" s="126"/>
      <c r="BM616" s="108"/>
      <c r="BN616" s="71"/>
      <c r="BO616" s="71"/>
      <c r="BP616" s="71"/>
      <c r="BQ616" s="155"/>
      <c r="BR616" s="159"/>
      <c r="BS616" s="100"/>
      <c r="BT616" s="72">
        <f>P616-V616/10-120/10</f>
        <v>16</v>
      </c>
      <c r="BU616" s="78">
        <f>BT616-Q616</f>
        <v>1</v>
      </c>
      <c r="BV616" s="32">
        <f>T616+(O616/100*(P616-BT616))</f>
        <v>1.1825000000000001</v>
      </c>
      <c r="BW616" s="127">
        <f>(AE616-BV616)/AE616</f>
        <v>5.4667788057190499E-3</v>
      </c>
      <c r="BX616" s="78">
        <f>(PI()*((51/2)^2-(16.545/2)^2)/(BV616/10))/100</f>
        <v>154.57319799643818</v>
      </c>
      <c r="BY616" s="78">
        <f>BX616-AK616</f>
        <v>0.8450174827391379</v>
      </c>
      <c r="BZ616" s="127">
        <f>BY616/AK616</f>
        <v>5.4968287526426336E-3</v>
      </c>
      <c r="CA616" s="76"/>
    </row>
    <row r="617" spans="1:79" s="273" customFormat="1">
      <c r="A617" s="13" t="s">
        <v>2717</v>
      </c>
      <c r="B617" s="13" t="s">
        <v>2735</v>
      </c>
      <c r="C617" s="13" t="s">
        <v>657</v>
      </c>
      <c r="D617" s="13" t="s">
        <v>657</v>
      </c>
      <c r="E617" s="13" t="s">
        <v>137</v>
      </c>
      <c r="F617" s="13" t="s">
        <v>119</v>
      </c>
      <c r="G617" s="13" t="s">
        <v>2744</v>
      </c>
      <c r="H617" s="13" t="s">
        <v>119</v>
      </c>
      <c r="I617" s="13" t="s">
        <v>139</v>
      </c>
      <c r="J617" s="13" t="s">
        <v>274</v>
      </c>
      <c r="K617" s="13" t="s">
        <v>140</v>
      </c>
      <c r="L617" s="13" t="s">
        <v>2745</v>
      </c>
      <c r="M617" s="13"/>
      <c r="N617" s="13" t="s">
        <v>142</v>
      </c>
      <c r="O617" s="247">
        <v>0.65</v>
      </c>
      <c r="P617" s="13">
        <v>81</v>
      </c>
      <c r="Q617" s="13">
        <v>15</v>
      </c>
      <c r="R617" s="13">
        <v>10</v>
      </c>
      <c r="S617" s="430">
        <f t="shared" si="271"/>
        <v>71</v>
      </c>
      <c r="T617" s="247">
        <v>0.76</v>
      </c>
      <c r="U617" s="13">
        <v>100</v>
      </c>
      <c r="V617" s="13">
        <v>500</v>
      </c>
      <c r="W617" s="430">
        <f t="shared" si="265"/>
        <v>400</v>
      </c>
      <c r="X617" s="430">
        <f t="shared" si="266"/>
        <v>160</v>
      </c>
      <c r="Y617" s="13">
        <v>100</v>
      </c>
      <c r="Z617" s="13">
        <v>500</v>
      </c>
      <c r="AA617" s="430">
        <f t="shared" si="273"/>
        <v>400</v>
      </c>
      <c r="AB617" s="430">
        <f t="shared" si="274"/>
        <v>160</v>
      </c>
      <c r="AC617" s="430">
        <f t="shared" si="275"/>
        <v>50</v>
      </c>
      <c r="AD617" s="430">
        <f t="shared" si="276"/>
        <v>66</v>
      </c>
      <c r="AE617" s="431">
        <f t="shared" si="277"/>
        <v>1.1890000000000001</v>
      </c>
      <c r="AF617" s="431"/>
      <c r="AG617" s="431">
        <f t="shared" si="278"/>
        <v>1.0142222222222224</v>
      </c>
      <c r="AH617" s="431">
        <f t="shared" si="279"/>
        <v>1.0801466666666668</v>
      </c>
      <c r="AI617" s="432">
        <f t="shared" si="280"/>
        <v>851.91799500000002</v>
      </c>
      <c r="AJ617" s="432">
        <f t="shared" si="281"/>
        <v>140.59353073158792</v>
      </c>
      <c r="AK617" s="432">
        <f t="shared" si="282"/>
        <v>153.72818051369904</v>
      </c>
      <c r="AL617" s="432">
        <f t="shared" si="283"/>
        <v>305.58944019836957</v>
      </c>
      <c r="AM617" s="250">
        <v>154</v>
      </c>
      <c r="AN617" s="432">
        <f t="shared" si="284"/>
        <v>124.74</v>
      </c>
      <c r="AO617" s="432">
        <f t="shared" si="285"/>
        <v>134.73749520000001</v>
      </c>
      <c r="AP617" s="432">
        <f t="shared" si="286"/>
        <v>898.24996800000008</v>
      </c>
      <c r="AQ617" s="255" t="s">
        <v>132</v>
      </c>
      <c r="AR617" s="255" t="s">
        <v>2742</v>
      </c>
      <c r="AS617" s="434" t="s">
        <v>2746</v>
      </c>
      <c r="AT617" s="429"/>
      <c r="AU617" s="252"/>
      <c r="AV617" s="260"/>
      <c r="AW617" s="13"/>
      <c r="AX617" s="260"/>
      <c r="AY617" s="103">
        <f t="shared" si="292"/>
        <v>0.61728395061728392</v>
      </c>
      <c r="AZ617" s="22"/>
      <c r="BA617" s="13" t="str">
        <f t="shared" si="267"/>
        <v>W51</v>
      </c>
      <c r="BB617" s="72"/>
      <c r="BC617" s="73"/>
      <c r="BD617" s="252"/>
      <c r="BE617" s="252"/>
      <c r="BF617" s="80"/>
      <c r="BG617" s="252"/>
      <c r="BH617" s="252"/>
      <c r="BI617" s="80"/>
      <c r="BJ617" s="114"/>
      <c r="BK617" s="114"/>
      <c r="BL617" s="128"/>
      <c r="BM617" s="88"/>
      <c r="BN617" s="80"/>
      <c r="BO617" s="80"/>
      <c r="BP617" s="80"/>
      <c r="BQ617" s="130"/>
      <c r="BR617" s="100"/>
      <c r="BS617" s="100"/>
      <c r="BT617" s="77"/>
      <c r="BU617" s="282"/>
      <c r="BV617" s="264"/>
      <c r="BW617" s="169"/>
      <c r="BX617" s="282"/>
      <c r="BY617" s="282"/>
      <c r="BZ617" s="169"/>
      <c r="CA617" s="271"/>
    </row>
    <row r="618" spans="1:79" s="72" customFormat="1">
      <c r="A618" s="13" t="s">
        <v>2717</v>
      </c>
      <c r="B618" s="13" t="s">
        <v>2747</v>
      </c>
      <c r="C618" s="13" t="s">
        <v>657</v>
      </c>
      <c r="D618" s="13" t="s">
        <v>657</v>
      </c>
      <c r="E618" s="13" t="s">
        <v>137</v>
      </c>
      <c r="F618" s="13" t="s">
        <v>167</v>
      </c>
      <c r="G618" s="13" t="s">
        <v>2748</v>
      </c>
      <c r="H618" s="13" t="s">
        <v>146</v>
      </c>
      <c r="I618" s="13" t="s">
        <v>147</v>
      </c>
      <c r="J618" s="13" t="s">
        <v>5</v>
      </c>
      <c r="K618" s="13" t="s">
        <v>123</v>
      </c>
      <c r="L618" s="13" t="s">
        <v>2749</v>
      </c>
      <c r="M618" s="13" t="s">
        <v>125</v>
      </c>
      <c r="N618" s="13" t="s">
        <v>12</v>
      </c>
      <c r="O618" s="247">
        <v>0.5</v>
      </c>
      <c r="P618" s="13">
        <v>120</v>
      </c>
      <c r="Q618" s="13">
        <v>30</v>
      </c>
      <c r="R618" s="13" t="s">
        <v>127</v>
      </c>
      <c r="S618" s="430" t="str">
        <f t="shared" si="271"/>
        <v>N/A</v>
      </c>
      <c r="T618" s="247">
        <v>0.8</v>
      </c>
      <c r="U618" s="13">
        <v>270</v>
      </c>
      <c r="V618" s="13">
        <v>550</v>
      </c>
      <c r="W618" s="430">
        <f t="shared" si="265"/>
        <v>280</v>
      </c>
      <c r="X618" s="430">
        <f t="shared" si="266"/>
        <v>350</v>
      </c>
      <c r="Y618" s="13">
        <v>150</v>
      </c>
      <c r="Z618" s="13">
        <f>V618</f>
        <v>550</v>
      </c>
      <c r="AA618" s="430">
        <f t="shared" si="273"/>
        <v>400</v>
      </c>
      <c r="AB618" s="430">
        <f t="shared" si="274"/>
        <v>350</v>
      </c>
      <c r="AC618" s="430" t="str">
        <f t="shared" si="275"/>
        <v>N/A</v>
      </c>
      <c r="AD618" s="430">
        <f t="shared" si="276"/>
        <v>90</v>
      </c>
      <c r="AE618" s="431">
        <f t="shared" si="277"/>
        <v>1.25</v>
      </c>
      <c r="AF618" s="431"/>
      <c r="AG618" s="431">
        <f t="shared" si="278"/>
        <v>1.08125</v>
      </c>
      <c r="AH618" s="431">
        <f t="shared" si="279"/>
        <v>1.1461250000000001</v>
      </c>
      <c r="AI618" s="432">
        <f t="shared" si="280"/>
        <v>880.5526000000001</v>
      </c>
      <c r="AJ618" s="432">
        <f t="shared" si="281"/>
        <v>133.73256643188643</v>
      </c>
      <c r="AK618" s="432">
        <f t="shared" si="282"/>
        <v>146.22624530463054</v>
      </c>
      <c r="AL618" s="432">
        <f t="shared" si="283"/>
        <v>290.67667551668916</v>
      </c>
      <c r="AM618" s="250">
        <v>50</v>
      </c>
      <c r="AN618" s="432">
        <f t="shared" si="284"/>
        <v>60</v>
      </c>
      <c r="AO618" s="432">
        <f t="shared" si="285"/>
        <v>68.767499999999998</v>
      </c>
      <c r="AP618" s="432">
        <f t="shared" si="286"/>
        <v>229.22499999999999</v>
      </c>
      <c r="AQ618" s="255">
        <v>44075</v>
      </c>
      <c r="AR618" s="255" t="s">
        <v>2750</v>
      </c>
      <c r="AS618" s="434" t="s">
        <v>2751</v>
      </c>
      <c r="AT618" s="429" t="s">
        <v>2752</v>
      </c>
      <c r="AU618" s="241"/>
      <c r="AV618" s="243"/>
      <c r="AW618" s="72" t="s">
        <v>127</v>
      </c>
      <c r="AX618" s="243"/>
      <c r="AY618" s="103">
        <f t="shared" si="292"/>
        <v>0.45833333333333331</v>
      </c>
      <c r="BA618" s="13" t="str">
        <f t="shared" si="267"/>
        <v>W22</v>
      </c>
      <c r="BB618" s="72" t="str">
        <f t="shared" ref="BB618:BB634" si="298">IF(R618="n/a","Clear","S/B")</f>
        <v>Clear</v>
      </c>
      <c r="BC618" s="32">
        <f>IF(Q618="","",((P618/100*O618)+T618))</f>
        <v>1.4</v>
      </c>
      <c r="BD618" s="241">
        <f>IF(BC618="","",((PI()*((51/2)^2-(16.545/2)^2)/(BC618/10))/100))</f>
        <v>130.55914759342014</v>
      </c>
      <c r="BE618" s="241">
        <f>IF(BC618="","",(BD618-AK618))</f>
        <v>-15.667097711210403</v>
      </c>
      <c r="BF618" s="71">
        <f>IF(BC618="","",(BE618/AK618))</f>
        <v>-0.10714285714285705</v>
      </c>
      <c r="BG618" s="241">
        <f>IF(BF618="","",((PI()*((70/2)^2-(16.545/2)^2)/(BC618/10))/100))</f>
        <v>259.53274599704395</v>
      </c>
      <c r="BH618" s="241">
        <f>IF(BF618="","",(BG618-AL618))</f>
        <v>-31.143929519645212</v>
      </c>
      <c r="BI618" s="71">
        <f>IF(BG618="","",(BH618/AL618))</f>
        <v>-0.10714285714285696</v>
      </c>
      <c r="BJ618" s="123">
        <v>20</v>
      </c>
      <c r="BK618" s="123"/>
      <c r="BL618" s="126"/>
      <c r="BM618" s="162"/>
      <c r="BN618" s="123"/>
      <c r="BO618" s="123"/>
      <c r="BP618" s="123"/>
      <c r="BQ618" s="108"/>
      <c r="BR618" s="71"/>
      <c r="BS618" s="71"/>
      <c r="BU618" s="78"/>
      <c r="BV618" s="32"/>
      <c r="BW618" s="127"/>
      <c r="BX618" s="78"/>
      <c r="BY618" s="78"/>
      <c r="BZ618" s="127"/>
      <c r="CA618" s="76"/>
    </row>
    <row r="619" spans="1:79" s="22" customFormat="1">
      <c r="A619" s="13" t="s">
        <v>2717</v>
      </c>
      <c r="B619" s="13" t="s">
        <v>2747</v>
      </c>
      <c r="C619" s="13" t="s">
        <v>657</v>
      </c>
      <c r="D619" s="13" t="s">
        <v>657</v>
      </c>
      <c r="E619" s="13" t="s">
        <v>137</v>
      </c>
      <c r="F619" s="13" t="s">
        <v>119</v>
      </c>
      <c r="G619" s="13" t="s">
        <v>2753</v>
      </c>
      <c r="H619" s="13" t="s">
        <v>146</v>
      </c>
      <c r="I619" s="13" t="s">
        <v>147</v>
      </c>
      <c r="J619" s="13" t="s">
        <v>274</v>
      </c>
      <c r="K619" s="13" t="s">
        <v>123</v>
      </c>
      <c r="L619" s="13" t="s">
        <v>2754</v>
      </c>
      <c r="M619" s="13" t="s">
        <v>125</v>
      </c>
      <c r="N619" s="13" t="s">
        <v>126</v>
      </c>
      <c r="O619" s="247">
        <v>0.5</v>
      </c>
      <c r="P619" s="13">
        <v>115</v>
      </c>
      <c r="Q619" s="13">
        <v>30</v>
      </c>
      <c r="R619" s="445">
        <v>18</v>
      </c>
      <c r="S619" s="430">
        <f t="shared" si="271"/>
        <v>97</v>
      </c>
      <c r="T619" s="247">
        <v>0.8</v>
      </c>
      <c r="U619" s="13">
        <v>200</v>
      </c>
      <c r="V619" s="13">
        <v>600</v>
      </c>
      <c r="W619" s="430">
        <f t="shared" si="265"/>
        <v>400</v>
      </c>
      <c r="X619" s="430">
        <f t="shared" si="266"/>
        <v>250</v>
      </c>
      <c r="Y619" s="13">
        <v>200</v>
      </c>
      <c r="Z619" s="13">
        <v>600</v>
      </c>
      <c r="AA619" s="430">
        <f t="shared" si="273"/>
        <v>400</v>
      </c>
      <c r="AB619" s="430">
        <f t="shared" si="274"/>
        <v>250</v>
      </c>
      <c r="AC619" s="430">
        <f t="shared" si="275"/>
        <v>120</v>
      </c>
      <c r="AD619" s="430">
        <f t="shared" si="276"/>
        <v>85</v>
      </c>
      <c r="AE619" s="431">
        <f t="shared" si="277"/>
        <v>1.2250000000000001</v>
      </c>
      <c r="AF619" s="431"/>
      <c r="AG619" s="431">
        <f t="shared" si="278"/>
        <v>1.0679347826086958</v>
      </c>
      <c r="AH619" s="431">
        <f t="shared" si="279"/>
        <v>1.1320108695652173</v>
      </c>
      <c r="AI619" s="432">
        <f t="shared" si="280"/>
        <v>880.5526000000001</v>
      </c>
      <c r="AJ619" s="432">
        <f t="shared" si="281"/>
        <v>136.46180248151674</v>
      </c>
      <c r="AK619" s="432">
        <f t="shared" si="282"/>
        <v>149.21045439248013</v>
      </c>
      <c r="AL619" s="432">
        <f t="shared" si="283"/>
        <v>296.60885256805011</v>
      </c>
      <c r="AM619" s="250">
        <v>149</v>
      </c>
      <c r="AN619" s="432">
        <f t="shared" si="284"/>
        <v>171.35</v>
      </c>
      <c r="AO619" s="432">
        <f t="shared" si="285"/>
        <v>193.97006249999998</v>
      </c>
      <c r="AP619" s="432">
        <f t="shared" si="286"/>
        <v>646.56687499999998</v>
      </c>
      <c r="AQ619" s="255">
        <v>45017</v>
      </c>
      <c r="AR619" s="255" t="s">
        <v>2755</v>
      </c>
      <c r="AS619" s="434" t="s">
        <v>2756</v>
      </c>
      <c r="AT619" s="429"/>
      <c r="AU619" s="250"/>
      <c r="AV619" s="255"/>
      <c r="AW619" s="13" t="s">
        <v>127</v>
      </c>
      <c r="AX619" s="255"/>
      <c r="AY619" s="103">
        <f t="shared" si="292"/>
        <v>0.52173913043478259</v>
      </c>
      <c r="AZ619" s="13"/>
      <c r="BA619" s="13" t="str">
        <f t="shared" si="267"/>
        <v>W23</v>
      </c>
      <c r="BB619" s="72" t="str">
        <f t="shared" si="298"/>
        <v>S/B</v>
      </c>
      <c r="BC619" s="32"/>
      <c r="BD619" s="241"/>
      <c r="BE619" s="241"/>
      <c r="BF619" s="71"/>
      <c r="BG619" s="241"/>
      <c r="BH619" s="241"/>
      <c r="BI619" s="71"/>
      <c r="BJ619" s="114"/>
      <c r="BK619" s="315"/>
      <c r="BL619" s="112"/>
      <c r="BM619" s="139"/>
      <c r="BN619" s="123"/>
      <c r="BO619" s="184"/>
      <c r="BP619" s="158"/>
      <c r="BQ619" s="108"/>
      <c r="BR619" s="71"/>
      <c r="BS619" s="71"/>
      <c r="BT619" s="72"/>
      <c r="BU619" s="78"/>
      <c r="BV619" s="32"/>
      <c r="BW619" s="127"/>
      <c r="BX619" s="78"/>
      <c r="BY619" s="78"/>
      <c r="BZ619" s="127"/>
      <c r="CA619" s="76"/>
    </row>
    <row r="620" spans="1:79" s="72" customFormat="1">
      <c r="A620" s="13" t="s">
        <v>2717</v>
      </c>
      <c r="B620" s="13" t="s">
        <v>2747</v>
      </c>
      <c r="C620" s="13" t="s">
        <v>657</v>
      </c>
      <c r="D620" s="13" t="s">
        <v>657</v>
      </c>
      <c r="E620" s="13" t="s">
        <v>137</v>
      </c>
      <c r="F620" s="13" t="s">
        <v>167</v>
      </c>
      <c r="G620" s="13" t="s">
        <v>2757</v>
      </c>
      <c r="H620" s="13" t="s">
        <v>146</v>
      </c>
      <c r="I620" s="13" t="s">
        <v>147</v>
      </c>
      <c r="J620" s="13" t="s">
        <v>5</v>
      </c>
      <c r="K620" s="13" t="s">
        <v>123</v>
      </c>
      <c r="L620" s="13" t="s">
        <v>2758</v>
      </c>
      <c r="M620" s="13" t="s">
        <v>125</v>
      </c>
      <c r="N620" s="13" t="s">
        <v>126</v>
      </c>
      <c r="O620" s="247">
        <v>0.5</v>
      </c>
      <c r="P620" s="13">
        <v>100</v>
      </c>
      <c r="Q620" s="13">
        <v>30</v>
      </c>
      <c r="R620" s="13" t="s">
        <v>127</v>
      </c>
      <c r="S620" s="430" t="str">
        <f t="shared" si="271"/>
        <v>N/A</v>
      </c>
      <c r="T620" s="247">
        <v>0.8</v>
      </c>
      <c r="U620" s="13">
        <v>150</v>
      </c>
      <c r="V620" s="13">
        <v>500</v>
      </c>
      <c r="W620" s="430">
        <f t="shared" si="265"/>
        <v>350</v>
      </c>
      <c r="X620" s="430">
        <f t="shared" si="266"/>
        <v>200</v>
      </c>
      <c r="Y620" s="13">
        <v>200</v>
      </c>
      <c r="Z620" s="13">
        <v>600</v>
      </c>
      <c r="AA620" s="430">
        <f t="shared" si="273"/>
        <v>400</v>
      </c>
      <c r="AB620" s="430">
        <f t="shared" si="274"/>
        <v>100</v>
      </c>
      <c r="AC620" s="430" t="str">
        <f t="shared" si="275"/>
        <v>N/A</v>
      </c>
      <c r="AD620" s="430">
        <f t="shared" si="276"/>
        <v>70</v>
      </c>
      <c r="AE620" s="431">
        <f t="shared" si="277"/>
        <v>1.1500000000000001</v>
      </c>
      <c r="AF620" s="431"/>
      <c r="AG620" s="431">
        <f t="shared" si="278"/>
        <v>1.0275000000000001</v>
      </c>
      <c r="AH620" s="431">
        <f t="shared" si="279"/>
        <v>1.0891500000000001</v>
      </c>
      <c r="AI620" s="432">
        <f t="shared" si="280"/>
        <v>880.5526000000001</v>
      </c>
      <c r="AJ620" s="432">
        <f t="shared" si="281"/>
        <v>145.36148525205044</v>
      </c>
      <c r="AK620" s="432">
        <f t="shared" si="282"/>
        <v>158.94157098329404</v>
      </c>
      <c r="AL620" s="432">
        <f t="shared" si="283"/>
        <v>315.95290817031423</v>
      </c>
      <c r="AM620" s="250">
        <v>159</v>
      </c>
      <c r="AN620" s="432">
        <f t="shared" si="284"/>
        <v>159</v>
      </c>
      <c r="AO620" s="432">
        <f t="shared" si="285"/>
        <v>173.17485000000002</v>
      </c>
      <c r="AP620" s="432">
        <f t="shared" si="286"/>
        <v>577.24950000000013</v>
      </c>
      <c r="AQ620" s="255" t="s">
        <v>170</v>
      </c>
      <c r="AR620" s="255" t="s">
        <v>2755</v>
      </c>
      <c r="AS620" s="434" t="s">
        <v>2759</v>
      </c>
      <c r="AT620" s="429" t="s">
        <v>2760</v>
      </c>
      <c r="AU620" s="241"/>
      <c r="AV620" s="243"/>
      <c r="AW620" s="72" t="s">
        <v>127</v>
      </c>
      <c r="AX620" s="243"/>
      <c r="AY620" s="71">
        <f t="shared" si="292"/>
        <v>0.5</v>
      </c>
      <c r="BA620" s="72" t="str">
        <f t="shared" si="267"/>
        <v>W22</v>
      </c>
      <c r="BB620" s="72" t="str">
        <f t="shared" si="298"/>
        <v>Clear</v>
      </c>
      <c r="BC620" s="32"/>
      <c r="BD620" s="241"/>
      <c r="BE620" s="241"/>
      <c r="BF620" s="71"/>
      <c r="BG620" s="241"/>
      <c r="BH620" s="241"/>
      <c r="BI620" s="71"/>
      <c r="BJ620" s="123"/>
      <c r="BK620" s="123"/>
      <c r="BL620" s="126"/>
      <c r="BM620" s="130"/>
      <c r="BN620" s="123"/>
      <c r="BO620" s="71"/>
      <c r="BP620" s="108"/>
      <c r="BQ620" s="115"/>
      <c r="BR620" s="113"/>
      <c r="BS620" s="80"/>
      <c r="BT620" s="22"/>
      <c r="BU620" s="87"/>
      <c r="BV620" s="73"/>
      <c r="BW620" s="109"/>
      <c r="BX620" s="87"/>
      <c r="BY620" s="87"/>
      <c r="BZ620" s="109"/>
      <c r="CA620" s="76"/>
    </row>
    <row r="621" spans="1:79" s="278" customFormat="1" ht="15" customHeight="1">
      <c r="A621" s="13" t="s">
        <v>2717</v>
      </c>
      <c r="B621" s="13" t="s">
        <v>2747</v>
      </c>
      <c r="C621" s="13" t="s">
        <v>657</v>
      </c>
      <c r="D621" s="13" t="s">
        <v>657</v>
      </c>
      <c r="E621" s="13" t="s">
        <v>137</v>
      </c>
      <c r="F621" s="13" t="s">
        <v>167</v>
      </c>
      <c r="G621" s="13" t="s">
        <v>2761</v>
      </c>
      <c r="H621" s="13" t="s">
        <v>146</v>
      </c>
      <c r="I621" s="13" t="s">
        <v>147</v>
      </c>
      <c r="J621" s="13" t="s">
        <v>5</v>
      </c>
      <c r="K621" s="13" t="s">
        <v>123</v>
      </c>
      <c r="L621" s="13" t="s">
        <v>2762</v>
      </c>
      <c r="M621" s="13" t="s">
        <v>125</v>
      </c>
      <c r="N621" s="13" t="s">
        <v>126</v>
      </c>
      <c r="O621" s="247">
        <v>0.5</v>
      </c>
      <c r="P621" s="13">
        <v>91</v>
      </c>
      <c r="Q621" s="13">
        <v>25</v>
      </c>
      <c r="R621" s="13" t="s">
        <v>127</v>
      </c>
      <c r="S621" s="430" t="str">
        <f t="shared" si="271"/>
        <v>N/A</v>
      </c>
      <c r="T621" s="247">
        <v>0.8</v>
      </c>
      <c r="U621" s="13">
        <v>150</v>
      </c>
      <c r="V621" s="13">
        <v>500</v>
      </c>
      <c r="W621" s="430">
        <f t="shared" si="265"/>
        <v>350</v>
      </c>
      <c r="X621" s="430">
        <f t="shared" si="266"/>
        <v>160</v>
      </c>
      <c r="Y621" s="13">
        <v>150</v>
      </c>
      <c r="Z621" s="13">
        <v>550</v>
      </c>
      <c r="AA621" s="430">
        <f t="shared" si="273"/>
        <v>400</v>
      </c>
      <c r="AB621" s="430">
        <f t="shared" si="274"/>
        <v>110</v>
      </c>
      <c r="AC621" s="430" t="str">
        <f t="shared" si="275"/>
        <v>N/A</v>
      </c>
      <c r="AD621" s="430">
        <f t="shared" si="276"/>
        <v>66</v>
      </c>
      <c r="AE621" s="431">
        <f t="shared" si="277"/>
        <v>1.1300000000000001</v>
      </c>
      <c r="AF621" s="431"/>
      <c r="AG621" s="431">
        <f t="shared" si="278"/>
        <v>1.0103296703296705</v>
      </c>
      <c r="AH621" s="431">
        <f t="shared" si="279"/>
        <v>1.0709494505494506</v>
      </c>
      <c r="AI621" s="432">
        <f t="shared" si="280"/>
        <v>880.5526000000001</v>
      </c>
      <c r="AJ621" s="432">
        <f t="shared" si="281"/>
        <v>147.9342549025292</v>
      </c>
      <c r="AK621" s="432">
        <f t="shared" si="282"/>
        <v>161.75469613344083</v>
      </c>
      <c r="AL621" s="432">
        <f t="shared" si="283"/>
        <v>321.54499504058532</v>
      </c>
      <c r="AM621" s="250">
        <v>162</v>
      </c>
      <c r="AN621" s="432">
        <f t="shared" si="284"/>
        <v>147.41999999999999</v>
      </c>
      <c r="AO621" s="432">
        <f t="shared" si="285"/>
        <v>157.879368</v>
      </c>
      <c r="AP621" s="432">
        <f t="shared" si="286"/>
        <v>631.517472</v>
      </c>
      <c r="AQ621" s="255" t="s">
        <v>170</v>
      </c>
      <c r="AR621" s="255" t="s">
        <v>2755</v>
      </c>
      <c r="AS621" s="434" t="s">
        <v>2763</v>
      </c>
      <c r="AT621" s="429" t="s">
        <v>2764</v>
      </c>
      <c r="AU621" s="241"/>
      <c r="AV621" s="243"/>
      <c r="AW621" s="72" t="s">
        <v>127</v>
      </c>
      <c r="AX621" s="243"/>
      <c r="AY621" s="71">
        <f t="shared" si="292"/>
        <v>0.5494505494505495</v>
      </c>
      <c r="AZ621" s="72"/>
      <c r="BA621" s="72" t="str">
        <f t="shared" si="267"/>
        <v>W22</v>
      </c>
      <c r="BB621" s="72" t="str">
        <f t="shared" si="298"/>
        <v>Clear</v>
      </c>
      <c r="BC621" s="32"/>
      <c r="BD621" s="241"/>
      <c r="BE621" s="241"/>
      <c r="BF621" s="71"/>
      <c r="BG621" s="241"/>
      <c r="BH621" s="241"/>
      <c r="BI621" s="71"/>
      <c r="BJ621" s="123"/>
      <c r="BK621" s="123"/>
      <c r="BL621" s="126"/>
      <c r="BM621" s="130"/>
      <c r="BN621" s="123"/>
      <c r="BO621" s="71"/>
      <c r="BP621" s="108"/>
      <c r="BQ621" s="108"/>
      <c r="BR621" s="71"/>
      <c r="BS621" s="71"/>
      <c r="BT621" s="72"/>
      <c r="BU621" s="72"/>
      <c r="BV621" s="72"/>
      <c r="BW621" s="72"/>
      <c r="BX621" s="72"/>
      <c r="BY621" s="72"/>
      <c r="BZ621" s="72"/>
      <c r="CA621" s="72"/>
    </row>
    <row r="622" spans="1:79" s="72" customFormat="1">
      <c r="A622" s="13" t="s">
        <v>2717</v>
      </c>
      <c r="B622" s="13" t="s">
        <v>2747</v>
      </c>
      <c r="C622" s="13" t="s">
        <v>657</v>
      </c>
      <c r="D622" s="13" t="s">
        <v>657</v>
      </c>
      <c r="E622" s="13" t="s">
        <v>137</v>
      </c>
      <c r="F622" s="13" t="s">
        <v>119</v>
      </c>
      <c r="G622" s="13" t="s">
        <v>2765</v>
      </c>
      <c r="H622" s="13" t="s">
        <v>119</v>
      </c>
      <c r="I622" s="13" t="s">
        <v>139</v>
      </c>
      <c r="J622" s="13" t="s">
        <v>5</v>
      </c>
      <c r="K622" s="13" t="s">
        <v>140</v>
      </c>
      <c r="L622" s="13" t="s">
        <v>2766</v>
      </c>
      <c r="M622" s="13"/>
      <c r="N622" s="13" t="s">
        <v>142</v>
      </c>
      <c r="O622" s="247">
        <v>0.5</v>
      </c>
      <c r="P622" s="13">
        <v>96</v>
      </c>
      <c r="Q622" s="13">
        <v>30</v>
      </c>
      <c r="R622" s="13" t="s">
        <v>127</v>
      </c>
      <c r="S622" s="430" t="str">
        <f t="shared" si="271"/>
        <v>N/A</v>
      </c>
      <c r="T622" s="247">
        <v>0.76</v>
      </c>
      <c r="U622" s="13">
        <v>150</v>
      </c>
      <c r="V622" s="13">
        <v>500</v>
      </c>
      <c r="W622" s="430">
        <f t="shared" si="265"/>
        <v>350</v>
      </c>
      <c r="X622" s="430">
        <f t="shared" si="266"/>
        <v>160</v>
      </c>
      <c r="Y622" s="13">
        <v>150</v>
      </c>
      <c r="Z622" s="13">
        <v>550</v>
      </c>
      <c r="AA622" s="430">
        <f t="shared" si="273"/>
        <v>400</v>
      </c>
      <c r="AB622" s="430">
        <f t="shared" si="274"/>
        <v>110</v>
      </c>
      <c r="AC622" s="430" t="str">
        <f t="shared" si="275"/>
        <v>N/A</v>
      </c>
      <c r="AD622" s="430">
        <f t="shared" si="276"/>
        <v>66</v>
      </c>
      <c r="AE622" s="431">
        <f t="shared" si="277"/>
        <v>1.0900000000000001</v>
      </c>
      <c r="AF622" s="431"/>
      <c r="AG622" s="431">
        <f t="shared" si="278"/>
        <v>0.9765625</v>
      </c>
      <c r="AH622" s="431">
        <f t="shared" si="279"/>
        <v>1.0400390625</v>
      </c>
      <c r="AI622" s="432">
        <f t="shared" si="280"/>
        <v>842.10615000000007</v>
      </c>
      <c r="AJ622" s="432">
        <f t="shared" si="281"/>
        <v>153.36303489895229</v>
      </c>
      <c r="AK622" s="432">
        <f t="shared" si="282"/>
        <v>167.69064828512674</v>
      </c>
      <c r="AL622" s="432">
        <f t="shared" si="283"/>
        <v>333.34481137234997</v>
      </c>
      <c r="AM622" s="250">
        <v>168</v>
      </c>
      <c r="AN622" s="432">
        <f t="shared" si="284"/>
        <v>161.28</v>
      </c>
      <c r="AO622" s="432">
        <f t="shared" si="285"/>
        <v>167.73750000000001</v>
      </c>
      <c r="AP622" s="432">
        <f t="shared" si="286"/>
        <v>559.12500000000011</v>
      </c>
      <c r="AQ622" s="255" t="s">
        <v>132</v>
      </c>
      <c r="AR622" s="255" t="s">
        <v>2755</v>
      </c>
      <c r="AS622" s="429" t="s">
        <v>2767</v>
      </c>
      <c r="AT622" s="434" t="s">
        <v>2768</v>
      </c>
      <c r="AU622" s="252"/>
      <c r="AV622" s="260"/>
      <c r="AW622" s="13" t="s">
        <v>127</v>
      </c>
      <c r="AX622" s="260"/>
      <c r="AY622" s="103">
        <f t="shared" si="292"/>
        <v>0.52083333333333337</v>
      </c>
      <c r="AZ622" s="22"/>
      <c r="BA622" s="13" t="str">
        <f t="shared" si="267"/>
        <v>W50</v>
      </c>
      <c r="BB622" s="72" t="str">
        <f t="shared" si="298"/>
        <v>Clear</v>
      </c>
      <c r="BC622" s="73"/>
      <c r="BD622" s="252"/>
      <c r="BE622" s="252"/>
      <c r="BF622" s="80"/>
      <c r="BG622" s="252"/>
      <c r="BH622" s="252"/>
      <c r="BI622" s="80"/>
      <c r="BJ622" s="114"/>
      <c r="BK622" s="114"/>
      <c r="BL622" s="88"/>
      <c r="BM622" s="88"/>
      <c r="BN622" s="80"/>
      <c r="BO622" s="80"/>
      <c r="BP622" s="80"/>
      <c r="BQ622" s="83"/>
      <c r="BR622" s="71"/>
      <c r="BS622" s="71"/>
      <c r="BT622" s="13">
        <f>P622-V622/10-120/10</f>
        <v>34</v>
      </c>
      <c r="BU622" s="79">
        <f>BT622-Q622</f>
        <v>4</v>
      </c>
      <c r="BV622" s="29">
        <f>T622+(O622/100*(P622-BT622))</f>
        <v>1.07</v>
      </c>
      <c r="BW622" s="86">
        <f>(AE622-BV622)/AE622</f>
        <v>1.8348623853211024E-2</v>
      </c>
      <c r="BX622" s="79">
        <f>(PI()*((51/2)^2-(16.545/2)^2)/(BV622/10))/100</f>
        <v>170.82505292597023</v>
      </c>
      <c r="BY622" s="79">
        <f>BX622-AK622</f>
        <v>3.1344046408434849</v>
      </c>
      <c r="BZ622" s="86">
        <f>BY622/AK622</f>
        <v>1.8691588785046696E-2</v>
      </c>
      <c r="CA622" s="76"/>
    </row>
    <row r="623" spans="1:79" s="13" customFormat="1">
      <c r="A623" s="13" t="s">
        <v>2717</v>
      </c>
      <c r="B623" s="13" t="s">
        <v>2747</v>
      </c>
      <c r="C623" s="13" t="s">
        <v>657</v>
      </c>
      <c r="D623" s="13" t="s">
        <v>657</v>
      </c>
      <c r="E623" s="13" t="s">
        <v>137</v>
      </c>
      <c r="F623" s="13" t="s">
        <v>119</v>
      </c>
      <c r="G623" s="13" t="s">
        <v>2769</v>
      </c>
      <c r="H623" s="13" t="s">
        <v>119</v>
      </c>
      <c r="I623" s="13" t="s">
        <v>139</v>
      </c>
      <c r="J623" s="13" t="s">
        <v>5</v>
      </c>
      <c r="K623" s="13" t="s">
        <v>140</v>
      </c>
      <c r="L623" s="13" t="s">
        <v>2770</v>
      </c>
      <c r="N623" s="13" t="s">
        <v>142</v>
      </c>
      <c r="O623" s="247">
        <v>0.5</v>
      </c>
      <c r="P623" s="13">
        <v>105</v>
      </c>
      <c r="Q623" s="13">
        <v>30</v>
      </c>
      <c r="R623" s="13" t="s">
        <v>127</v>
      </c>
      <c r="S623" s="430" t="str">
        <f t="shared" si="271"/>
        <v>N/A</v>
      </c>
      <c r="T623" s="247">
        <v>0.76</v>
      </c>
      <c r="U623" s="13">
        <v>200</v>
      </c>
      <c r="V623" s="13">
        <v>600</v>
      </c>
      <c r="W623" s="430">
        <f t="shared" si="265"/>
        <v>400</v>
      </c>
      <c r="X623" s="430">
        <f t="shared" si="266"/>
        <v>150</v>
      </c>
      <c r="Y623" s="13">
        <v>200</v>
      </c>
      <c r="Z623" s="13">
        <v>600</v>
      </c>
      <c r="AA623" s="430">
        <f t="shared" si="273"/>
        <v>400</v>
      </c>
      <c r="AB623" s="430">
        <f t="shared" si="274"/>
        <v>150</v>
      </c>
      <c r="AC623" s="430" t="str">
        <f t="shared" si="275"/>
        <v>N/A</v>
      </c>
      <c r="AD623" s="430">
        <f t="shared" si="276"/>
        <v>75</v>
      </c>
      <c r="AE623" s="431">
        <f t="shared" si="277"/>
        <v>1.135</v>
      </c>
      <c r="AF623" s="431"/>
      <c r="AG623" s="431">
        <f t="shared" si="278"/>
        <v>1.0010714285714286</v>
      </c>
      <c r="AH623" s="431">
        <f t="shared" si="279"/>
        <v>1.0661410714285715</v>
      </c>
      <c r="AI623" s="432">
        <f t="shared" si="280"/>
        <v>842.10615000000007</v>
      </c>
      <c r="AJ623" s="432">
        <f t="shared" si="281"/>
        <v>147.28256214965464</v>
      </c>
      <c r="AK623" s="432">
        <f t="shared" si="282"/>
        <v>161.04212037954906</v>
      </c>
      <c r="AL623" s="432">
        <f t="shared" si="283"/>
        <v>320.12849726507619</v>
      </c>
      <c r="AM623" s="250">
        <v>161</v>
      </c>
      <c r="AN623" s="432">
        <f t="shared" si="284"/>
        <v>169.05</v>
      </c>
      <c r="AO623" s="432">
        <f t="shared" si="285"/>
        <v>180.23114812500003</v>
      </c>
      <c r="AP623" s="432">
        <f t="shared" si="286"/>
        <v>600.77049375000013</v>
      </c>
      <c r="AQ623" s="255" t="s">
        <v>132</v>
      </c>
      <c r="AR623" s="255" t="s">
        <v>2755</v>
      </c>
      <c r="AS623" s="434" t="s">
        <v>2771</v>
      </c>
      <c r="AT623" s="429" t="s">
        <v>2772</v>
      </c>
      <c r="AU623" s="252"/>
      <c r="AV623" s="260"/>
      <c r="AW623" s="13" t="s">
        <v>127</v>
      </c>
      <c r="AX623" s="260"/>
      <c r="AY623" s="103">
        <f t="shared" si="292"/>
        <v>0.5714285714285714</v>
      </c>
      <c r="AZ623" s="22"/>
      <c r="BA623" s="13" t="str">
        <f t="shared" ref="BA623:BA654" si="299">LEFT(G623,3)</f>
        <v>W50</v>
      </c>
      <c r="BB623" s="72" t="str">
        <f t="shared" si="298"/>
        <v>Clear</v>
      </c>
      <c r="BC623" s="73"/>
      <c r="BD623" s="252"/>
      <c r="BE623" s="252"/>
      <c r="BF623" s="80"/>
      <c r="BG623" s="252"/>
      <c r="BH623" s="252"/>
      <c r="BI623" s="80"/>
      <c r="BJ623" s="114"/>
      <c r="BK623" s="114"/>
      <c r="BL623" s="88"/>
      <c r="BM623" s="88"/>
      <c r="BN623" s="80"/>
      <c r="BO623" s="80"/>
      <c r="BP623" s="80"/>
      <c r="BQ623" s="108"/>
      <c r="BR623" s="71"/>
      <c r="BS623" s="71"/>
      <c r="BT623" s="72"/>
      <c r="BU623" s="78"/>
      <c r="BV623" s="32"/>
      <c r="BW623" s="127"/>
      <c r="BX623" s="78"/>
      <c r="BY623" s="78"/>
      <c r="BZ623" s="127"/>
      <c r="CA623" s="76"/>
    </row>
    <row r="624" spans="1:79" s="72" customFormat="1">
      <c r="A624" s="13" t="s">
        <v>2717</v>
      </c>
      <c r="B624" s="13" t="s">
        <v>2747</v>
      </c>
      <c r="C624" s="13" t="s">
        <v>657</v>
      </c>
      <c r="D624" s="13" t="s">
        <v>657</v>
      </c>
      <c r="E624" s="13" t="s">
        <v>137</v>
      </c>
      <c r="F624" s="13" t="s">
        <v>119</v>
      </c>
      <c r="G624" s="13" t="s">
        <v>2773</v>
      </c>
      <c r="H624" s="13" t="s">
        <v>119</v>
      </c>
      <c r="I624" s="13" t="s">
        <v>139</v>
      </c>
      <c r="J624" s="13" t="s">
        <v>274</v>
      </c>
      <c r="K624" s="13" t="s">
        <v>140</v>
      </c>
      <c r="L624" s="13" t="s">
        <v>2774</v>
      </c>
      <c r="M624" s="13"/>
      <c r="N624" s="13" t="s">
        <v>142</v>
      </c>
      <c r="O624" s="247">
        <v>0.5</v>
      </c>
      <c r="P624" s="13">
        <v>86</v>
      </c>
      <c r="Q624" s="13">
        <v>25</v>
      </c>
      <c r="R624" s="13">
        <v>14</v>
      </c>
      <c r="S624" s="430">
        <f t="shared" si="271"/>
        <v>72</v>
      </c>
      <c r="T624" s="247">
        <v>0.76</v>
      </c>
      <c r="U624" s="13">
        <v>150</v>
      </c>
      <c r="V624" s="13">
        <v>490</v>
      </c>
      <c r="W624" s="430">
        <f t="shared" si="265"/>
        <v>340</v>
      </c>
      <c r="X624" s="430">
        <f t="shared" si="266"/>
        <v>120</v>
      </c>
      <c r="Y624" s="13">
        <v>100</v>
      </c>
      <c r="Z624" s="13">
        <v>500</v>
      </c>
      <c r="AA624" s="430">
        <f t="shared" si="273"/>
        <v>400</v>
      </c>
      <c r="AB624" s="430">
        <f t="shared" si="274"/>
        <v>110</v>
      </c>
      <c r="AC624" s="430">
        <f t="shared" si="275"/>
        <v>110</v>
      </c>
      <c r="AD624" s="430">
        <f t="shared" si="276"/>
        <v>61</v>
      </c>
      <c r="AE624" s="431">
        <f t="shared" si="277"/>
        <v>1.0649999999999999</v>
      </c>
      <c r="AF624" s="431"/>
      <c r="AG624" s="431">
        <f t="shared" si="278"/>
        <v>0.9568313953488371</v>
      </c>
      <c r="AH624" s="431">
        <f t="shared" si="279"/>
        <v>1.0190254360465114</v>
      </c>
      <c r="AI624" s="432">
        <f t="shared" si="280"/>
        <v>842.10615000000007</v>
      </c>
      <c r="AJ624" s="432">
        <f t="shared" si="281"/>
        <v>156.96310614071177</v>
      </c>
      <c r="AK624" s="432">
        <f t="shared" si="282"/>
        <v>171.62704847961331</v>
      </c>
      <c r="AL624" s="432">
        <f t="shared" si="283"/>
        <v>341.16980694447085</v>
      </c>
      <c r="AM624" s="250">
        <v>172</v>
      </c>
      <c r="AN624" s="432">
        <f t="shared" si="284"/>
        <v>147.91999999999999</v>
      </c>
      <c r="AO624" s="432">
        <f t="shared" si="285"/>
        <v>150.73424249999997</v>
      </c>
      <c r="AP624" s="432">
        <f t="shared" si="286"/>
        <v>602.93696999999986</v>
      </c>
      <c r="AQ624" s="255" t="s">
        <v>132</v>
      </c>
      <c r="AR624" s="255" t="s">
        <v>2755</v>
      </c>
      <c r="AS624" s="434" t="s">
        <v>2775</v>
      </c>
      <c r="AT624" s="429" t="s">
        <v>2776</v>
      </c>
      <c r="AU624" s="252"/>
      <c r="AV624" s="260"/>
      <c r="AW624" s="13" t="s">
        <v>127</v>
      </c>
      <c r="AX624" s="260"/>
      <c r="AY624" s="103">
        <f t="shared" si="292"/>
        <v>0.56976744186046513</v>
      </c>
      <c r="AZ624" s="22"/>
      <c r="BA624" s="13" t="str">
        <f t="shared" si="299"/>
        <v>W51</v>
      </c>
      <c r="BB624" s="72" t="str">
        <f t="shared" si="298"/>
        <v>S/B</v>
      </c>
      <c r="BC624" s="73"/>
      <c r="BD624" s="252"/>
      <c r="BE624" s="252"/>
      <c r="BF624" s="80"/>
      <c r="BG624" s="252"/>
      <c r="BH624" s="252"/>
      <c r="BI624" s="80"/>
      <c r="BJ624" s="114"/>
      <c r="BK624" s="88"/>
      <c r="BL624" s="88"/>
      <c r="BM624" s="88"/>
      <c r="BN624" s="80"/>
      <c r="BO624" s="80"/>
      <c r="BP624" s="80"/>
      <c r="BQ624" s="115"/>
      <c r="BR624" s="113"/>
      <c r="BS624" s="80"/>
      <c r="BT624" s="22"/>
      <c r="BU624" s="87"/>
      <c r="BV624" s="73"/>
      <c r="BW624" s="109"/>
      <c r="BX624" s="87"/>
      <c r="BY624" s="87"/>
      <c r="BZ624" s="109"/>
      <c r="CA624" s="76"/>
    </row>
    <row r="625" spans="1:79" s="72" customFormat="1">
      <c r="A625" s="13" t="s">
        <v>2717</v>
      </c>
      <c r="B625" s="13" t="s">
        <v>2747</v>
      </c>
      <c r="C625" s="13" t="s">
        <v>657</v>
      </c>
      <c r="D625" s="13" t="s">
        <v>657</v>
      </c>
      <c r="E625" s="13" t="s">
        <v>137</v>
      </c>
      <c r="F625" s="13" t="s">
        <v>119</v>
      </c>
      <c r="G625" s="13" t="s">
        <v>2777</v>
      </c>
      <c r="H625" s="13" t="s">
        <v>119</v>
      </c>
      <c r="I625" s="13" t="s">
        <v>139</v>
      </c>
      <c r="J625" s="13" t="s">
        <v>274</v>
      </c>
      <c r="K625" s="13" t="s">
        <v>140</v>
      </c>
      <c r="L625" s="13" t="s">
        <v>2778</v>
      </c>
      <c r="M625" s="13"/>
      <c r="N625" s="13" t="s">
        <v>142</v>
      </c>
      <c r="O625" s="247">
        <v>0.5</v>
      </c>
      <c r="P625" s="13">
        <v>115</v>
      </c>
      <c r="Q625" s="13">
        <v>30</v>
      </c>
      <c r="R625" s="13">
        <v>23</v>
      </c>
      <c r="S625" s="430">
        <f t="shared" si="271"/>
        <v>92</v>
      </c>
      <c r="T625" s="247">
        <v>0.76</v>
      </c>
      <c r="U625" s="13">
        <v>200</v>
      </c>
      <c r="V625" s="13">
        <v>600</v>
      </c>
      <c r="W625" s="430">
        <f t="shared" si="265"/>
        <v>400</v>
      </c>
      <c r="X625" s="430">
        <f t="shared" si="266"/>
        <v>250</v>
      </c>
      <c r="Y625" s="13">
        <v>200</v>
      </c>
      <c r="Z625" s="13">
        <v>600</v>
      </c>
      <c r="AA625" s="430">
        <f t="shared" si="273"/>
        <v>400</v>
      </c>
      <c r="AB625" s="430">
        <f t="shared" si="274"/>
        <v>250</v>
      </c>
      <c r="AC625" s="430">
        <f t="shared" si="275"/>
        <v>70</v>
      </c>
      <c r="AD625" s="430">
        <f t="shared" si="276"/>
        <v>85</v>
      </c>
      <c r="AE625" s="431">
        <f t="shared" si="277"/>
        <v>1.1850000000000001</v>
      </c>
      <c r="AF625" s="431"/>
      <c r="AG625" s="431">
        <f t="shared" si="278"/>
        <v>1.0279347826086958</v>
      </c>
      <c r="AH625" s="431">
        <f t="shared" si="279"/>
        <v>1.094750543478261</v>
      </c>
      <c r="AI625" s="432">
        <f t="shared" si="280"/>
        <v>842.10615000000007</v>
      </c>
      <c r="AJ625" s="432">
        <f t="shared" si="281"/>
        <v>141.0681080505131</v>
      </c>
      <c r="AK625" s="432">
        <f t="shared" si="282"/>
        <v>154.24709420319675</v>
      </c>
      <c r="AL625" s="432">
        <f t="shared" si="283"/>
        <v>306.62096573490419</v>
      </c>
      <c r="AM625" s="250">
        <v>154</v>
      </c>
      <c r="AN625" s="432">
        <f t="shared" si="284"/>
        <v>177.1</v>
      </c>
      <c r="AO625" s="432">
        <f t="shared" si="285"/>
        <v>193.88032125000001</v>
      </c>
      <c r="AP625" s="432">
        <f t="shared" si="286"/>
        <v>646.26773750000007</v>
      </c>
      <c r="AQ625" s="255">
        <v>45130</v>
      </c>
      <c r="AR625" s="255" t="s">
        <v>2755</v>
      </c>
      <c r="AS625" s="434" t="s">
        <v>2779</v>
      </c>
      <c r="AT625" s="429"/>
      <c r="AU625" s="252"/>
      <c r="AV625" s="260"/>
      <c r="AW625" s="13" t="s">
        <v>127</v>
      </c>
      <c r="AX625" s="260"/>
      <c r="AY625" s="103">
        <f t="shared" si="292"/>
        <v>0.52173913043478259</v>
      </c>
      <c r="AZ625" s="22"/>
      <c r="BA625" s="13" t="str">
        <f t="shared" si="299"/>
        <v>W51</v>
      </c>
      <c r="BB625" s="72" t="str">
        <f t="shared" si="298"/>
        <v>S/B</v>
      </c>
      <c r="BC625" s="73"/>
      <c r="BD625" s="252"/>
      <c r="BE625" s="252"/>
      <c r="BF625" s="80"/>
      <c r="BG625" s="252"/>
      <c r="BH625" s="252"/>
      <c r="BI625" s="80"/>
      <c r="BJ625" s="114"/>
      <c r="BK625" s="88"/>
      <c r="BL625" s="88"/>
      <c r="BM625" s="88"/>
      <c r="BN625" s="80"/>
      <c r="BO625" s="80"/>
      <c r="BP625" s="80"/>
      <c r="BQ625" s="115"/>
      <c r="BR625" s="115"/>
      <c r="BS625" s="80"/>
      <c r="BT625" s="22"/>
      <c r="BU625" s="87"/>
      <c r="BV625" s="73"/>
      <c r="BW625" s="109"/>
      <c r="BX625" s="87"/>
      <c r="BY625" s="87"/>
      <c r="BZ625" s="109"/>
      <c r="CA625" s="284"/>
    </row>
    <row r="626" spans="1:79" s="72" customFormat="1">
      <c r="A626" s="13" t="s">
        <v>2717</v>
      </c>
      <c r="B626" s="13" t="s">
        <v>2780</v>
      </c>
      <c r="C626" s="13" t="s">
        <v>657</v>
      </c>
      <c r="D626" s="13" t="s">
        <v>657</v>
      </c>
      <c r="E626" s="13" t="s">
        <v>137</v>
      </c>
      <c r="F626" s="13" t="s">
        <v>119</v>
      </c>
      <c r="G626" s="13" t="s">
        <v>2781</v>
      </c>
      <c r="H626" s="13" t="s">
        <v>146</v>
      </c>
      <c r="I626" s="13" t="s">
        <v>147</v>
      </c>
      <c r="J626" s="13" t="s">
        <v>274</v>
      </c>
      <c r="K626" s="13" t="s">
        <v>123</v>
      </c>
      <c r="L626" s="13" t="s">
        <v>2782</v>
      </c>
      <c r="M626" s="13" t="s">
        <v>125</v>
      </c>
      <c r="N626" s="13" t="s">
        <v>126</v>
      </c>
      <c r="O626" s="247">
        <v>0.5</v>
      </c>
      <c r="P626" s="13">
        <v>98</v>
      </c>
      <c r="Q626" s="13">
        <v>30</v>
      </c>
      <c r="R626" s="13">
        <v>16</v>
      </c>
      <c r="S626" s="430">
        <f t="shared" si="271"/>
        <v>82</v>
      </c>
      <c r="T626" s="247">
        <v>0.8</v>
      </c>
      <c r="U626" s="13">
        <v>150</v>
      </c>
      <c r="V626" s="13">
        <v>550</v>
      </c>
      <c r="W626" s="430">
        <f t="shared" si="265"/>
        <v>400</v>
      </c>
      <c r="X626" s="430">
        <f t="shared" si="266"/>
        <v>130</v>
      </c>
      <c r="Y626" s="13">
        <v>150</v>
      </c>
      <c r="Z626" s="13">
        <v>600</v>
      </c>
      <c r="AA626" s="430">
        <f t="shared" si="273"/>
        <v>450</v>
      </c>
      <c r="AB626" s="430">
        <f t="shared" si="274"/>
        <v>80</v>
      </c>
      <c r="AC626" s="430">
        <f t="shared" si="275"/>
        <v>140</v>
      </c>
      <c r="AD626" s="430">
        <f t="shared" si="276"/>
        <v>68</v>
      </c>
      <c r="AE626" s="431">
        <f t="shared" si="277"/>
        <v>1.1400000000000001</v>
      </c>
      <c r="AF626" s="431"/>
      <c r="AG626" s="431">
        <f t="shared" si="278"/>
        <v>1.0220408163265307</v>
      </c>
      <c r="AH626" s="431">
        <f t="shared" si="279"/>
        <v>1.0833632653061225</v>
      </c>
      <c r="AI626" s="432">
        <f t="shared" si="280"/>
        <v>880.5526000000001</v>
      </c>
      <c r="AJ626" s="432">
        <f t="shared" si="281"/>
        <v>146.63658599987545</v>
      </c>
      <c r="AK626" s="432">
        <f t="shared" si="282"/>
        <v>160.33579529016504</v>
      </c>
      <c r="AL626" s="432">
        <f t="shared" si="283"/>
        <v>318.72442490865035</v>
      </c>
      <c r="AM626" s="250">
        <v>160</v>
      </c>
      <c r="AN626" s="432">
        <f t="shared" si="284"/>
        <v>156.80000000000001</v>
      </c>
      <c r="AO626" s="432">
        <f t="shared" si="285"/>
        <v>169.87136000000001</v>
      </c>
      <c r="AP626" s="432">
        <f t="shared" si="286"/>
        <v>566.23786666666672</v>
      </c>
      <c r="AQ626" s="255">
        <v>44980</v>
      </c>
      <c r="AR626" s="255" t="s">
        <v>2783</v>
      </c>
      <c r="AS626" s="434" t="s">
        <v>2784</v>
      </c>
      <c r="AT626" s="429"/>
      <c r="AU626" s="250"/>
      <c r="AV626" s="255"/>
      <c r="AW626" s="13" t="s">
        <v>127</v>
      </c>
      <c r="AX626" s="255"/>
      <c r="AY626" s="103">
        <f t="shared" si="292"/>
        <v>0.56122448979591832</v>
      </c>
      <c r="AZ626" s="13"/>
      <c r="BA626" s="13" t="str">
        <f t="shared" si="299"/>
        <v>W23</v>
      </c>
      <c r="BB626" s="72" t="str">
        <f t="shared" si="298"/>
        <v>S/B</v>
      </c>
      <c r="BC626" s="73"/>
      <c r="BD626" s="252"/>
      <c r="BE626" s="252"/>
      <c r="BF626" s="80"/>
      <c r="BG626" s="252"/>
      <c r="BH626" s="252"/>
      <c r="BI626" s="80"/>
      <c r="BJ626" s="114"/>
      <c r="BK626" s="316">
        <v>25</v>
      </c>
      <c r="BL626" s="112">
        <f>AH626</f>
        <v>1.0833632653061225</v>
      </c>
      <c r="BM626" s="101">
        <f>BK626/AH626</f>
        <v>23.076285490385196</v>
      </c>
      <c r="BN626" s="123">
        <f>BK626-BM626</f>
        <v>1.9237145096148041</v>
      </c>
      <c r="BO626" s="141">
        <v>24.47</v>
      </c>
      <c r="BP626" s="88"/>
      <c r="BQ626" s="124"/>
      <c r="BR626" s="124"/>
      <c r="BS626" s="71"/>
      <c r="BU626" s="78"/>
      <c r="BV626" s="32"/>
      <c r="BW626" s="127"/>
      <c r="BX626" s="78"/>
      <c r="BY626" s="78"/>
      <c r="BZ626" s="127"/>
      <c r="CA626" s="76"/>
    </row>
    <row r="627" spans="1:79" s="72" customFormat="1" ht="14.25" customHeight="1">
      <c r="A627" s="13" t="s">
        <v>2717</v>
      </c>
      <c r="B627" s="13" t="s">
        <v>2780</v>
      </c>
      <c r="C627" s="13" t="s">
        <v>657</v>
      </c>
      <c r="D627" s="13" t="s">
        <v>657</v>
      </c>
      <c r="E627" s="13" t="s">
        <v>137</v>
      </c>
      <c r="F627" s="387" t="s">
        <v>186</v>
      </c>
      <c r="G627" s="13" t="s">
        <v>2785</v>
      </c>
      <c r="H627" s="13" t="s">
        <v>146</v>
      </c>
      <c r="I627" s="13" t="s">
        <v>147</v>
      </c>
      <c r="J627" s="13" t="s">
        <v>5</v>
      </c>
      <c r="K627" s="13" t="s">
        <v>123</v>
      </c>
      <c r="L627" s="13" t="s">
        <v>2786</v>
      </c>
      <c r="M627" s="13" t="s">
        <v>125</v>
      </c>
      <c r="N627" s="13" t="s">
        <v>126</v>
      </c>
      <c r="O627" s="247">
        <v>0.5</v>
      </c>
      <c r="P627" s="13">
        <v>101</v>
      </c>
      <c r="Q627" s="13">
        <v>30</v>
      </c>
      <c r="R627" s="13" t="s">
        <v>127</v>
      </c>
      <c r="S627" s="430" t="str">
        <f t="shared" si="271"/>
        <v>N/A</v>
      </c>
      <c r="T627" s="247">
        <v>0.8</v>
      </c>
      <c r="U627" s="13">
        <v>150</v>
      </c>
      <c r="V627" s="13">
        <v>550</v>
      </c>
      <c r="W627" s="430">
        <f t="shared" si="265"/>
        <v>400</v>
      </c>
      <c r="X627" s="430">
        <f t="shared" si="266"/>
        <v>160</v>
      </c>
      <c r="Y627" s="13">
        <v>150</v>
      </c>
      <c r="Z627" s="13">
        <v>600</v>
      </c>
      <c r="AA627" s="430">
        <f t="shared" si="273"/>
        <v>450</v>
      </c>
      <c r="AB627" s="430">
        <f t="shared" si="274"/>
        <v>110</v>
      </c>
      <c r="AC627" s="430" t="str">
        <f t="shared" si="275"/>
        <v>N/A</v>
      </c>
      <c r="AD627" s="430">
        <f t="shared" si="276"/>
        <v>71</v>
      </c>
      <c r="AE627" s="431">
        <f t="shared" si="277"/>
        <v>1.155</v>
      </c>
      <c r="AF627" s="431"/>
      <c r="AG627" s="431">
        <f t="shared" si="278"/>
        <v>1.0302227722772279</v>
      </c>
      <c r="AH627" s="431">
        <f t="shared" si="279"/>
        <v>1.0920361386138617</v>
      </c>
      <c r="AI627" s="432">
        <f t="shared" si="280"/>
        <v>880.5526000000001</v>
      </c>
      <c r="AJ627" s="432">
        <f t="shared" si="281"/>
        <v>144.73221475312383</v>
      </c>
      <c r="AK627" s="432">
        <f t="shared" si="282"/>
        <v>158.25351223444864</v>
      </c>
      <c r="AL627" s="432">
        <f t="shared" si="283"/>
        <v>314.58514666308349</v>
      </c>
      <c r="AM627" s="250">
        <v>158</v>
      </c>
      <c r="AN627" s="432">
        <f t="shared" si="284"/>
        <v>159.58000000000001</v>
      </c>
      <c r="AO627" s="432">
        <f t="shared" si="285"/>
        <v>174.26712700000007</v>
      </c>
      <c r="AP627" s="432">
        <f t="shared" si="286"/>
        <v>580.89042333333362</v>
      </c>
      <c r="AQ627" s="255">
        <v>44980</v>
      </c>
      <c r="AR627" s="255" t="s">
        <v>2783</v>
      </c>
      <c r="AS627" s="434" t="s">
        <v>2787</v>
      </c>
      <c r="AT627" s="429"/>
      <c r="AU627" s="249"/>
      <c r="AV627" s="254"/>
      <c r="AW627" s="38" t="s">
        <v>127</v>
      </c>
      <c r="AX627" s="254"/>
      <c r="AY627" s="103">
        <f t="shared" ref="AY627:AY658" si="300">(V627/10)/P627</f>
        <v>0.54455445544554459</v>
      </c>
      <c r="AZ627" s="38"/>
      <c r="BA627" s="38" t="str">
        <f t="shared" si="299"/>
        <v>W22</v>
      </c>
      <c r="BB627" s="77" t="str">
        <f t="shared" si="298"/>
        <v>Clear</v>
      </c>
      <c r="BC627" s="263"/>
      <c r="BD627" s="257"/>
      <c r="BE627" s="257"/>
      <c r="BF627" s="106"/>
      <c r="BG627" s="257"/>
      <c r="BH627" s="257"/>
      <c r="BI627" s="106"/>
      <c r="BJ627" s="143"/>
      <c r="BK627" s="139">
        <v>25</v>
      </c>
      <c r="BL627" s="191">
        <f>AH627</f>
        <v>1.0920361386138617</v>
      </c>
      <c r="BM627" s="101">
        <f>BK627/AH627</f>
        <v>22.893015273041133</v>
      </c>
      <c r="BN627" s="162">
        <f>BK627-BM627</f>
        <v>2.1069847269588671</v>
      </c>
      <c r="BO627" s="101">
        <v>22.53</v>
      </c>
      <c r="BP627" s="139">
        <f>BO627-BM627</f>
        <v>-0.36301527304113179</v>
      </c>
      <c r="BQ627" s="83"/>
      <c r="BR627" s="71"/>
      <c r="BS627" s="71"/>
      <c r="BT627" s="72">
        <f>P627-V627/10-120/10</f>
        <v>34</v>
      </c>
      <c r="BU627" s="78">
        <f>BT627-Q627</f>
        <v>4</v>
      </c>
      <c r="BV627" s="32">
        <f>T627+(O627/100*(P627-BT627))</f>
        <v>1.135</v>
      </c>
      <c r="BW627" s="127">
        <f>(AE627-BV627)/AE627</f>
        <v>1.731601731601733E-2</v>
      </c>
      <c r="BX627" s="78">
        <f>(PI()*((51/2)^2-(16.545/2)^2)/(BV627/10))/100</f>
        <v>161.04212037954906</v>
      </c>
      <c r="BY627" s="78">
        <f>BX627-AK627</f>
        <v>2.7886081451004259</v>
      </c>
      <c r="BZ627" s="127">
        <f>BY627/AK627</f>
        <v>1.76211453744494E-2</v>
      </c>
      <c r="CA627" s="76"/>
    </row>
    <row r="628" spans="1:79" s="22" customFormat="1" ht="15" customHeight="1">
      <c r="A628" s="13" t="s">
        <v>2717</v>
      </c>
      <c r="B628" s="13" t="s">
        <v>2780</v>
      </c>
      <c r="C628" s="13" t="s">
        <v>657</v>
      </c>
      <c r="D628" s="13" t="s">
        <v>657</v>
      </c>
      <c r="E628" s="13" t="s">
        <v>137</v>
      </c>
      <c r="F628" s="387" t="s">
        <v>186</v>
      </c>
      <c r="G628" s="13" t="s">
        <v>2788</v>
      </c>
      <c r="H628" s="13" t="s">
        <v>146</v>
      </c>
      <c r="I628" s="13" t="s">
        <v>147</v>
      </c>
      <c r="J628" s="13" t="s">
        <v>5</v>
      </c>
      <c r="K628" s="13" t="s">
        <v>123</v>
      </c>
      <c r="L628" s="13" t="s">
        <v>2789</v>
      </c>
      <c r="M628" s="13" t="s">
        <v>125</v>
      </c>
      <c r="N628" s="13" t="s">
        <v>126</v>
      </c>
      <c r="O628" s="247">
        <v>0.5</v>
      </c>
      <c r="P628" s="13">
        <v>105</v>
      </c>
      <c r="Q628" s="13">
        <v>30</v>
      </c>
      <c r="R628" s="13" t="s">
        <v>127</v>
      </c>
      <c r="S628" s="430" t="str">
        <f t="shared" si="271"/>
        <v>N/A</v>
      </c>
      <c r="T628" s="247">
        <v>0.8</v>
      </c>
      <c r="U628" s="13">
        <v>200</v>
      </c>
      <c r="V628" s="13">
        <v>600</v>
      </c>
      <c r="W628" s="430">
        <f t="shared" si="265"/>
        <v>400</v>
      </c>
      <c r="X628" s="430">
        <f t="shared" si="266"/>
        <v>150</v>
      </c>
      <c r="Y628" s="13">
        <v>150</v>
      </c>
      <c r="Z628" s="13">
        <v>600</v>
      </c>
      <c r="AA628" s="430">
        <f t="shared" si="273"/>
        <v>450</v>
      </c>
      <c r="AB628" s="430">
        <f t="shared" si="274"/>
        <v>150</v>
      </c>
      <c r="AC628" s="430" t="str">
        <f t="shared" si="275"/>
        <v>N/A</v>
      </c>
      <c r="AD628" s="430">
        <f t="shared" si="276"/>
        <v>75</v>
      </c>
      <c r="AE628" s="431">
        <f t="shared" si="277"/>
        <v>1.175</v>
      </c>
      <c r="AF628" s="431"/>
      <c r="AG628" s="431">
        <f t="shared" si="278"/>
        <v>1.0410714285714286</v>
      </c>
      <c r="AH628" s="431">
        <f t="shared" si="279"/>
        <v>1.1035357142857145</v>
      </c>
      <c r="AI628" s="432">
        <f t="shared" si="280"/>
        <v>880.5526000000001</v>
      </c>
      <c r="AJ628" s="432">
        <f t="shared" si="281"/>
        <v>142.26868769349619</v>
      </c>
      <c r="AK628" s="432">
        <f t="shared" si="282"/>
        <v>155.55983543045801</v>
      </c>
      <c r="AL628" s="432">
        <f t="shared" si="283"/>
        <v>309.23050586881823</v>
      </c>
      <c r="AM628" s="250">
        <v>156</v>
      </c>
      <c r="AN628" s="432">
        <f t="shared" si="284"/>
        <v>163.80000000000001</v>
      </c>
      <c r="AO628" s="432">
        <f t="shared" si="285"/>
        <v>180.75915000000006</v>
      </c>
      <c r="AP628" s="432">
        <f t="shared" si="286"/>
        <v>602.53050000000019</v>
      </c>
      <c r="AQ628" s="255">
        <v>44980</v>
      </c>
      <c r="AR628" s="255" t="s">
        <v>2783</v>
      </c>
      <c r="AS628" s="434" t="s">
        <v>2790</v>
      </c>
      <c r="AT628" s="429"/>
      <c r="AU628" s="250"/>
      <c r="AV628" s="255"/>
      <c r="AW628" s="13" t="s">
        <v>127</v>
      </c>
      <c r="AX628" s="255"/>
      <c r="AY628" s="103">
        <f t="shared" si="300"/>
        <v>0.5714285714285714</v>
      </c>
      <c r="AZ628" s="13"/>
      <c r="BA628" s="13" t="str">
        <f t="shared" si="299"/>
        <v>W22</v>
      </c>
      <c r="BB628" s="72" t="str">
        <f t="shared" si="298"/>
        <v>Clear</v>
      </c>
      <c r="BC628" s="73"/>
      <c r="BD628" s="252"/>
      <c r="BE628" s="252"/>
      <c r="BF628" s="80"/>
      <c r="BG628" s="252"/>
      <c r="BH628" s="252"/>
      <c r="BI628" s="80"/>
      <c r="BJ628" s="114"/>
      <c r="BK628" s="111">
        <v>25</v>
      </c>
      <c r="BL628" s="112">
        <f>AH628</f>
        <v>1.1035357142857145</v>
      </c>
      <c r="BM628" s="83">
        <f>BK628/AH628</f>
        <v>22.654454836726103</v>
      </c>
      <c r="BN628" s="123">
        <f>BK628-BM628</f>
        <v>2.3455451632738971</v>
      </c>
      <c r="BO628" s="83">
        <v>22.23</v>
      </c>
      <c r="BP628" s="111">
        <f>BO628-BM628</f>
        <v>-0.42445483672610251</v>
      </c>
      <c r="BQ628" s="155"/>
      <c r="BR628" s="124">
        <v>4754</v>
      </c>
      <c r="BS628" s="71"/>
      <c r="BT628" s="72"/>
      <c r="BU628" s="78"/>
      <c r="BV628" s="32"/>
      <c r="BW628" s="127"/>
      <c r="BX628" s="78"/>
      <c r="BY628" s="78"/>
      <c r="BZ628" s="127"/>
      <c r="CA628" s="76"/>
    </row>
    <row r="629" spans="1:79" s="22" customFormat="1" ht="15" customHeight="1">
      <c r="A629" s="13" t="s">
        <v>2717</v>
      </c>
      <c r="B629" s="13" t="s">
        <v>2780</v>
      </c>
      <c r="C629" s="13" t="s">
        <v>657</v>
      </c>
      <c r="D629" s="13" t="s">
        <v>657</v>
      </c>
      <c r="E629" s="13" t="s">
        <v>137</v>
      </c>
      <c r="F629" s="387" t="s">
        <v>186</v>
      </c>
      <c r="G629" s="13" t="s">
        <v>2791</v>
      </c>
      <c r="H629" s="13" t="s">
        <v>146</v>
      </c>
      <c r="I629" s="13" t="s">
        <v>147</v>
      </c>
      <c r="J629" s="13" t="s">
        <v>5</v>
      </c>
      <c r="K629" s="13" t="s">
        <v>123</v>
      </c>
      <c r="L629" s="13" t="s">
        <v>2792</v>
      </c>
      <c r="M629" s="13" t="s">
        <v>125</v>
      </c>
      <c r="N629" s="13" t="s">
        <v>126</v>
      </c>
      <c r="O629" s="247">
        <v>0.5</v>
      </c>
      <c r="P629" s="13">
        <v>110</v>
      </c>
      <c r="Q629" s="13">
        <v>30</v>
      </c>
      <c r="R629" s="13" t="s">
        <v>127</v>
      </c>
      <c r="S629" s="430" t="str">
        <f t="shared" si="271"/>
        <v>N/A</v>
      </c>
      <c r="T629" s="247">
        <v>0.8</v>
      </c>
      <c r="U629" s="13">
        <v>200</v>
      </c>
      <c r="V629" s="13">
        <v>600</v>
      </c>
      <c r="W629" s="430">
        <f t="shared" si="265"/>
        <v>400</v>
      </c>
      <c r="X629" s="430">
        <f t="shared" si="266"/>
        <v>200</v>
      </c>
      <c r="Y629" s="13">
        <v>150</v>
      </c>
      <c r="Z629" s="13">
        <v>600</v>
      </c>
      <c r="AA629" s="430">
        <f t="shared" si="273"/>
        <v>450</v>
      </c>
      <c r="AB629" s="430">
        <f t="shared" si="274"/>
        <v>200</v>
      </c>
      <c r="AC629" s="430" t="str">
        <f t="shared" si="275"/>
        <v>N/A</v>
      </c>
      <c r="AD629" s="430">
        <f t="shared" si="276"/>
        <v>80</v>
      </c>
      <c r="AE629" s="431">
        <f t="shared" si="277"/>
        <v>1.2000000000000002</v>
      </c>
      <c r="AF629" s="431"/>
      <c r="AG629" s="431">
        <f t="shared" si="278"/>
        <v>1.0545454545454545</v>
      </c>
      <c r="AH629" s="431">
        <f t="shared" si="279"/>
        <v>1.1178181818181818</v>
      </c>
      <c r="AI629" s="432">
        <f t="shared" si="280"/>
        <v>880.5526000000001</v>
      </c>
      <c r="AJ629" s="432">
        <f t="shared" si="281"/>
        <v>139.30475669988166</v>
      </c>
      <c r="AK629" s="432">
        <f t="shared" si="282"/>
        <v>152.31900552565676</v>
      </c>
      <c r="AL629" s="432">
        <f t="shared" si="283"/>
        <v>302.78820366321781</v>
      </c>
      <c r="AM629" s="250">
        <v>152</v>
      </c>
      <c r="AN629" s="432">
        <f t="shared" si="284"/>
        <v>167.2</v>
      </c>
      <c r="AO629" s="432">
        <f t="shared" si="285"/>
        <v>186.89919999999998</v>
      </c>
      <c r="AP629" s="432">
        <f t="shared" si="286"/>
        <v>622.99733333333324</v>
      </c>
      <c r="AQ629" s="255">
        <v>44980</v>
      </c>
      <c r="AR629" s="255" t="s">
        <v>2783</v>
      </c>
      <c r="AS629" s="434" t="s">
        <v>2793</v>
      </c>
      <c r="AT629" s="429"/>
      <c r="AU629" s="250"/>
      <c r="AV629" s="255"/>
      <c r="AW629" s="13" t="s">
        <v>127</v>
      </c>
      <c r="AX629" s="255"/>
      <c r="AY629" s="103">
        <f t="shared" si="300"/>
        <v>0.54545454545454541</v>
      </c>
      <c r="AZ629" s="13"/>
      <c r="BA629" s="13" t="str">
        <f t="shared" si="299"/>
        <v>W22</v>
      </c>
      <c r="BB629" s="72" t="str">
        <f t="shared" si="298"/>
        <v>Clear</v>
      </c>
      <c r="BC629" s="73"/>
      <c r="BD629" s="252"/>
      <c r="BE629" s="252"/>
      <c r="BF629" s="80"/>
      <c r="BG629" s="252"/>
      <c r="BH629" s="252"/>
      <c r="BI629" s="80"/>
      <c r="BJ629" s="114"/>
      <c r="BK629" s="111">
        <v>25</v>
      </c>
      <c r="BL629" s="112">
        <f>AH629</f>
        <v>1.1178181818181818</v>
      </c>
      <c r="BM629" s="83">
        <f>BK629/AH629</f>
        <v>22.364996746909565</v>
      </c>
      <c r="BN629" s="123">
        <f>BK629-BM629</f>
        <v>2.635003253090435</v>
      </c>
      <c r="BO629" s="83">
        <v>21.97</v>
      </c>
      <c r="BP629" s="111">
        <f>BO629-BM629</f>
        <v>-0.3949967469095661</v>
      </c>
      <c r="BQ629" s="115"/>
      <c r="BR629" s="140"/>
      <c r="BS629" s="100"/>
      <c r="BT629" s="13">
        <f>P629-V629/10-120/10</f>
        <v>38</v>
      </c>
      <c r="BU629" s="79">
        <f>BT629-Q629</f>
        <v>8</v>
      </c>
      <c r="BV629" s="29">
        <f>T629+(O629/100*(P629-BT629))</f>
        <v>1.1600000000000001</v>
      </c>
      <c r="BW629" s="86">
        <f>(AE629-BV629)/AE629</f>
        <v>3.3333333333333361E-2</v>
      </c>
      <c r="BX629" s="79">
        <f>(PI()*((51/2)^2-(16.545/2)^2)/(BV629/10))/100</f>
        <v>157.57138502654149</v>
      </c>
      <c r="BY629" s="79">
        <f>BX629-AK629</f>
        <v>5.2523795008847287</v>
      </c>
      <c r="BZ629" s="86">
        <f>BY629/AK629</f>
        <v>3.4482758620689738E-2</v>
      </c>
      <c r="CA629" s="76"/>
    </row>
    <row r="630" spans="1:79" s="72" customFormat="1">
      <c r="A630" s="13" t="s">
        <v>2717</v>
      </c>
      <c r="B630" s="13" t="s">
        <v>2780</v>
      </c>
      <c r="C630" s="13" t="s">
        <v>657</v>
      </c>
      <c r="D630" s="13" t="s">
        <v>657</v>
      </c>
      <c r="E630" s="13" t="s">
        <v>137</v>
      </c>
      <c r="F630" s="387" t="s">
        <v>186</v>
      </c>
      <c r="G630" s="13" t="s">
        <v>2794</v>
      </c>
      <c r="H630" s="13" t="s">
        <v>146</v>
      </c>
      <c r="I630" s="13" t="s">
        <v>147</v>
      </c>
      <c r="J630" s="13" t="s">
        <v>5</v>
      </c>
      <c r="K630" s="13" t="s">
        <v>123</v>
      </c>
      <c r="L630" s="13" t="s">
        <v>2795</v>
      </c>
      <c r="M630" s="13" t="s">
        <v>125</v>
      </c>
      <c r="N630" s="13" t="s">
        <v>126</v>
      </c>
      <c r="O630" s="247">
        <v>0.5</v>
      </c>
      <c r="P630" s="13">
        <v>96</v>
      </c>
      <c r="Q630" s="13">
        <v>30</v>
      </c>
      <c r="R630" s="13" t="s">
        <v>127</v>
      </c>
      <c r="S630" s="430" t="str">
        <f t="shared" si="271"/>
        <v>N/A</v>
      </c>
      <c r="T630" s="247">
        <v>0.8</v>
      </c>
      <c r="U630" s="13">
        <v>150</v>
      </c>
      <c r="V630" s="13">
        <v>500</v>
      </c>
      <c r="W630" s="430">
        <f t="shared" si="265"/>
        <v>350</v>
      </c>
      <c r="X630" s="430">
        <f t="shared" si="266"/>
        <v>160</v>
      </c>
      <c r="Y630" s="13">
        <v>150</v>
      </c>
      <c r="Z630" s="13">
        <v>550</v>
      </c>
      <c r="AA630" s="430">
        <f t="shared" si="273"/>
        <v>400</v>
      </c>
      <c r="AB630" s="430">
        <f t="shared" si="274"/>
        <v>110</v>
      </c>
      <c r="AC630" s="430" t="str">
        <f t="shared" si="275"/>
        <v>N/A</v>
      </c>
      <c r="AD630" s="430">
        <f t="shared" si="276"/>
        <v>66</v>
      </c>
      <c r="AE630" s="431">
        <f t="shared" si="277"/>
        <v>1.1300000000000001</v>
      </c>
      <c r="AF630" s="431"/>
      <c r="AG630" s="431">
        <f t="shared" si="278"/>
        <v>1.0165625</v>
      </c>
      <c r="AH630" s="431">
        <f t="shared" si="279"/>
        <v>1.0775562500000002</v>
      </c>
      <c r="AI630" s="432">
        <f t="shared" si="280"/>
        <v>880.5526000000001</v>
      </c>
      <c r="AJ630" s="432">
        <f t="shared" si="281"/>
        <v>147.9342549025292</v>
      </c>
      <c r="AK630" s="432">
        <f t="shared" si="282"/>
        <v>161.75469613344083</v>
      </c>
      <c r="AL630" s="432">
        <f t="shared" si="283"/>
        <v>321.54499504058532</v>
      </c>
      <c r="AM630" s="250">
        <v>162</v>
      </c>
      <c r="AN630" s="432">
        <f t="shared" si="284"/>
        <v>155.52000000000001</v>
      </c>
      <c r="AO630" s="432">
        <f t="shared" si="285"/>
        <v>167.58154800000005</v>
      </c>
      <c r="AP630" s="432">
        <f t="shared" si="286"/>
        <v>558.60516000000018</v>
      </c>
      <c r="AQ630" s="255">
        <v>45222</v>
      </c>
      <c r="AR630" s="255" t="s">
        <v>2755</v>
      </c>
      <c r="AS630" s="434" t="s">
        <v>2796</v>
      </c>
      <c r="AT630" s="429" t="s">
        <v>2797</v>
      </c>
      <c r="AU630" s="250"/>
      <c r="AV630" s="255"/>
      <c r="AW630" s="13" t="s">
        <v>127</v>
      </c>
      <c r="AX630" s="255"/>
      <c r="AY630" s="103">
        <f t="shared" si="300"/>
        <v>0.52083333333333337</v>
      </c>
      <c r="AZ630" s="13"/>
      <c r="BA630" s="13" t="str">
        <f t="shared" si="299"/>
        <v>W22</v>
      </c>
      <c r="BB630" s="72" t="str">
        <f t="shared" si="298"/>
        <v>Clear</v>
      </c>
      <c r="BC630" s="73"/>
      <c r="BD630" s="252"/>
      <c r="BE630" s="252"/>
      <c r="BF630" s="80"/>
      <c r="BG630" s="252"/>
      <c r="BH630" s="252"/>
      <c r="BI630" s="80"/>
      <c r="BJ630" s="114"/>
      <c r="BK630" s="111"/>
      <c r="BL630" s="112"/>
      <c r="BM630" s="83"/>
      <c r="BN630" s="123"/>
      <c r="BO630" s="83"/>
      <c r="BP630" s="88"/>
      <c r="BQ630" s="108"/>
      <c r="BR630" s="71"/>
      <c r="BS630" s="71"/>
      <c r="BU630" s="78"/>
      <c r="BV630" s="32"/>
      <c r="BW630" s="127"/>
      <c r="BX630" s="78"/>
      <c r="BY630" s="78"/>
      <c r="BZ630" s="127"/>
      <c r="CA630" s="76"/>
    </row>
    <row r="631" spans="1:79" s="72" customFormat="1">
      <c r="A631" s="13" t="s">
        <v>2717</v>
      </c>
      <c r="B631" s="13" t="s">
        <v>1239</v>
      </c>
      <c r="C631" s="13" t="s">
        <v>657</v>
      </c>
      <c r="D631" s="13" t="s">
        <v>657</v>
      </c>
      <c r="E631" s="13" t="s">
        <v>137</v>
      </c>
      <c r="F631" s="13" t="s">
        <v>119</v>
      </c>
      <c r="G631" s="13" t="s">
        <v>2798</v>
      </c>
      <c r="H631" s="13" t="s">
        <v>146</v>
      </c>
      <c r="I631" s="13" t="s">
        <v>147</v>
      </c>
      <c r="J631" s="13" t="s">
        <v>274</v>
      </c>
      <c r="K631" s="13" t="s">
        <v>123</v>
      </c>
      <c r="L631" s="13" t="s">
        <v>2799</v>
      </c>
      <c r="M631" s="13" t="s">
        <v>125</v>
      </c>
      <c r="N631" s="13" t="s">
        <v>126</v>
      </c>
      <c r="O631" s="247">
        <v>0.5</v>
      </c>
      <c r="P631" s="13">
        <v>88</v>
      </c>
      <c r="Q631" s="13">
        <v>25</v>
      </c>
      <c r="R631" s="13">
        <v>15</v>
      </c>
      <c r="S631" s="430">
        <f t="shared" si="271"/>
        <v>73</v>
      </c>
      <c r="T631" s="247">
        <v>0.8</v>
      </c>
      <c r="U631" s="13">
        <v>150</v>
      </c>
      <c r="V631" s="13">
        <v>500</v>
      </c>
      <c r="W631" s="430">
        <f t="shared" si="265"/>
        <v>350</v>
      </c>
      <c r="X631" s="430">
        <f t="shared" si="266"/>
        <v>130</v>
      </c>
      <c r="Y631" s="13">
        <v>100</v>
      </c>
      <c r="Z631" s="13">
        <v>500</v>
      </c>
      <c r="AA631" s="430">
        <f t="shared" si="273"/>
        <v>400</v>
      </c>
      <c r="AB631" s="430">
        <f t="shared" si="274"/>
        <v>130</v>
      </c>
      <c r="AC631" s="430">
        <f t="shared" si="275"/>
        <v>100</v>
      </c>
      <c r="AD631" s="430">
        <f t="shared" si="276"/>
        <v>63</v>
      </c>
      <c r="AE631" s="431">
        <f t="shared" si="277"/>
        <v>1.115</v>
      </c>
      <c r="AF631" s="431"/>
      <c r="AG631" s="431">
        <f t="shared" si="278"/>
        <v>1.0022443181818181</v>
      </c>
      <c r="AH631" s="431">
        <f t="shared" si="279"/>
        <v>1.0623789772727272</v>
      </c>
      <c r="AI631" s="432">
        <f t="shared" si="280"/>
        <v>880.5526000000001</v>
      </c>
      <c r="AJ631" s="432">
        <f t="shared" si="281"/>
        <v>149.92440182946908</v>
      </c>
      <c r="AK631" s="432">
        <f t="shared" si="282"/>
        <v>163.93076827873378</v>
      </c>
      <c r="AL631" s="432">
        <f t="shared" si="283"/>
        <v>325.870712462656</v>
      </c>
      <c r="AM631" s="250">
        <v>164</v>
      </c>
      <c r="AN631" s="432">
        <f t="shared" si="284"/>
        <v>144.32</v>
      </c>
      <c r="AO631" s="432">
        <f t="shared" si="285"/>
        <v>153.32253399999999</v>
      </c>
      <c r="AP631" s="432">
        <f t="shared" si="286"/>
        <v>613.29013599999996</v>
      </c>
      <c r="AQ631" s="255">
        <v>45017</v>
      </c>
      <c r="AR631" s="255" t="s">
        <v>2755</v>
      </c>
      <c r="AS631" s="434" t="s">
        <v>2800</v>
      </c>
      <c r="AT631" s="429"/>
      <c r="AU631" s="250"/>
      <c r="AV631" s="255"/>
      <c r="AW631" s="13" t="s">
        <v>127</v>
      </c>
      <c r="AX631" s="260"/>
      <c r="AY631" s="103">
        <f t="shared" si="300"/>
        <v>0.56818181818181823</v>
      </c>
      <c r="AZ631" s="22"/>
      <c r="BA631" s="13" t="str">
        <f t="shared" si="299"/>
        <v>W23</v>
      </c>
      <c r="BB631" s="72" t="str">
        <f t="shared" si="298"/>
        <v>S/B</v>
      </c>
      <c r="BC631" s="32"/>
      <c r="BD631" s="241"/>
      <c r="BE631" s="241"/>
      <c r="BF631" s="71"/>
      <c r="BG631" s="241"/>
      <c r="BH631" s="241"/>
      <c r="BI631" s="71"/>
      <c r="BJ631" s="114"/>
      <c r="BK631" s="315"/>
      <c r="BL631" s="112"/>
      <c r="BM631" s="139"/>
      <c r="BN631" s="123"/>
      <c r="BO631" s="184"/>
      <c r="BP631" s="158"/>
      <c r="BQ631" s="155"/>
      <c r="BR631" s="124"/>
      <c r="BS631" s="71"/>
      <c r="BU631" s="78"/>
      <c r="BV631" s="32"/>
      <c r="BW631" s="127"/>
      <c r="BX631" s="78"/>
      <c r="BY631" s="78"/>
      <c r="BZ631" s="127"/>
      <c r="CA631" s="76"/>
    </row>
    <row r="632" spans="1:79" s="262" customFormat="1">
      <c r="A632" s="13" t="s">
        <v>2717</v>
      </c>
      <c r="B632" s="13" t="s">
        <v>1239</v>
      </c>
      <c r="C632" s="13" t="s">
        <v>657</v>
      </c>
      <c r="D632" s="13" t="s">
        <v>657</v>
      </c>
      <c r="E632" s="13" t="s">
        <v>137</v>
      </c>
      <c r="F632" s="13" t="s">
        <v>167</v>
      </c>
      <c r="G632" s="13" t="s">
        <v>2801</v>
      </c>
      <c r="H632" s="13" t="s">
        <v>146</v>
      </c>
      <c r="I632" s="13" t="s">
        <v>147</v>
      </c>
      <c r="J632" s="13" t="s">
        <v>5</v>
      </c>
      <c r="K632" s="13" t="s">
        <v>123</v>
      </c>
      <c r="L632" s="13" t="s">
        <v>2802</v>
      </c>
      <c r="M632" s="13" t="s">
        <v>125</v>
      </c>
      <c r="N632" s="13" t="s">
        <v>126</v>
      </c>
      <c r="O632" s="247">
        <v>0.5</v>
      </c>
      <c r="P632" s="13">
        <v>91</v>
      </c>
      <c r="Q632" s="13">
        <v>24</v>
      </c>
      <c r="R632" s="13" t="s">
        <v>127</v>
      </c>
      <c r="S632" s="430" t="str">
        <f t="shared" si="271"/>
        <v>N/A</v>
      </c>
      <c r="T632" s="247">
        <v>0.8</v>
      </c>
      <c r="U632" s="13">
        <v>80</v>
      </c>
      <c r="V632" s="13">
        <v>546</v>
      </c>
      <c r="W632" s="430">
        <f t="shared" si="265"/>
        <v>466</v>
      </c>
      <c r="X632" s="430">
        <f t="shared" si="266"/>
        <v>124</v>
      </c>
      <c r="Y632" s="13">
        <v>80</v>
      </c>
      <c r="Z632" s="13">
        <v>546</v>
      </c>
      <c r="AA632" s="430">
        <f t="shared" si="273"/>
        <v>466</v>
      </c>
      <c r="AB632" s="430">
        <f t="shared" si="274"/>
        <v>124</v>
      </c>
      <c r="AC632" s="430" t="str">
        <f t="shared" si="275"/>
        <v>N/A</v>
      </c>
      <c r="AD632" s="430">
        <f t="shared" si="276"/>
        <v>67</v>
      </c>
      <c r="AE632" s="431">
        <f t="shared" si="277"/>
        <v>1.135</v>
      </c>
      <c r="AF632" s="431"/>
      <c r="AG632" s="431">
        <f t="shared" si="278"/>
        <v>1.0116758241758241</v>
      </c>
      <c r="AH632" s="431">
        <f t="shared" si="279"/>
        <v>1.0723763736263736</v>
      </c>
      <c r="AI632" s="432">
        <f t="shared" si="280"/>
        <v>880.5526000000001</v>
      </c>
      <c r="AJ632" s="432">
        <f t="shared" si="281"/>
        <v>147.28256214965464</v>
      </c>
      <c r="AK632" s="432">
        <f t="shared" si="282"/>
        <v>161.04212037954906</v>
      </c>
      <c r="AL632" s="432">
        <f t="shared" si="283"/>
        <v>320.12849726507619</v>
      </c>
      <c r="AM632" s="250">
        <v>161</v>
      </c>
      <c r="AN632" s="432">
        <f t="shared" si="284"/>
        <v>146.51</v>
      </c>
      <c r="AO632" s="432">
        <f t="shared" si="285"/>
        <v>157.11386249999998</v>
      </c>
      <c r="AP632" s="432">
        <f t="shared" si="286"/>
        <v>654.64109374999998</v>
      </c>
      <c r="AQ632" s="255">
        <v>44713</v>
      </c>
      <c r="AR632" s="255" t="s">
        <v>2803</v>
      </c>
      <c r="AS632" s="434" t="s">
        <v>2804</v>
      </c>
      <c r="AT632" s="429" t="s">
        <v>2805</v>
      </c>
      <c r="AU632" s="241"/>
      <c r="AV632" s="243"/>
      <c r="AW632" s="72" t="s">
        <v>127</v>
      </c>
      <c r="AX632" s="243"/>
      <c r="AY632" s="103">
        <f t="shared" si="300"/>
        <v>0.6</v>
      </c>
      <c r="AZ632" s="72"/>
      <c r="BA632" s="13" t="str">
        <f t="shared" si="299"/>
        <v>W22</v>
      </c>
      <c r="BB632" s="72" t="str">
        <f t="shared" si="298"/>
        <v>Clear</v>
      </c>
      <c r="BC632" s="32">
        <f>IF(Q632="","",((P632/100*O632)+T632))</f>
        <v>1.2550000000000001</v>
      </c>
      <c r="BD632" s="241">
        <f>IF(BC632="","",((PI()*((51/2)^2-(16.545/2)^2)/(BC632/10))/100))</f>
        <v>145.64367062214197</v>
      </c>
      <c r="BE632" s="241">
        <f>IF(BC632="","",(BD632-AK632))</f>
        <v>-15.398449757407093</v>
      </c>
      <c r="BF632" s="71">
        <f>IF(BC632="","",(BE632/AK632))</f>
        <v>-9.5617529880478155E-2</v>
      </c>
      <c r="BG632" s="241">
        <f>IF(BF632="","",((PI()*((70/2)^2-(16.545/2)^2)/(BC632/10))/100))</f>
        <v>289.51860111224022</v>
      </c>
      <c r="BH632" s="241">
        <f>IF(BF632="","",(BG632-AL632))</f>
        <v>-30.609896152835972</v>
      </c>
      <c r="BI632" s="71">
        <f>IF(BG632="","",(BH632/AL632))</f>
        <v>-9.56175298804781E-2</v>
      </c>
      <c r="BJ632" s="123">
        <v>20</v>
      </c>
      <c r="BK632" s="123">
        <v>25</v>
      </c>
      <c r="BL632" s="126">
        <f>AH632</f>
        <v>1.0723763736263736</v>
      </c>
      <c r="BM632" s="108">
        <f>BK632/AH632</f>
        <v>23.312710550922901</v>
      </c>
      <c r="BN632" s="123">
        <f>BK632-BM632</f>
        <v>1.6872894490770989</v>
      </c>
      <c r="BO632" s="108">
        <v>22.5</v>
      </c>
      <c r="BP632" s="123">
        <f>BO632-BM632</f>
        <v>-0.81271055092290112</v>
      </c>
      <c r="BQ632" s="71"/>
      <c r="BR632" s="71"/>
      <c r="BS632" s="71"/>
      <c r="BT632" s="77"/>
      <c r="BU632" s="77"/>
      <c r="BV632" s="77"/>
      <c r="BW632" s="77"/>
      <c r="BX632" s="77"/>
      <c r="BY632" s="77"/>
      <c r="BZ632" s="77"/>
      <c r="CA632" s="77"/>
    </row>
    <row r="633" spans="1:79" s="22" customFormat="1">
      <c r="A633" s="13" t="s">
        <v>2717</v>
      </c>
      <c r="B633" s="13" t="s">
        <v>1239</v>
      </c>
      <c r="C633" s="13" t="s">
        <v>657</v>
      </c>
      <c r="D633" s="13" t="s">
        <v>657</v>
      </c>
      <c r="E633" s="13" t="s">
        <v>137</v>
      </c>
      <c r="F633" s="13" t="s">
        <v>167</v>
      </c>
      <c r="G633" s="13" t="s">
        <v>2806</v>
      </c>
      <c r="H633" s="13" t="s">
        <v>146</v>
      </c>
      <c r="I633" s="13" t="s">
        <v>147</v>
      </c>
      <c r="J633" s="13" t="s">
        <v>5</v>
      </c>
      <c r="K633" s="13" t="s">
        <v>123</v>
      </c>
      <c r="L633" s="13" t="s">
        <v>2807</v>
      </c>
      <c r="M633" s="13" t="s">
        <v>125</v>
      </c>
      <c r="N633" s="13" t="s">
        <v>126</v>
      </c>
      <c r="O633" s="247">
        <v>0.5</v>
      </c>
      <c r="P633" s="13">
        <v>96</v>
      </c>
      <c r="Q633" s="13">
        <v>26</v>
      </c>
      <c r="R633" s="13" t="s">
        <v>127</v>
      </c>
      <c r="S633" s="430" t="str">
        <f t="shared" si="271"/>
        <v>N/A</v>
      </c>
      <c r="T633" s="247">
        <v>0.8</v>
      </c>
      <c r="U633" s="13">
        <v>80</v>
      </c>
      <c r="V633" s="13">
        <v>576</v>
      </c>
      <c r="W633" s="430">
        <f t="shared" si="265"/>
        <v>496</v>
      </c>
      <c r="X633" s="430">
        <f t="shared" si="266"/>
        <v>124</v>
      </c>
      <c r="Y633" s="13">
        <v>80</v>
      </c>
      <c r="Z633" s="13">
        <v>576</v>
      </c>
      <c r="AA633" s="430">
        <f t="shared" si="273"/>
        <v>496</v>
      </c>
      <c r="AB633" s="430">
        <f t="shared" si="274"/>
        <v>124</v>
      </c>
      <c r="AC633" s="430" t="str">
        <f t="shared" si="275"/>
        <v>N/A</v>
      </c>
      <c r="AD633" s="430">
        <f t="shared" si="276"/>
        <v>70</v>
      </c>
      <c r="AE633" s="431">
        <f t="shared" si="277"/>
        <v>1.1500000000000001</v>
      </c>
      <c r="AF633" s="431"/>
      <c r="AG633" s="431">
        <f t="shared" si="278"/>
        <v>1.0223958333333334</v>
      </c>
      <c r="AH633" s="431">
        <f t="shared" si="279"/>
        <v>1.0837395833333334</v>
      </c>
      <c r="AI633" s="432">
        <f t="shared" si="280"/>
        <v>880.5526000000001</v>
      </c>
      <c r="AJ633" s="432">
        <f t="shared" si="281"/>
        <v>145.36148525205044</v>
      </c>
      <c r="AK633" s="432">
        <f t="shared" si="282"/>
        <v>158.94157098329404</v>
      </c>
      <c r="AL633" s="432">
        <f t="shared" si="283"/>
        <v>315.95290817031423</v>
      </c>
      <c r="AM633" s="250">
        <v>159</v>
      </c>
      <c r="AN633" s="432">
        <f t="shared" si="284"/>
        <v>152.63999999999999</v>
      </c>
      <c r="AO633" s="432">
        <f t="shared" si="285"/>
        <v>165.42201</v>
      </c>
      <c r="AP633" s="432">
        <f t="shared" si="286"/>
        <v>636.23849999999993</v>
      </c>
      <c r="AQ633" s="255">
        <v>44713</v>
      </c>
      <c r="AR633" s="255" t="s">
        <v>2720</v>
      </c>
      <c r="AS633" s="434" t="s">
        <v>2808</v>
      </c>
      <c r="AT633" s="429" t="s">
        <v>2809</v>
      </c>
      <c r="AU633" s="241"/>
      <c r="AV633" s="243"/>
      <c r="AW633" s="72" t="s">
        <v>127</v>
      </c>
      <c r="AX633" s="243"/>
      <c r="AY633" s="103">
        <f t="shared" si="300"/>
        <v>0.6</v>
      </c>
      <c r="AZ633" s="72"/>
      <c r="BA633" s="72" t="str">
        <f t="shared" si="299"/>
        <v>W22</v>
      </c>
      <c r="BB633" s="72" t="str">
        <f t="shared" si="298"/>
        <v>Clear</v>
      </c>
      <c r="BC633" s="32">
        <f>IF(Q633="","",((P633/100*O633)+T633))</f>
        <v>1.28</v>
      </c>
      <c r="BD633" s="241">
        <f>IF(BC633="","",((PI()*((51/2)^2-(16.545/2)^2)/(BC633/10))/100))</f>
        <v>142.79906768030324</v>
      </c>
      <c r="BE633" s="241">
        <f>IF(BC633="","",(BD633-AK633))</f>
        <v>-16.142503302990804</v>
      </c>
      <c r="BF633" s="71">
        <f>IF(BC633="","",(BE633/AK633))</f>
        <v>-0.10156250000000001</v>
      </c>
      <c r="BG633" s="241">
        <f>IF(BF633="","",((PI()*((70/2)^2-(16.545/2)^2)/(BC633/10))/100))</f>
        <v>283.86394093426674</v>
      </c>
      <c r="BH633" s="241">
        <f>IF(BF633="","",(BG633-AL633))</f>
        <v>-32.088967236047495</v>
      </c>
      <c r="BI633" s="71">
        <f>IF(BG633="","",(BH633/AL633))</f>
        <v>-0.10156249999999986</v>
      </c>
      <c r="BJ633" s="123"/>
      <c r="BK633" s="123">
        <v>25</v>
      </c>
      <c r="BL633" s="126">
        <f>AH633</f>
        <v>1.0837395833333334</v>
      </c>
      <c r="BM633" s="108">
        <f>BK633/AH633</f>
        <v>23.068272474745047</v>
      </c>
      <c r="BN633" s="123">
        <f>BK633-BM633</f>
        <v>1.9317275252549528</v>
      </c>
      <c r="BO633" s="108">
        <v>22.31</v>
      </c>
      <c r="BP633" s="123">
        <f>BO633-BM633</f>
        <v>-0.75827247474504844</v>
      </c>
      <c r="BQ633" s="115"/>
      <c r="BR633" s="113"/>
      <c r="BS633" s="80"/>
      <c r="BU633" s="87"/>
      <c r="BV633" s="73"/>
      <c r="BW633" s="109"/>
      <c r="BX633" s="87"/>
      <c r="BY633" s="87"/>
      <c r="BZ633" s="109"/>
      <c r="CA633" s="76"/>
    </row>
    <row r="634" spans="1:79" s="72" customFormat="1">
      <c r="A634" s="13" t="s">
        <v>2717</v>
      </c>
      <c r="B634" s="13" t="s">
        <v>1239</v>
      </c>
      <c r="C634" s="13" t="s">
        <v>657</v>
      </c>
      <c r="D634" s="13" t="s">
        <v>657</v>
      </c>
      <c r="E634" s="13" t="s">
        <v>137</v>
      </c>
      <c r="F634" s="13" t="s">
        <v>167</v>
      </c>
      <c r="G634" s="13" t="s">
        <v>2810</v>
      </c>
      <c r="H634" s="13" t="s">
        <v>146</v>
      </c>
      <c r="I634" s="13" t="s">
        <v>147</v>
      </c>
      <c r="J634" s="13" t="s">
        <v>5</v>
      </c>
      <c r="K634" s="13" t="s">
        <v>123</v>
      </c>
      <c r="L634" s="13" t="s">
        <v>2811</v>
      </c>
      <c r="M634" s="13" t="s">
        <v>125</v>
      </c>
      <c r="N634" s="13" t="s">
        <v>126</v>
      </c>
      <c r="O634" s="247">
        <v>0.5</v>
      </c>
      <c r="P634" s="13">
        <v>96</v>
      </c>
      <c r="Q634" s="13">
        <v>30</v>
      </c>
      <c r="R634" s="13" t="s">
        <v>127</v>
      </c>
      <c r="S634" s="430" t="str">
        <f t="shared" si="271"/>
        <v>N/A</v>
      </c>
      <c r="T634" s="247">
        <v>0.8</v>
      </c>
      <c r="U634" s="13">
        <v>140</v>
      </c>
      <c r="V634" s="13">
        <v>540</v>
      </c>
      <c r="W634" s="430">
        <f t="shared" si="265"/>
        <v>400</v>
      </c>
      <c r="X634" s="430">
        <f t="shared" si="266"/>
        <v>120</v>
      </c>
      <c r="Y634" s="13">
        <v>140</v>
      </c>
      <c r="Z634" s="13">
        <v>580</v>
      </c>
      <c r="AA634" s="430">
        <f t="shared" si="273"/>
        <v>440</v>
      </c>
      <c r="AB634" s="430">
        <f t="shared" si="274"/>
        <v>80</v>
      </c>
      <c r="AC634" s="430" t="str">
        <f t="shared" si="275"/>
        <v>N/A</v>
      </c>
      <c r="AD634" s="430">
        <f t="shared" si="276"/>
        <v>66</v>
      </c>
      <c r="AE634" s="431">
        <f t="shared" si="277"/>
        <v>1.1300000000000001</v>
      </c>
      <c r="AF634" s="431"/>
      <c r="AG634" s="431">
        <f t="shared" si="278"/>
        <v>1.0165625</v>
      </c>
      <c r="AH634" s="431">
        <f t="shared" si="279"/>
        <v>1.0775562500000002</v>
      </c>
      <c r="AI634" s="432">
        <f t="shared" si="280"/>
        <v>880.5526000000001</v>
      </c>
      <c r="AJ634" s="432">
        <f t="shared" si="281"/>
        <v>147.9342549025292</v>
      </c>
      <c r="AK634" s="432">
        <f t="shared" si="282"/>
        <v>161.75469613344083</v>
      </c>
      <c r="AL634" s="432">
        <f t="shared" si="283"/>
        <v>321.54499504058532</v>
      </c>
      <c r="AM634" s="250">
        <v>162</v>
      </c>
      <c r="AN634" s="432">
        <f t="shared" si="284"/>
        <v>155.52000000000001</v>
      </c>
      <c r="AO634" s="432">
        <f t="shared" si="285"/>
        <v>167.58154800000005</v>
      </c>
      <c r="AP634" s="432">
        <f t="shared" si="286"/>
        <v>558.60516000000018</v>
      </c>
      <c r="AQ634" s="255">
        <v>44980</v>
      </c>
      <c r="AR634" s="255" t="s">
        <v>2783</v>
      </c>
      <c r="AS634" s="434" t="s">
        <v>2812</v>
      </c>
      <c r="AT634" s="429" t="s">
        <v>2813</v>
      </c>
      <c r="AU634" s="241"/>
      <c r="AV634" s="243"/>
      <c r="AW634" s="72" t="s">
        <v>127</v>
      </c>
      <c r="AX634" s="243"/>
      <c r="AY634" s="103">
        <f t="shared" si="300"/>
        <v>0.5625</v>
      </c>
      <c r="BA634" s="72" t="str">
        <f t="shared" si="299"/>
        <v>W22</v>
      </c>
      <c r="BB634" s="72" t="str">
        <f t="shared" si="298"/>
        <v>Clear</v>
      </c>
      <c r="BC634" s="32"/>
      <c r="BD634" s="241"/>
      <c r="BE634" s="241"/>
      <c r="BF634" s="71"/>
      <c r="BG634" s="241"/>
      <c r="BH634" s="241"/>
      <c r="BI634" s="71"/>
      <c r="BJ634" s="123"/>
      <c r="BK634" s="123"/>
      <c r="BL634" s="126"/>
      <c r="BM634" s="108"/>
      <c r="BN634" s="123"/>
      <c r="BO634" s="71"/>
      <c r="BP634" s="108"/>
      <c r="BQ634" s="144"/>
      <c r="BR634" s="140"/>
      <c r="BS634" s="106"/>
      <c r="BT634" s="13"/>
      <c r="BU634" s="79"/>
      <c r="BV634" s="29"/>
      <c r="BW634" s="86"/>
      <c r="BX634" s="79"/>
      <c r="BY634" s="79"/>
      <c r="BZ634" s="86"/>
      <c r="CA634" s="76"/>
    </row>
    <row r="635" spans="1:79" s="72" customFormat="1">
      <c r="A635" s="13" t="s">
        <v>2717</v>
      </c>
      <c r="B635" s="13" t="s">
        <v>2814</v>
      </c>
      <c r="C635" s="13" t="s">
        <v>1004</v>
      </c>
      <c r="D635" s="13" t="s">
        <v>132</v>
      </c>
      <c r="E635" s="13" t="s">
        <v>137</v>
      </c>
      <c r="F635" s="13" t="s">
        <v>119</v>
      </c>
      <c r="G635" s="13" t="s">
        <v>2815</v>
      </c>
      <c r="H635" s="13" t="s">
        <v>146</v>
      </c>
      <c r="I635" s="13" t="s">
        <v>147</v>
      </c>
      <c r="J635" s="13" t="s">
        <v>5</v>
      </c>
      <c r="K635" s="13" t="s">
        <v>123</v>
      </c>
      <c r="L635" s="13" t="s">
        <v>2816</v>
      </c>
      <c r="M635" s="13" t="s">
        <v>125</v>
      </c>
      <c r="N635" s="13" t="s">
        <v>126</v>
      </c>
      <c r="O635" s="247">
        <v>0.28000000000000003</v>
      </c>
      <c r="P635" s="13">
        <v>105</v>
      </c>
      <c r="Q635" s="13">
        <v>30</v>
      </c>
      <c r="R635" s="13" t="s">
        <v>127</v>
      </c>
      <c r="S635" s="430" t="str">
        <f t="shared" si="271"/>
        <v>N/A</v>
      </c>
      <c r="T635" s="247">
        <v>0.8</v>
      </c>
      <c r="U635" s="13">
        <v>200</v>
      </c>
      <c r="V635" s="13">
        <v>600</v>
      </c>
      <c r="W635" s="430">
        <f t="shared" si="265"/>
        <v>400</v>
      </c>
      <c r="X635" s="430">
        <f t="shared" si="266"/>
        <v>150</v>
      </c>
      <c r="Y635" s="13">
        <v>200</v>
      </c>
      <c r="Z635" s="13">
        <v>600</v>
      </c>
      <c r="AA635" s="430">
        <f t="shared" si="273"/>
        <v>400</v>
      </c>
      <c r="AB635" s="430">
        <f t="shared" si="274"/>
        <v>150</v>
      </c>
      <c r="AC635" s="430" t="str">
        <f t="shared" si="275"/>
        <v>N/A</v>
      </c>
      <c r="AD635" s="430">
        <f t="shared" si="276"/>
        <v>75</v>
      </c>
      <c r="AE635" s="431">
        <f t="shared" si="277"/>
        <v>1.01</v>
      </c>
      <c r="AF635" s="431"/>
      <c r="AG635" s="431">
        <f t="shared" si="278"/>
        <v>0.93499999999999994</v>
      </c>
      <c r="AH635" s="431">
        <f t="shared" si="279"/>
        <v>0.99109999999999998</v>
      </c>
      <c r="AI635" s="432">
        <f t="shared" si="280"/>
        <v>866.22945600000003</v>
      </c>
      <c r="AJ635" s="432">
        <f t="shared" si="281"/>
        <v>165.51060201966141</v>
      </c>
      <c r="AK635" s="432">
        <f t="shared" si="282"/>
        <v>180.97307587206748</v>
      </c>
      <c r="AL635" s="432">
        <f t="shared" si="283"/>
        <v>359.74836078798165</v>
      </c>
      <c r="AM635" s="250">
        <v>181</v>
      </c>
      <c r="AN635" s="432">
        <f t="shared" si="284"/>
        <v>190.05</v>
      </c>
      <c r="AO635" s="432">
        <f t="shared" si="285"/>
        <v>188.358555</v>
      </c>
      <c r="AP635" s="432">
        <f t="shared" si="286"/>
        <v>627.86185</v>
      </c>
      <c r="AQ635" s="255">
        <v>45352</v>
      </c>
      <c r="AR635" s="255" t="s">
        <v>2817</v>
      </c>
      <c r="AS635" s="434" t="s">
        <v>2818</v>
      </c>
      <c r="AT635" s="429"/>
      <c r="AU635" s="250"/>
      <c r="AV635" s="255"/>
      <c r="AW635" s="13"/>
      <c r="AX635" s="255"/>
      <c r="AY635" s="103">
        <f t="shared" si="300"/>
        <v>0.5714285714285714</v>
      </c>
      <c r="AZ635" s="13"/>
      <c r="BA635" s="13" t="str">
        <f t="shared" si="299"/>
        <v>W22</v>
      </c>
      <c r="BC635" s="73"/>
      <c r="BD635" s="252"/>
      <c r="BE635" s="252"/>
      <c r="BF635" s="80"/>
      <c r="BG635" s="252"/>
      <c r="BH635" s="252"/>
      <c r="BI635" s="80"/>
      <c r="BJ635" s="114"/>
      <c r="BK635" s="111"/>
      <c r="BL635" s="112"/>
      <c r="BM635" s="101"/>
      <c r="BN635" s="123"/>
      <c r="BO635" s="103"/>
      <c r="BP635" s="88"/>
      <c r="BQ635" s="178"/>
      <c r="BR635" s="179"/>
      <c r="BS635" s="177"/>
      <c r="BT635" s="297"/>
      <c r="BU635" s="317"/>
      <c r="BV635" s="299"/>
      <c r="BW635" s="180"/>
      <c r="BX635" s="317"/>
      <c r="BY635" s="317"/>
      <c r="BZ635" s="180"/>
      <c r="CA635" s="318"/>
    </row>
    <row r="636" spans="1:79" s="72" customFormat="1">
      <c r="A636" s="13" t="s">
        <v>2717</v>
      </c>
      <c r="B636" s="387" t="s">
        <v>2814</v>
      </c>
      <c r="C636" s="13" t="s">
        <v>1004</v>
      </c>
      <c r="D636" s="387" t="s">
        <v>2819</v>
      </c>
      <c r="E636" s="13" t="s">
        <v>137</v>
      </c>
      <c r="F636" s="13" t="s">
        <v>119</v>
      </c>
      <c r="G636" s="13" t="s">
        <v>2820</v>
      </c>
      <c r="H636" s="13" t="s">
        <v>146</v>
      </c>
      <c r="I636" s="13" t="s">
        <v>147</v>
      </c>
      <c r="J636" s="13" t="s">
        <v>5</v>
      </c>
      <c r="K636" s="13" t="s">
        <v>123</v>
      </c>
      <c r="L636" s="13" t="s">
        <v>2821</v>
      </c>
      <c r="M636" s="13" t="s">
        <v>125</v>
      </c>
      <c r="N636" s="13" t="s">
        <v>126</v>
      </c>
      <c r="O636" s="247">
        <v>0.68</v>
      </c>
      <c r="P636" s="13">
        <v>100</v>
      </c>
      <c r="Q636" s="13">
        <v>25</v>
      </c>
      <c r="R636" s="13" t="s">
        <v>127</v>
      </c>
      <c r="S636" s="430" t="str">
        <f t="shared" si="271"/>
        <v>N/A</v>
      </c>
      <c r="T636" s="247">
        <v>0.8</v>
      </c>
      <c r="U636" s="13">
        <v>200</v>
      </c>
      <c r="V636" s="13">
        <v>600</v>
      </c>
      <c r="W636" s="430">
        <f t="shared" si="265"/>
        <v>400</v>
      </c>
      <c r="X636" s="430">
        <f t="shared" si="266"/>
        <v>150</v>
      </c>
      <c r="Y636" s="13">
        <v>200</v>
      </c>
      <c r="Z636" s="13">
        <v>600</v>
      </c>
      <c r="AA636" s="430">
        <f t="shared" si="273"/>
        <v>400</v>
      </c>
      <c r="AB636" s="430">
        <f t="shared" si="274"/>
        <v>150</v>
      </c>
      <c r="AC636" s="430" t="str">
        <f t="shared" si="275"/>
        <v>N/A</v>
      </c>
      <c r="AD636" s="430">
        <f t="shared" si="276"/>
        <v>75</v>
      </c>
      <c r="AE636" s="431">
        <f t="shared" si="277"/>
        <v>1.31</v>
      </c>
      <c r="AF636" s="431"/>
      <c r="AG636" s="431">
        <f t="shared" si="278"/>
        <v>1.1187500000000001</v>
      </c>
      <c r="AH636" s="431">
        <f t="shared" si="279"/>
        <v>1.1858750000000002</v>
      </c>
      <c r="AI636" s="432">
        <f t="shared" si="280"/>
        <v>892.27153599999997</v>
      </c>
      <c r="AJ636" s="432">
        <f t="shared" si="281"/>
        <v>127.60741071744887</v>
      </c>
      <c r="AK636" s="432">
        <f t="shared" si="282"/>
        <v>139.52886002350243</v>
      </c>
      <c r="AL636" s="432">
        <f t="shared" si="283"/>
        <v>277.36323999684083</v>
      </c>
      <c r="AM636" s="250">
        <v>120</v>
      </c>
      <c r="AN636" s="432">
        <f t="shared" si="284"/>
        <v>120</v>
      </c>
      <c r="AO636" s="432">
        <f t="shared" si="285"/>
        <v>142.30500000000004</v>
      </c>
      <c r="AP636" s="432">
        <f t="shared" si="286"/>
        <v>569.22000000000014</v>
      </c>
      <c r="AQ636" s="255">
        <v>45170</v>
      </c>
      <c r="AR636" s="13" t="s">
        <v>1016</v>
      </c>
      <c r="AS636" s="434" t="s">
        <v>2822</v>
      </c>
      <c r="AT636" s="429" t="s">
        <v>2823</v>
      </c>
      <c r="AU636" s="252"/>
      <c r="AV636" s="260"/>
      <c r="AW636" s="13"/>
      <c r="AX636" s="260"/>
      <c r="AY636" s="103">
        <f t="shared" si="300"/>
        <v>0.6</v>
      </c>
      <c r="AZ636" s="22"/>
      <c r="BA636" s="13" t="str">
        <f t="shared" si="299"/>
        <v>W22</v>
      </c>
      <c r="BC636" s="32"/>
      <c r="BD636" s="241"/>
      <c r="BE636" s="241"/>
      <c r="BF636" s="71"/>
      <c r="BG636" s="241"/>
      <c r="BH636" s="241"/>
      <c r="BI636" s="71"/>
      <c r="BJ636" s="114"/>
      <c r="BK636" s="88"/>
      <c r="BL636" s="128"/>
      <c r="BM636" s="88"/>
      <c r="BN636" s="80"/>
      <c r="BO636" s="88"/>
      <c r="BP636" s="88"/>
      <c r="BQ636" s="83"/>
      <c r="BR636" s="71"/>
      <c r="BS636" s="71"/>
      <c r="BT636" s="13">
        <f>P636-V636/10-120/10</f>
        <v>28</v>
      </c>
      <c r="BU636" s="79">
        <f>BT636-Q636</f>
        <v>3</v>
      </c>
      <c r="BV636" s="29">
        <f>T636+(O636/100*(P636-BT636))</f>
        <v>1.2896000000000001</v>
      </c>
      <c r="BW636" s="86">
        <f>(AE636-BV636)/AE636</f>
        <v>1.5572519083969444E-2</v>
      </c>
      <c r="BX636" s="79">
        <f>(PI()*((51/2)^2-(16.545/2)^2)/(BV636/10))/100</f>
        <v>141.73604732536302</v>
      </c>
      <c r="BY636" s="79">
        <f>BX636-AK636</f>
        <v>2.2071873018605856</v>
      </c>
      <c r="BZ636" s="86">
        <f>BY636/AK636</f>
        <v>1.5818858560793833E-2</v>
      </c>
      <c r="CA636" s="76"/>
    </row>
    <row r="637" spans="1:79" s="72" customFormat="1">
      <c r="A637" s="13" t="s">
        <v>2717</v>
      </c>
      <c r="B637" s="387" t="s">
        <v>2814</v>
      </c>
      <c r="C637" s="13" t="s">
        <v>1004</v>
      </c>
      <c r="D637" s="387" t="s">
        <v>2824</v>
      </c>
      <c r="E637" s="13" t="s">
        <v>137</v>
      </c>
      <c r="F637" s="13" t="s">
        <v>119</v>
      </c>
      <c r="G637" s="13" t="s">
        <v>2825</v>
      </c>
      <c r="H637" s="13" t="s">
        <v>146</v>
      </c>
      <c r="I637" s="13" t="s">
        <v>147</v>
      </c>
      <c r="J637" s="13" t="s">
        <v>5</v>
      </c>
      <c r="K637" s="13" t="s">
        <v>123</v>
      </c>
      <c r="L637" s="13" t="s">
        <v>2826</v>
      </c>
      <c r="M637" s="13" t="s">
        <v>125</v>
      </c>
      <c r="N637" s="13" t="s">
        <v>126</v>
      </c>
      <c r="O637" s="247">
        <v>0.24</v>
      </c>
      <c r="P637" s="13">
        <v>105</v>
      </c>
      <c r="Q637" s="13">
        <v>30</v>
      </c>
      <c r="R637" s="13" t="s">
        <v>127</v>
      </c>
      <c r="S637" s="430" t="str">
        <f t="shared" si="271"/>
        <v>N/A</v>
      </c>
      <c r="T637" s="247">
        <v>0.8</v>
      </c>
      <c r="U637" s="13">
        <v>200</v>
      </c>
      <c r="V637" s="13">
        <v>600</v>
      </c>
      <c r="W637" s="430">
        <f t="shared" si="265"/>
        <v>400</v>
      </c>
      <c r="X637" s="430">
        <f t="shared" si="266"/>
        <v>150</v>
      </c>
      <c r="Y637" s="13">
        <v>200</v>
      </c>
      <c r="Z637" s="13">
        <v>600</v>
      </c>
      <c r="AA637" s="430">
        <f t="shared" si="273"/>
        <v>400</v>
      </c>
      <c r="AB637" s="430">
        <f t="shared" si="274"/>
        <v>150</v>
      </c>
      <c r="AC637" s="430" t="str">
        <f t="shared" si="275"/>
        <v>N/A</v>
      </c>
      <c r="AD637" s="430">
        <f t="shared" si="276"/>
        <v>75</v>
      </c>
      <c r="AE637" s="431">
        <f t="shared" si="277"/>
        <v>0.98</v>
      </c>
      <c r="AF637" s="431"/>
      <c r="AG637" s="431">
        <f t="shared" si="278"/>
        <v>0.91571428571428581</v>
      </c>
      <c r="AH637" s="431">
        <f t="shared" si="279"/>
        <v>0.97065714285714289</v>
      </c>
      <c r="AI637" s="432">
        <f t="shared" si="280"/>
        <v>863.62524800000006</v>
      </c>
      <c r="AJ637" s="432">
        <f t="shared" si="281"/>
        <v>170.57725310189596</v>
      </c>
      <c r="AK637" s="432">
        <f t="shared" si="282"/>
        <v>186.51306799060018</v>
      </c>
      <c r="AL637" s="432">
        <f t="shared" si="283"/>
        <v>370.76106571006267</v>
      </c>
      <c r="AM637" s="250">
        <v>120</v>
      </c>
      <c r="AN637" s="432">
        <f t="shared" si="284"/>
        <v>126</v>
      </c>
      <c r="AO637" s="432">
        <f t="shared" si="285"/>
        <v>122.3028</v>
      </c>
      <c r="AP637" s="432">
        <f t="shared" si="286"/>
        <v>407.67600000000004</v>
      </c>
      <c r="AQ637" s="255">
        <v>45170</v>
      </c>
      <c r="AR637" s="13" t="s">
        <v>1016</v>
      </c>
      <c r="AS637" s="434" t="s">
        <v>2827</v>
      </c>
      <c r="AT637" s="429"/>
      <c r="AU637" s="252"/>
      <c r="AV637" s="260"/>
      <c r="AW637" s="13"/>
      <c r="AX637" s="260"/>
      <c r="AY637" s="103">
        <f t="shared" si="300"/>
        <v>0.5714285714285714</v>
      </c>
      <c r="AZ637" s="22"/>
      <c r="BA637" s="13" t="str">
        <f t="shared" si="299"/>
        <v>W22</v>
      </c>
      <c r="BC637" s="32"/>
      <c r="BD637" s="241"/>
      <c r="BE637" s="241"/>
      <c r="BF637" s="71"/>
      <c r="BG637" s="241"/>
      <c r="BH637" s="241"/>
      <c r="BI637" s="71"/>
      <c r="BJ637" s="114"/>
      <c r="BK637" s="88"/>
      <c r="BL637" s="128"/>
      <c r="BM637" s="88"/>
      <c r="BN637" s="80"/>
      <c r="BO637" s="88"/>
      <c r="BP637" s="88"/>
      <c r="BQ637" s="141"/>
      <c r="BR637" s="71"/>
      <c r="BS637" s="71"/>
      <c r="BT637" s="13">
        <f>P637-V637/10-120/10</f>
        <v>33</v>
      </c>
      <c r="BU637" s="79">
        <f>BT637-Q637</f>
        <v>3</v>
      </c>
      <c r="BV637" s="29">
        <f>T637+(O637/100*(P637-BT637))</f>
        <v>0.9728</v>
      </c>
      <c r="BW637" s="86">
        <f>(AE637-BV637)/AE637</f>
        <v>7.3469387755101881E-3</v>
      </c>
      <c r="BX637" s="79">
        <f>(PI()*((51/2)^2-(16.545/2)^2)/(BV637/10))/100</f>
        <v>187.89351010566216</v>
      </c>
      <c r="BY637" s="79">
        <f>BX637-AK637</f>
        <v>1.3804421150619817</v>
      </c>
      <c r="BZ637" s="86">
        <f>BY637/AK637</f>
        <v>7.4013157894735433E-3</v>
      </c>
      <c r="CA637" s="76"/>
    </row>
    <row r="638" spans="1:79" s="72" customFormat="1">
      <c r="A638" s="13" t="s">
        <v>2717</v>
      </c>
      <c r="B638" s="387" t="s">
        <v>2814</v>
      </c>
      <c r="C638" s="13" t="s">
        <v>1004</v>
      </c>
      <c r="D638" s="387" t="s">
        <v>2824</v>
      </c>
      <c r="E638" s="13" t="s">
        <v>137</v>
      </c>
      <c r="F638" s="13" t="s">
        <v>119</v>
      </c>
      <c r="G638" s="13" t="s">
        <v>2828</v>
      </c>
      <c r="H638" s="13" t="s">
        <v>2829</v>
      </c>
      <c r="I638" s="13" t="s">
        <v>147</v>
      </c>
      <c r="J638" s="13" t="s">
        <v>5</v>
      </c>
      <c r="K638" s="13" t="s">
        <v>123</v>
      </c>
      <c r="L638" s="13" t="s">
        <v>2830</v>
      </c>
      <c r="M638" s="13" t="s">
        <v>125</v>
      </c>
      <c r="N638" s="13" t="s">
        <v>126</v>
      </c>
      <c r="O638" s="247">
        <v>0.64</v>
      </c>
      <c r="P638" s="13">
        <v>100</v>
      </c>
      <c r="Q638" s="13">
        <v>25</v>
      </c>
      <c r="R638" s="13" t="s">
        <v>127</v>
      </c>
      <c r="S638" s="430" t="str">
        <f t="shared" si="271"/>
        <v>N/A</v>
      </c>
      <c r="T638" s="247">
        <v>0.8</v>
      </c>
      <c r="U638" s="13">
        <v>200</v>
      </c>
      <c r="V638" s="13">
        <v>600</v>
      </c>
      <c r="W638" s="430">
        <f t="shared" si="265"/>
        <v>400</v>
      </c>
      <c r="X638" s="430">
        <f t="shared" si="266"/>
        <v>150</v>
      </c>
      <c r="Y638" s="13">
        <v>200</v>
      </c>
      <c r="Z638" s="13">
        <v>600</v>
      </c>
      <c r="AA638" s="430">
        <f t="shared" si="273"/>
        <v>400</v>
      </c>
      <c r="AB638" s="430">
        <f t="shared" si="274"/>
        <v>150</v>
      </c>
      <c r="AC638" s="430" t="str">
        <f t="shared" si="275"/>
        <v>N/A</v>
      </c>
      <c r="AD638" s="430">
        <f t="shared" si="276"/>
        <v>75</v>
      </c>
      <c r="AE638" s="431">
        <f t="shared" si="277"/>
        <v>1.28</v>
      </c>
      <c r="AF638" s="431"/>
      <c r="AG638" s="431">
        <f t="shared" si="278"/>
        <v>1.1000000000000001</v>
      </c>
      <c r="AH638" s="431">
        <f t="shared" si="279"/>
        <v>1.1660000000000001</v>
      </c>
      <c r="AI638" s="432">
        <f t="shared" si="280"/>
        <v>889.66732800000011</v>
      </c>
      <c r="AJ638" s="432">
        <f t="shared" si="281"/>
        <v>130.59820940613909</v>
      </c>
      <c r="AK638" s="432">
        <f t="shared" si="282"/>
        <v>142.79906768030324</v>
      </c>
      <c r="AL638" s="432">
        <f t="shared" si="283"/>
        <v>283.86394093426674</v>
      </c>
      <c r="AM638" s="250">
        <v>120</v>
      </c>
      <c r="AN638" s="432">
        <f t="shared" si="284"/>
        <v>120</v>
      </c>
      <c r="AO638" s="432">
        <f t="shared" si="285"/>
        <v>139.92000000000002</v>
      </c>
      <c r="AP638" s="432">
        <f t="shared" si="286"/>
        <v>559.68000000000006</v>
      </c>
      <c r="AQ638" s="255">
        <v>45170</v>
      </c>
      <c r="AR638" s="13" t="s">
        <v>2831</v>
      </c>
      <c r="AS638" s="434" t="s">
        <v>2832</v>
      </c>
      <c r="AT638" s="429"/>
      <c r="AU638" s="252"/>
      <c r="AV638" s="260"/>
      <c r="AW638" s="13"/>
      <c r="AX638" s="260"/>
      <c r="AY638" s="103">
        <f t="shared" si="300"/>
        <v>0.6</v>
      </c>
      <c r="AZ638" s="22"/>
      <c r="BA638" s="13" t="str">
        <f t="shared" si="299"/>
        <v>W22</v>
      </c>
      <c r="BC638" s="32"/>
      <c r="BD638" s="241"/>
      <c r="BE638" s="241"/>
      <c r="BF638" s="71"/>
      <c r="BG638" s="241"/>
      <c r="BH638" s="241"/>
      <c r="BI638" s="71"/>
      <c r="BJ638" s="114"/>
      <c r="BK638" s="88"/>
      <c r="BL638" s="128"/>
      <c r="BM638" s="88"/>
      <c r="BN638" s="80"/>
      <c r="BO638" s="88"/>
      <c r="BP638" s="88"/>
      <c r="BQ638" s="130"/>
      <c r="BR638" s="100"/>
      <c r="BS638" s="100"/>
      <c r="BT638" s="77"/>
      <c r="BU638" s="282"/>
      <c r="BV638" s="264"/>
      <c r="BW638" s="169"/>
      <c r="BX638" s="282"/>
      <c r="BY638" s="282"/>
      <c r="BZ638" s="169"/>
      <c r="CA638" s="271"/>
    </row>
    <row r="639" spans="1:79" s="72" customFormat="1">
      <c r="A639" s="13" t="s">
        <v>2717</v>
      </c>
      <c r="B639" s="387" t="s">
        <v>2814</v>
      </c>
      <c r="C639" s="13" t="s">
        <v>1004</v>
      </c>
      <c r="D639" s="387" t="s">
        <v>2833</v>
      </c>
      <c r="E639" s="13" t="s">
        <v>137</v>
      </c>
      <c r="F639" s="13" t="s">
        <v>119</v>
      </c>
      <c r="G639" s="13" t="s">
        <v>2834</v>
      </c>
      <c r="H639" s="13" t="s">
        <v>121</v>
      </c>
      <c r="I639" s="13" t="s">
        <v>147</v>
      </c>
      <c r="J639" s="13" t="s">
        <v>5</v>
      </c>
      <c r="K639" s="13" t="s">
        <v>123</v>
      </c>
      <c r="L639" s="13" t="s">
        <v>2835</v>
      </c>
      <c r="M639" s="13" t="s">
        <v>125</v>
      </c>
      <c r="N639" s="13" t="s">
        <v>126</v>
      </c>
      <c r="O639" s="247">
        <v>0.26</v>
      </c>
      <c r="P639" s="13">
        <v>105</v>
      </c>
      <c r="Q639" s="13">
        <v>25</v>
      </c>
      <c r="R639" s="13" t="s">
        <v>127</v>
      </c>
      <c r="S639" s="430" t="str">
        <f t="shared" si="271"/>
        <v>N/A</v>
      </c>
      <c r="T639" s="247">
        <v>0.8</v>
      </c>
      <c r="U639" s="13">
        <v>200</v>
      </c>
      <c r="V639" s="13">
        <v>600</v>
      </c>
      <c r="W639" s="430">
        <f t="shared" si="265"/>
        <v>400</v>
      </c>
      <c r="X639" s="430">
        <f t="shared" si="266"/>
        <v>200</v>
      </c>
      <c r="Y639" s="13">
        <v>200</v>
      </c>
      <c r="Z639" s="13">
        <v>600</v>
      </c>
      <c r="AA639" s="430">
        <f t="shared" si="273"/>
        <v>400</v>
      </c>
      <c r="AB639" s="430">
        <f t="shared" si="274"/>
        <v>200</v>
      </c>
      <c r="AC639" s="430" t="str">
        <f t="shared" si="275"/>
        <v>N/A</v>
      </c>
      <c r="AD639" s="430">
        <f t="shared" si="276"/>
        <v>80</v>
      </c>
      <c r="AE639" s="431">
        <f t="shared" si="277"/>
        <v>1.008</v>
      </c>
      <c r="AF639" s="431"/>
      <c r="AG639" s="431">
        <f t="shared" si="278"/>
        <v>0.9287619047619049</v>
      </c>
      <c r="AH639" s="431">
        <f t="shared" si="279"/>
        <v>0.98448761904761917</v>
      </c>
      <c r="AI639" s="432">
        <f t="shared" si="280"/>
        <v>864.92735200000004</v>
      </c>
      <c r="AJ639" s="432">
        <f t="shared" si="281"/>
        <v>165.83899607128774</v>
      </c>
      <c r="AK639" s="432">
        <f t="shared" si="282"/>
        <v>181.33214943530572</v>
      </c>
      <c r="AL639" s="432">
        <f t="shared" si="283"/>
        <v>360.46214721811651</v>
      </c>
      <c r="AM639" s="250">
        <v>181</v>
      </c>
      <c r="AN639" s="432">
        <f t="shared" si="284"/>
        <v>190.05</v>
      </c>
      <c r="AO639" s="432">
        <f t="shared" si="285"/>
        <v>187.10187200000004</v>
      </c>
      <c r="AP639" s="432">
        <f t="shared" si="286"/>
        <v>748.40748800000017</v>
      </c>
      <c r="AQ639" s="255">
        <v>45444</v>
      </c>
      <c r="AR639" s="13" t="s">
        <v>2836</v>
      </c>
      <c r="AS639" s="434" t="s">
        <v>2837</v>
      </c>
      <c r="AT639" s="429"/>
      <c r="AU639" s="252"/>
      <c r="AV639" s="260"/>
      <c r="AW639" s="13"/>
      <c r="AX639" s="260"/>
      <c r="AY639" s="103">
        <f t="shared" si="300"/>
        <v>0.5714285714285714</v>
      </c>
      <c r="AZ639" s="22"/>
      <c r="BA639" s="13" t="str">
        <f t="shared" si="299"/>
        <v>W22</v>
      </c>
      <c r="BC639" s="32"/>
      <c r="BD639" s="241"/>
      <c r="BE639" s="241"/>
      <c r="BF639" s="71"/>
      <c r="BG639" s="241"/>
      <c r="BH639" s="241"/>
      <c r="BI639" s="71"/>
      <c r="BJ639" s="114"/>
      <c r="BK639" s="88"/>
      <c r="BL639" s="128"/>
      <c r="BM639" s="88"/>
      <c r="BN639" s="80"/>
      <c r="BO639" s="88"/>
      <c r="BP639" s="88"/>
      <c r="BQ639" s="130"/>
      <c r="BR639" s="100"/>
      <c r="BS639" s="100"/>
      <c r="BT639" s="77"/>
      <c r="BU639" s="282"/>
      <c r="BV639" s="264"/>
      <c r="BW639" s="169"/>
      <c r="BX639" s="282"/>
      <c r="BY639" s="282"/>
      <c r="BZ639" s="169"/>
      <c r="CA639" s="271"/>
    </row>
    <row r="640" spans="1:79" s="22" customFormat="1">
      <c r="A640" s="13" t="s">
        <v>2717</v>
      </c>
      <c r="B640" s="387" t="s">
        <v>2814</v>
      </c>
      <c r="C640" s="13" t="s">
        <v>1004</v>
      </c>
      <c r="D640" s="387" t="s">
        <v>2838</v>
      </c>
      <c r="E640" s="13" t="s">
        <v>137</v>
      </c>
      <c r="F640" s="13" t="s">
        <v>119</v>
      </c>
      <c r="G640" s="13" t="s">
        <v>2839</v>
      </c>
      <c r="H640" s="13" t="s">
        <v>2829</v>
      </c>
      <c r="I640" s="13" t="s">
        <v>147</v>
      </c>
      <c r="J640" s="13" t="s">
        <v>5</v>
      </c>
      <c r="K640" s="13" t="s">
        <v>123</v>
      </c>
      <c r="L640" s="13" t="s">
        <v>2840</v>
      </c>
      <c r="M640" s="13" t="s">
        <v>125</v>
      </c>
      <c r="N640" s="13" t="s">
        <v>126</v>
      </c>
      <c r="O640" s="247">
        <v>0.7</v>
      </c>
      <c r="P640" s="13">
        <v>103</v>
      </c>
      <c r="Q640" s="13">
        <v>30</v>
      </c>
      <c r="R640" s="13" t="s">
        <v>127</v>
      </c>
      <c r="S640" s="430" t="str">
        <f t="shared" si="271"/>
        <v>N/A</v>
      </c>
      <c r="T640" s="247">
        <v>0.8</v>
      </c>
      <c r="U640" s="13">
        <v>200</v>
      </c>
      <c r="V640" s="13">
        <v>600</v>
      </c>
      <c r="W640" s="430">
        <f t="shared" si="265"/>
        <v>400</v>
      </c>
      <c r="X640" s="430">
        <f t="shared" si="266"/>
        <v>130</v>
      </c>
      <c r="Y640" s="13">
        <v>200</v>
      </c>
      <c r="Z640" s="13">
        <v>600</v>
      </c>
      <c r="AA640" s="430">
        <f t="shared" si="273"/>
        <v>400</v>
      </c>
      <c r="AB640" s="430">
        <f t="shared" si="274"/>
        <v>130</v>
      </c>
      <c r="AC640" s="430" t="str">
        <f t="shared" si="275"/>
        <v>N/A</v>
      </c>
      <c r="AD640" s="430">
        <f t="shared" si="276"/>
        <v>73</v>
      </c>
      <c r="AE640" s="431">
        <f t="shared" si="277"/>
        <v>1.3109999999999999</v>
      </c>
      <c r="AF640" s="431"/>
      <c r="AG640" s="431">
        <f t="shared" si="278"/>
        <v>1.1299174757281552</v>
      </c>
      <c r="AH640" s="431">
        <f t="shared" si="279"/>
        <v>1.1977125242718445</v>
      </c>
      <c r="AI640" s="432">
        <f t="shared" si="280"/>
        <v>893.57364000000007</v>
      </c>
      <c r="AJ640" s="432">
        <f t="shared" si="281"/>
        <v>127.51007478250041</v>
      </c>
      <c r="AK640" s="432">
        <f t="shared" si="282"/>
        <v>139.42243068710005</v>
      </c>
      <c r="AL640" s="432">
        <f t="shared" si="283"/>
        <v>277.15167383360904</v>
      </c>
      <c r="AM640" s="250">
        <v>139</v>
      </c>
      <c r="AN640" s="432">
        <f t="shared" si="284"/>
        <v>143.16999999999999</v>
      </c>
      <c r="AO640" s="432">
        <f t="shared" si="285"/>
        <v>171.47650209999995</v>
      </c>
      <c r="AP640" s="432">
        <f t="shared" si="286"/>
        <v>571.58834033333324</v>
      </c>
      <c r="AQ640" s="255">
        <v>45505</v>
      </c>
      <c r="AR640" s="13" t="s">
        <v>2841</v>
      </c>
      <c r="AS640" s="434" t="s">
        <v>2842</v>
      </c>
      <c r="AT640" s="429"/>
      <c r="AU640" s="250"/>
      <c r="AV640" s="255"/>
      <c r="AW640" s="13"/>
      <c r="AX640" s="255"/>
      <c r="AY640" s="103">
        <f t="shared" si="300"/>
        <v>0.58252427184466016</v>
      </c>
      <c r="AZ640" s="13"/>
      <c r="BA640" s="13" t="str">
        <f t="shared" si="299"/>
        <v>W22</v>
      </c>
      <c r="BB640" s="13"/>
      <c r="BC640" s="29"/>
      <c r="BD640" s="250"/>
      <c r="BE640" s="250"/>
      <c r="BF640" s="103"/>
      <c r="BG640" s="250"/>
      <c r="BH640" s="250"/>
      <c r="BI640" s="103"/>
      <c r="BJ640" s="111"/>
      <c r="BK640" s="83"/>
      <c r="BL640" s="112"/>
      <c r="BM640" s="83"/>
      <c r="BN640" s="103"/>
      <c r="BO640" s="83"/>
      <c r="BP640" s="83"/>
      <c r="BQ640" s="83"/>
      <c r="BR640" s="71"/>
      <c r="BS640" s="71"/>
      <c r="BT640" s="72"/>
      <c r="BU640" s="78"/>
      <c r="BV640" s="32"/>
      <c r="BW640" s="127"/>
      <c r="BX640" s="78"/>
      <c r="BY640" s="78"/>
      <c r="BZ640" s="127"/>
      <c r="CA640" s="76"/>
    </row>
    <row r="641" spans="1:79" s="72" customFormat="1">
      <c r="A641" s="13" t="s">
        <v>2717</v>
      </c>
      <c r="B641" s="387" t="s">
        <v>2814</v>
      </c>
      <c r="C641" s="13"/>
      <c r="D641" s="387"/>
      <c r="E641" s="13" t="s">
        <v>137</v>
      </c>
      <c r="F641" s="13" t="s">
        <v>119</v>
      </c>
      <c r="G641" s="13" t="s">
        <v>2843</v>
      </c>
      <c r="H641" s="13" t="s">
        <v>2829</v>
      </c>
      <c r="I641" s="13" t="s">
        <v>147</v>
      </c>
      <c r="J641" s="13" t="s">
        <v>5</v>
      </c>
      <c r="K641" s="13" t="s">
        <v>123</v>
      </c>
      <c r="L641" s="13" t="s">
        <v>2844</v>
      </c>
      <c r="M641" s="13" t="s">
        <v>125</v>
      </c>
      <c r="N641" s="13" t="s">
        <v>126</v>
      </c>
      <c r="O641" s="247">
        <v>0.27</v>
      </c>
      <c r="P641" s="13">
        <v>100</v>
      </c>
      <c r="Q641" s="13">
        <v>25</v>
      </c>
      <c r="R641" s="13" t="s">
        <v>127</v>
      </c>
      <c r="S641" s="430" t="str">
        <f t="shared" si="271"/>
        <v>N/A</v>
      </c>
      <c r="T641" s="247">
        <v>0.8</v>
      </c>
      <c r="U641" s="13">
        <v>200</v>
      </c>
      <c r="V641" s="13">
        <v>600</v>
      </c>
      <c r="W641" s="430">
        <f t="shared" si="265"/>
        <v>400</v>
      </c>
      <c r="X641" s="430">
        <f t="shared" si="266"/>
        <v>150</v>
      </c>
      <c r="Y641" s="13">
        <v>200</v>
      </c>
      <c r="Z641" s="13">
        <v>600</v>
      </c>
      <c r="AA641" s="430">
        <f t="shared" si="273"/>
        <v>400</v>
      </c>
      <c r="AB641" s="430">
        <f t="shared" si="274"/>
        <v>150</v>
      </c>
      <c r="AC641" s="430" t="str">
        <f t="shared" si="275"/>
        <v>N/A</v>
      </c>
      <c r="AD641" s="430">
        <f t="shared" si="276"/>
        <v>75</v>
      </c>
      <c r="AE641" s="431">
        <f t="shared" si="277"/>
        <v>1.0024999999999999</v>
      </c>
      <c r="AF641" s="431"/>
      <c r="AG641" s="431">
        <f t="shared" si="278"/>
        <v>0.92656249999999996</v>
      </c>
      <c r="AH641" s="431">
        <f t="shared" si="279"/>
        <v>0.98215624999999995</v>
      </c>
      <c r="AI641" s="432">
        <f t="shared" si="280"/>
        <v>865.57840400000009</v>
      </c>
      <c r="AJ641" s="432">
        <f t="shared" si="281"/>
        <v>166.74883594998309</v>
      </c>
      <c r="AK641" s="432">
        <f t="shared" si="282"/>
        <v>182.32698915789345</v>
      </c>
      <c r="AL641" s="432">
        <f t="shared" si="283"/>
        <v>362.43974503327831</v>
      </c>
      <c r="AM641" s="250">
        <v>182</v>
      </c>
      <c r="AN641" s="432">
        <f t="shared" si="284"/>
        <v>182</v>
      </c>
      <c r="AO641" s="432">
        <f t="shared" si="285"/>
        <v>178.75243749999998</v>
      </c>
      <c r="AP641" s="432">
        <f t="shared" si="286"/>
        <v>715.00974999999994</v>
      </c>
      <c r="AQ641" s="255" t="s">
        <v>132</v>
      </c>
      <c r="AR641" s="13" t="s">
        <v>2845</v>
      </c>
      <c r="AS641" s="434" t="s">
        <v>2846</v>
      </c>
      <c r="AT641" s="429"/>
      <c r="AU641" s="274"/>
      <c r="AV641" s="276"/>
      <c r="AW641" s="14"/>
      <c r="AX641" s="276"/>
      <c r="AY641" s="185">
        <f t="shared" si="300"/>
        <v>0.6</v>
      </c>
      <c r="AZ641" s="14"/>
      <c r="BA641" s="14" t="str">
        <f t="shared" si="299"/>
        <v>W22</v>
      </c>
      <c r="BB641" s="14"/>
      <c r="BC641" s="266"/>
      <c r="BD641" s="274"/>
      <c r="BE641" s="274"/>
      <c r="BF641" s="185"/>
      <c r="BG641" s="274"/>
      <c r="BH641" s="274"/>
      <c r="BI641" s="185"/>
      <c r="BJ641" s="186"/>
      <c r="BK641" s="187"/>
      <c r="BL641" s="188"/>
      <c r="BM641" s="187"/>
      <c r="BN641" s="185"/>
      <c r="BO641" s="187"/>
      <c r="BP641" s="187"/>
      <c r="BQ641" s="124"/>
      <c r="BR641" s="124">
        <v>1624</v>
      </c>
      <c r="BS641" s="71"/>
      <c r="BT641" s="72">
        <f>P641-V641/10-120/10</f>
        <v>28</v>
      </c>
      <c r="BU641" s="78"/>
      <c r="BV641" s="32">
        <f>T641+(O641/100*(P641-BT641))</f>
        <v>0.99440000000000006</v>
      </c>
      <c r="BW641" s="127"/>
      <c r="BX641" s="78">
        <f>(PI()*((51/2)^2-(16.545/2)^2)/(BV641/10))/100</f>
        <v>183.8121546970919</v>
      </c>
      <c r="BY641" s="78"/>
      <c r="BZ641" s="127"/>
      <c r="CA641" s="76"/>
    </row>
    <row r="642" spans="1:79" s="22" customFormat="1">
      <c r="A642" s="13" t="s">
        <v>2717</v>
      </c>
      <c r="B642" s="387" t="s">
        <v>2814</v>
      </c>
      <c r="C642" s="13"/>
      <c r="D642" s="387"/>
      <c r="E642" s="13" t="s">
        <v>137</v>
      </c>
      <c r="F642" s="13" t="s">
        <v>167</v>
      </c>
      <c r="G642" s="13" t="s">
        <v>2847</v>
      </c>
      <c r="H642" s="13" t="s">
        <v>146</v>
      </c>
      <c r="I642" s="13" t="s">
        <v>147</v>
      </c>
      <c r="J642" s="13" t="s">
        <v>5</v>
      </c>
      <c r="K642" s="13" t="s">
        <v>123</v>
      </c>
      <c r="L642" s="13" t="s">
        <v>2848</v>
      </c>
      <c r="M642" s="13" t="s">
        <v>125</v>
      </c>
      <c r="N642" s="13" t="s">
        <v>126</v>
      </c>
      <c r="O642" s="247">
        <v>0.27</v>
      </c>
      <c r="P642" s="13">
        <v>105</v>
      </c>
      <c r="Q642" s="13">
        <v>30</v>
      </c>
      <c r="R642" s="13" t="s">
        <v>127</v>
      </c>
      <c r="S642" s="430" t="str">
        <f t="shared" si="271"/>
        <v>N/A</v>
      </c>
      <c r="T642" s="247">
        <v>0.8</v>
      </c>
      <c r="U642" s="13">
        <v>200</v>
      </c>
      <c r="V642" s="13">
        <v>600</v>
      </c>
      <c r="W642" s="430">
        <f t="shared" si="265"/>
        <v>400</v>
      </c>
      <c r="X642" s="430">
        <f t="shared" si="266"/>
        <v>150</v>
      </c>
      <c r="Y642" s="13">
        <v>200</v>
      </c>
      <c r="Z642" s="13">
        <v>600</v>
      </c>
      <c r="AA642" s="430">
        <f t="shared" si="273"/>
        <v>400</v>
      </c>
      <c r="AB642" s="430">
        <f t="shared" si="274"/>
        <v>150</v>
      </c>
      <c r="AC642" s="430" t="str">
        <f t="shared" si="275"/>
        <v>N/A</v>
      </c>
      <c r="AD642" s="430">
        <f t="shared" si="276"/>
        <v>75</v>
      </c>
      <c r="AE642" s="431">
        <f t="shared" si="277"/>
        <v>1.0024999999999999</v>
      </c>
      <c r="AF642" s="431"/>
      <c r="AG642" s="431">
        <f t="shared" si="278"/>
        <v>0.93017857142857141</v>
      </c>
      <c r="AH642" s="431">
        <f t="shared" si="279"/>
        <v>0.98598928571428568</v>
      </c>
      <c r="AI642" s="432">
        <f t="shared" si="280"/>
        <v>865.57840400000009</v>
      </c>
      <c r="AJ642" s="432">
        <f t="shared" si="281"/>
        <v>166.74883594998309</v>
      </c>
      <c r="AK642" s="432">
        <f t="shared" si="282"/>
        <v>182.32698915789345</v>
      </c>
      <c r="AL642" s="432">
        <f t="shared" si="283"/>
        <v>362.43974503327831</v>
      </c>
      <c r="AM642" s="250">
        <v>182</v>
      </c>
      <c r="AN642" s="432">
        <f t="shared" si="284"/>
        <v>191.1</v>
      </c>
      <c r="AO642" s="432">
        <f t="shared" si="285"/>
        <v>188.42255249999999</v>
      </c>
      <c r="AP642" s="432">
        <f t="shared" si="286"/>
        <v>628.07517500000006</v>
      </c>
      <c r="AQ642" s="255" t="s">
        <v>170</v>
      </c>
      <c r="AR642" s="13" t="s">
        <v>2849</v>
      </c>
      <c r="AS642" s="434" t="s">
        <v>2850</v>
      </c>
      <c r="AT642" s="429"/>
      <c r="AU642" s="241"/>
      <c r="AV642" s="243"/>
      <c r="AW642" s="72"/>
      <c r="AX642" s="243"/>
      <c r="AY642" s="71">
        <f t="shared" si="300"/>
        <v>0.5714285714285714</v>
      </c>
      <c r="AZ642" s="72"/>
      <c r="BA642" s="72" t="str">
        <f t="shared" si="299"/>
        <v>W22</v>
      </c>
      <c r="BB642" s="72"/>
      <c r="BC642" s="32"/>
      <c r="BD642" s="241"/>
      <c r="BE642" s="241"/>
      <c r="BF642" s="71"/>
      <c r="BG642" s="241"/>
      <c r="BH642" s="241"/>
      <c r="BI642" s="71"/>
      <c r="BJ642" s="123"/>
      <c r="BK642" s="108"/>
      <c r="BL642" s="126"/>
      <c r="BM642" s="108"/>
      <c r="BN642" s="71"/>
      <c r="BO642" s="108"/>
      <c r="BP642" s="108"/>
      <c r="BQ642" s="166"/>
      <c r="BR642" s="140"/>
      <c r="BS642" s="106"/>
      <c r="BT642" s="262"/>
      <c r="BU642" s="269"/>
      <c r="BV642" s="263"/>
      <c r="BW642" s="132"/>
      <c r="BX642" s="269"/>
      <c r="BY642" s="269"/>
      <c r="BZ642" s="132"/>
      <c r="CA642" s="271"/>
    </row>
    <row r="643" spans="1:79" s="22" customFormat="1">
      <c r="A643" s="13" t="s">
        <v>2717</v>
      </c>
      <c r="B643" s="387" t="s">
        <v>2814</v>
      </c>
      <c r="C643" s="13"/>
      <c r="D643" s="387"/>
      <c r="E643" s="13" t="s">
        <v>137</v>
      </c>
      <c r="F643" s="13" t="s">
        <v>167</v>
      </c>
      <c r="G643" s="13" t="s">
        <v>2851</v>
      </c>
      <c r="H643" s="13" t="s">
        <v>146</v>
      </c>
      <c r="I643" s="13" t="s">
        <v>147</v>
      </c>
      <c r="J643" s="13" t="s">
        <v>5</v>
      </c>
      <c r="K643" s="13" t="s">
        <v>123</v>
      </c>
      <c r="L643" s="13" t="s">
        <v>2852</v>
      </c>
      <c r="M643" s="13" t="s">
        <v>125</v>
      </c>
      <c r="N643" s="13" t="s">
        <v>126</v>
      </c>
      <c r="O643" s="247">
        <v>0.46</v>
      </c>
      <c r="P643" s="13">
        <v>108</v>
      </c>
      <c r="Q643" s="13">
        <v>30</v>
      </c>
      <c r="R643" s="13" t="s">
        <v>127</v>
      </c>
      <c r="S643" s="430" t="str">
        <f t="shared" si="271"/>
        <v>N/A</v>
      </c>
      <c r="T643" s="247">
        <v>0.8</v>
      </c>
      <c r="U643" s="13">
        <v>200</v>
      </c>
      <c r="V643" s="13">
        <v>600</v>
      </c>
      <c r="W643" s="430">
        <f t="shared" si="265"/>
        <v>400</v>
      </c>
      <c r="X643" s="430">
        <f t="shared" si="266"/>
        <v>180</v>
      </c>
      <c r="Y643" s="13">
        <v>200</v>
      </c>
      <c r="Z643" s="13">
        <v>600</v>
      </c>
      <c r="AA643" s="430">
        <f t="shared" si="273"/>
        <v>400</v>
      </c>
      <c r="AB643" s="430">
        <f t="shared" si="274"/>
        <v>180</v>
      </c>
      <c r="AC643" s="430" t="str">
        <f t="shared" si="275"/>
        <v>N/A</v>
      </c>
      <c r="AD643" s="430">
        <f t="shared" si="276"/>
        <v>78</v>
      </c>
      <c r="AE643" s="431">
        <f t="shared" si="277"/>
        <v>1.1588000000000001</v>
      </c>
      <c r="AF643" s="431"/>
      <c r="AG643" s="431">
        <f t="shared" si="278"/>
        <v>1.0292333333333334</v>
      </c>
      <c r="AH643" s="431">
        <f t="shared" si="279"/>
        <v>1.0909873333333335</v>
      </c>
      <c r="AI643" s="432">
        <f t="shared" si="280"/>
        <v>877.94839200000001</v>
      </c>
      <c r="AJ643" s="432">
        <f t="shared" si="281"/>
        <v>144.25760100091301</v>
      </c>
      <c r="AK643" s="432">
        <f t="shared" si="282"/>
        <v>157.73455870796354</v>
      </c>
      <c r="AL643" s="432">
        <f t="shared" si="283"/>
        <v>313.55354193636646</v>
      </c>
      <c r="AM643" s="250">
        <v>158</v>
      </c>
      <c r="AN643" s="432">
        <f t="shared" si="284"/>
        <v>170.64</v>
      </c>
      <c r="AO643" s="432">
        <f t="shared" si="285"/>
        <v>186.16607856000002</v>
      </c>
      <c r="AP643" s="432">
        <f t="shared" si="286"/>
        <v>620.55359520000013</v>
      </c>
      <c r="AQ643" s="255" t="s">
        <v>170</v>
      </c>
      <c r="AR643" s="13" t="s">
        <v>2849</v>
      </c>
      <c r="AS643" s="434" t="s">
        <v>2853</v>
      </c>
      <c r="AT643" s="429"/>
      <c r="AU643" s="241"/>
      <c r="AV643" s="243"/>
      <c r="AW643" s="72"/>
      <c r="AX643" s="243"/>
      <c r="AY643" s="71">
        <f t="shared" si="300"/>
        <v>0.55555555555555558</v>
      </c>
      <c r="AZ643" s="72"/>
      <c r="BA643" s="72" t="str">
        <f t="shared" si="299"/>
        <v>W22</v>
      </c>
      <c r="BB643" s="72"/>
      <c r="BC643" s="32"/>
      <c r="BD643" s="241"/>
      <c r="BE643" s="241"/>
      <c r="BF643" s="71"/>
      <c r="BG643" s="241"/>
      <c r="BH643" s="241"/>
      <c r="BI643" s="71"/>
      <c r="BJ643" s="123"/>
      <c r="BK643" s="108"/>
      <c r="BL643" s="126"/>
      <c r="BM643" s="108"/>
      <c r="BN643" s="71"/>
      <c r="BO643" s="108"/>
      <c r="BP643" s="108"/>
      <c r="BQ643" s="83"/>
      <c r="BR643" s="71"/>
      <c r="BS643" s="71"/>
      <c r="BT643" s="13">
        <f>P643-V643/10-120/10</f>
        <v>36</v>
      </c>
      <c r="BU643" s="79">
        <f>BT643-Q643</f>
        <v>6</v>
      </c>
      <c r="BV643" s="29">
        <f>T643+(O643/100*(P643-BT643))</f>
        <v>1.1312</v>
      </c>
      <c r="BW643" s="86">
        <f>(AE643-BV643)/AE643</f>
        <v>2.3817742492233403E-2</v>
      </c>
      <c r="BX643" s="79">
        <f>(PI()*((51/2)^2-(16.545/2)^2)/(BV643/10))/100</f>
        <v>161.58310345720312</v>
      </c>
      <c r="BY643" s="79">
        <f>BX643-AK643</f>
        <v>3.8485447492395792</v>
      </c>
      <c r="BZ643" s="86">
        <f>BY643/AK643</f>
        <v>2.4398868458274502E-2</v>
      </c>
      <c r="CA643" s="76"/>
    </row>
    <row r="644" spans="1:79" s="72" customFormat="1">
      <c r="A644" s="13" t="s">
        <v>2717</v>
      </c>
      <c r="B644" s="387" t="s">
        <v>2814</v>
      </c>
      <c r="C644" s="13"/>
      <c r="D644" s="387"/>
      <c r="E644" s="13" t="s">
        <v>137</v>
      </c>
      <c r="F644" s="13" t="s">
        <v>167</v>
      </c>
      <c r="G644" s="13" t="s">
        <v>2854</v>
      </c>
      <c r="H644" s="13" t="s">
        <v>146</v>
      </c>
      <c r="I644" s="13" t="s">
        <v>147</v>
      </c>
      <c r="J644" s="13" t="s">
        <v>5</v>
      </c>
      <c r="K644" s="13" t="s">
        <v>123</v>
      </c>
      <c r="L644" s="13" t="s">
        <v>2855</v>
      </c>
      <c r="M644" s="13" t="s">
        <v>125</v>
      </c>
      <c r="N644" s="13" t="s">
        <v>126</v>
      </c>
      <c r="O644" s="247">
        <v>0.47</v>
      </c>
      <c r="P644" s="13">
        <v>105</v>
      </c>
      <c r="Q644" s="13">
        <v>30</v>
      </c>
      <c r="R644" s="13" t="s">
        <v>127</v>
      </c>
      <c r="S644" s="430" t="str">
        <f t="shared" si="271"/>
        <v>N/A</v>
      </c>
      <c r="T644" s="247">
        <v>0.8</v>
      </c>
      <c r="U644" s="13">
        <v>200</v>
      </c>
      <c r="V644" s="13">
        <v>600</v>
      </c>
      <c r="W644" s="430">
        <f t="shared" si="265"/>
        <v>400</v>
      </c>
      <c r="X644" s="430">
        <f t="shared" si="266"/>
        <v>150</v>
      </c>
      <c r="Y644" s="13">
        <v>200</v>
      </c>
      <c r="Z644" s="13">
        <v>600</v>
      </c>
      <c r="AA644" s="430">
        <f t="shared" si="273"/>
        <v>400</v>
      </c>
      <c r="AB644" s="430">
        <f t="shared" si="274"/>
        <v>150</v>
      </c>
      <c r="AC644" s="430" t="str">
        <f t="shared" si="275"/>
        <v>N/A</v>
      </c>
      <c r="AD644" s="430">
        <f t="shared" si="276"/>
        <v>75</v>
      </c>
      <c r="AE644" s="431">
        <f t="shared" si="277"/>
        <v>1.1524999999999999</v>
      </c>
      <c r="AF644" s="431"/>
      <c r="AG644" s="431">
        <f t="shared" si="278"/>
        <v>1.0266071428571428</v>
      </c>
      <c r="AH644" s="431">
        <f t="shared" si="279"/>
        <v>1.0882035714285714</v>
      </c>
      <c r="AI644" s="432">
        <f t="shared" si="280"/>
        <v>878.59944400000006</v>
      </c>
      <c r="AJ644" s="432">
        <f t="shared" si="281"/>
        <v>145.04616749662304</v>
      </c>
      <c r="AK644" s="432">
        <f t="shared" si="282"/>
        <v>158.59679534124788</v>
      </c>
      <c r="AL644" s="432">
        <f t="shared" si="283"/>
        <v>315.26754394434835</v>
      </c>
      <c r="AM644" s="250">
        <v>159</v>
      </c>
      <c r="AN644" s="432">
        <f t="shared" si="284"/>
        <v>166.95</v>
      </c>
      <c r="AO644" s="432">
        <f t="shared" si="285"/>
        <v>181.67558624999998</v>
      </c>
      <c r="AP644" s="432">
        <f t="shared" si="286"/>
        <v>605.58528749999994</v>
      </c>
      <c r="AQ644" s="255" t="s">
        <v>170</v>
      </c>
      <c r="AR644" s="13" t="s">
        <v>2849</v>
      </c>
      <c r="AS644" s="434" t="s">
        <v>2856</v>
      </c>
      <c r="AT644" s="429"/>
      <c r="AU644" s="241"/>
      <c r="AV644" s="243"/>
      <c r="AX644" s="243"/>
      <c r="AY644" s="71">
        <f t="shared" si="300"/>
        <v>0.5714285714285714</v>
      </c>
      <c r="BA644" s="72" t="str">
        <f t="shared" si="299"/>
        <v>W22</v>
      </c>
      <c r="BC644" s="32"/>
      <c r="BD644" s="241"/>
      <c r="BE644" s="241"/>
      <c r="BF644" s="71"/>
      <c r="BG644" s="241"/>
      <c r="BH644" s="241"/>
      <c r="BI644" s="71"/>
      <c r="BJ644" s="123"/>
      <c r="BK644" s="108"/>
      <c r="BL644" s="126"/>
      <c r="BM644" s="108"/>
      <c r="BN644" s="71"/>
      <c r="BO644" s="108"/>
      <c r="BP644" s="108"/>
      <c r="BQ644" s="108"/>
      <c r="BR644" s="71"/>
      <c r="BS644" s="71"/>
      <c r="BT644" s="72">
        <f>P644-V644/10-120/10</f>
        <v>33</v>
      </c>
      <c r="BU644" s="78"/>
      <c r="BV644" s="32">
        <f>T644+(O644/100*(P644-BT644))</f>
        <v>1.1383999999999999</v>
      </c>
      <c r="BW644" s="127"/>
      <c r="BX644" s="78">
        <f>(PI()*((51/2)^2-(16.545/2)^2)/(BV644/10))/100</f>
        <v>160.56114426457151</v>
      </c>
      <c r="BY644" s="78"/>
      <c r="BZ644" s="127"/>
      <c r="CA644" s="76"/>
    </row>
    <row r="645" spans="1:79" s="72" customFormat="1">
      <c r="A645" s="13" t="s">
        <v>2717</v>
      </c>
      <c r="B645" s="387" t="s">
        <v>2814</v>
      </c>
      <c r="C645" s="13"/>
      <c r="D645" s="387"/>
      <c r="E645" s="13" t="s">
        <v>137</v>
      </c>
      <c r="F645" s="13" t="s">
        <v>167</v>
      </c>
      <c r="G645" s="13" t="s">
        <v>2857</v>
      </c>
      <c r="H645" s="13" t="s">
        <v>146</v>
      </c>
      <c r="I645" s="13" t="s">
        <v>147</v>
      </c>
      <c r="J645" s="13" t="s">
        <v>5</v>
      </c>
      <c r="K645" s="13" t="s">
        <v>123</v>
      </c>
      <c r="L645" s="13" t="s">
        <v>2858</v>
      </c>
      <c r="M645" s="13" t="s">
        <v>125</v>
      </c>
      <c r="N645" s="13" t="s">
        <v>126</v>
      </c>
      <c r="O645" s="247">
        <v>0.62</v>
      </c>
      <c r="P645" s="13">
        <v>100</v>
      </c>
      <c r="Q645" s="13">
        <v>25</v>
      </c>
      <c r="R645" s="13" t="s">
        <v>127</v>
      </c>
      <c r="S645" s="430" t="str">
        <f t="shared" si="271"/>
        <v>N/A</v>
      </c>
      <c r="T645" s="247">
        <v>0.8</v>
      </c>
      <c r="U645" s="13">
        <v>200</v>
      </c>
      <c r="V645" s="13">
        <v>600</v>
      </c>
      <c r="W645" s="430">
        <f t="shared" si="265"/>
        <v>400</v>
      </c>
      <c r="X645" s="430">
        <f t="shared" si="266"/>
        <v>150</v>
      </c>
      <c r="Y645" s="13">
        <v>200</v>
      </c>
      <c r="Z645" s="13">
        <v>600</v>
      </c>
      <c r="AA645" s="430">
        <f t="shared" si="273"/>
        <v>400</v>
      </c>
      <c r="AB645" s="430">
        <f t="shared" si="274"/>
        <v>150</v>
      </c>
      <c r="AC645" s="430" t="str">
        <f t="shared" si="275"/>
        <v>N/A</v>
      </c>
      <c r="AD645" s="430">
        <f t="shared" si="276"/>
        <v>75</v>
      </c>
      <c r="AE645" s="431">
        <f t="shared" si="277"/>
        <v>1.2650000000000001</v>
      </c>
      <c r="AF645" s="431"/>
      <c r="AG645" s="431">
        <f t="shared" si="278"/>
        <v>1.0906250000000002</v>
      </c>
      <c r="AH645" s="431">
        <f t="shared" si="279"/>
        <v>1.1560625000000002</v>
      </c>
      <c r="AI645" s="432">
        <f t="shared" si="280"/>
        <v>888.36522400000001</v>
      </c>
      <c r="AJ645" s="432">
        <f t="shared" si="281"/>
        <v>132.14680477459132</v>
      </c>
      <c r="AK645" s="432">
        <f t="shared" si="282"/>
        <v>144.49233725754004</v>
      </c>
      <c r="AL645" s="432">
        <f t="shared" si="283"/>
        <v>287.22991651846752</v>
      </c>
      <c r="AM645" s="250">
        <v>144</v>
      </c>
      <c r="AN645" s="432">
        <f t="shared" si="284"/>
        <v>144</v>
      </c>
      <c r="AO645" s="432">
        <f t="shared" si="285"/>
        <v>166.47300000000004</v>
      </c>
      <c r="AP645" s="432">
        <f t="shared" si="286"/>
        <v>665.89200000000017</v>
      </c>
      <c r="AQ645" s="255" t="s">
        <v>170</v>
      </c>
      <c r="AR645" s="13" t="s">
        <v>2849</v>
      </c>
      <c r="AS645" s="434" t="s">
        <v>2859</v>
      </c>
      <c r="AT645" s="429"/>
      <c r="AU645" s="241"/>
      <c r="AV645" s="243"/>
      <c r="AX645" s="243"/>
      <c r="AY645" s="71">
        <f t="shared" si="300"/>
        <v>0.6</v>
      </c>
      <c r="BA645" s="72" t="str">
        <f t="shared" si="299"/>
        <v>W22</v>
      </c>
      <c r="BC645" s="32"/>
      <c r="BD645" s="241"/>
      <c r="BE645" s="241"/>
      <c r="BF645" s="71"/>
      <c r="BG645" s="241"/>
      <c r="BH645" s="241"/>
      <c r="BI645" s="71"/>
      <c r="BJ645" s="123"/>
      <c r="BK645" s="108"/>
      <c r="BL645" s="126"/>
      <c r="BM645" s="108"/>
      <c r="BN645" s="71"/>
      <c r="BO645" s="108"/>
      <c r="BP645" s="108"/>
      <c r="BQ645" s="83"/>
      <c r="BR645" s="71"/>
      <c r="BS645" s="71"/>
      <c r="BT645" s="13">
        <f>P645-V645/10-120/10</f>
        <v>28</v>
      </c>
      <c r="BU645" s="79">
        <f>BT645-Q645</f>
        <v>3</v>
      </c>
      <c r="BV645" s="29">
        <f>T645+(O645/100*(P645-BT645))</f>
        <v>1.2464</v>
      </c>
      <c r="BW645" s="86">
        <f>(AE645-BV645)/AE645</f>
        <v>1.4703557312253099E-2</v>
      </c>
      <c r="BX645" s="79">
        <f>(PI()*((51/2)^2-(16.545/2)^2)/(BV645/10))/100</f>
        <v>146.64859325319975</v>
      </c>
      <c r="BY645" s="79">
        <f>BX645-AK645</f>
        <v>2.1562559956597056</v>
      </c>
      <c r="BZ645" s="86">
        <f>BY645/AK645</f>
        <v>1.4922978177150261E-2</v>
      </c>
      <c r="CA645" s="76"/>
    </row>
    <row r="646" spans="1:79" s="72" customFormat="1">
      <c r="A646" s="13" t="s">
        <v>2717</v>
      </c>
      <c r="B646" s="13"/>
      <c r="C646" s="13" t="s">
        <v>657</v>
      </c>
      <c r="D646" s="13" t="s">
        <v>657</v>
      </c>
      <c r="E646" s="13" t="s">
        <v>137</v>
      </c>
      <c r="F646" s="13" t="s">
        <v>119</v>
      </c>
      <c r="G646" s="13" t="s">
        <v>2860</v>
      </c>
      <c r="H646" s="13" t="s">
        <v>146</v>
      </c>
      <c r="I646" s="13" t="s">
        <v>147</v>
      </c>
      <c r="J646" s="13" t="s">
        <v>274</v>
      </c>
      <c r="K646" s="13" t="s">
        <v>123</v>
      </c>
      <c r="L646" s="13" t="s">
        <v>2861</v>
      </c>
      <c r="M646" s="13" t="s">
        <v>125</v>
      </c>
      <c r="N646" s="13" t="s">
        <v>126</v>
      </c>
      <c r="O646" s="247">
        <v>0.4</v>
      </c>
      <c r="P646" s="13">
        <v>101</v>
      </c>
      <c r="Q646" s="13">
        <v>30</v>
      </c>
      <c r="R646" s="445">
        <v>18</v>
      </c>
      <c r="S646" s="430">
        <f t="shared" si="271"/>
        <v>83</v>
      </c>
      <c r="T646" s="247">
        <v>0.8</v>
      </c>
      <c r="U646" s="13">
        <v>150</v>
      </c>
      <c r="V646" s="13">
        <v>590</v>
      </c>
      <c r="W646" s="430">
        <f t="shared" ref="W646:W672" si="301">V646-U646</f>
        <v>440</v>
      </c>
      <c r="X646" s="430">
        <f t="shared" ref="X646:X672" si="302">AD646*10-V646</f>
        <v>120</v>
      </c>
      <c r="Y646" s="13">
        <v>80</v>
      </c>
      <c r="Z646" s="13">
        <v>630</v>
      </c>
      <c r="AA646" s="430">
        <f t="shared" si="273"/>
        <v>550</v>
      </c>
      <c r="AB646" s="430">
        <f t="shared" si="274"/>
        <v>80</v>
      </c>
      <c r="AC646" s="430">
        <f t="shared" si="275"/>
        <v>120</v>
      </c>
      <c r="AD646" s="430">
        <f t="shared" si="276"/>
        <v>71</v>
      </c>
      <c r="AE646" s="431">
        <f t="shared" si="277"/>
        <v>1.0840000000000001</v>
      </c>
      <c r="AF646" s="431"/>
      <c r="AG646" s="431">
        <f t="shared" si="278"/>
        <v>0.98417821782178228</v>
      </c>
      <c r="AH646" s="431">
        <f t="shared" si="279"/>
        <v>1.0432289108910893</v>
      </c>
      <c r="AI646" s="432">
        <f t="shared" si="280"/>
        <v>874.04208000000006</v>
      </c>
      <c r="AJ646" s="432">
        <f t="shared" si="281"/>
        <v>154.21190778584688</v>
      </c>
      <c r="AK646" s="432">
        <f t="shared" si="282"/>
        <v>168.61882530515513</v>
      </c>
      <c r="AL646" s="432">
        <f t="shared" si="283"/>
        <v>335.18989335411572</v>
      </c>
      <c r="AM646" s="250">
        <v>50</v>
      </c>
      <c r="AN646" s="432">
        <f t="shared" si="284"/>
        <v>50.5</v>
      </c>
      <c r="AO646" s="432">
        <f t="shared" si="285"/>
        <v>52.683060000000005</v>
      </c>
      <c r="AP646" s="432">
        <f t="shared" si="286"/>
        <v>175.61020000000002</v>
      </c>
      <c r="AQ646" s="255">
        <v>44896</v>
      </c>
      <c r="AR646" s="255" t="s">
        <v>2862</v>
      </c>
      <c r="AS646" s="434" t="s">
        <v>2863</v>
      </c>
      <c r="AT646" s="429"/>
      <c r="AU646" s="250"/>
      <c r="AV646" s="255"/>
      <c r="AW646" s="13" t="s">
        <v>127</v>
      </c>
      <c r="AX646" s="255"/>
      <c r="AY646" s="103">
        <f t="shared" si="300"/>
        <v>0.58415841584158412</v>
      </c>
      <c r="AZ646" s="13"/>
      <c r="BA646" s="13" t="str">
        <f t="shared" si="299"/>
        <v>W23</v>
      </c>
      <c r="BB646" s="72" t="str">
        <f t="shared" ref="BB646:BB669" si="303">IF(R646="n/a","Clear","S/B")</f>
        <v>S/B</v>
      </c>
      <c r="BC646" s="32">
        <f>IF(Q646="","",((P646/100*O646)+T646))</f>
        <v>1.2040000000000002</v>
      </c>
      <c r="BD646" s="241">
        <f>IF(BC646="","",((PI()*((51/2)^2-(16.545/2)^2)/(BC646/10))/100))</f>
        <v>151.81296231793033</v>
      </c>
      <c r="BE646" s="241"/>
      <c r="BF646" s="71"/>
      <c r="BG646" s="241"/>
      <c r="BH646" s="241"/>
      <c r="BI646" s="71"/>
      <c r="BJ646" s="114"/>
      <c r="BK646" s="315"/>
      <c r="BL646" s="112"/>
      <c r="BM646" s="139"/>
      <c r="BN646" s="123"/>
      <c r="BO646" s="184"/>
      <c r="BP646" s="158"/>
      <c r="BQ646" s="110"/>
      <c r="BR646" s="75"/>
      <c r="BS646" s="75"/>
      <c r="BT646" s="74"/>
      <c r="BU646" s="74"/>
      <c r="BV646" s="74"/>
      <c r="BW646" s="74"/>
      <c r="BX646" s="74"/>
      <c r="BY646" s="74"/>
      <c r="BZ646" s="74"/>
      <c r="CA646" s="74"/>
    </row>
    <row r="647" spans="1:79" s="22" customFormat="1">
      <c r="A647" s="13" t="s">
        <v>2717</v>
      </c>
      <c r="B647" s="13"/>
      <c r="C647" s="13" t="s">
        <v>657</v>
      </c>
      <c r="D647" s="13" t="s">
        <v>657</v>
      </c>
      <c r="E647" s="13" t="s">
        <v>137</v>
      </c>
      <c r="F647" s="13" t="s">
        <v>119</v>
      </c>
      <c r="G647" s="13" t="s">
        <v>2864</v>
      </c>
      <c r="H647" s="13" t="s">
        <v>146</v>
      </c>
      <c r="I647" s="13" t="s">
        <v>147</v>
      </c>
      <c r="J647" s="13" t="s">
        <v>274</v>
      </c>
      <c r="K647" s="13" t="s">
        <v>123</v>
      </c>
      <c r="L647" s="13" t="s">
        <v>2865</v>
      </c>
      <c r="M647" s="13" t="s">
        <v>125</v>
      </c>
      <c r="N647" s="13" t="s">
        <v>126</v>
      </c>
      <c r="O647" s="247">
        <v>0.42</v>
      </c>
      <c r="P647" s="13">
        <v>101</v>
      </c>
      <c r="Q647" s="13">
        <v>30</v>
      </c>
      <c r="R647" s="445">
        <v>18</v>
      </c>
      <c r="S647" s="430">
        <f t="shared" si="271"/>
        <v>83</v>
      </c>
      <c r="T647" s="247">
        <v>0.8</v>
      </c>
      <c r="U647" s="13">
        <v>150</v>
      </c>
      <c r="V647" s="13">
        <v>590</v>
      </c>
      <c r="W647" s="430">
        <f t="shared" si="301"/>
        <v>440</v>
      </c>
      <c r="X647" s="430">
        <f t="shared" si="302"/>
        <v>120</v>
      </c>
      <c r="Y647" s="13">
        <v>80</v>
      </c>
      <c r="Z647" s="13">
        <v>630</v>
      </c>
      <c r="AA647" s="430">
        <f t="shared" si="273"/>
        <v>550</v>
      </c>
      <c r="AB647" s="430">
        <f t="shared" si="274"/>
        <v>80</v>
      </c>
      <c r="AC647" s="430">
        <f t="shared" si="275"/>
        <v>120</v>
      </c>
      <c r="AD647" s="430">
        <f t="shared" si="276"/>
        <v>71</v>
      </c>
      <c r="AE647" s="431">
        <f t="shared" si="277"/>
        <v>1.0982000000000001</v>
      </c>
      <c r="AF647" s="431"/>
      <c r="AG647" s="431">
        <f t="shared" si="278"/>
        <v>0.99338712871287127</v>
      </c>
      <c r="AH647" s="431">
        <f t="shared" si="279"/>
        <v>1.0529903564356435</v>
      </c>
      <c r="AI647" s="432">
        <f t="shared" si="280"/>
        <v>875.34418400000015</v>
      </c>
      <c r="AJ647" s="432">
        <f t="shared" si="281"/>
        <v>152.21790934243128</v>
      </c>
      <c r="AK647" s="432">
        <f t="shared" si="282"/>
        <v>166.43854182370077</v>
      </c>
      <c r="AL647" s="432">
        <f t="shared" si="283"/>
        <v>330.8558044034433</v>
      </c>
      <c r="AM647" s="250">
        <v>50</v>
      </c>
      <c r="AN647" s="432">
        <f t="shared" si="284"/>
        <v>50.5</v>
      </c>
      <c r="AO647" s="432">
        <f t="shared" si="285"/>
        <v>53.176012999999998</v>
      </c>
      <c r="AP647" s="432">
        <f t="shared" si="286"/>
        <v>177.25337666666667</v>
      </c>
      <c r="AQ647" s="255">
        <v>44896</v>
      </c>
      <c r="AR647" s="255" t="s">
        <v>2862</v>
      </c>
      <c r="AS647" s="434" t="s">
        <v>2866</v>
      </c>
      <c r="AT647" s="429"/>
      <c r="AU647" s="250"/>
      <c r="AV647" s="255"/>
      <c r="AW647" s="13" t="s">
        <v>127</v>
      </c>
      <c r="AX647" s="255"/>
      <c r="AY647" s="103">
        <f t="shared" si="300"/>
        <v>0.58415841584158412</v>
      </c>
      <c r="AZ647" s="13"/>
      <c r="BA647" s="13" t="str">
        <f t="shared" si="299"/>
        <v>W23</v>
      </c>
      <c r="BB647" s="72" t="str">
        <f t="shared" si="303"/>
        <v>S/B</v>
      </c>
      <c r="BC647" s="32">
        <f>IF(Q647="","",((P647/100*O647)+T647))</f>
        <v>1.2242</v>
      </c>
      <c r="BD647" s="241">
        <f>IF(BC647="","",((PI()*((51/2)^2-(16.545/2)^2)/(BC647/10))/100))</f>
        <v>149.3079616327301</v>
      </c>
      <c r="BE647" s="241"/>
      <c r="BF647" s="71"/>
      <c r="BG647" s="241"/>
      <c r="BH647" s="241"/>
      <c r="BI647" s="71"/>
      <c r="BJ647" s="114"/>
      <c r="BK647" s="315"/>
      <c r="BL647" s="112"/>
      <c r="BM647" s="139"/>
      <c r="BN647" s="123"/>
      <c r="BO647" s="184"/>
      <c r="BP647" s="158"/>
      <c r="BQ647" s="71"/>
      <c r="BR647" s="71"/>
      <c r="BS647" s="71"/>
      <c r="BT647" s="72"/>
      <c r="BU647" s="72"/>
      <c r="BV647" s="72"/>
      <c r="BW647" s="72"/>
      <c r="BX647" s="72"/>
      <c r="BY647" s="72"/>
      <c r="BZ647" s="72"/>
      <c r="CA647" s="72"/>
    </row>
    <row r="648" spans="1:79" s="72" customFormat="1" ht="15" customHeight="1">
      <c r="A648" s="13" t="s">
        <v>2717</v>
      </c>
      <c r="B648" s="13"/>
      <c r="C648" s="13" t="s">
        <v>657</v>
      </c>
      <c r="D648" s="13" t="s">
        <v>657</v>
      </c>
      <c r="E648" s="13" t="s">
        <v>137</v>
      </c>
      <c r="F648" s="13" t="s">
        <v>119</v>
      </c>
      <c r="G648" s="13" t="s">
        <v>2867</v>
      </c>
      <c r="H648" s="13" t="s">
        <v>146</v>
      </c>
      <c r="I648" s="13" t="s">
        <v>147</v>
      </c>
      <c r="J648" s="13" t="s">
        <v>274</v>
      </c>
      <c r="K648" s="13" t="s">
        <v>123</v>
      </c>
      <c r="L648" s="13" t="s">
        <v>2868</v>
      </c>
      <c r="M648" s="13" t="s">
        <v>125</v>
      </c>
      <c r="N648" s="13" t="s">
        <v>126</v>
      </c>
      <c r="O648" s="247">
        <v>0.5</v>
      </c>
      <c r="P648" s="13">
        <v>101</v>
      </c>
      <c r="Q648" s="13">
        <v>28</v>
      </c>
      <c r="R648" s="13">
        <v>20</v>
      </c>
      <c r="S648" s="430">
        <f t="shared" ref="S648:S672" si="304">IF(R648="n/a","N/A",P648-R648)</f>
        <v>81</v>
      </c>
      <c r="T648" s="247">
        <v>0.8</v>
      </c>
      <c r="U648" s="13">
        <v>80</v>
      </c>
      <c r="V648" s="13">
        <v>606</v>
      </c>
      <c r="W648" s="430">
        <f t="shared" si="301"/>
        <v>526</v>
      </c>
      <c r="X648" s="430">
        <f t="shared" si="302"/>
        <v>124</v>
      </c>
      <c r="Y648" s="13">
        <f>U648</f>
        <v>80</v>
      </c>
      <c r="Z648" s="13">
        <f>V648</f>
        <v>606</v>
      </c>
      <c r="AA648" s="430">
        <f t="shared" si="273"/>
        <v>526</v>
      </c>
      <c r="AB648" s="430">
        <f t="shared" si="274"/>
        <v>124</v>
      </c>
      <c r="AC648" s="430">
        <f t="shared" si="275"/>
        <v>80</v>
      </c>
      <c r="AD648" s="430">
        <f t="shared" si="276"/>
        <v>73</v>
      </c>
      <c r="AE648" s="431">
        <f t="shared" si="277"/>
        <v>1.165</v>
      </c>
      <c r="AF648" s="431"/>
      <c r="AG648" s="431">
        <f t="shared" si="278"/>
        <v>1.0330940594059406</v>
      </c>
      <c r="AH648" s="431">
        <f t="shared" si="279"/>
        <v>1.095079702970297</v>
      </c>
      <c r="AI648" s="432">
        <f t="shared" si="280"/>
        <v>880.5526000000001</v>
      </c>
      <c r="AJ648" s="432">
        <f t="shared" si="281"/>
        <v>143.48987814580087</v>
      </c>
      <c r="AK648" s="432">
        <f t="shared" si="282"/>
        <v>156.89511298780101</v>
      </c>
      <c r="AL648" s="432">
        <f t="shared" si="283"/>
        <v>311.88484497498837</v>
      </c>
      <c r="AM648" s="250">
        <v>50</v>
      </c>
      <c r="AN648" s="432">
        <f t="shared" si="284"/>
        <v>50.5</v>
      </c>
      <c r="AO648" s="432">
        <f t="shared" si="285"/>
        <v>55.301524999999998</v>
      </c>
      <c r="AP648" s="432">
        <f t="shared" si="286"/>
        <v>197.50544642857139</v>
      </c>
      <c r="AQ648" s="255">
        <v>44593</v>
      </c>
      <c r="AR648" s="255" t="s">
        <v>2869</v>
      </c>
      <c r="AS648" s="434"/>
      <c r="AT648" s="429"/>
      <c r="AU648" s="250"/>
      <c r="AV648" s="255"/>
      <c r="AW648" s="13" t="s">
        <v>127</v>
      </c>
      <c r="AX648" s="255"/>
      <c r="AY648" s="103">
        <f t="shared" si="300"/>
        <v>0.6</v>
      </c>
      <c r="AZ648" s="13"/>
      <c r="BA648" s="13" t="str">
        <f t="shared" si="299"/>
        <v>W23</v>
      </c>
      <c r="BB648" s="72" t="str">
        <f t="shared" si="303"/>
        <v>S/B</v>
      </c>
      <c r="BC648" s="32">
        <f>IF(Q648="","",((P648/100*O648)+T648))</f>
        <v>1.3050000000000002</v>
      </c>
      <c r="BD648" s="241">
        <f>IF(BC648="","",((PI()*((51/2)^2-(16.545/2)^2)/(BC648/10))/100))</f>
        <v>140.06345335692581</v>
      </c>
      <c r="BE648" s="241">
        <f>IF(BC648="","",(BD648-AK648))</f>
        <v>-16.831659630875208</v>
      </c>
      <c r="BF648" s="71">
        <f>IF(BC648="","",(BE648/AK648))</f>
        <v>-0.10727969348659006</v>
      </c>
      <c r="BG648" s="241">
        <f>IF(BF648="","",((PI()*((70/2)^2-(16.545/2)^2)/(BC648/10))/100))</f>
        <v>278.42593440295894</v>
      </c>
      <c r="BH648" s="241">
        <f>IF(BF648="","",(BG648-AL648))</f>
        <v>-33.458910572029424</v>
      </c>
      <c r="BI648" s="71">
        <f>IF(BG648="","",(BH648/AL648))</f>
        <v>-0.10727969348659011</v>
      </c>
      <c r="BJ648" s="114"/>
      <c r="BK648" s="315"/>
      <c r="BL648" s="112"/>
      <c r="BM648" s="101"/>
      <c r="BN648" s="123"/>
      <c r="BO648" s="141"/>
      <c r="BP648" s="158"/>
      <c r="BQ648" s="124"/>
      <c r="BR648" s="124"/>
      <c r="BS648" s="71"/>
      <c r="BU648" s="78"/>
      <c r="BV648" s="32"/>
      <c r="BW648" s="127"/>
      <c r="BX648" s="78"/>
      <c r="BY648" s="78"/>
      <c r="BZ648" s="127"/>
      <c r="CA648" s="76"/>
    </row>
    <row r="649" spans="1:79" s="72" customFormat="1">
      <c r="A649" s="13" t="s">
        <v>2717</v>
      </c>
      <c r="B649" s="13"/>
      <c r="C649" s="13" t="s">
        <v>657</v>
      </c>
      <c r="D649" s="13" t="s">
        <v>657</v>
      </c>
      <c r="E649" s="13" t="s">
        <v>137</v>
      </c>
      <c r="F649" s="13" t="s">
        <v>119</v>
      </c>
      <c r="G649" s="13" t="s">
        <v>2870</v>
      </c>
      <c r="H649" s="13" t="s">
        <v>146</v>
      </c>
      <c r="I649" s="13" t="s">
        <v>147</v>
      </c>
      <c r="J649" s="13" t="s">
        <v>274</v>
      </c>
      <c r="K649" s="13" t="s">
        <v>123</v>
      </c>
      <c r="L649" s="13" t="s">
        <v>2871</v>
      </c>
      <c r="M649" s="13" t="s">
        <v>125</v>
      </c>
      <c r="N649" s="13" t="s">
        <v>126</v>
      </c>
      <c r="O649" s="247">
        <v>0.5</v>
      </c>
      <c r="P649" s="13">
        <v>101</v>
      </c>
      <c r="Q649" s="13">
        <v>30</v>
      </c>
      <c r="R649" s="13">
        <v>20</v>
      </c>
      <c r="S649" s="430">
        <f t="shared" si="304"/>
        <v>81</v>
      </c>
      <c r="T649" s="247">
        <v>0.8</v>
      </c>
      <c r="U649" s="13">
        <v>150</v>
      </c>
      <c r="V649" s="13">
        <v>550</v>
      </c>
      <c r="W649" s="430">
        <f t="shared" si="301"/>
        <v>400</v>
      </c>
      <c r="X649" s="430">
        <f t="shared" si="302"/>
        <v>160</v>
      </c>
      <c r="Y649" s="13">
        <v>150</v>
      </c>
      <c r="Z649" s="13">
        <v>600</v>
      </c>
      <c r="AA649" s="430">
        <f t="shared" ref="AA649:AA672" si="305">Z649-Y649</f>
        <v>450</v>
      </c>
      <c r="AB649" s="430">
        <f t="shared" ref="AB649:AB672" si="306">AD649*10-Z649</f>
        <v>110</v>
      </c>
      <c r="AC649" s="430">
        <f t="shared" ref="AC649:AC672" si="307">IF(J649="clear","N/A",((Q649-R649)*10))</f>
        <v>100</v>
      </c>
      <c r="AD649" s="430">
        <f t="shared" ref="AD649:AD672" si="308">P649-Q649</f>
        <v>71</v>
      </c>
      <c r="AE649" s="431">
        <f t="shared" ref="AE649:AE672" si="309">T649+(O649/100*AD649)</f>
        <v>1.155</v>
      </c>
      <c r="AF649" s="431"/>
      <c r="AG649" s="431">
        <f t="shared" ref="AG649:AG672" si="310">(((T649+(0.5*(AE649-T649)))*AD649)+(AE649*Q649))/P649</f>
        <v>1.0302227722772279</v>
      </c>
      <c r="AH649" s="431">
        <f t="shared" ref="AH649:AH672" si="311">IF(MID(G649,2,2)="10",(AG649/1000*$W$2),(IF(MID(G649,2,2)="11",(AG649/1000*$X$2),(IF(MID(G649,2,2)="12",(AG649/1000*$Y$2),(IF(MID(G649,2,2)="13",(AG649/1000*$Z$2),(IF(MID(G649,2,2)="20",(AG649/1000*$AA$2),(IF(MID(G649,2,2)="21",(AG649/1000*$AB$2),(IF(MID(G649,2,2)="22",(AG649/1000*$AC$2),(IF(MID(G649,2,2)="23",(AG649/1000*$AD$2),(IF(MID(G649,2,2)="50",(AG649/1000*$AE$2),(IF(MID(G649,2,2)="51",(AG649/1000*$AG$2),"?")))))))))))))))))))</f>
        <v>1.0920361386138617</v>
      </c>
      <c r="AI649" s="432">
        <f t="shared" ref="AI649:AI672" si="312">IF(MID(G649,2,2)="10",((T649+O649*(6.142)/100)*$W$2),(IF(MID(G649,2,2)="11",((T649+O649*(6.142)/100)*$X$2),(IF(MID(G649,2,2)="12",((T649+O649*(6.142)/100)*$Y$2),(IF(MID(G649,2,2)="13",((T649+O649*(6.142)/100)*$Z$2),(IF(MID(G649,2,2)="20",((T649+O649*(6.142)/100)*$AA$2),(IF(MID(G649,2,2)="21",((T649+O649*(6.142)/100)*$AB$2),(IF(MID(G649,2,2)="22",((T649+O649*(6.142)/100)*$AC$2),(IF(MID(G649,2,2)="23",((T649+O649*(6.142)/100)*$AD$2),(IF(MID(G649,2,2)="50",((T649+O649*(6.142)/100)*$AE$2),(IF(MID(G649,2,2)="51",((T649+O649*(6.142)/100)*$AG$2),"?")))))))))))))))))))</f>
        <v>880.5526000000001</v>
      </c>
      <c r="AJ649" s="432">
        <f t="shared" ref="AJ649:AJ672" si="313">(PI()*((49/2)^2-(16.51/2)^2)/(AE649/10))/100</f>
        <v>144.73221475312383</v>
      </c>
      <c r="AK649" s="432">
        <f t="shared" ref="AK649:AK672" si="314">(PI()*((51/2)^2-(16.545/2)^2)/(AE649/10))/100</f>
        <v>158.25351223444864</v>
      </c>
      <c r="AL649" s="432">
        <f t="shared" ref="AL649:AL672" si="315">(PI()*((70/2)^2-(16.545/2)^2)/(AE649/10))/100</f>
        <v>314.58514666308349</v>
      </c>
      <c r="AM649" s="250">
        <v>158</v>
      </c>
      <c r="AN649" s="432">
        <f t="shared" ref="AN649:AN672" si="316">AM649*P649/100</f>
        <v>159.58000000000001</v>
      </c>
      <c r="AO649" s="432">
        <f t="shared" ref="AO649:AO672" si="317">AN649*AH649</f>
        <v>174.26712700000007</v>
      </c>
      <c r="AP649" s="432">
        <f t="shared" ref="AP649:AP672" si="318">AO649/(Q649/100)</f>
        <v>580.89042333333362</v>
      </c>
      <c r="AQ649" s="255">
        <v>45008</v>
      </c>
      <c r="AR649" s="255" t="s">
        <v>2738</v>
      </c>
      <c r="AS649" s="434" t="s">
        <v>2872</v>
      </c>
      <c r="AT649" s="429"/>
      <c r="AU649" s="252"/>
      <c r="AV649" s="260"/>
      <c r="AW649" s="13" t="s">
        <v>127</v>
      </c>
      <c r="AX649" s="260"/>
      <c r="AY649" s="103">
        <f t="shared" si="300"/>
        <v>0.54455445544554459</v>
      </c>
      <c r="AZ649" s="22"/>
      <c r="BA649" s="13" t="str">
        <f t="shared" si="299"/>
        <v>W23</v>
      </c>
      <c r="BB649" s="72" t="str">
        <f t="shared" si="303"/>
        <v>S/B</v>
      </c>
      <c r="BC649" s="73"/>
      <c r="BD649" s="252"/>
      <c r="BE649" s="252"/>
      <c r="BF649" s="80"/>
      <c r="BG649" s="252"/>
      <c r="BH649" s="252"/>
      <c r="BI649" s="80"/>
      <c r="BJ649" s="114"/>
      <c r="BK649" s="315"/>
      <c r="BL649" s="112"/>
      <c r="BM649" s="139"/>
      <c r="BN649" s="123"/>
      <c r="BO649" s="184"/>
      <c r="BP649" s="114"/>
      <c r="BQ649" s="103"/>
      <c r="BR649" s="71"/>
      <c r="BS649" s="71"/>
      <c r="BT649" s="13"/>
      <c r="BU649" s="79"/>
      <c r="BV649" s="29"/>
      <c r="BW649" s="86"/>
      <c r="BX649" s="79"/>
      <c r="BY649" s="79"/>
      <c r="BZ649" s="86"/>
      <c r="CA649" s="76"/>
    </row>
    <row r="650" spans="1:79" s="22" customFormat="1">
      <c r="A650" s="13" t="s">
        <v>2717</v>
      </c>
      <c r="B650" s="13"/>
      <c r="C650" s="13" t="s">
        <v>657</v>
      </c>
      <c r="D650" s="13" t="s">
        <v>657</v>
      </c>
      <c r="E650" s="13" t="s">
        <v>137</v>
      </c>
      <c r="F650" s="13" t="s">
        <v>119</v>
      </c>
      <c r="G650" s="13" t="s">
        <v>2873</v>
      </c>
      <c r="H650" s="13" t="s">
        <v>119</v>
      </c>
      <c r="I650" s="13" t="s">
        <v>139</v>
      </c>
      <c r="J650" s="13" t="s">
        <v>5</v>
      </c>
      <c r="K650" s="13" t="s">
        <v>140</v>
      </c>
      <c r="L650" s="13" t="s">
        <v>2782</v>
      </c>
      <c r="M650" s="13"/>
      <c r="N650" s="13" t="s">
        <v>142</v>
      </c>
      <c r="O650" s="247">
        <v>0.5</v>
      </c>
      <c r="P650" s="13">
        <v>100</v>
      </c>
      <c r="Q650" s="13">
        <v>28</v>
      </c>
      <c r="R650" s="13" t="s">
        <v>127</v>
      </c>
      <c r="S650" s="430" t="str">
        <f t="shared" si="304"/>
        <v>N/A</v>
      </c>
      <c r="T650" s="247">
        <v>0.76</v>
      </c>
      <c r="U650" s="13">
        <v>80</v>
      </c>
      <c r="V650" s="13">
        <v>600</v>
      </c>
      <c r="W650" s="430">
        <f t="shared" si="301"/>
        <v>520</v>
      </c>
      <c r="X650" s="430">
        <f t="shared" si="302"/>
        <v>120</v>
      </c>
      <c r="Y650" s="13">
        <f>U650</f>
        <v>80</v>
      </c>
      <c r="Z650" s="13">
        <f>V650</f>
        <v>600</v>
      </c>
      <c r="AA650" s="430">
        <f t="shared" si="305"/>
        <v>520</v>
      </c>
      <c r="AB650" s="430">
        <f t="shared" si="306"/>
        <v>120</v>
      </c>
      <c r="AC650" s="430" t="str">
        <f t="shared" si="307"/>
        <v>N/A</v>
      </c>
      <c r="AD650" s="430">
        <f t="shared" si="308"/>
        <v>72</v>
      </c>
      <c r="AE650" s="431">
        <f t="shared" si="309"/>
        <v>1.1200000000000001</v>
      </c>
      <c r="AF650" s="431"/>
      <c r="AG650" s="431">
        <f t="shared" si="310"/>
        <v>0.99040000000000006</v>
      </c>
      <c r="AH650" s="431">
        <f t="shared" si="311"/>
        <v>1.0547759999999999</v>
      </c>
      <c r="AI650" s="432">
        <f t="shared" si="312"/>
        <v>842.10615000000007</v>
      </c>
      <c r="AJ650" s="432">
        <f t="shared" si="313"/>
        <v>149.25509646415895</v>
      </c>
      <c r="AK650" s="432">
        <f t="shared" si="314"/>
        <v>163.19893449177513</v>
      </c>
      <c r="AL650" s="432">
        <f t="shared" si="315"/>
        <v>324.41593249630483</v>
      </c>
      <c r="AM650" s="250">
        <v>50</v>
      </c>
      <c r="AN650" s="432">
        <f t="shared" si="316"/>
        <v>50</v>
      </c>
      <c r="AO650" s="432">
        <f t="shared" si="317"/>
        <v>52.738799999999998</v>
      </c>
      <c r="AP650" s="432">
        <f t="shared" si="318"/>
        <v>188.35285714285712</v>
      </c>
      <c r="AQ650" s="255">
        <v>44562</v>
      </c>
      <c r="AR650" s="255" t="s">
        <v>2869</v>
      </c>
      <c r="AS650" s="434" t="s">
        <v>2874</v>
      </c>
      <c r="AT650" s="429"/>
      <c r="AU650" s="250"/>
      <c r="AV650" s="255"/>
      <c r="AW650" s="13" t="s">
        <v>127</v>
      </c>
      <c r="AX650" s="255"/>
      <c r="AY650" s="103">
        <f t="shared" si="300"/>
        <v>0.6</v>
      </c>
      <c r="AZ650" s="13"/>
      <c r="BA650" s="13" t="str">
        <f t="shared" si="299"/>
        <v>W50</v>
      </c>
      <c r="BB650" s="72" t="str">
        <f t="shared" si="303"/>
        <v>Clear</v>
      </c>
      <c r="BC650" s="32">
        <f>IF(Q650="","",((P650/100*O650)+T650))</f>
        <v>1.26</v>
      </c>
      <c r="BD650" s="241">
        <f>IF(BC650="","",((PI()*((51/2)^2-(16.545/2)^2)/(BC650/10))/100))</f>
        <v>145.06571954824457</v>
      </c>
      <c r="BE650" s="241">
        <f>IF(BC650="","",(BD650-AK650))</f>
        <v>-18.133214943530561</v>
      </c>
      <c r="BF650" s="71">
        <f>IF(BC650="","",(BE650/AK650))</f>
        <v>-0.11111111111111105</v>
      </c>
      <c r="BG650" s="241">
        <f>IF(BF650="","",((PI()*((70/2)^2-(16.545/2)^2)/(BC650/10))/100))</f>
        <v>288.36971777449321</v>
      </c>
      <c r="BH650" s="241">
        <f>IF(BF650="","",(BG650-AL650))</f>
        <v>-36.046214721811623</v>
      </c>
      <c r="BI650" s="71">
        <f>IF(BG650="","",(BH650/AL650))</f>
        <v>-0.11111111111111104</v>
      </c>
      <c r="BJ650" s="111">
        <v>21.25</v>
      </c>
      <c r="BK650" s="111"/>
      <c r="BL650" s="83"/>
      <c r="BM650" s="83"/>
      <c r="BN650" s="103"/>
      <c r="BO650" s="103"/>
      <c r="BP650" s="103"/>
      <c r="BQ650" s="115"/>
      <c r="BR650" s="113"/>
      <c r="BS650" s="80"/>
      <c r="BU650" s="87"/>
      <c r="BV650" s="73"/>
      <c r="BW650" s="109"/>
      <c r="BX650" s="87"/>
      <c r="BY650" s="87"/>
      <c r="BZ650" s="109"/>
      <c r="CA650" s="76"/>
    </row>
    <row r="651" spans="1:79" s="72" customFormat="1">
      <c r="A651" s="13" t="s">
        <v>2717</v>
      </c>
      <c r="B651" s="13"/>
      <c r="C651" s="13" t="s">
        <v>657</v>
      </c>
      <c r="D651" s="13" t="s">
        <v>657</v>
      </c>
      <c r="E651" s="13" t="s">
        <v>137</v>
      </c>
      <c r="F651" s="13" t="s">
        <v>119</v>
      </c>
      <c r="G651" s="13" t="s">
        <v>2875</v>
      </c>
      <c r="H651" s="13" t="s">
        <v>119</v>
      </c>
      <c r="I651" s="13" t="s">
        <v>139</v>
      </c>
      <c r="J651" s="13" t="s">
        <v>5</v>
      </c>
      <c r="K651" s="13" t="s">
        <v>140</v>
      </c>
      <c r="L651" s="13" t="s">
        <v>2876</v>
      </c>
      <c r="M651" s="13"/>
      <c r="N651" s="13" t="s">
        <v>142</v>
      </c>
      <c r="O651" s="247">
        <v>0.5</v>
      </c>
      <c r="P651" s="13">
        <v>83</v>
      </c>
      <c r="Q651" s="13">
        <v>21</v>
      </c>
      <c r="R651" s="13" t="s">
        <v>127</v>
      </c>
      <c r="S651" s="430" t="str">
        <f t="shared" si="304"/>
        <v>N/A</v>
      </c>
      <c r="T651" s="247">
        <v>0.76</v>
      </c>
      <c r="U651" s="13">
        <v>100</v>
      </c>
      <c r="V651" s="13">
        <v>500</v>
      </c>
      <c r="W651" s="430">
        <f t="shared" si="301"/>
        <v>400</v>
      </c>
      <c r="X651" s="430">
        <f t="shared" si="302"/>
        <v>120</v>
      </c>
      <c r="Y651" s="13">
        <v>100</v>
      </c>
      <c r="Z651" s="13">
        <v>500</v>
      </c>
      <c r="AA651" s="430">
        <f t="shared" si="305"/>
        <v>400</v>
      </c>
      <c r="AB651" s="430">
        <f t="shared" si="306"/>
        <v>120</v>
      </c>
      <c r="AC651" s="430" t="str">
        <f t="shared" si="307"/>
        <v>N/A</v>
      </c>
      <c r="AD651" s="430">
        <f t="shared" si="308"/>
        <v>62</v>
      </c>
      <c r="AE651" s="431">
        <f t="shared" si="309"/>
        <v>1.07</v>
      </c>
      <c r="AF651" s="431"/>
      <c r="AG651" s="431">
        <f t="shared" si="310"/>
        <v>0.95421686746987955</v>
      </c>
      <c r="AH651" s="431">
        <f t="shared" si="311"/>
        <v>1.0162409638554217</v>
      </c>
      <c r="AI651" s="432">
        <f t="shared" si="312"/>
        <v>842.10615000000007</v>
      </c>
      <c r="AJ651" s="432">
        <f t="shared" si="313"/>
        <v>156.22963368211029</v>
      </c>
      <c r="AK651" s="432">
        <f t="shared" si="314"/>
        <v>170.82505292597023</v>
      </c>
      <c r="AL651" s="432">
        <f t="shared" si="315"/>
        <v>339.57555551015088</v>
      </c>
      <c r="AM651" s="250">
        <v>174</v>
      </c>
      <c r="AN651" s="432">
        <f t="shared" si="316"/>
        <v>144.41999999999999</v>
      </c>
      <c r="AO651" s="432">
        <f t="shared" si="317"/>
        <v>146.76551999999998</v>
      </c>
      <c r="AP651" s="432">
        <f t="shared" si="318"/>
        <v>698.88342857142845</v>
      </c>
      <c r="AQ651" s="255" t="s">
        <v>132</v>
      </c>
      <c r="AR651" s="255" t="s">
        <v>2738</v>
      </c>
      <c r="AS651" s="434" t="s">
        <v>2877</v>
      </c>
      <c r="AT651" s="429"/>
      <c r="AU651" s="252"/>
      <c r="AV651" s="260"/>
      <c r="AW651" s="13" t="s">
        <v>127</v>
      </c>
      <c r="AX651" s="260"/>
      <c r="AY651" s="103">
        <f t="shared" si="300"/>
        <v>0.60240963855421692</v>
      </c>
      <c r="AZ651" s="22"/>
      <c r="BA651" s="13" t="str">
        <f t="shared" si="299"/>
        <v>W50</v>
      </c>
      <c r="BB651" s="72" t="str">
        <f t="shared" si="303"/>
        <v>Clear</v>
      </c>
      <c r="BC651" s="73"/>
      <c r="BD651" s="252"/>
      <c r="BE651" s="252"/>
      <c r="BF651" s="80"/>
      <c r="BG651" s="252"/>
      <c r="BH651" s="252"/>
      <c r="BI651" s="80"/>
      <c r="BJ651" s="114"/>
      <c r="BK651" s="114"/>
      <c r="BL651" s="88"/>
      <c r="BM651" s="88"/>
      <c r="BN651" s="80"/>
      <c r="BO651" s="80"/>
      <c r="BP651" s="80"/>
      <c r="BQ651" s="71"/>
      <c r="BR651" s="71"/>
      <c r="BS651" s="71"/>
    </row>
    <row r="652" spans="1:79" s="72" customFormat="1">
      <c r="A652" s="13" t="s">
        <v>2717</v>
      </c>
      <c r="B652" s="13"/>
      <c r="C652" s="13" t="s">
        <v>657</v>
      </c>
      <c r="D652" s="13" t="s">
        <v>657</v>
      </c>
      <c r="E652" s="13" t="s">
        <v>137</v>
      </c>
      <c r="F652" s="13" t="s">
        <v>119</v>
      </c>
      <c r="G652" s="13" t="s">
        <v>2878</v>
      </c>
      <c r="H652" s="13" t="s">
        <v>119</v>
      </c>
      <c r="I652" s="13" t="s">
        <v>139</v>
      </c>
      <c r="J652" s="13" t="s">
        <v>5</v>
      </c>
      <c r="K652" s="13" t="s">
        <v>140</v>
      </c>
      <c r="L652" s="13" t="s">
        <v>2879</v>
      </c>
      <c r="M652" s="13"/>
      <c r="N652" s="13" t="s">
        <v>142</v>
      </c>
      <c r="O652" s="247">
        <v>0.5</v>
      </c>
      <c r="P652" s="13">
        <v>88</v>
      </c>
      <c r="Q652" s="13">
        <v>26</v>
      </c>
      <c r="R652" s="13" t="s">
        <v>127</v>
      </c>
      <c r="S652" s="430" t="str">
        <f t="shared" si="304"/>
        <v>N/A</v>
      </c>
      <c r="T652" s="247">
        <v>0.76</v>
      </c>
      <c r="U652" s="13">
        <v>100</v>
      </c>
      <c r="V652" s="13">
        <v>500</v>
      </c>
      <c r="W652" s="430">
        <f t="shared" si="301"/>
        <v>400</v>
      </c>
      <c r="X652" s="430">
        <f t="shared" si="302"/>
        <v>120</v>
      </c>
      <c r="Y652" s="13">
        <v>100</v>
      </c>
      <c r="Z652" s="13">
        <v>500</v>
      </c>
      <c r="AA652" s="430">
        <f t="shared" si="305"/>
        <v>400</v>
      </c>
      <c r="AB652" s="430">
        <f t="shared" si="306"/>
        <v>120</v>
      </c>
      <c r="AC652" s="430" t="str">
        <f t="shared" si="307"/>
        <v>N/A</v>
      </c>
      <c r="AD652" s="430">
        <f t="shared" si="308"/>
        <v>62</v>
      </c>
      <c r="AE652" s="431">
        <f t="shared" si="309"/>
        <v>1.07</v>
      </c>
      <c r="AF652" s="431"/>
      <c r="AG652" s="431">
        <f t="shared" si="310"/>
        <v>0.96079545454545467</v>
      </c>
      <c r="AH652" s="431">
        <f t="shared" si="311"/>
        <v>1.0232471590909091</v>
      </c>
      <c r="AI652" s="432">
        <f t="shared" si="312"/>
        <v>842.10615000000007</v>
      </c>
      <c r="AJ652" s="432">
        <f t="shared" si="313"/>
        <v>156.22963368211029</v>
      </c>
      <c r="AK652" s="432">
        <f t="shared" si="314"/>
        <v>170.82505292597023</v>
      </c>
      <c r="AL652" s="432">
        <f t="shared" si="315"/>
        <v>339.57555551015088</v>
      </c>
      <c r="AM652" s="250">
        <v>174</v>
      </c>
      <c r="AN652" s="432">
        <f t="shared" si="316"/>
        <v>153.12</v>
      </c>
      <c r="AO652" s="432">
        <f t="shared" si="317"/>
        <v>156.67960500000001</v>
      </c>
      <c r="AP652" s="432">
        <f t="shared" si="318"/>
        <v>602.61386538461545</v>
      </c>
      <c r="AQ652" s="255" t="s">
        <v>132</v>
      </c>
      <c r="AR652" s="255" t="s">
        <v>2738</v>
      </c>
      <c r="AS652" s="434" t="s">
        <v>2880</v>
      </c>
      <c r="AT652" s="429"/>
      <c r="AU652" s="252"/>
      <c r="AV652" s="260"/>
      <c r="AW652" s="13" t="s">
        <v>127</v>
      </c>
      <c r="AX652" s="260"/>
      <c r="AY652" s="103">
        <f t="shared" si="300"/>
        <v>0.56818181818181823</v>
      </c>
      <c r="AZ652" s="22"/>
      <c r="BA652" s="13" t="str">
        <f t="shared" si="299"/>
        <v>W50</v>
      </c>
      <c r="BB652" s="72" t="str">
        <f t="shared" si="303"/>
        <v>Clear</v>
      </c>
      <c r="BC652" s="73"/>
      <c r="BD652" s="252"/>
      <c r="BE652" s="252"/>
      <c r="BF652" s="80"/>
      <c r="BG652" s="252"/>
      <c r="BH652" s="252"/>
      <c r="BI652" s="80"/>
      <c r="BJ652" s="114"/>
      <c r="BK652" s="114"/>
      <c r="BL652" s="88"/>
      <c r="BM652" s="88"/>
      <c r="BN652" s="80"/>
      <c r="BO652" s="80"/>
      <c r="BP652" s="80"/>
      <c r="BQ652" s="83"/>
      <c r="BR652" s="71"/>
      <c r="BS652" s="71"/>
      <c r="BT652" s="13">
        <f>P652-V652/10-120/10</f>
        <v>26</v>
      </c>
      <c r="BU652" s="79">
        <f>BT652-Q652</f>
        <v>0</v>
      </c>
      <c r="BV652" s="29">
        <f>T652+(O652/100*(P652-BT652))</f>
        <v>1.07</v>
      </c>
      <c r="BW652" s="86">
        <f>(AE652-BV652)/AE652</f>
        <v>0</v>
      </c>
      <c r="BX652" s="79">
        <f>(PI()*((51/2)^2-(16.545/2)^2)/(BV652/10))/100</f>
        <v>170.82505292597023</v>
      </c>
      <c r="BY652" s="79">
        <f>BX652-AK652</f>
        <v>0</v>
      </c>
      <c r="BZ652" s="86">
        <f>BY652/AK652</f>
        <v>0</v>
      </c>
      <c r="CA652" s="76"/>
    </row>
    <row r="653" spans="1:79" s="72" customFormat="1">
      <c r="A653" s="13" t="s">
        <v>2717</v>
      </c>
      <c r="B653" s="13"/>
      <c r="C653" s="13" t="s">
        <v>657</v>
      </c>
      <c r="D653" s="13" t="s">
        <v>657</v>
      </c>
      <c r="E653" s="13" t="s">
        <v>137</v>
      </c>
      <c r="F653" s="13" t="s">
        <v>119</v>
      </c>
      <c r="G653" s="13" t="s">
        <v>2881</v>
      </c>
      <c r="H653" s="13" t="s">
        <v>119</v>
      </c>
      <c r="I653" s="13" t="s">
        <v>139</v>
      </c>
      <c r="J653" s="13" t="s">
        <v>5</v>
      </c>
      <c r="K653" s="13" t="s">
        <v>140</v>
      </c>
      <c r="L653" s="13" t="s">
        <v>2882</v>
      </c>
      <c r="M653" s="13"/>
      <c r="N653" s="13" t="s">
        <v>142</v>
      </c>
      <c r="O653" s="247">
        <v>0.5</v>
      </c>
      <c r="P653" s="13">
        <v>91</v>
      </c>
      <c r="Q653" s="13">
        <v>29</v>
      </c>
      <c r="R653" s="13" t="s">
        <v>127</v>
      </c>
      <c r="S653" s="430" t="str">
        <f t="shared" si="304"/>
        <v>N/A</v>
      </c>
      <c r="T653" s="247">
        <v>0.76</v>
      </c>
      <c r="U653" s="13">
        <v>100</v>
      </c>
      <c r="V653" s="13">
        <v>500</v>
      </c>
      <c r="W653" s="430">
        <f t="shared" si="301"/>
        <v>400</v>
      </c>
      <c r="X653" s="430">
        <f t="shared" si="302"/>
        <v>120</v>
      </c>
      <c r="Y653" s="13">
        <v>100</v>
      </c>
      <c r="Z653" s="13">
        <v>500</v>
      </c>
      <c r="AA653" s="430">
        <f t="shared" si="305"/>
        <v>400</v>
      </c>
      <c r="AB653" s="430">
        <f t="shared" si="306"/>
        <v>120</v>
      </c>
      <c r="AC653" s="430" t="str">
        <f t="shared" si="307"/>
        <v>N/A</v>
      </c>
      <c r="AD653" s="430">
        <f t="shared" si="308"/>
        <v>62</v>
      </c>
      <c r="AE653" s="431">
        <f t="shared" si="309"/>
        <v>1.07</v>
      </c>
      <c r="AF653" s="431"/>
      <c r="AG653" s="431">
        <f t="shared" si="310"/>
        <v>0.96439560439560446</v>
      </c>
      <c r="AH653" s="431">
        <f t="shared" si="311"/>
        <v>1.0270813186813188</v>
      </c>
      <c r="AI653" s="432">
        <f t="shared" si="312"/>
        <v>842.10615000000007</v>
      </c>
      <c r="AJ653" s="432">
        <f t="shared" si="313"/>
        <v>156.22963368211029</v>
      </c>
      <c r="AK653" s="432">
        <f t="shared" si="314"/>
        <v>170.82505292597023</v>
      </c>
      <c r="AL653" s="432">
        <f t="shared" si="315"/>
        <v>339.57555551015088</v>
      </c>
      <c r="AM653" s="250">
        <v>172</v>
      </c>
      <c r="AN653" s="432">
        <f t="shared" si="316"/>
        <v>156.52000000000001</v>
      </c>
      <c r="AO653" s="432">
        <f t="shared" si="317"/>
        <v>160.75876800000003</v>
      </c>
      <c r="AP653" s="432">
        <f t="shared" si="318"/>
        <v>554.34057931034499</v>
      </c>
      <c r="AQ653" s="255" t="s">
        <v>132</v>
      </c>
      <c r="AR653" s="255" t="s">
        <v>2738</v>
      </c>
      <c r="AS653" s="434" t="s">
        <v>2883</v>
      </c>
      <c r="AT653" s="429"/>
      <c r="AU653" s="252"/>
      <c r="AV653" s="260"/>
      <c r="AW653" s="13" t="s">
        <v>127</v>
      </c>
      <c r="AX653" s="260"/>
      <c r="AY653" s="103">
        <f t="shared" si="300"/>
        <v>0.5494505494505495</v>
      </c>
      <c r="AZ653" s="22"/>
      <c r="BA653" s="13" t="str">
        <f t="shared" si="299"/>
        <v>W50</v>
      </c>
      <c r="BB653" s="72" t="str">
        <f t="shared" si="303"/>
        <v>Clear</v>
      </c>
      <c r="BC653" s="73"/>
      <c r="BD653" s="252"/>
      <c r="BE653" s="252"/>
      <c r="BF653" s="80"/>
      <c r="BG653" s="252"/>
      <c r="BH653" s="252"/>
      <c r="BI653" s="80"/>
      <c r="BJ653" s="114"/>
      <c r="BK653" s="114"/>
      <c r="BL653" s="88"/>
      <c r="BM653" s="88"/>
      <c r="BN653" s="80"/>
      <c r="BO653" s="80"/>
      <c r="BP653" s="80"/>
      <c r="BQ653" s="88"/>
      <c r="BR653" s="80"/>
      <c r="BS653" s="80"/>
      <c r="BT653" s="22"/>
      <c r="BU653" s="87"/>
      <c r="BV653" s="73"/>
      <c r="BW653" s="109"/>
      <c r="BX653" s="87"/>
      <c r="BY653" s="87"/>
      <c r="BZ653" s="109"/>
      <c r="CA653" s="76"/>
    </row>
    <row r="654" spans="1:79" s="72" customFormat="1">
      <c r="A654" s="13" t="s">
        <v>2717</v>
      </c>
      <c r="B654" s="13"/>
      <c r="C654" s="13" t="s">
        <v>657</v>
      </c>
      <c r="D654" s="13" t="s">
        <v>657</v>
      </c>
      <c r="E654" s="13" t="s">
        <v>137</v>
      </c>
      <c r="F654" s="13" t="s">
        <v>119</v>
      </c>
      <c r="G654" s="13" t="s">
        <v>2884</v>
      </c>
      <c r="H654" s="13" t="s">
        <v>119</v>
      </c>
      <c r="I654" s="13" t="s">
        <v>139</v>
      </c>
      <c r="J654" s="13" t="s">
        <v>5</v>
      </c>
      <c r="K654" s="13" t="s">
        <v>140</v>
      </c>
      <c r="L654" s="13" t="s">
        <v>2885</v>
      </c>
      <c r="M654" s="13"/>
      <c r="N654" s="13" t="s">
        <v>142</v>
      </c>
      <c r="O654" s="247">
        <v>0.5</v>
      </c>
      <c r="P654" s="13">
        <v>100</v>
      </c>
      <c r="Q654" s="13">
        <v>30</v>
      </c>
      <c r="R654" s="13" t="s">
        <v>127</v>
      </c>
      <c r="S654" s="430" t="str">
        <f t="shared" si="304"/>
        <v>N/A</v>
      </c>
      <c r="T654" s="247">
        <v>0.76</v>
      </c>
      <c r="U654" s="13">
        <v>150</v>
      </c>
      <c r="V654" s="13">
        <v>550</v>
      </c>
      <c r="W654" s="430">
        <f t="shared" si="301"/>
        <v>400</v>
      </c>
      <c r="X654" s="430">
        <f t="shared" si="302"/>
        <v>150</v>
      </c>
      <c r="Y654" s="13">
        <v>150</v>
      </c>
      <c r="Z654" s="13">
        <v>600</v>
      </c>
      <c r="AA654" s="430">
        <f t="shared" si="305"/>
        <v>450</v>
      </c>
      <c r="AB654" s="430">
        <f t="shared" si="306"/>
        <v>100</v>
      </c>
      <c r="AC654" s="430" t="str">
        <f t="shared" si="307"/>
        <v>N/A</v>
      </c>
      <c r="AD654" s="430">
        <f t="shared" si="308"/>
        <v>70</v>
      </c>
      <c r="AE654" s="431">
        <f t="shared" si="309"/>
        <v>1.1100000000000001</v>
      </c>
      <c r="AF654" s="431"/>
      <c r="AG654" s="431">
        <f t="shared" si="310"/>
        <v>0.98750000000000004</v>
      </c>
      <c r="AH654" s="431">
        <f t="shared" si="311"/>
        <v>1.0516875000000001</v>
      </c>
      <c r="AI654" s="432">
        <f t="shared" si="312"/>
        <v>842.10615000000007</v>
      </c>
      <c r="AJ654" s="432">
        <f t="shared" si="313"/>
        <v>150.59973697284505</v>
      </c>
      <c r="AK654" s="432">
        <f t="shared" si="314"/>
        <v>164.6691951628722</v>
      </c>
      <c r="AL654" s="432">
        <f t="shared" si="315"/>
        <v>327.33859855483007</v>
      </c>
      <c r="AM654" s="250">
        <v>165</v>
      </c>
      <c r="AN654" s="432">
        <f t="shared" si="316"/>
        <v>165</v>
      </c>
      <c r="AO654" s="432">
        <f t="shared" si="317"/>
        <v>173.52843750000002</v>
      </c>
      <c r="AP654" s="432">
        <f t="shared" si="318"/>
        <v>578.42812500000014</v>
      </c>
      <c r="AQ654" s="255" t="s">
        <v>132</v>
      </c>
      <c r="AR654" s="255" t="s">
        <v>2738</v>
      </c>
      <c r="AS654" s="434" t="s">
        <v>2886</v>
      </c>
      <c r="AT654" s="429"/>
      <c r="AU654" s="252"/>
      <c r="AV654" s="260"/>
      <c r="AW654" s="13" t="s">
        <v>127</v>
      </c>
      <c r="AX654" s="260"/>
      <c r="AY654" s="103">
        <f t="shared" si="300"/>
        <v>0.55000000000000004</v>
      </c>
      <c r="AZ654" s="22"/>
      <c r="BA654" s="13" t="str">
        <f t="shared" si="299"/>
        <v>W50</v>
      </c>
      <c r="BB654" s="72" t="str">
        <f t="shared" si="303"/>
        <v>Clear</v>
      </c>
      <c r="BC654" s="73"/>
      <c r="BD654" s="252"/>
      <c r="BE654" s="252"/>
      <c r="BF654" s="80"/>
      <c r="BG654" s="252"/>
      <c r="BH654" s="252"/>
      <c r="BI654" s="80"/>
      <c r="BJ654" s="114"/>
      <c r="BK654" s="114"/>
      <c r="BL654" s="88"/>
      <c r="BM654" s="88"/>
      <c r="BN654" s="80"/>
      <c r="BO654" s="80"/>
      <c r="BP654" s="80"/>
      <c r="BQ654" s="83"/>
      <c r="BR654" s="71"/>
      <c r="BS654" s="71"/>
      <c r="BT654" s="13">
        <f>P654-V654/10-120/10</f>
        <v>33</v>
      </c>
      <c r="BU654" s="79">
        <f>BT654-Q654</f>
        <v>3</v>
      </c>
      <c r="BV654" s="29">
        <f>T654+(O654/100*(P654-BT654))</f>
        <v>1.095</v>
      </c>
      <c r="BW654" s="86">
        <f>(AE654-BV654)/AE654</f>
        <v>1.3513513513513624E-2</v>
      </c>
      <c r="BX654" s="79">
        <f>(PI()*((51/2)^2-(16.545/2)^2)/(BV654/10))/100</f>
        <v>166.92493756236362</v>
      </c>
      <c r="BY654" s="79">
        <f>BX654-AK654</f>
        <v>2.2557423994914245</v>
      </c>
      <c r="BZ654" s="86">
        <f>BY654/AK654</f>
        <v>1.369863013698645E-2</v>
      </c>
      <c r="CA654" s="76"/>
    </row>
    <row r="655" spans="1:79" s="72" customFormat="1" ht="14.65" customHeight="1">
      <c r="A655" s="13" t="s">
        <v>2717</v>
      </c>
      <c r="B655" s="13"/>
      <c r="C655" s="13" t="s">
        <v>657</v>
      </c>
      <c r="D655" s="13" t="s">
        <v>657</v>
      </c>
      <c r="E655" s="13" t="s">
        <v>137</v>
      </c>
      <c r="F655" s="13" t="s">
        <v>119</v>
      </c>
      <c r="G655" s="13" t="s">
        <v>2887</v>
      </c>
      <c r="H655" s="13" t="s">
        <v>119</v>
      </c>
      <c r="I655" s="13" t="s">
        <v>139</v>
      </c>
      <c r="J655" s="13" t="s">
        <v>5</v>
      </c>
      <c r="K655" s="13" t="s">
        <v>140</v>
      </c>
      <c r="L655" s="13" t="s">
        <v>2888</v>
      </c>
      <c r="M655" s="13"/>
      <c r="N655" s="13" t="s">
        <v>142</v>
      </c>
      <c r="O655" s="247">
        <v>0.5</v>
      </c>
      <c r="P655" s="13">
        <v>103</v>
      </c>
      <c r="Q655" s="13">
        <v>30</v>
      </c>
      <c r="R655" s="13" t="s">
        <v>127</v>
      </c>
      <c r="S655" s="430" t="str">
        <f t="shared" si="304"/>
        <v>N/A</v>
      </c>
      <c r="T655" s="247">
        <v>0.76</v>
      </c>
      <c r="U655" s="13">
        <v>150</v>
      </c>
      <c r="V655" s="13">
        <v>550</v>
      </c>
      <c r="W655" s="430">
        <f t="shared" si="301"/>
        <v>400</v>
      </c>
      <c r="X655" s="430">
        <f t="shared" si="302"/>
        <v>180</v>
      </c>
      <c r="Y655" s="13">
        <v>150</v>
      </c>
      <c r="Z655" s="13">
        <v>600</v>
      </c>
      <c r="AA655" s="430">
        <f t="shared" si="305"/>
        <v>450</v>
      </c>
      <c r="AB655" s="430">
        <f t="shared" si="306"/>
        <v>130</v>
      </c>
      <c r="AC655" s="430" t="str">
        <f t="shared" si="307"/>
        <v>N/A</v>
      </c>
      <c r="AD655" s="430">
        <f t="shared" si="308"/>
        <v>73</v>
      </c>
      <c r="AE655" s="431">
        <f t="shared" si="309"/>
        <v>1.125</v>
      </c>
      <c r="AF655" s="431"/>
      <c r="AG655" s="431">
        <f t="shared" si="310"/>
        <v>0.99565533980582521</v>
      </c>
      <c r="AH655" s="431">
        <f t="shared" si="311"/>
        <v>1.0603729368932038</v>
      </c>
      <c r="AI655" s="432">
        <f t="shared" si="312"/>
        <v>842.10615000000007</v>
      </c>
      <c r="AJ655" s="432">
        <f t="shared" si="313"/>
        <v>148.59174047987381</v>
      </c>
      <c r="AK655" s="432">
        <f t="shared" si="314"/>
        <v>162.47360589403394</v>
      </c>
      <c r="AL655" s="432">
        <f t="shared" si="315"/>
        <v>322.97408390743237</v>
      </c>
      <c r="AM655" s="250">
        <v>162</v>
      </c>
      <c r="AN655" s="432">
        <f t="shared" si="316"/>
        <v>166.86</v>
      </c>
      <c r="AO655" s="432">
        <f t="shared" si="317"/>
        <v>176.93382825</v>
      </c>
      <c r="AP655" s="432">
        <f t="shared" si="318"/>
        <v>589.7794275</v>
      </c>
      <c r="AQ655" s="255" t="s">
        <v>132</v>
      </c>
      <c r="AR655" s="255" t="s">
        <v>2738</v>
      </c>
      <c r="AS655" s="434" t="s">
        <v>2889</v>
      </c>
      <c r="AT655" s="429"/>
      <c r="AU655" s="252"/>
      <c r="AV655" s="260"/>
      <c r="AW655" s="13" t="s">
        <v>127</v>
      </c>
      <c r="AX655" s="260"/>
      <c r="AY655" s="103">
        <f t="shared" si="300"/>
        <v>0.53398058252427183</v>
      </c>
      <c r="AZ655" s="22"/>
      <c r="BA655" s="13" t="str">
        <f t="shared" ref="BA655:BA671" si="319">LEFT(G655,3)</f>
        <v>W50</v>
      </c>
      <c r="BB655" s="72" t="str">
        <f t="shared" si="303"/>
        <v>Clear</v>
      </c>
      <c r="BC655" s="73"/>
      <c r="BD655" s="252"/>
      <c r="BE655" s="252"/>
      <c r="BF655" s="80"/>
      <c r="BG655" s="252"/>
      <c r="BH655" s="252"/>
      <c r="BI655" s="80"/>
      <c r="BJ655" s="114"/>
      <c r="BK655" s="114"/>
      <c r="BL655" s="88"/>
      <c r="BM655" s="88"/>
      <c r="BN655" s="80"/>
      <c r="BO655" s="80"/>
      <c r="BP655" s="80"/>
      <c r="BQ655" s="115"/>
      <c r="BR655" s="113"/>
      <c r="BS655" s="80"/>
      <c r="BT655" s="22"/>
      <c r="BU655" s="87"/>
      <c r="BV655" s="73"/>
      <c r="BW655" s="109"/>
      <c r="BX655" s="87"/>
      <c r="BY655" s="87"/>
      <c r="BZ655" s="109"/>
      <c r="CA655" s="76"/>
    </row>
    <row r="656" spans="1:79" s="72" customFormat="1">
      <c r="A656" s="13" t="s">
        <v>2717</v>
      </c>
      <c r="B656" s="13"/>
      <c r="C656" s="13" t="s">
        <v>657</v>
      </c>
      <c r="D656" s="13" t="s">
        <v>657</v>
      </c>
      <c r="E656" s="13" t="s">
        <v>137</v>
      </c>
      <c r="F656" s="13" t="s">
        <v>119</v>
      </c>
      <c r="G656" s="13" t="s">
        <v>2890</v>
      </c>
      <c r="H656" s="13" t="s">
        <v>119</v>
      </c>
      <c r="I656" s="13" t="s">
        <v>139</v>
      </c>
      <c r="J656" s="13" t="s">
        <v>274</v>
      </c>
      <c r="K656" s="13" t="s">
        <v>140</v>
      </c>
      <c r="L656" s="13" t="s">
        <v>2891</v>
      </c>
      <c r="M656" s="13"/>
      <c r="N656" s="13" t="s">
        <v>142</v>
      </c>
      <c r="O656" s="247">
        <v>0.5</v>
      </c>
      <c r="P656" s="13">
        <v>98</v>
      </c>
      <c r="Q656" s="13">
        <v>27</v>
      </c>
      <c r="R656" s="13">
        <v>16</v>
      </c>
      <c r="S656" s="430">
        <f t="shared" si="304"/>
        <v>82</v>
      </c>
      <c r="T656" s="247">
        <v>0.76</v>
      </c>
      <c r="U656" s="13">
        <v>80</v>
      </c>
      <c r="V656" s="13">
        <v>588</v>
      </c>
      <c r="W656" s="430">
        <f t="shared" si="301"/>
        <v>508</v>
      </c>
      <c r="X656" s="430">
        <f t="shared" si="302"/>
        <v>122</v>
      </c>
      <c r="Y656" s="13">
        <f>U656</f>
        <v>80</v>
      </c>
      <c r="Z656" s="13">
        <f>V656</f>
        <v>588</v>
      </c>
      <c r="AA656" s="430">
        <f t="shared" si="305"/>
        <v>508</v>
      </c>
      <c r="AB656" s="430">
        <f t="shared" si="306"/>
        <v>122</v>
      </c>
      <c r="AC656" s="430">
        <f t="shared" si="307"/>
        <v>110</v>
      </c>
      <c r="AD656" s="430">
        <f t="shared" si="308"/>
        <v>71</v>
      </c>
      <c r="AE656" s="431">
        <f t="shared" si="309"/>
        <v>1.115</v>
      </c>
      <c r="AF656" s="431"/>
      <c r="AG656" s="431">
        <f t="shared" si="310"/>
        <v>0.98640306122448984</v>
      </c>
      <c r="AH656" s="431">
        <f t="shared" si="311"/>
        <v>1.0505192602040816</v>
      </c>
      <c r="AI656" s="432">
        <f t="shared" si="312"/>
        <v>842.10615000000007</v>
      </c>
      <c r="AJ656" s="432">
        <f t="shared" si="313"/>
        <v>149.92440182946908</v>
      </c>
      <c r="AK656" s="432">
        <f t="shared" si="314"/>
        <v>163.93076827873378</v>
      </c>
      <c r="AL656" s="432">
        <f t="shared" si="315"/>
        <v>325.870712462656</v>
      </c>
      <c r="AM656" s="250">
        <v>50</v>
      </c>
      <c r="AN656" s="432">
        <f t="shared" si="316"/>
        <v>49</v>
      </c>
      <c r="AO656" s="432">
        <f t="shared" si="317"/>
        <v>51.475443749999997</v>
      </c>
      <c r="AP656" s="432">
        <f t="shared" si="318"/>
        <v>190.64979166666663</v>
      </c>
      <c r="AQ656" s="255">
        <v>44562</v>
      </c>
      <c r="AR656" s="255" t="s">
        <v>2869</v>
      </c>
      <c r="AS656" s="458" t="s">
        <v>2892</v>
      </c>
      <c r="AT656" s="429"/>
      <c r="AU656" s="250"/>
      <c r="AV656" s="255"/>
      <c r="AW656" s="13" t="s">
        <v>127</v>
      </c>
      <c r="AX656" s="255"/>
      <c r="AY656" s="103">
        <f t="shared" si="300"/>
        <v>0.6</v>
      </c>
      <c r="AZ656" s="13"/>
      <c r="BA656" s="13" t="str">
        <f t="shared" si="319"/>
        <v>W51</v>
      </c>
      <c r="BB656" s="72" t="str">
        <f t="shared" si="303"/>
        <v>S/B</v>
      </c>
      <c r="BC656" s="32">
        <f>IF(Q656="","",((P656/100*O656)+T656))</f>
        <v>1.25</v>
      </c>
      <c r="BD656" s="241">
        <f>IF(BC656="","",((PI()*((51/2)^2-(16.545/2)^2)/(BC656/10))/100))</f>
        <v>146.22624530463054</v>
      </c>
      <c r="BE656" s="241">
        <f>IF(BC656="","",(BD656-AK656))</f>
        <v>-17.704522974103241</v>
      </c>
      <c r="BF656" s="71">
        <f>IF(BC656="","",(BE656/AK656))</f>
        <v>-0.10799999999999996</v>
      </c>
      <c r="BG656" s="241">
        <f>IF(BF656="","",((PI()*((70/2)^2-(16.545/2)^2)/(BC656/10))/100))</f>
        <v>290.67667551668916</v>
      </c>
      <c r="BH656" s="241">
        <f>IF(BF656="","",(BG656-AL656))</f>
        <v>-35.194036945966843</v>
      </c>
      <c r="BI656" s="71">
        <f>IF(BG656="","",(BH656/AL656))</f>
        <v>-0.10799999999999998</v>
      </c>
      <c r="BJ656" s="158">
        <v>22.95</v>
      </c>
      <c r="BK656" s="158"/>
      <c r="BL656" s="112"/>
      <c r="BM656" s="141"/>
      <c r="BN656" s="71"/>
      <c r="BO656" s="142"/>
      <c r="BP656" s="142"/>
      <c r="BQ656" s="115"/>
      <c r="BR656" s="113"/>
      <c r="BS656" s="80"/>
      <c r="BT656" s="22"/>
      <c r="BU656" s="87"/>
      <c r="BV656" s="73"/>
      <c r="BW656" s="109"/>
      <c r="BX656" s="87"/>
      <c r="BY656" s="87"/>
      <c r="BZ656" s="109"/>
      <c r="CA656" s="76"/>
    </row>
    <row r="657" spans="1:79" s="22" customFormat="1" ht="15" customHeight="1">
      <c r="A657" s="13" t="s">
        <v>2717</v>
      </c>
      <c r="B657" s="13"/>
      <c r="C657" s="13" t="s">
        <v>657</v>
      </c>
      <c r="D657" s="13" t="s">
        <v>657</v>
      </c>
      <c r="E657" s="13" t="s">
        <v>137</v>
      </c>
      <c r="F657" s="13" t="s">
        <v>119</v>
      </c>
      <c r="G657" s="13" t="s">
        <v>2893</v>
      </c>
      <c r="H657" s="13" t="s">
        <v>119</v>
      </c>
      <c r="I657" s="13" t="s">
        <v>139</v>
      </c>
      <c r="J657" s="13" t="s">
        <v>274</v>
      </c>
      <c r="K657" s="13" t="s">
        <v>140</v>
      </c>
      <c r="L657" s="13" t="s">
        <v>2894</v>
      </c>
      <c r="M657" s="13"/>
      <c r="N657" s="13" t="s">
        <v>142</v>
      </c>
      <c r="O657" s="247">
        <v>0.5</v>
      </c>
      <c r="P657" s="13">
        <v>98</v>
      </c>
      <c r="Q657" s="13">
        <v>30</v>
      </c>
      <c r="R657" s="13">
        <v>16</v>
      </c>
      <c r="S657" s="430">
        <f t="shared" si="304"/>
        <v>82</v>
      </c>
      <c r="T657" s="247">
        <v>0.76</v>
      </c>
      <c r="U657" s="13">
        <v>150</v>
      </c>
      <c r="V657" s="13">
        <v>550</v>
      </c>
      <c r="W657" s="430">
        <f t="shared" si="301"/>
        <v>400</v>
      </c>
      <c r="X657" s="430">
        <f t="shared" si="302"/>
        <v>130</v>
      </c>
      <c r="Y657" s="13">
        <v>150</v>
      </c>
      <c r="Z657" s="13">
        <v>600</v>
      </c>
      <c r="AA657" s="430">
        <f t="shared" si="305"/>
        <v>450</v>
      </c>
      <c r="AB657" s="430">
        <f t="shared" si="306"/>
        <v>80</v>
      </c>
      <c r="AC657" s="430">
        <f t="shared" si="307"/>
        <v>140</v>
      </c>
      <c r="AD657" s="430">
        <f t="shared" si="308"/>
        <v>68</v>
      </c>
      <c r="AE657" s="431">
        <f t="shared" si="309"/>
        <v>1.1000000000000001</v>
      </c>
      <c r="AF657" s="431"/>
      <c r="AG657" s="431">
        <f t="shared" si="310"/>
        <v>0.98204081632653073</v>
      </c>
      <c r="AH657" s="431">
        <f t="shared" si="311"/>
        <v>1.0458734693877552</v>
      </c>
      <c r="AI657" s="432">
        <f t="shared" si="312"/>
        <v>842.10615000000007</v>
      </c>
      <c r="AJ657" s="432">
        <f t="shared" si="313"/>
        <v>151.96882549078001</v>
      </c>
      <c r="AK657" s="432">
        <f t="shared" si="314"/>
        <v>166.16618784617106</v>
      </c>
      <c r="AL657" s="432">
        <f t="shared" si="315"/>
        <v>330.31440399623767</v>
      </c>
      <c r="AM657" s="250">
        <v>166</v>
      </c>
      <c r="AN657" s="432">
        <f t="shared" si="316"/>
        <v>162.68</v>
      </c>
      <c r="AO657" s="432">
        <f t="shared" si="317"/>
        <v>170.14269600000003</v>
      </c>
      <c r="AP657" s="432">
        <f t="shared" si="318"/>
        <v>567.14232000000015</v>
      </c>
      <c r="AQ657" s="255" t="s">
        <v>132</v>
      </c>
      <c r="AR657" s="255" t="s">
        <v>2738</v>
      </c>
      <c r="AS657" s="434" t="s">
        <v>2895</v>
      </c>
      <c r="AT657" s="429"/>
      <c r="AU657" s="252"/>
      <c r="AV657" s="260"/>
      <c r="AW657" s="13" t="s">
        <v>127</v>
      </c>
      <c r="AX657" s="260"/>
      <c r="AY657" s="103">
        <f t="shared" si="300"/>
        <v>0.56122448979591832</v>
      </c>
      <c r="BA657" s="13" t="str">
        <f t="shared" si="319"/>
        <v>W51</v>
      </c>
      <c r="BB657" s="72" t="str">
        <f t="shared" si="303"/>
        <v>S/B</v>
      </c>
      <c r="BC657" s="73"/>
      <c r="BD657" s="252"/>
      <c r="BE657" s="252"/>
      <c r="BF657" s="80"/>
      <c r="BG657" s="252"/>
      <c r="BH657" s="252"/>
      <c r="BI657" s="80"/>
      <c r="BJ657" s="114"/>
      <c r="BK657" s="114"/>
      <c r="BL657" s="128"/>
      <c r="BM657" s="88"/>
      <c r="BN657" s="80"/>
      <c r="BO657" s="80"/>
      <c r="BP657" s="80"/>
      <c r="BQ657" s="115"/>
      <c r="BR657" s="113"/>
      <c r="BS657" s="80"/>
      <c r="BU657" s="87"/>
      <c r="BV657" s="73"/>
      <c r="BW657" s="109"/>
      <c r="BX657" s="87"/>
      <c r="BY657" s="87"/>
      <c r="BZ657" s="109"/>
      <c r="CA657" s="76"/>
    </row>
    <row r="658" spans="1:79" s="72" customFormat="1" ht="15" customHeight="1">
      <c r="A658" s="13" t="s">
        <v>2717</v>
      </c>
      <c r="B658" s="13"/>
      <c r="C658" s="13" t="s">
        <v>657</v>
      </c>
      <c r="D658" s="13" t="s">
        <v>657</v>
      </c>
      <c r="E658" s="13" t="s">
        <v>137</v>
      </c>
      <c r="F658" s="13" t="s">
        <v>119</v>
      </c>
      <c r="G658" s="13" t="s">
        <v>2896</v>
      </c>
      <c r="H658" s="13" t="s">
        <v>119</v>
      </c>
      <c r="I658" s="13" t="s">
        <v>139</v>
      </c>
      <c r="J658" s="13" t="s">
        <v>274</v>
      </c>
      <c r="K658" s="13" t="s">
        <v>140</v>
      </c>
      <c r="L658" s="13" t="s">
        <v>2897</v>
      </c>
      <c r="M658" s="13"/>
      <c r="N658" s="13" t="s">
        <v>142</v>
      </c>
      <c r="O658" s="247">
        <v>0.5</v>
      </c>
      <c r="P658" s="13">
        <v>101</v>
      </c>
      <c r="Q658" s="13">
        <v>30</v>
      </c>
      <c r="R658" s="13">
        <v>20</v>
      </c>
      <c r="S658" s="430">
        <f t="shared" si="304"/>
        <v>81</v>
      </c>
      <c r="T658" s="247">
        <v>0.76</v>
      </c>
      <c r="U658" s="13">
        <v>150</v>
      </c>
      <c r="V658" s="13">
        <v>550</v>
      </c>
      <c r="W658" s="430">
        <f t="shared" si="301"/>
        <v>400</v>
      </c>
      <c r="X658" s="430">
        <f t="shared" si="302"/>
        <v>160</v>
      </c>
      <c r="Y658" s="13">
        <v>150</v>
      </c>
      <c r="Z658" s="13">
        <v>600</v>
      </c>
      <c r="AA658" s="430">
        <f t="shared" si="305"/>
        <v>450</v>
      </c>
      <c r="AB658" s="430">
        <f t="shared" si="306"/>
        <v>110</v>
      </c>
      <c r="AC658" s="430">
        <f t="shared" si="307"/>
        <v>100</v>
      </c>
      <c r="AD658" s="430">
        <f t="shared" si="308"/>
        <v>71</v>
      </c>
      <c r="AE658" s="431">
        <f t="shared" si="309"/>
        <v>1.115</v>
      </c>
      <c r="AF658" s="431"/>
      <c r="AG658" s="431">
        <f t="shared" si="310"/>
        <v>0.99022277227722777</v>
      </c>
      <c r="AH658" s="431">
        <f t="shared" si="311"/>
        <v>1.0545872524752478</v>
      </c>
      <c r="AI658" s="432">
        <f t="shared" si="312"/>
        <v>842.10615000000007</v>
      </c>
      <c r="AJ658" s="432">
        <f t="shared" si="313"/>
        <v>149.92440182946908</v>
      </c>
      <c r="AK658" s="432">
        <f t="shared" si="314"/>
        <v>163.93076827873378</v>
      </c>
      <c r="AL658" s="432">
        <f t="shared" si="315"/>
        <v>325.870712462656</v>
      </c>
      <c r="AM658" s="250">
        <v>164</v>
      </c>
      <c r="AN658" s="432">
        <f t="shared" si="316"/>
        <v>165.64</v>
      </c>
      <c r="AO658" s="432">
        <f t="shared" si="317"/>
        <v>174.68183250000001</v>
      </c>
      <c r="AP658" s="432">
        <f t="shared" si="318"/>
        <v>582.27277500000002</v>
      </c>
      <c r="AQ658" s="255" t="s">
        <v>132</v>
      </c>
      <c r="AR658" s="255" t="s">
        <v>2738</v>
      </c>
      <c r="AS658" s="434" t="s">
        <v>2898</v>
      </c>
      <c r="AT658" s="429"/>
      <c r="AU658" s="201"/>
      <c r="AV658" s="221"/>
      <c r="AW658" s="198" t="s">
        <v>127</v>
      </c>
      <c r="AX658" s="221"/>
      <c r="AY658" s="204">
        <f t="shared" si="300"/>
        <v>0.54455445544554459</v>
      </c>
      <c r="AZ658" s="213"/>
      <c r="BA658" s="198" t="str">
        <f t="shared" si="319"/>
        <v>W51</v>
      </c>
      <c r="BB658" s="205" t="str">
        <f t="shared" si="303"/>
        <v>S/B</v>
      </c>
      <c r="BC658" s="215"/>
      <c r="BD658" s="201"/>
      <c r="BE658" s="201"/>
      <c r="BF658" s="212"/>
      <c r="BG658" s="201"/>
      <c r="BH658" s="201"/>
      <c r="BI658" s="212"/>
      <c r="BJ658" s="223"/>
      <c r="BK658" s="223"/>
      <c r="BL658" s="228"/>
      <c r="BM658" s="224"/>
      <c r="BN658" s="212"/>
      <c r="BO658" s="212"/>
      <c r="BP658" s="212"/>
      <c r="BQ658" s="217"/>
      <c r="BR658" s="218">
        <v>8160</v>
      </c>
      <c r="BS658" s="207"/>
      <c r="BT658" s="205"/>
      <c r="BU658" s="219"/>
      <c r="BV658" s="206"/>
      <c r="BW658" s="220"/>
      <c r="BX658" s="219"/>
      <c r="BY658" s="219"/>
      <c r="BZ658" s="220"/>
      <c r="CA658" s="76"/>
    </row>
    <row r="659" spans="1:79" s="22" customFormat="1">
      <c r="A659" s="13" t="s">
        <v>2899</v>
      </c>
      <c r="B659" s="13"/>
      <c r="C659" s="13" t="s">
        <v>127</v>
      </c>
      <c r="D659" s="13" t="s">
        <v>127</v>
      </c>
      <c r="E659" s="13" t="s">
        <v>127</v>
      </c>
      <c r="F659" s="13" t="s">
        <v>167</v>
      </c>
      <c r="G659" s="13" t="s">
        <v>2900</v>
      </c>
      <c r="H659" s="13" t="s">
        <v>389</v>
      </c>
      <c r="I659" s="13" t="s">
        <v>139</v>
      </c>
      <c r="J659" s="13" t="s">
        <v>5</v>
      </c>
      <c r="K659" s="13" t="s">
        <v>140</v>
      </c>
      <c r="L659" s="13" t="s">
        <v>2901</v>
      </c>
      <c r="M659" s="13"/>
      <c r="N659" s="13" t="s">
        <v>391</v>
      </c>
      <c r="O659" s="247">
        <v>0.2</v>
      </c>
      <c r="P659" s="13">
        <v>122</v>
      </c>
      <c r="Q659" s="13"/>
      <c r="R659" s="13" t="s">
        <v>127</v>
      </c>
      <c r="S659" s="430" t="str">
        <f t="shared" si="304"/>
        <v>N/A</v>
      </c>
      <c r="T659" s="247">
        <v>0.76</v>
      </c>
      <c r="U659" s="13" t="s">
        <v>127</v>
      </c>
      <c r="V659" s="13" t="s">
        <v>127</v>
      </c>
      <c r="W659" s="430" t="e">
        <f t="shared" si="301"/>
        <v>#VALUE!</v>
      </c>
      <c r="X659" s="430" t="e">
        <f t="shared" si="302"/>
        <v>#VALUE!</v>
      </c>
      <c r="Y659" s="13"/>
      <c r="Z659" s="13"/>
      <c r="AA659" s="430">
        <f t="shared" si="305"/>
        <v>0</v>
      </c>
      <c r="AB659" s="430">
        <f t="shared" si="306"/>
        <v>1220</v>
      </c>
      <c r="AC659" s="430" t="str">
        <f t="shared" si="307"/>
        <v>N/A</v>
      </c>
      <c r="AD659" s="430">
        <f t="shared" si="308"/>
        <v>122</v>
      </c>
      <c r="AE659" s="431">
        <f t="shared" si="309"/>
        <v>1.004</v>
      </c>
      <c r="AF659" s="431"/>
      <c r="AG659" s="431">
        <f t="shared" si="310"/>
        <v>0.88200000000000001</v>
      </c>
      <c r="AH659" s="431">
        <f t="shared" si="311"/>
        <v>0.93933</v>
      </c>
      <c r="AI659" s="432">
        <f t="shared" si="312"/>
        <v>822.48245999999995</v>
      </c>
      <c r="AJ659" s="432">
        <f t="shared" si="313"/>
        <v>166.49970920304585</v>
      </c>
      <c r="AK659" s="432">
        <f t="shared" si="314"/>
        <v>182.05458827767745</v>
      </c>
      <c r="AL659" s="432">
        <f t="shared" si="315"/>
        <v>361.89825139030029</v>
      </c>
      <c r="AM659" s="250" t="s">
        <v>2902</v>
      </c>
      <c r="AN659" s="432" t="e">
        <f t="shared" si="316"/>
        <v>#VALUE!</v>
      </c>
      <c r="AO659" s="432" t="e">
        <f t="shared" si="317"/>
        <v>#VALUE!</v>
      </c>
      <c r="AP659" s="432" t="e">
        <f t="shared" si="318"/>
        <v>#VALUE!</v>
      </c>
      <c r="AQ659" s="255" t="s">
        <v>127</v>
      </c>
      <c r="AR659" s="255" t="s">
        <v>238</v>
      </c>
      <c r="AS659" s="434" t="s">
        <v>2903</v>
      </c>
      <c r="AT659" s="429" t="s">
        <v>2904</v>
      </c>
      <c r="AU659" s="241"/>
      <c r="AV659" s="243"/>
      <c r="AW659" s="245" t="s">
        <v>127</v>
      </c>
      <c r="AX659" s="244"/>
      <c r="AY659" s="244"/>
      <c r="AZ659" s="72"/>
      <c r="BA659" s="13" t="str">
        <f t="shared" si="319"/>
        <v>W50</v>
      </c>
      <c r="BB659" s="72" t="str">
        <f t="shared" si="303"/>
        <v>Clear</v>
      </c>
      <c r="BC659" s="32" t="str">
        <f t="shared" ref="BC659:BC672" si="320">IF(Q659="","",((P659/100*O659)+T659))</f>
        <v/>
      </c>
      <c r="BD659" s="241" t="str">
        <f t="shared" ref="BD659:BD672" si="321">IF(BC659="","",((PI()*((51/2)^2-(16.545/2)^2)/(BC659/10))/100))</f>
        <v/>
      </c>
      <c r="BE659" s="241" t="str">
        <f t="shared" ref="BE659:BE672" si="322">IF(BC659="","",(BD659-AK659))</f>
        <v/>
      </c>
      <c r="BF659" s="71" t="str">
        <f t="shared" ref="BF659:BF672" si="323">IF(BC659="","",(BE659/AK659))</f>
        <v/>
      </c>
      <c r="BG659" s="241" t="str">
        <f t="shared" ref="BG659:BG672" si="324">IF(BF659="","",((PI()*((70/2)^2-(16.545/2)^2)/(BC659/10))/100))</f>
        <v/>
      </c>
      <c r="BH659" s="241" t="str">
        <f t="shared" ref="BH659:BH672" si="325">IF(BF659="","",(BG659-AL659))</f>
        <v/>
      </c>
      <c r="BI659" s="71" t="str">
        <f t="shared" ref="BI659:BI672" si="326">IF(BG659="","",(BH659/AL659))</f>
        <v/>
      </c>
      <c r="BJ659" s="123"/>
      <c r="BK659" s="108"/>
      <c r="BL659" s="108"/>
      <c r="BM659" s="108"/>
      <c r="BN659" s="71"/>
      <c r="BO659" s="71"/>
      <c r="BP659" s="71"/>
      <c r="BQ659" s="80"/>
      <c r="BR659" s="80"/>
      <c r="BS659" s="80"/>
      <c r="BU659" s="87"/>
      <c r="BV659" s="73"/>
      <c r="BW659" s="109"/>
      <c r="BX659" s="87"/>
      <c r="BY659" s="87"/>
      <c r="BZ659" s="109"/>
      <c r="CA659" s="76"/>
    </row>
    <row r="660" spans="1:79" s="72" customFormat="1">
      <c r="A660" s="13" t="s">
        <v>2899</v>
      </c>
      <c r="B660" s="13"/>
      <c r="C660" s="13" t="s">
        <v>127</v>
      </c>
      <c r="D660" s="13" t="s">
        <v>127</v>
      </c>
      <c r="E660" s="13" t="s">
        <v>127</v>
      </c>
      <c r="F660" s="13" t="s">
        <v>167</v>
      </c>
      <c r="G660" s="13" t="s">
        <v>2905</v>
      </c>
      <c r="H660" s="13" t="s">
        <v>389</v>
      </c>
      <c r="I660" s="13" t="s">
        <v>139</v>
      </c>
      <c r="J660" s="13" t="s">
        <v>5</v>
      </c>
      <c r="K660" s="13" t="s">
        <v>140</v>
      </c>
      <c r="L660" s="13" t="s">
        <v>2906</v>
      </c>
      <c r="M660" s="13"/>
      <c r="N660" s="13" t="s">
        <v>391</v>
      </c>
      <c r="O660" s="247">
        <v>0.28000000000000003</v>
      </c>
      <c r="P660" s="13">
        <v>122</v>
      </c>
      <c r="Q660" s="13"/>
      <c r="R660" s="13" t="s">
        <v>127</v>
      </c>
      <c r="S660" s="430" t="str">
        <f t="shared" si="304"/>
        <v>N/A</v>
      </c>
      <c r="T660" s="247">
        <v>0.76</v>
      </c>
      <c r="U660" s="13" t="s">
        <v>127</v>
      </c>
      <c r="V660" s="13" t="s">
        <v>127</v>
      </c>
      <c r="W660" s="430" t="e">
        <f t="shared" si="301"/>
        <v>#VALUE!</v>
      </c>
      <c r="X660" s="430" t="e">
        <f t="shared" si="302"/>
        <v>#VALUE!</v>
      </c>
      <c r="Y660" s="13"/>
      <c r="Z660" s="13"/>
      <c r="AA660" s="430">
        <f t="shared" si="305"/>
        <v>0</v>
      </c>
      <c r="AB660" s="430">
        <f t="shared" si="306"/>
        <v>1220</v>
      </c>
      <c r="AC660" s="430" t="str">
        <f t="shared" si="307"/>
        <v>N/A</v>
      </c>
      <c r="AD660" s="430">
        <f t="shared" si="308"/>
        <v>122</v>
      </c>
      <c r="AE660" s="431">
        <f t="shared" si="309"/>
        <v>1.1016000000000001</v>
      </c>
      <c r="AF660" s="431"/>
      <c r="AG660" s="431">
        <f t="shared" si="310"/>
        <v>0.93080000000000007</v>
      </c>
      <c r="AH660" s="431">
        <f t="shared" si="311"/>
        <v>0.99130200000000013</v>
      </c>
      <c r="AI660" s="432">
        <f t="shared" si="312"/>
        <v>827.71544400000005</v>
      </c>
      <c r="AJ660" s="432">
        <f t="shared" si="313"/>
        <v>151.74810098026327</v>
      </c>
      <c r="AK660" s="432">
        <f t="shared" si="314"/>
        <v>165.92484262054117</v>
      </c>
      <c r="AL660" s="432">
        <f t="shared" si="315"/>
        <v>329.83464451330923</v>
      </c>
      <c r="AM660" s="250" t="s">
        <v>2902</v>
      </c>
      <c r="AN660" s="432" t="e">
        <f t="shared" si="316"/>
        <v>#VALUE!</v>
      </c>
      <c r="AO660" s="432" t="e">
        <f t="shared" si="317"/>
        <v>#VALUE!</v>
      </c>
      <c r="AP660" s="432" t="e">
        <f t="shared" si="318"/>
        <v>#VALUE!</v>
      </c>
      <c r="AQ660" s="255" t="s">
        <v>127</v>
      </c>
      <c r="AR660" s="255" t="s">
        <v>238</v>
      </c>
      <c r="AS660" s="429" t="s">
        <v>2907</v>
      </c>
      <c r="AT660" s="429" t="s">
        <v>2908</v>
      </c>
      <c r="AU660" s="241"/>
      <c r="AV660" s="243"/>
      <c r="AW660" s="245" t="s">
        <v>127</v>
      </c>
      <c r="AX660" s="244"/>
      <c r="AY660" s="244"/>
      <c r="BA660" s="13" t="str">
        <f t="shared" si="319"/>
        <v>W50</v>
      </c>
      <c r="BB660" s="72" t="str">
        <f t="shared" si="303"/>
        <v>Clear</v>
      </c>
      <c r="BC660" s="32" t="str">
        <f t="shared" si="320"/>
        <v/>
      </c>
      <c r="BD660" s="241" t="str">
        <f t="shared" si="321"/>
        <v/>
      </c>
      <c r="BE660" s="241" t="str">
        <f t="shared" si="322"/>
        <v/>
      </c>
      <c r="BF660" s="71" t="str">
        <f t="shared" si="323"/>
        <v/>
      </c>
      <c r="BG660" s="241" t="str">
        <f t="shared" si="324"/>
        <v/>
      </c>
      <c r="BH660" s="241" t="str">
        <f t="shared" si="325"/>
        <v/>
      </c>
      <c r="BI660" s="71" t="str">
        <f t="shared" si="326"/>
        <v/>
      </c>
      <c r="BJ660" s="123"/>
      <c r="BK660" s="108"/>
      <c r="BL660" s="108"/>
      <c r="BM660" s="108"/>
      <c r="BN660" s="71"/>
      <c r="BO660" s="71"/>
      <c r="BP660" s="71"/>
      <c r="BQ660" s="124"/>
      <c r="BR660" s="124"/>
      <c r="BS660" s="71"/>
      <c r="BU660" s="78"/>
      <c r="BV660" s="32"/>
      <c r="BW660" s="127"/>
      <c r="BX660" s="78"/>
      <c r="BY660" s="78"/>
      <c r="BZ660" s="127"/>
      <c r="CA660" s="76"/>
    </row>
    <row r="661" spans="1:79" s="72" customFormat="1">
      <c r="A661" s="13" t="s">
        <v>2899</v>
      </c>
      <c r="B661" s="387"/>
      <c r="C661" s="13" t="s">
        <v>127</v>
      </c>
      <c r="D661" s="13" t="s">
        <v>127</v>
      </c>
      <c r="E661" s="13" t="s">
        <v>127</v>
      </c>
      <c r="F661" s="13" t="s">
        <v>167</v>
      </c>
      <c r="G661" s="13" t="s">
        <v>2909</v>
      </c>
      <c r="H661" s="13" t="s">
        <v>146</v>
      </c>
      <c r="I661" s="13" t="s">
        <v>147</v>
      </c>
      <c r="J661" s="13" t="s">
        <v>5</v>
      </c>
      <c r="K661" s="13" t="s">
        <v>140</v>
      </c>
      <c r="L661" s="13" t="s">
        <v>2910</v>
      </c>
      <c r="M661" s="13" t="s">
        <v>125</v>
      </c>
      <c r="N661" s="13" t="s">
        <v>12</v>
      </c>
      <c r="O661" s="247">
        <v>0.35</v>
      </c>
      <c r="P661" s="13">
        <v>110</v>
      </c>
      <c r="Q661" s="13">
        <v>30</v>
      </c>
      <c r="R661" s="13" t="s">
        <v>127</v>
      </c>
      <c r="S661" s="430" t="str">
        <f t="shared" si="304"/>
        <v>N/A</v>
      </c>
      <c r="T661" s="247">
        <v>0.76</v>
      </c>
      <c r="U661" s="13">
        <v>250</v>
      </c>
      <c r="V661" s="13">
        <v>650</v>
      </c>
      <c r="W661" s="430">
        <f t="shared" si="301"/>
        <v>400</v>
      </c>
      <c r="X661" s="430">
        <f t="shared" si="302"/>
        <v>150</v>
      </c>
      <c r="Y661" s="13"/>
      <c r="Z661" s="13"/>
      <c r="AA661" s="430">
        <f t="shared" si="305"/>
        <v>0</v>
      </c>
      <c r="AB661" s="430">
        <f t="shared" si="306"/>
        <v>800</v>
      </c>
      <c r="AC661" s="430" t="str">
        <f t="shared" si="307"/>
        <v>N/A</v>
      </c>
      <c r="AD661" s="430">
        <f t="shared" si="308"/>
        <v>80</v>
      </c>
      <c r="AE661" s="431">
        <f t="shared" si="309"/>
        <v>1.04</v>
      </c>
      <c r="AF661" s="431"/>
      <c r="AG661" s="431">
        <f t="shared" si="310"/>
        <v>0.93818181818181823</v>
      </c>
      <c r="AH661" s="431">
        <f t="shared" si="311"/>
        <v>0.99916363636363648</v>
      </c>
      <c r="AI661" s="432">
        <f t="shared" si="312"/>
        <v>832.29430500000001</v>
      </c>
      <c r="AJ661" s="432">
        <f t="shared" si="313"/>
        <v>160.7362577306327</v>
      </c>
      <c r="AK661" s="432">
        <f t="shared" si="314"/>
        <v>175.75269868345015</v>
      </c>
      <c r="AL661" s="432">
        <f t="shared" si="315"/>
        <v>349.37100422678981</v>
      </c>
      <c r="AM661" s="250">
        <v>170</v>
      </c>
      <c r="AN661" s="432">
        <f t="shared" si="316"/>
        <v>187</v>
      </c>
      <c r="AO661" s="432">
        <f t="shared" si="317"/>
        <v>186.84360000000001</v>
      </c>
      <c r="AP661" s="432">
        <f t="shared" si="318"/>
        <v>622.81200000000001</v>
      </c>
      <c r="AQ661" s="255">
        <v>43831</v>
      </c>
      <c r="AR661" s="255" t="s">
        <v>2911</v>
      </c>
      <c r="AS661" s="429" t="s">
        <v>2912</v>
      </c>
      <c r="AT661" s="429"/>
      <c r="AU661" s="241"/>
      <c r="AV661" s="243"/>
      <c r="AW661" s="245" t="s">
        <v>127</v>
      </c>
      <c r="AX661" s="244"/>
      <c r="AY661" s="244"/>
      <c r="BA661" s="13" t="str">
        <f t="shared" si="319"/>
        <v>W20</v>
      </c>
      <c r="BB661" s="72" t="str">
        <f t="shared" si="303"/>
        <v>Clear</v>
      </c>
      <c r="BC661" s="32">
        <f t="shared" si="320"/>
        <v>1.145</v>
      </c>
      <c r="BD661" s="241">
        <f t="shared" si="321"/>
        <v>159.6356389788543</v>
      </c>
      <c r="BE661" s="241">
        <f t="shared" si="322"/>
        <v>-16.117059704595846</v>
      </c>
      <c r="BF661" s="71">
        <f t="shared" si="323"/>
        <v>-9.1703056768558847E-2</v>
      </c>
      <c r="BG661" s="241">
        <f t="shared" si="324"/>
        <v>317.33261519289209</v>
      </c>
      <c r="BH661" s="241">
        <f t="shared" si="325"/>
        <v>-32.038389033897715</v>
      </c>
      <c r="BI661" s="71">
        <f t="shared" si="326"/>
        <v>-9.1703056768558833E-2</v>
      </c>
      <c r="BJ661" s="123"/>
      <c r="BK661" s="108"/>
      <c r="BL661" s="108"/>
      <c r="BM661" s="108"/>
      <c r="BN661" s="71"/>
      <c r="BO661" s="71"/>
      <c r="BP661" s="71"/>
      <c r="BQ661" s="108"/>
      <c r="BR661" s="71"/>
      <c r="BS661" s="71"/>
      <c r="BU661" s="78"/>
      <c r="BV661" s="32"/>
      <c r="BW661" s="127"/>
      <c r="BX661" s="78"/>
      <c r="BY661" s="78"/>
      <c r="BZ661" s="127"/>
      <c r="CA661" s="76"/>
    </row>
    <row r="662" spans="1:79" s="72" customFormat="1">
      <c r="A662" s="13" t="s">
        <v>2899</v>
      </c>
      <c r="B662" s="13"/>
      <c r="C662" s="13" t="s">
        <v>127</v>
      </c>
      <c r="D662" s="13" t="s">
        <v>127</v>
      </c>
      <c r="E662" s="13" t="s">
        <v>127</v>
      </c>
      <c r="F662" s="13" t="s">
        <v>167</v>
      </c>
      <c r="G662" s="13" t="s">
        <v>2913</v>
      </c>
      <c r="H662" s="13" t="s">
        <v>389</v>
      </c>
      <c r="I662" s="13" t="s">
        <v>139</v>
      </c>
      <c r="J662" s="13" t="s">
        <v>5</v>
      </c>
      <c r="K662" s="13" t="s">
        <v>140</v>
      </c>
      <c r="L662" s="13" t="s">
        <v>2914</v>
      </c>
      <c r="M662" s="13"/>
      <c r="N662" s="13" t="s">
        <v>391</v>
      </c>
      <c r="O662" s="247">
        <v>0.36</v>
      </c>
      <c r="P662" s="13">
        <v>122</v>
      </c>
      <c r="Q662" s="13"/>
      <c r="R662" s="13" t="s">
        <v>127</v>
      </c>
      <c r="S662" s="430" t="str">
        <f t="shared" si="304"/>
        <v>N/A</v>
      </c>
      <c r="T662" s="247">
        <v>0.76</v>
      </c>
      <c r="U662" s="13" t="s">
        <v>127</v>
      </c>
      <c r="V662" s="13" t="s">
        <v>127</v>
      </c>
      <c r="W662" s="430" t="e">
        <f t="shared" si="301"/>
        <v>#VALUE!</v>
      </c>
      <c r="X662" s="430" t="e">
        <f t="shared" si="302"/>
        <v>#VALUE!</v>
      </c>
      <c r="Y662" s="13"/>
      <c r="Z662" s="13"/>
      <c r="AA662" s="430">
        <f t="shared" si="305"/>
        <v>0</v>
      </c>
      <c r="AB662" s="430">
        <f t="shared" si="306"/>
        <v>1220</v>
      </c>
      <c r="AC662" s="430" t="str">
        <f t="shared" si="307"/>
        <v>N/A</v>
      </c>
      <c r="AD662" s="430">
        <f t="shared" si="308"/>
        <v>122</v>
      </c>
      <c r="AE662" s="431">
        <f t="shared" si="309"/>
        <v>1.1992</v>
      </c>
      <c r="AF662" s="431"/>
      <c r="AG662" s="431">
        <f t="shared" si="310"/>
        <v>0.97960000000000003</v>
      </c>
      <c r="AH662" s="431">
        <f t="shared" si="311"/>
        <v>1.043274</v>
      </c>
      <c r="AI662" s="432">
        <f t="shared" si="312"/>
        <v>832.94842800000004</v>
      </c>
      <c r="AJ662" s="432">
        <f t="shared" si="313"/>
        <v>139.39768849220982</v>
      </c>
      <c r="AK662" s="432">
        <f t="shared" si="314"/>
        <v>152.42061927183804</v>
      </c>
      <c r="AL662" s="432">
        <f t="shared" si="315"/>
        <v>302.99019712796985</v>
      </c>
      <c r="AM662" s="250" t="s">
        <v>2902</v>
      </c>
      <c r="AN662" s="432" t="e">
        <f t="shared" si="316"/>
        <v>#VALUE!</v>
      </c>
      <c r="AO662" s="432" t="e">
        <f t="shared" si="317"/>
        <v>#VALUE!</v>
      </c>
      <c r="AP662" s="432" t="e">
        <f t="shared" si="318"/>
        <v>#VALUE!</v>
      </c>
      <c r="AQ662" s="255" t="s">
        <v>127</v>
      </c>
      <c r="AR662" s="255" t="s">
        <v>238</v>
      </c>
      <c r="AS662" s="434" t="s">
        <v>2915</v>
      </c>
      <c r="AT662" s="429" t="s">
        <v>2908</v>
      </c>
      <c r="AU662" s="241"/>
      <c r="AV662" s="243"/>
      <c r="AW662" s="245" t="s">
        <v>127</v>
      </c>
      <c r="AX662" s="244"/>
      <c r="AY662" s="244"/>
      <c r="BA662" s="13" t="str">
        <f t="shared" si="319"/>
        <v>W50</v>
      </c>
      <c r="BB662" s="72" t="str">
        <f t="shared" si="303"/>
        <v>Clear</v>
      </c>
      <c r="BC662" s="32" t="str">
        <f t="shared" si="320"/>
        <v/>
      </c>
      <c r="BD662" s="241" t="str">
        <f t="shared" si="321"/>
        <v/>
      </c>
      <c r="BE662" s="241" t="str">
        <f t="shared" si="322"/>
        <v/>
      </c>
      <c r="BF662" s="71" t="str">
        <f t="shared" si="323"/>
        <v/>
      </c>
      <c r="BG662" s="241" t="str">
        <f t="shared" si="324"/>
        <v/>
      </c>
      <c r="BH662" s="241" t="str">
        <f t="shared" si="325"/>
        <v/>
      </c>
      <c r="BI662" s="71" t="str">
        <f t="shared" si="326"/>
        <v/>
      </c>
      <c r="BJ662" s="123"/>
      <c r="BK662" s="108"/>
      <c r="BL662" s="108"/>
      <c r="BM662" s="108"/>
      <c r="BN662" s="71"/>
      <c r="BO662" s="71"/>
      <c r="BP662" s="71"/>
      <c r="BQ662" s="103"/>
      <c r="BR662" s="71"/>
      <c r="BS662" s="71"/>
      <c r="BT662" s="13" t="e">
        <f>P662-V662/10-120/10</f>
        <v>#VALUE!</v>
      </c>
      <c r="BU662" s="79" t="e">
        <f>BT662-Q662</f>
        <v>#VALUE!</v>
      </c>
      <c r="BV662" s="29" t="e">
        <f>T662+(O662/100*(P662-BT662))</f>
        <v>#VALUE!</v>
      </c>
      <c r="BW662" s="86" t="e">
        <f>(AE662-BV662)/AE662</f>
        <v>#VALUE!</v>
      </c>
      <c r="BX662" s="79" t="e">
        <f>(PI()*((51/2)^2-(16.545/2)^2)/(BV662/10))/100</f>
        <v>#VALUE!</v>
      </c>
      <c r="BY662" s="79" t="e">
        <f>BX662-AK662</f>
        <v>#VALUE!</v>
      </c>
      <c r="BZ662" s="86" t="e">
        <f>BY662/AK662</f>
        <v>#VALUE!</v>
      </c>
      <c r="CA662" s="76"/>
    </row>
    <row r="663" spans="1:79" s="72" customFormat="1">
      <c r="A663" s="13" t="s">
        <v>2899</v>
      </c>
      <c r="B663" s="13"/>
      <c r="C663" s="13" t="s">
        <v>127</v>
      </c>
      <c r="D663" s="13" t="s">
        <v>127</v>
      </c>
      <c r="E663" s="13" t="s">
        <v>127</v>
      </c>
      <c r="F663" s="13" t="s">
        <v>167</v>
      </c>
      <c r="G663" s="13" t="s">
        <v>2916</v>
      </c>
      <c r="H663" s="13" t="s">
        <v>389</v>
      </c>
      <c r="I663" s="13" t="s">
        <v>139</v>
      </c>
      <c r="J663" s="13" t="s">
        <v>5</v>
      </c>
      <c r="K663" s="13" t="s">
        <v>140</v>
      </c>
      <c r="L663" s="13" t="s">
        <v>2917</v>
      </c>
      <c r="M663" s="13"/>
      <c r="N663" s="13" t="s">
        <v>391</v>
      </c>
      <c r="O663" s="247">
        <v>0.44</v>
      </c>
      <c r="P663" s="13">
        <v>122</v>
      </c>
      <c r="Q663" s="13"/>
      <c r="R663" s="13" t="s">
        <v>127</v>
      </c>
      <c r="S663" s="430" t="str">
        <f t="shared" si="304"/>
        <v>N/A</v>
      </c>
      <c r="T663" s="247">
        <v>0.76</v>
      </c>
      <c r="U663" s="13" t="s">
        <v>127</v>
      </c>
      <c r="V663" s="13" t="s">
        <v>127</v>
      </c>
      <c r="W663" s="430" t="e">
        <f t="shared" si="301"/>
        <v>#VALUE!</v>
      </c>
      <c r="X663" s="430" t="e">
        <f t="shared" si="302"/>
        <v>#VALUE!</v>
      </c>
      <c r="Y663" s="13"/>
      <c r="Z663" s="13"/>
      <c r="AA663" s="430">
        <f t="shared" si="305"/>
        <v>0</v>
      </c>
      <c r="AB663" s="430">
        <f t="shared" si="306"/>
        <v>1220</v>
      </c>
      <c r="AC663" s="430" t="str">
        <f t="shared" si="307"/>
        <v>N/A</v>
      </c>
      <c r="AD663" s="430">
        <f t="shared" si="308"/>
        <v>122</v>
      </c>
      <c r="AE663" s="431">
        <f t="shared" si="309"/>
        <v>1.2968000000000002</v>
      </c>
      <c r="AF663" s="431"/>
      <c r="AG663" s="431">
        <f t="shared" si="310"/>
        <v>1.0284</v>
      </c>
      <c r="AH663" s="431">
        <f t="shared" si="311"/>
        <v>1.0952460000000002</v>
      </c>
      <c r="AI663" s="432">
        <f t="shared" si="312"/>
        <v>838.18141200000002</v>
      </c>
      <c r="AJ663" s="432">
        <f t="shared" si="313"/>
        <v>128.90631403443709</v>
      </c>
      <c r="AK663" s="432">
        <f t="shared" si="314"/>
        <v>140.9491106036306</v>
      </c>
      <c r="AL663" s="432">
        <f t="shared" si="315"/>
        <v>280.186493210874</v>
      </c>
      <c r="AM663" s="250" t="s">
        <v>2902</v>
      </c>
      <c r="AN663" s="432" t="e">
        <f t="shared" si="316"/>
        <v>#VALUE!</v>
      </c>
      <c r="AO663" s="432" t="e">
        <f t="shared" si="317"/>
        <v>#VALUE!</v>
      </c>
      <c r="AP663" s="432" t="e">
        <f t="shared" si="318"/>
        <v>#VALUE!</v>
      </c>
      <c r="AQ663" s="255" t="s">
        <v>127</v>
      </c>
      <c r="AR663" s="255" t="s">
        <v>238</v>
      </c>
      <c r="AS663" s="429" t="s">
        <v>2918</v>
      </c>
      <c r="AT663" s="429" t="s">
        <v>2908</v>
      </c>
      <c r="AU663" s="241"/>
      <c r="AV663" s="243"/>
      <c r="AW663" s="245" t="s">
        <v>127</v>
      </c>
      <c r="AX663" s="244"/>
      <c r="AY663" s="244"/>
      <c r="BA663" s="13" t="str">
        <f t="shared" si="319"/>
        <v>W50</v>
      </c>
      <c r="BB663" s="72" t="str">
        <f t="shared" si="303"/>
        <v>Clear</v>
      </c>
      <c r="BC663" s="32" t="str">
        <f t="shared" si="320"/>
        <v/>
      </c>
      <c r="BD663" s="241" t="str">
        <f t="shared" si="321"/>
        <v/>
      </c>
      <c r="BE663" s="241" t="str">
        <f t="shared" si="322"/>
        <v/>
      </c>
      <c r="BF663" s="71" t="str">
        <f t="shared" si="323"/>
        <v/>
      </c>
      <c r="BG663" s="241" t="str">
        <f t="shared" si="324"/>
        <v/>
      </c>
      <c r="BH663" s="241" t="str">
        <f t="shared" si="325"/>
        <v/>
      </c>
      <c r="BI663" s="71" t="str">
        <f t="shared" si="326"/>
        <v/>
      </c>
      <c r="BJ663" s="123"/>
      <c r="BK663" s="108"/>
      <c r="BL663" s="108"/>
      <c r="BM663" s="108"/>
      <c r="BN663" s="71"/>
      <c r="BO663" s="71"/>
      <c r="BP663" s="71"/>
      <c r="BQ663" s="124"/>
      <c r="BR663" s="124"/>
      <c r="BS663" s="71"/>
      <c r="BU663" s="78"/>
      <c r="BV663" s="32"/>
      <c r="BW663" s="127"/>
      <c r="BX663" s="78"/>
      <c r="BY663" s="78"/>
      <c r="BZ663" s="127"/>
      <c r="CA663" s="76"/>
    </row>
    <row r="664" spans="1:79" s="72" customFormat="1">
      <c r="A664" s="13" t="s">
        <v>2899</v>
      </c>
      <c r="B664" s="13"/>
      <c r="C664" s="13" t="s">
        <v>127</v>
      </c>
      <c r="D664" s="13" t="s">
        <v>127</v>
      </c>
      <c r="E664" s="13" t="s">
        <v>127</v>
      </c>
      <c r="F664" s="13" t="s">
        <v>167</v>
      </c>
      <c r="G664" s="13" t="s">
        <v>2919</v>
      </c>
      <c r="H664" s="13" t="s">
        <v>389</v>
      </c>
      <c r="I664" s="13" t="s">
        <v>139</v>
      </c>
      <c r="J664" s="13" t="s">
        <v>5</v>
      </c>
      <c r="K664" s="13" t="s">
        <v>140</v>
      </c>
      <c r="L664" s="13" t="s">
        <v>2920</v>
      </c>
      <c r="M664" s="13"/>
      <c r="N664" s="13" t="s">
        <v>391</v>
      </c>
      <c r="O664" s="247">
        <v>0.52</v>
      </c>
      <c r="P664" s="13">
        <v>122</v>
      </c>
      <c r="Q664" s="13"/>
      <c r="R664" s="13" t="s">
        <v>127</v>
      </c>
      <c r="S664" s="430" t="str">
        <f t="shared" si="304"/>
        <v>N/A</v>
      </c>
      <c r="T664" s="247">
        <v>0.76</v>
      </c>
      <c r="U664" s="13" t="s">
        <v>127</v>
      </c>
      <c r="V664" s="13" t="s">
        <v>127</v>
      </c>
      <c r="W664" s="430" t="e">
        <f t="shared" si="301"/>
        <v>#VALUE!</v>
      </c>
      <c r="X664" s="430" t="e">
        <f t="shared" si="302"/>
        <v>#VALUE!</v>
      </c>
      <c r="Y664" s="13"/>
      <c r="Z664" s="13"/>
      <c r="AA664" s="430">
        <f t="shared" si="305"/>
        <v>0</v>
      </c>
      <c r="AB664" s="430">
        <f t="shared" si="306"/>
        <v>1220</v>
      </c>
      <c r="AC664" s="430" t="str">
        <f t="shared" si="307"/>
        <v>N/A</v>
      </c>
      <c r="AD664" s="430">
        <f t="shared" si="308"/>
        <v>122</v>
      </c>
      <c r="AE664" s="431">
        <f t="shared" si="309"/>
        <v>1.3944000000000001</v>
      </c>
      <c r="AF664" s="431"/>
      <c r="AG664" s="431">
        <f t="shared" si="310"/>
        <v>1.0771999999999999</v>
      </c>
      <c r="AH664" s="431">
        <f t="shared" si="311"/>
        <v>1.1472179999999998</v>
      </c>
      <c r="AI664" s="432">
        <f t="shared" si="312"/>
        <v>843.41439600000001</v>
      </c>
      <c r="AJ664" s="432">
        <f t="shared" si="313"/>
        <v>119.88361161779837</v>
      </c>
      <c r="AK664" s="432">
        <f t="shared" si="314"/>
        <v>131.08348151949812</v>
      </c>
      <c r="AL664" s="432">
        <f t="shared" si="315"/>
        <v>260.57504618177097</v>
      </c>
      <c r="AM664" s="250" t="s">
        <v>2902</v>
      </c>
      <c r="AN664" s="432" t="e">
        <f t="shared" si="316"/>
        <v>#VALUE!</v>
      </c>
      <c r="AO664" s="432" t="e">
        <f t="shared" si="317"/>
        <v>#VALUE!</v>
      </c>
      <c r="AP664" s="432" t="e">
        <f t="shared" si="318"/>
        <v>#VALUE!</v>
      </c>
      <c r="AQ664" s="255" t="s">
        <v>127</v>
      </c>
      <c r="AR664" s="255" t="s">
        <v>238</v>
      </c>
      <c r="AS664" s="429" t="s">
        <v>2921</v>
      </c>
      <c r="AT664" s="429" t="s">
        <v>2922</v>
      </c>
      <c r="AU664" s="241"/>
      <c r="AV664" s="243"/>
      <c r="AW664" s="245" t="s">
        <v>127</v>
      </c>
      <c r="AX664" s="244"/>
      <c r="AY664" s="244"/>
      <c r="BA664" s="13" t="str">
        <f t="shared" si="319"/>
        <v>W50</v>
      </c>
      <c r="BB664" s="72" t="str">
        <f t="shared" si="303"/>
        <v>Clear</v>
      </c>
      <c r="BC664" s="32" t="str">
        <f t="shared" si="320"/>
        <v/>
      </c>
      <c r="BD664" s="241" t="str">
        <f t="shared" si="321"/>
        <v/>
      </c>
      <c r="BE664" s="241" t="str">
        <f t="shared" si="322"/>
        <v/>
      </c>
      <c r="BF664" s="71" t="str">
        <f t="shared" si="323"/>
        <v/>
      </c>
      <c r="BG664" s="241" t="str">
        <f t="shared" si="324"/>
        <v/>
      </c>
      <c r="BH664" s="241" t="str">
        <f t="shared" si="325"/>
        <v/>
      </c>
      <c r="BI664" s="71" t="str">
        <f t="shared" si="326"/>
        <v/>
      </c>
      <c r="BJ664" s="123"/>
      <c r="BK664" s="108"/>
      <c r="BL664" s="108"/>
      <c r="BM664" s="108"/>
      <c r="BN664" s="71"/>
      <c r="BO664" s="71"/>
      <c r="BP664" s="71"/>
      <c r="BQ664" s="164"/>
      <c r="BR664" s="159"/>
      <c r="BS664" s="100"/>
      <c r="BU664" s="78"/>
      <c r="BV664" s="32"/>
      <c r="BW664" s="127"/>
      <c r="BX664" s="78"/>
      <c r="BY664" s="78"/>
      <c r="BZ664" s="127"/>
      <c r="CA664" s="76"/>
    </row>
    <row r="665" spans="1:79" s="72" customFormat="1">
      <c r="A665" s="13" t="s">
        <v>2899</v>
      </c>
      <c r="B665" s="13"/>
      <c r="C665" s="13" t="s">
        <v>127</v>
      </c>
      <c r="D665" s="13" t="s">
        <v>127</v>
      </c>
      <c r="E665" s="13" t="s">
        <v>127</v>
      </c>
      <c r="F665" s="13" t="s">
        <v>167</v>
      </c>
      <c r="G665" s="13" t="s">
        <v>2923</v>
      </c>
      <c r="H665" s="13" t="s">
        <v>389</v>
      </c>
      <c r="I665" s="13" t="s">
        <v>139</v>
      </c>
      <c r="J665" s="13" t="s">
        <v>5</v>
      </c>
      <c r="K665" s="13" t="s">
        <v>140</v>
      </c>
      <c r="L665" s="13" t="s">
        <v>2924</v>
      </c>
      <c r="M665" s="13"/>
      <c r="N665" s="13" t="s">
        <v>391</v>
      </c>
      <c r="O665" s="247">
        <v>0.6</v>
      </c>
      <c r="P665" s="13">
        <v>122</v>
      </c>
      <c r="Q665" s="13"/>
      <c r="R665" s="13" t="s">
        <v>127</v>
      </c>
      <c r="S665" s="430" t="str">
        <f t="shared" si="304"/>
        <v>N/A</v>
      </c>
      <c r="T665" s="247">
        <v>0.76</v>
      </c>
      <c r="U665" s="13" t="s">
        <v>127</v>
      </c>
      <c r="V665" s="13" t="s">
        <v>127</v>
      </c>
      <c r="W665" s="430" t="e">
        <f t="shared" si="301"/>
        <v>#VALUE!</v>
      </c>
      <c r="X665" s="430" t="e">
        <f t="shared" si="302"/>
        <v>#VALUE!</v>
      </c>
      <c r="Y665" s="13"/>
      <c r="Z665" s="13"/>
      <c r="AA665" s="430">
        <f t="shared" si="305"/>
        <v>0</v>
      </c>
      <c r="AB665" s="430">
        <f t="shared" si="306"/>
        <v>1220</v>
      </c>
      <c r="AC665" s="430" t="str">
        <f t="shared" si="307"/>
        <v>N/A</v>
      </c>
      <c r="AD665" s="430">
        <f t="shared" si="308"/>
        <v>122</v>
      </c>
      <c r="AE665" s="431">
        <f t="shared" si="309"/>
        <v>1.492</v>
      </c>
      <c r="AF665" s="431"/>
      <c r="AG665" s="431">
        <f t="shared" si="310"/>
        <v>1.1259999999999999</v>
      </c>
      <c r="AH665" s="431">
        <f t="shared" si="311"/>
        <v>1.1991899999999998</v>
      </c>
      <c r="AI665" s="432">
        <f t="shared" si="312"/>
        <v>848.64738</v>
      </c>
      <c r="AJ665" s="432">
        <f t="shared" si="313"/>
        <v>112.04135927604426</v>
      </c>
      <c r="AK665" s="432">
        <f t="shared" si="314"/>
        <v>122.50858353269984</v>
      </c>
      <c r="AL665" s="432">
        <f t="shared" si="315"/>
        <v>243.52938632430391</v>
      </c>
      <c r="AM665" s="250" t="s">
        <v>2902</v>
      </c>
      <c r="AN665" s="432" t="e">
        <f t="shared" si="316"/>
        <v>#VALUE!</v>
      </c>
      <c r="AO665" s="432" t="e">
        <f t="shared" si="317"/>
        <v>#VALUE!</v>
      </c>
      <c r="AP665" s="432" t="e">
        <f t="shared" si="318"/>
        <v>#VALUE!</v>
      </c>
      <c r="AQ665" s="255" t="s">
        <v>127</v>
      </c>
      <c r="AR665" s="255" t="s">
        <v>238</v>
      </c>
      <c r="AS665" s="429" t="s">
        <v>2925</v>
      </c>
      <c r="AT665" s="429" t="s">
        <v>2908</v>
      </c>
      <c r="AU665" s="241"/>
      <c r="AV665" s="243"/>
      <c r="AW665" s="245" t="s">
        <v>127</v>
      </c>
      <c r="AX665" s="244"/>
      <c r="AY665" s="244"/>
      <c r="BA665" s="13" t="str">
        <f t="shared" si="319"/>
        <v>W50</v>
      </c>
      <c r="BB665" s="72" t="str">
        <f t="shared" si="303"/>
        <v>Clear</v>
      </c>
      <c r="BC665" s="32" t="str">
        <f t="shared" si="320"/>
        <v/>
      </c>
      <c r="BD665" s="241" t="str">
        <f t="shared" si="321"/>
        <v/>
      </c>
      <c r="BE665" s="241" t="str">
        <f t="shared" si="322"/>
        <v/>
      </c>
      <c r="BF665" s="71" t="str">
        <f t="shared" si="323"/>
        <v/>
      </c>
      <c r="BG665" s="241" t="str">
        <f t="shared" si="324"/>
        <v/>
      </c>
      <c r="BH665" s="241" t="str">
        <f t="shared" si="325"/>
        <v/>
      </c>
      <c r="BI665" s="71" t="str">
        <f t="shared" si="326"/>
        <v/>
      </c>
      <c r="BJ665" s="123"/>
      <c r="BK665" s="108"/>
      <c r="BL665" s="108"/>
      <c r="BM665" s="108"/>
      <c r="BN665" s="71"/>
      <c r="BO665" s="71"/>
      <c r="BP665" s="71"/>
      <c r="BQ665" s="115"/>
      <c r="BR665" s="113"/>
      <c r="BS665" s="80"/>
      <c r="BT665" s="22"/>
      <c r="BU665" s="87"/>
      <c r="BV665" s="73"/>
      <c r="BW665" s="109"/>
      <c r="BX665" s="87"/>
      <c r="BY665" s="87"/>
      <c r="BZ665" s="109"/>
      <c r="CA665" s="76"/>
    </row>
    <row r="666" spans="1:79" s="72" customFormat="1">
      <c r="A666" s="13" t="s">
        <v>2899</v>
      </c>
      <c r="B666" s="387"/>
      <c r="C666" s="13" t="s">
        <v>127</v>
      </c>
      <c r="D666" s="13" t="s">
        <v>127</v>
      </c>
      <c r="E666" s="13" t="s">
        <v>127</v>
      </c>
      <c r="F666" s="13" t="s">
        <v>167</v>
      </c>
      <c r="G666" s="13" t="s">
        <v>2926</v>
      </c>
      <c r="H666" s="13" t="s">
        <v>146</v>
      </c>
      <c r="I666" s="13" t="s">
        <v>147</v>
      </c>
      <c r="J666" s="13" t="s">
        <v>5</v>
      </c>
      <c r="K666" s="13" t="s">
        <v>140</v>
      </c>
      <c r="L666" s="13" t="s">
        <v>2927</v>
      </c>
      <c r="M666" s="13" t="s">
        <v>125</v>
      </c>
      <c r="N666" s="13" t="s">
        <v>12</v>
      </c>
      <c r="O666" s="247">
        <v>0.65</v>
      </c>
      <c r="P666" s="13">
        <v>110</v>
      </c>
      <c r="Q666" s="13">
        <v>30</v>
      </c>
      <c r="R666" s="13" t="s">
        <v>127</v>
      </c>
      <c r="S666" s="430" t="str">
        <f t="shared" si="304"/>
        <v>N/A</v>
      </c>
      <c r="T666" s="247">
        <v>0.76</v>
      </c>
      <c r="U666" s="13">
        <v>250</v>
      </c>
      <c r="V666" s="13">
        <v>650</v>
      </c>
      <c r="W666" s="430">
        <f t="shared" si="301"/>
        <v>400</v>
      </c>
      <c r="X666" s="430">
        <f t="shared" si="302"/>
        <v>150</v>
      </c>
      <c r="Y666" s="13"/>
      <c r="Z666" s="13"/>
      <c r="AA666" s="430">
        <f t="shared" si="305"/>
        <v>0</v>
      </c>
      <c r="AB666" s="430">
        <f t="shared" si="306"/>
        <v>800</v>
      </c>
      <c r="AC666" s="430" t="str">
        <f t="shared" si="307"/>
        <v>N/A</v>
      </c>
      <c r="AD666" s="430">
        <f t="shared" si="308"/>
        <v>80</v>
      </c>
      <c r="AE666" s="431">
        <f t="shared" si="309"/>
        <v>1.28</v>
      </c>
      <c r="AF666" s="431"/>
      <c r="AG666" s="431">
        <f t="shared" si="310"/>
        <v>1.0909090909090908</v>
      </c>
      <c r="AH666" s="431">
        <f t="shared" si="311"/>
        <v>1.1618181818181816</v>
      </c>
      <c r="AI666" s="432">
        <f t="shared" si="312"/>
        <v>851.91799500000002</v>
      </c>
      <c r="AJ666" s="432">
        <f t="shared" si="313"/>
        <v>130.59820940613909</v>
      </c>
      <c r="AK666" s="432">
        <f t="shared" si="314"/>
        <v>142.79906768030324</v>
      </c>
      <c r="AL666" s="432">
        <f t="shared" si="315"/>
        <v>283.86394093426674</v>
      </c>
      <c r="AM666" s="250">
        <v>130</v>
      </c>
      <c r="AN666" s="432">
        <f t="shared" si="316"/>
        <v>143</v>
      </c>
      <c r="AO666" s="432">
        <f t="shared" si="317"/>
        <v>166.14</v>
      </c>
      <c r="AP666" s="432">
        <f t="shared" si="318"/>
        <v>553.79999999999995</v>
      </c>
      <c r="AQ666" s="255">
        <v>43831</v>
      </c>
      <c r="AR666" s="255" t="s">
        <v>2911</v>
      </c>
      <c r="AS666" s="429" t="s">
        <v>2928</v>
      </c>
      <c r="AT666" s="429"/>
      <c r="AU666" s="241"/>
      <c r="AV666" s="243"/>
      <c r="AW666" s="245" t="s">
        <v>127</v>
      </c>
      <c r="AX666" s="244"/>
      <c r="AY666" s="244"/>
      <c r="BA666" s="13" t="str">
        <f t="shared" si="319"/>
        <v>W20</v>
      </c>
      <c r="BB666" s="72" t="str">
        <f t="shared" si="303"/>
        <v>Clear</v>
      </c>
      <c r="BC666" s="32">
        <f t="shared" si="320"/>
        <v>1.4750000000000001</v>
      </c>
      <c r="BD666" s="241">
        <f t="shared" si="321"/>
        <v>123.92054686833094</v>
      </c>
      <c r="BE666" s="241">
        <f t="shared" si="322"/>
        <v>-18.878520811972294</v>
      </c>
      <c r="BF666" s="71">
        <f t="shared" si="323"/>
        <v>-0.13220338983050847</v>
      </c>
      <c r="BG666" s="241">
        <f t="shared" si="324"/>
        <v>246.33616569210943</v>
      </c>
      <c r="BH666" s="241">
        <f t="shared" si="325"/>
        <v>-37.527775242157304</v>
      </c>
      <c r="BI666" s="71">
        <f t="shared" si="326"/>
        <v>-0.1322033898305085</v>
      </c>
      <c r="BJ666" s="123"/>
      <c r="BK666" s="108"/>
      <c r="BL666" s="108"/>
      <c r="BM666" s="108"/>
      <c r="BN666" s="71"/>
      <c r="BO666" s="71"/>
      <c r="BP666" s="71"/>
      <c r="BQ666" s="115"/>
      <c r="BR666" s="156">
        <v>2544</v>
      </c>
      <c r="BS666" s="106"/>
      <c r="BT666" s="262"/>
      <c r="BU666" s="269"/>
      <c r="BV666" s="263"/>
      <c r="BW666" s="132"/>
      <c r="BX666" s="269"/>
      <c r="BY666" s="269"/>
      <c r="BZ666" s="132"/>
      <c r="CA666" s="76"/>
    </row>
    <row r="667" spans="1:79" s="72" customFormat="1">
      <c r="A667" s="13" t="s">
        <v>2899</v>
      </c>
      <c r="B667" s="13"/>
      <c r="C667" s="13" t="s">
        <v>127</v>
      </c>
      <c r="D667" s="13" t="s">
        <v>127</v>
      </c>
      <c r="E667" s="13" t="s">
        <v>127</v>
      </c>
      <c r="F667" s="13" t="s">
        <v>167</v>
      </c>
      <c r="G667" s="13" t="s">
        <v>2929</v>
      </c>
      <c r="H667" s="13" t="s">
        <v>389</v>
      </c>
      <c r="I667" s="13" t="s">
        <v>139</v>
      </c>
      <c r="J667" s="13" t="s">
        <v>5</v>
      </c>
      <c r="K667" s="13" t="s">
        <v>140</v>
      </c>
      <c r="L667" s="13" t="s">
        <v>2930</v>
      </c>
      <c r="M667" s="13"/>
      <c r="N667" s="13" t="s">
        <v>391</v>
      </c>
      <c r="O667" s="247">
        <v>0.68</v>
      </c>
      <c r="P667" s="13">
        <v>122</v>
      </c>
      <c r="Q667" s="13"/>
      <c r="R667" s="13" t="s">
        <v>127</v>
      </c>
      <c r="S667" s="430" t="str">
        <f t="shared" si="304"/>
        <v>N/A</v>
      </c>
      <c r="T667" s="247">
        <v>0.76</v>
      </c>
      <c r="U667" s="13" t="s">
        <v>127</v>
      </c>
      <c r="V667" s="13" t="s">
        <v>127</v>
      </c>
      <c r="W667" s="430" t="e">
        <f t="shared" si="301"/>
        <v>#VALUE!</v>
      </c>
      <c r="X667" s="430" t="e">
        <f t="shared" si="302"/>
        <v>#VALUE!</v>
      </c>
      <c r="Y667" s="13"/>
      <c r="Z667" s="13"/>
      <c r="AA667" s="430">
        <f t="shared" si="305"/>
        <v>0</v>
      </c>
      <c r="AB667" s="430">
        <f t="shared" si="306"/>
        <v>1220</v>
      </c>
      <c r="AC667" s="430" t="str">
        <f t="shared" si="307"/>
        <v>N/A</v>
      </c>
      <c r="AD667" s="430">
        <f t="shared" si="308"/>
        <v>122</v>
      </c>
      <c r="AE667" s="431">
        <f t="shared" si="309"/>
        <v>1.5896000000000001</v>
      </c>
      <c r="AF667" s="431"/>
      <c r="AG667" s="431">
        <f t="shared" si="310"/>
        <v>1.1748000000000001</v>
      </c>
      <c r="AH667" s="431">
        <f t="shared" si="311"/>
        <v>1.2511620000000001</v>
      </c>
      <c r="AI667" s="432">
        <f t="shared" si="312"/>
        <v>853.88036399999999</v>
      </c>
      <c r="AJ667" s="432">
        <f t="shared" si="313"/>
        <v>105.16212131344868</v>
      </c>
      <c r="AK667" s="432">
        <f t="shared" si="314"/>
        <v>114.98666748288133</v>
      </c>
      <c r="AL667" s="432">
        <f t="shared" si="315"/>
        <v>228.57690261440703</v>
      </c>
      <c r="AM667" s="250" t="s">
        <v>2902</v>
      </c>
      <c r="AN667" s="432" t="e">
        <f t="shared" si="316"/>
        <v>#VALUE!</v>
      </c>
      <c r="AO667" s="432" t="e">
        <f t="shared" si="317"/>
        <v>#VALUE!</v>
      </c>
      <c r="AP667" s="432" t="e">
        <f t="shared" si="318"/>
        <v>#VALUE!</v>
      </c>
      <c r="AQ667" s="255" t="s">
        <v>127</v>
      </c>
      <c r="AR667" s="255" t="s">
        <v>238</v>
      </c>
      <c r="AS667" s="429" t="s">
        <v>2931</v>
      </c>
      <c r="AT667" s="429" t="s">
        <v>2932</v>
      </c>
      <c r="AU667" s="241"/>
      <c r="AV667" s="243"/>
      <c r="AW667" s="245" t="s">
        <v>127</v>
      </c>
      <c r="AX667" s="244"/>
      <c r="AY667" s="244"/>
      <c r="BA667" s="13" t="str">
        <f t="shared" si="319"/>
        <v>W50</v>
      </c>
      <c r="BB667" s="72" t="str">
        <f t="shared" si="303"/>
        <v>Clear</v>
      </c>
      <c r="BC667" s="32" t="str">
        <f t="shared" si="320"/>
        <v/>
      </c>
      <c r="BD667" s="241" t="str">
        <f t="shared" si="321"/>
        <v/>
      </c>
      <c r="BE667" s="241" t="str">
        <f t="shared" si="322"/>
        <v/>
      </c>
      <c r="BF667" s="71" t="str">
        <f t="shared" si="323"/>
        <v/>
      </c>
      <c r="BG667" s="241" t="str">
        <f t="shared" si="324"/>
        <v/>
      </c>
      <c r="BH667" s="241" t="str">
        <f t="shared" si="325"/>
        <v/>
      </c>
      <c r="BI667" s="71" t="str">
        <f t="shared" si="326"/>
        <v/>
      </c>
      <c r="BJ667" s="123"/>
      <c r="BK667" s="108"/>
      <c r="BL667" s="108"/>
      <c r="BM667" s="108"/>
      <c r="BN667" s="71"/>
      <c r="BO667" s="71"/>
      <c r="BP667" s="71"/>
      <c r="BQ667" s="151">
        <v>123972</v>
      </c>
      <c r="BR667" s="113">
        <v>37730</v>
      </c>
      <c r="BS667" s="71"/>
      <c r="BT667" s="13" t="e">
        <f>P667-V667/10-120/10</f>
        <v>#VALUE!</v>
      </c>
      <c r="BU667" s="79" t="e">
        <f>BT667-Q667</f>
        <v>#VALUE!</v>
      </c>
      <c r="BV667" s="29" t="e">
        <f>T667+(O667/100*(P667-BT667))</f>
        <v>#VALUE!</v>
      </c>
      <c r="BW667" s="86" t="e">
        <f>(AE667-BV667)/AE667</f>
        <v>#VALUE!</v>
      </c>
      <c r="BX667" s="79" t="e">
        <f>(PI()*((51/2)^2-(16.545/2)^2)/(BV667/10))/100</f>
        <v>#VALUE!</v>
      </c>
      <c r="BY667" s="79" t="e">
        <f>BX667-AK667</f>
        <v>#VALUE!</v>
      </c>
      <c r="BZ667" s="86" t="e">
        <f>BY667/AK667</f>
        <v>#VALUE!</v>
      </c>
      <c r="CA667" s="76"/>
    </row>
    <row r="668" spans="1:79" s="22" customFormat="1">
      <c r="A668" s="13" t="s">
        <v>132</v>
      </c>
      <c r="B668" s="13" t="s">
        <v>2933</v>
      </c>
      <c r="C668" s="13"/>
      <c r="D668" s="13"/>
      <c r="E668" s="13"/>
      <c r="F668" s="13" t="s">
        <v>167</v>
      </c>
      <c r="G668" s="13" t="s">
        <v>2934</v>
      </c>
      <c r="H668" s="13" t="s">
        <v>146</v>
      </c>
      <c r="I668" s="13" t="s">
        <v>122</v>
      </c>
      <c r="J668" s="13" t="s">
        <v>274</v>
      </c>
      <c r="K668" s="13" t="s">
        <v>123</v>
      </c>
      <c r="L668" s="13" t="s">
        <v>2935</v>
      </c>
      <c r="M668" s="13"/>
      <c r="N668" s="13" t="s">
        <v>12</v>
      </c>
      <c r="O668" s="247">
        <v>0.4</v>
      </c>
      <c r="P668" s="13">
        <v>107</v>
      </c>
      <c r="Q668" s="429"/>
      <c r="R668" s="13">
        <v>15</v>
      </c>
      <c r="S668" s="430">
        <f t="shared" si="304"/>
        <v>92</v>
      </c>
      <c r="T668" s="247"/>
      <c r="U668" s="13"/>
      <c r="V668" s="13"/>
      <c r="W668" s="430">
        <f t="shared" si="301"/>
        <v>0</v>
      </c>
      <c r="X668" s="430">
        <f t="shared" si="302"/>
        <v>1070</v>
      </c>
      <c r="Y668" s="13"/>
      <c r="Z668" s="13"/>
      <c r="AA668" s="430">
        <f t="shared" si="305"/>
        <v>0</v>
      </c>
      <c r="AB668" s="430">
        <f t="shared" si="306"/>
        <v>1070</v>
      </c>
      <c r="AC668" s="430">
        <f t="shared" si="307"/>
        <v>-150</v>
      </c>
      <c r="AD668" s="430">
        <f t="shared" si="308"/>
        <v>107</v>
      </c>
      <c r="AE668" s="431">
        <f t="shared" si="309"/>
        <v>0.42799999999999999</v>
      </c>
      <c r="AF668" s="431"/>
      <c r="AG668" s="431">
        <f t="shared" si="310"/>
        <v>0.214</v>
      </c>
      <c r="AH668" s="431">
        <f t="shared" si="311"/>
        <v>0.22683999999999999</v>
      </c>
      <c r="AI668" s="432">
        <f t="shared" si="312"/>
        <v>26.042080000000002</v>
      </c>
      <c r="AJ668" s="432">
        <f t="shared" si="313"/>
        <v>390.57408420527577</v>
      </c>
      <c r="AK668" s="432">
        <f t="shared" si="314"/>
        <v>427.06263231492562</v>
      </c>
      <c r="AL668" s="432">
        <f t="shared" si="315"/>
        <v>848.93888877537722</v>
      </c>
      <c r="AM668" s="250">
        <v>15</v>
      </c>
      <c r="AN668" s="432">
        <f t="shared" si="316"/>
        <v>16.05</v>
      </c>
      <c r="AO668" s="432">
        <f t="shared" si="317"/>
        <v>3.6407819999999997</v>
      </c>
      <c r="AP668" s="432" t="e">
        <f t="shared" si="318"/>
        <v>#DIV/0!</v>
      </c>
      <c r="AQ668" s="255" t="s">
        <v>127</v>
      </c>
      <c r="AR668" s="255" t="s">
        <v>238</v>
      </c>
      <c r="AS668" s="434" t="s">
        <v>2936</v>
      </c>
      <c r="AT668" s="429"/>
      <c r="AU668" s="241"/>
      <c r="AV668" s="267"/>
      <c r="AW668" s="72" t="s">
        <v>127</v>
      </c>
      <c r="AX668" s="244"/>
      <c r="AY668" s="244"/>
      <c r="AZ668" s="72"/>
      <c r="BA668" s="72" t="str">
        <f t="shared" si="319"/>
        <v>W23</v>
      </c>
      <c r="BB668" s="72" t="str">
        <f t="shared" si="303"/>
        <v>S/B</v>
      </c>
      <c r="BC668" s="32" t="str">
        <f t="shared" si="320"/>
        <v/>
      </c>
      <c r="BD668" s="241" t="str">
        <f t="shared" si="321"/>
        <v/>
      </c>
      <c r="BE668" s="241" t="str">
        <f t="shared" si="322"/>
        <v/>
      </c>
      <c r="BF668" s="71" t="str">
        <f t="shared" si="323"/>
        <v/>
      </c>
      <c r="BG668" s="241" t="str">
        <f t="shared" si="324"/>
        <v/>
      </c>
      <c r="BH668" s="241" t="str">
        <f t="shared" si="325"/>
        <v/>
      </c>
      <c r="BI668" s="71" t="str">
        <f t="shared" si="326"/>
        <v/>
      </c>
      <c r="BJ668" s="167"/>
      <c r="BK668" s="108"/>
      <c r="BL668" s="108"/>
      <c r="BM668" s="108"/>
      <c r="BN668" s="71"/>
      <c r="BO668" s="108"/>
      <c r="BP668" s="108"/>
      <c r="BQ668" s="83"/>
      <c r="BR668" s="71"/>
      <c r="BS668" s="71"/>
      <c r="BT668" s="13"/>
      <c r="BU668" s="79"/>
      <c r="BV668" s="29"/>
      <c r="BW668" s="86"/>
      <c r="BX668" s="79"/>
      <c r="BY668" s="79"/>
      <c r="BZ668" s="86"/>
      <c r="CA668" s="76"/>
    </row>
    <row r="669" spans="1:79" s="22" customFormat="1">
      <c r="A669" s="13" t="s">
        <v>132</v>
      </c>
      <c r="B669" s="13"/>
      <c r="C669" s="13"/>
      <c r="D669" s="13"/>
      <c r="E669" s="13"/>
      <c r="F669" s="13" t="s">
        <v>167</v>
      </c>
      <c r="G669" s="13" t="s">
        <v>2937</v>
      </c>
      <c r="H669" s="13" t="s">
        <v>389</v>
      </c>
      <c r="I669" s="13" t="s">
        <v>139</v>
      </c>
      <c r="J669" s="13" t="s">
        <v>5</v>
      </c>
      <c r="K669" s="13" t="s">
        <v>140</v>
      </c>
      <c r="L669" s="13" t="s">
        <v>2938</v>
      </c>
      <c r="M669" s="13"/>
      <c r="N669" s="13"/>
      <c r="O669" s="247">
        <v>0.2</v>
      </c>
      <c r="P669" s="13">
        <v>132</v>
      </c>
      <c r="Q669" s="13"/>
      <c r="R669" s="13" t="s">
        <v>127</v>
      </c>
      <c r="S669" s="430" t="str">
        <f t="shared" si="304"/>
        <v>N/A</v>
      </c>
      <c r="T669" s="247"/>
      <c r="U669" s="13"/>
      <c r="V669" s="13"/>
      <c r="W669" s="430">
        <f t="shared" si="301"/>
        <v>0</v>
      </c>
      <c r="X669" s="430">
        <f t="shared" si="302"/>
        <v>1320</v>
      </c>
      <c r="Y669" s="13"/>
      <c r="Z669" s="13"/>
      <c r="AA669" s="430">
        <f t="shared" si="305"/>
        <v>0</v>
      </c>
      <c r="AB669" s="430">
        <f t="shared" si="306"/>
        <v>1320</v>
      </c>
      <c r="AC669" s="430" t="str">
        <f t="shared" si="307"/>
        <v>N/A</v>
      </c>
      <c r="AD669" s="430">
        <f t="shared" si="308"/>
        <v>132</v>
      </c>
      <c r="AE669" s="431">
        <f t="shared" si="309"/>
        <v>0.26400000000000001</v>
      </c>
      <c r="AF669" s="431"/>
      <c r="AG669" s="431">
        <f t="shared" si="310"/>
        <v>0.13200000000000001</v>
      </c>
      <c r="AH669" s="431">
        <f t="shared" si="311"/>
        <v>0.14058000000000001</v>
      </c>
      <c r="AI669" s="432">
        <f t="shared" si="312"/>
        <v>13.082460000000001</v>
      </c>
      <c r="AJ669" s="432">
        <f t="shared" si="313"/>
        <v>633.20343954491682</v>
      </c>
      <c r="AK669" s="432">
        <f t="shared" si="314"/>
        <v>692.35911602571275</v>
      </c>
      <c r="AL669" s="432">
        <f t="shared" si="315"/>
        <v>1376.3100166509903</v>
      </c>
      <c r="AM669" s="250">
        <v>250</v>
      </c>
      <c r="AN669" s="432">
        <f t="shared" si="316"/>
        <v>330</v>
      </c>
      <c r="AO669" s="432">
        <f t="shared" si="317"/>
        <v>46.391400000000004</v>
      </c>
      <c r="AP669" s="432" t="e">
        <f t="shared" si="318"/>
        <v>#DIV/0!</v>
      </c>
      <c r="AQ669" s="255" t="s">
        <v>127</v>
      </c>
      <c r="AR669" s="255" t="s">
        <v>238</v>
      </c>
      <c r="AS669" s="429" t="s">
        <v>2939</v>
      </c>
      <c r="AT669" s="429"/>
      <c r="AU669" s="241"/>
      <c r="AV669" s="243"/>
      <c r="AW669" s="72" t="s">
        <v>127</v>
      </c>
      <c r="AX669" s="244"/>
      <c r="AY669" s="244"/>
      <c r="AZ669" s="72"/>
      <c r="BA669" s="72" t="str">
        <f t="shared" si="319"/>
        <v>W50</v>
      </c>
      <c r="BB669" s="72" t="str">
        <f t="shared" si="303"/>
        <v>Clear</v>
      </c>
      <c r="BC669" s="32" t="str">
        <f t="shared" si="320"/>
        <v/>
      </c>
      <c r="BD669" s="241" t="str">
        <f t="shared" si="321"/>
        <v/>
      </c>
      <c r="BE669" s="241" t="str">
        <f t="shared" si="322"/>
        <v/>
      </c>
      <c r="BF669" s="71" t="str">
        <f t="shared" si="323"/>
        <v/>
      </c>
      <c r="BG669" s="241" t="str">
        <f t="shared" si="324"/>
        <v/>
      </c>
      <c r="BH669" s="241" t="str">
        <f t="shared" si="325"/>
        <v/>
      </c>
      <c r="BI669" s="71" t="str">
        <f t="shared" si="326"/>
        <v/>
      </c>
      <c r="BJ669" s="167"/>
      <c r="BK669" s="108"/>
      <c r="BL669" s="108"/>
      <c r="BM669" s="108"/>
      <c r="BN669" s="71"/>
      <c r="BO669" s="71"/>
      <c r="BP669" s="71"/>
      <c r="BQ669" s="115"/>
      <c r="BR669" s="113"/>
      <c r="BS669" s="71"/>
      <c r="BT669" s="13">
        <f>P669-V669/10-120/10</f>
        <v>120</v>
      </c>
      <c r="BU669" s="79"/>
      <c r="BV669" s="29">
        <f>T669+(O669/100*(P669-BT669))</f>
        <v>2.4E-2</v>
      </c>
      <c r="BW669" s="86"/>
      <c r="BX669" s="79">
        <f>(PI()*((51/2)^2-(16.545/2)^2)/(BV669/10))/100</f>
        <v>7615.9502762828397</v>
      </c>
      <c r="BY669" s="79"/>
      <c r="BZ669" s="86"/>
      <c r="CA669" s="76"/>
    </row>
    <row r="670" spans="1:79" s="262" customFormat="1" ht="15" customHeight="1">
      <c r="A670" s="13" t="s">
        <v>132</v>
      </c>
      <c r="B670" s="387"/>
      <c r="C670" s="13"/>
      <c r="D670" s="13"/>
      <c r="E670" s="13"/>
      <c r="F670" s="13" t="s">
        <v>167</v>
      </c>
      <c r="G670" s="13" t="s">
        <v>2940</v>
      </c>
      <c r="H670" s="387" t="s">
        <v>389</v>
      </c>
      <c r="I670" s="13" t="s">
        <v>139</v>
      </c>
      <c r="J670" s="13" t="s">
        <v>5</v>
      </c>
      <c r="K670" s="13" t="s">
        <v>140</v>
      </c>
      <c r="L670" s="13" t="s">
        <v>2941</v>
      </c>
      <c r="M670" s="13"/>
      <c r="N670" s="13"/>
      <c r="O670" s="247">
        <v>0.45</v>
      </c>
      <c r="P670" s="13">
        <v>110</v>
      </c>
      <c r="Q670" s="13"/>
      <c r="R670" s="13" t="s">
        <v>127</v>
      </c>
      <c r="S670" s="430" t="str">
        <f t="shared" si="304"/>
        <v>N/A</v>
      </c>
      <c r="T670" s="247"/>
      <c r="U670" s="13"/>
      <c r="V670" s="13"/>
      <c r="W670" s="430">
        <f t="shared" si="301"/>
        <v>0</v>
      </c>
      <c r="X670" s="430">
        <f t="shared" si="302"/>
        <v>1100</v>
      </c>
      <c r="Y670" s="13"/>
      <c r="Z670" s="13"/>
      <c r="AA670" s="430">
        <f t="shared" si="305"/>
        <v>0</v>
      </c>
      <c r="AB670" s="430">
        <f t="shared" si="306"/>
        <v>1100</v>
      </c>
      <c r="AC670" s="430" t="str">
        <f t="shared" si="307"/>
        <v>N/A</v>
      </c>
      <c r="AD670" s="430">
        <f t="shared" si="308"/>
        <v>110</v>
      </c>
      <c r="AE670" s="431">
        <f t="shared" si="309"/>
        <v>0.49500000000000005</v>
      </c>
      <c r="AF670" s="431"/>
      <c r="AG670" s="431">
        <f t="shared" si="310"/>
        <v>0.24750000000000003</v>
      </c>
      <c r="AH670" s="431">
        <f t="shared" si="311"/>
        <v>0.26358749999999997</v>
      </c>
      <c r="AI670" s="432">
        <f t="shared" si="312"/>
        <v>29.435535000000002</v>
      </c>
      <c r="AJ670" s="432">
        <f t="shared" si="313"/>
        <v>337.70850109062229</v>
      </c>
      <c r="AK670" s="432">
        <f t="shared" si="314"/>
        <v>369.25819521371346</v>
      </c>
      <c r="AL670" s="432">
        <f t="shared" si="315"/>
        <v>734.03200888052811</v>
      </c>
      <c r="AM670" s="250">
        <v>100</v>
      </c>
      <c r="AN670" s="432">
        <f t="shared" si="316"/>
        <v>110</v>
      </c>
      <c r="AO670" s="432">
        <f t="shared" si="317"/>
        <v>28.994624999999996</v>
      </c>
      <c r="AP670" s="432" t="e">
        <f t="shared" si="318"/>
        <v>#DIV/0!</v>
      </c>
      <c r="AQ670" s="255" t="s">
        <v>127</v>
      </c>
      <c r="AR670" s="255" t="s">
        <v>238</v>
      </c>
      <c r="AS670" s="429" t="s">
        <v>2942</v>
      </c>
      <c r="AT670" s="435"/>
      <c r="AU670" s="241"/>
      <c r="AV670" s="243"/>
      <c r="AW670" s="72" t="s">
        <v>127</v>
      </c>
      <c r="AX670" s="256"/>
      <c r="AY670" s="256"/>
      <c r="AZ670" s="72"/>
      <c r="BA670" s="72" t="str">
        <f t="shared" si="319"/>
        <v>W50</v>
      </c>
      <c r="BB670" s="72" t="str">
        <f t="shared" ref="BB670:BB672" si="327">IF(R670="n/a","Clear","S/B")</f>
        <v>Clear</v>
      </c>
      <c r="BC670" s="32" t="str">
        <f t="shared" si="320"/>
        <v/>
      </c>
      <c r="BD670" s="241" t="str">
        <f t="shared" si="321"/>
        <v/>
      </c>
      <c r="BE670" s="241" t="str">
        <f t="shared" si="322"/>
        <v/>
      </c>
      <c r="BF670" s="71" t="str">
        <f t="shared" si="323"/>
        <v/>
      </c>
      <c r="BG670" s="241" t="str">
        <f t="shared" si="324"/>
        <v/>
      </c>
      <c r="BH670" s="241" t="str">
        <f t="shared" si="325"/>
        <v/>
      </c>
      <c r="BI670" s="71" t="str">
        <f t="shared" si="326"/>
        <v/>
      </c>
      <c r="BJ670" s="167"/>
      <c r="BK670" s="108"/>
      <c r="BL670" s="108"/>
      <c r="BM670" s="108"/>
      <c r="BN670" s="71"/>
      <c r="BO670" s="71"/>
      <c r="BP670" s="71"/>
      <c r="BQ670" s="71"/>
      <c r="BR670" s="71"/>
      <c r="BS670" s="71"/>
      <c r="BT670" s="72"/>
      <c r="BU670" s="78"/>
      <c r="BV670" s="32"/>
      <c r="BW670" s="127"/>
      <c r="BX670" s="78"/>
      <c r="BY670" s="78"/>
      <c r="BZ670" s="127"/>
      <c r="CA670" s="76"/>
    </row>
    <row r="671" spans="1:79" s="22" customFormat="1" ht="15" customHeight="1">
      <c r="A671" s="13" t="s">
        <v>132</v>
      </c>
      <c r="B671" s="13"/>
      <c r="C671" s="13"/>
      <c r="D671" s="13"/>
      <c r="E671" s="13"/>
      <c r="F671" s="13" t="s">
        <v>167</v>
      </c>
      <c r="G671" s="13" t="s">
        <v>2943</v>
      </c>
      <c r="H671" s="13" t="s">
        <v>121</v>
      </c>
      <c r="I671" s="13" t="s">
        <v>122</v>
      </c>
      <c r="J671" s="13" t="s">
        <v>5</v>
      </c>
      <c r="K671" s="13" t="s">
        <v>123</v>
      </c>
      <c r="L671" s="13" t="s">
        <v>2944</v>
      </c>
      <c r="M671" s="13"/>
      <c r="N671" s="13" t="s">
        <v>12</v>
      </c>
      <c r="O671" s="247">
        <v>0.47</v>
      </c>
      <c r="P671" s="13">
        <v>102</v>
      </c>
      <c r="Q671" s="13"/>
      <c r="R671" s="13" t="s">
        <v>127</v>
      </c>
      <c r="S671" s="430" t="str">
        <f t="shared" si="304"/>
        <v>N/A</v>
      </c>
      <c r="T671" s="247"/>
      <c r="U671" s="13"/>
      <c r="V671" s="13"/>
      <c r="W671" s="430">
        <f t="shared" si="301"/>
        <v>0</v>
      </c>
      <c r="X671" s="430">
        <f t="shared" si="302"/>
        <v>1020</v>
      </c>
      <c r="Y671" s="13"/>
      <c r="Z671" s="13"/>
      <c r="AA671" s="430">
        <f t="shared" si="305"/>
        <v>0</v>
      </c>
      <c r="AB671" s="430">
        <f t="shared" si="306"/>
        <v>1020</v>
      </c>
      <c r="AC671" s="430" t="str">
        <f t="shared" si="307"/>
        <v>N/A</v>
      </c>
      <c r="AD671" s="430">
        <f t="shared" si="308"/>
        <v>102</v>
      </c>
      <c r="AE671" s="431">
        <f t="shared" si="309"/>
        <v>0.47939999999999994</v>
      </c>
      <c r="AF671" s="431"/>
      <c r="AG671" s="431">
        <f t="shared" si="310"/>
        <v>0.23969999999999997</v>
      </c>
      <c r="AH671" s="431">
        <f t="shared" si="311"/>
        <v>0</v>
      </c>
      <c r="AI671" s="432">
        <f t="shared" si="312"/>
        <v>0</v>
      </c>
      <c r="AJ671" s="432">
        <f t="shared" si="313"/>
        <v>348.6977639546476</v>
      </c>
      <c r="AK671" s="432">
        <f t="shared" si="314"/>
        <v>381.27410644720106</v>
      </c>
      <c r="AL671" s="432">
        <f t="shared" si="315"/>
        <v>757.91790654122133</v>
      </c>
      <c r="AM671" s="250" t="s">
        <v>334</v>
      </c>
      <c r="AN671" s="432" t="e">
        <f t="shared" si="316"/>
        <v>#VALUE!</v>
      </c>
      <c r="AO671" s="432" t="e">
        <f t="shared" si="317"/>
        <v>#VALUE!</v>
      </c>
      <c r="AP671" s="432" t="e">
        <f t="shared" si="318"/>
        <v>#VALUE!</v>
      </c>
      <c r="AQ671" s="255" t="s">
        <v>127</v>
      </c>
      <c r="AR671" s="255" t="s">
        <v>238</v>
      </c>
      <c r="AS671" s="429" t="s">
        <v>2945</v>
      </c>
      <c r="AT671" s="429"/>
      <c r="AU671" s="241"/>
      <c r="AV671" s="243"/>
      <c r="AW671" s="72" t="s">
        <v>127</v>
      </c>
      <c r="AX671" s="244"/>
      <c r="AY671" s="244"/>
      <c r="AZ671" s="72"/>
      <c r="BA671" s="72" t="str">
        <f t="shared" si="319"/>
        <v>W12</v>
      </c>
      <c r="BB671" s="72" t="str">
        <f t="shared" si="327"/>
        <v>Clear</v>
      </c>
      <c r="BC671" s="32" t="str">
        <f t="shared" si="320"/>
        <v/>
      </c>
      <c r="BD671" s="241" t="str">
        <f t="shared" si="321"/>
        <v/>
      </c>
      <c r="BE671" s="241" t="str">
        <f t="shared" si="322"/>
        <v/>
      </c>
      <c r="BF671" s="71" t="str">
        <f t="shared" si="323"/>
        <v/>
      </c>
      <c r="BG671" s="241" t="str">
        <f t="shared" si="324"/>
        <v/>
      </c>
      <c r="BH671" s="241" t="str">
        <f t="shared" si="325"/>
        <v/>
      </c>
      <c r="BI671" s="71" t="str">
        <f t="shared" si="326"/>
        <v/>
      </c>
      <c r="BJ671" s="167"/>
      <c r="BK671" s="108"/>
      <c r="BL671" s="108"/>
      <c r="BM671" s="108"/>
      <c r="BN671" s="71"/>
      <c r="BO671" s="108"/>
      <c r="BP671" s="108"/>
      <c r="BQ671" s="108"/>
      <c r="BR671" s="124"/>
      <c r="BS671" s="71"/>
      <c r="BT671" s="72">
        <f>P671-V671/10-120/10</f>
        <v>90</v>
      </c>
      <c r="BU671" s="78">
        <f>BT671-Q671</f>
        <v>90</v>
      </c>
      <c r="BV671" s="32">
        <f>T671+(O671/100*(P671-BT671))</f>
        <v>5.6399999999999992E-2</v>
      </c>
      <c r="BW671" s="127">
        <f>(AE671-BV671)/AE671</f>
        <v>0.88235294117647056</v>
      </c>
      <c r="BX671" s="78">
        <f>(PI()*((51/2)^2-(16.545/2)^2)/(BV671/10))/100</f>
        <v>3240.8299048012095</v>
      </c>
      <c r="BY671" s="78">
        <f>BX671-AK671</f>
        <v>2859.5557983540084</v>
      </c>
      <c r="BZ671" s="127">
        <f>BY671/AK671</f>
        <v>7.5000000000000009</v>
      </c>
      <c r="CA671" s="76"/>
    </row>
    <row r="672" spans="1:79" s="22" customFormat="1" ht="15" customHeight="1">
      <c r="A672" s="13" t="s">
        <v>132</v>
      </c>
      <c r="B672" s="13"/>
      <c r="C672" s="13"/>
      <c r="D672" s="13"/>
      <c r="E672" s="13"/>
      <c r="F672" s="13" t="s">
        <v>167</v>
      </c>
      <c r="G672" s="13" t="s">
        <v>2946</v>
      </c>
      <c r="H672" s="13" t="s">
        <v>121</v>
      </c>
      <c r="I672" s="13" t="s">
        <v>122</v>
      </c>
      <c r="J672" s="13" t="s">
        <v>5</v>
      </c>
      <c r="K672" s="13" t="s">
        <v>140</v>
      </c>
      <c r="L672" s="13" t="s">
        <v>2947</v>
      </c>
      <c r="M672" s="13"/>
      <c r="N672" s="13" t="s">
        <v>12</v>
      </c>
      <c r="O672" s="247">
        <v>0.5</v>
      </c>
      <c r="P672" s="13">
        <v>110</v>
      </c>
      <c r="Q672" s="13"/>
      <c r="R672" s="13" t="s">
        <v>127</v>
      </c>
      <c r="S672" s="430" t="str">
        <f t="shared" si="304"/>
        <v>N/A</v>
      </c>
      <c r="T672" s="247"/>
      <c r="U672" s="13"/>
      <c r="V672" s="13"/>
      <c r="W672" s="430">
        <f t="shared" si="301"/>
        <v>0</v>
      </c>
      <c r="X672" s="430">
        <f t="shared" si="302"/>
        <v>1100</v>
      </c>
      <c r="Y672" s="13"/>
      <c r="Z672" s="13"/>
      <c r="AA672" s="430">
        <f t="shared" si="305"/>
        <v>0</v>
      </c>
      <c r="AB672" s="430">
        <f t="shared" si="306"/>
        <v>1100</v>
      </c>
      <c r="AC672" s="430" t="str">
        <f t="shared" si="307"/>
        <v>N/A</v>
      </c>
      <c r="AD672" s="430">
        <f t="shared" si="308"/>
        <v>110</v>
      </c>
      <c r="AE672" s="431">
        <f t="shared" si="309"/>
        <v>0.55000000000000004</v>
      </c>
      <c r="AF672" s="431"/>
      <c r="AG672" s="431">
        <f t="shared" si="310"/>
        <v>0.27500000000000002</v>
      </c>
      <c r="AH672" s="431">
        <f t="shared" si="311"/>
        <v>0</v>
      </c>
      <c r="AI672" s="432">
        <f t="shared" si="312"/>
        <v>0</v>
      </c>
      <c r="AJ672" s="432">
        <f t="shared" si="313"/>
        <v>303.93765098156001</v>
      </c>
      <c r="AK672" s="432">
        <f t="shared" si="314"/>
        <v>332.33237569234211</v>
      </c>
      <c r="AL672" s="432">
        <f t="shared" si="315"/>
        <v>660.62880799247534</v>
      </c>
      <c r="AM672" s="250">
        <v>150</v>
      </c>
      <c r="AN672" s="432">
        <f t="shared" si="316"/>
        <v>165</v>
      </c>
      <c r="AO672" s="432">
        <f t="shared" si="317"/>
        <v>0</v>
      </c>
      <c r="AP672" s="432" t="e">
        <f t="shared" si="318"/>
        <v>#DIV/0!</v>
      </c>
      <c r="AQ672" s="255" t="s">
        <v>127</v>
      </c>
      <c r="AR672" s="255" t="s">
        <v>238</v>
      </c>
      <c r="AS672" s="434" t="s">
        <v>2948</v>
      </c>
      <c r="AT672" s="429"/>
      <c r="AU672" s="241"/>
      <c r="AV672" s="243"/>
      <c r="AW672" s="72" t="s">
        <v>127</v>
      </c>
      <c r="AX672" s="244"/>
      <c r="AY672" s="244"/>
      <c r="AZ672" s="72"/>
      <c r="BA672" s="72" t="str">
        <f t="shared" ref="BA672" si="328">LEFT(G672,3)</f>
        <v>W10</v>
      </c>
      <c r="BB672" s="72" t="str">
        <f t="shared" si="327"/>
        <v>Clear</v>
      </c>
      <c r="BC672" s="32" t="str">
        <f t="shared" si="320"/>
        <v/>
      </c>
      <c r="BD672" s="241" t="str">
        <f t="shared" si="321"/>
        <v/>
      </c>
      <c r="BE672" s="241" t="str">
        <f t="shared" si="322"/>
        <v/>
      </c>
      <c r="BF672" s="71" t="str">
        <f t="shared" si="323"/>
        <v/>
      </c>
      <c r="BG672" s="241" t="str">
        <f t="shared" si="324"/>
        <v/>
      </c>
      <c r="BH672" s="241" t="str">
        <f t="shared" si="325"/>
        <v/>
      </c>
      <c r="BI672" s="71" t="str">
        <f t="shared" si="326"/>
        <v/>
      </c>
      <c r="BJ672" s="167"/>
      <c r="BK672" s="108"/>
      <c r="BL672" s="108"/>
      <c r="BM672" s="108"/>
      <c r="BN672" s="71"/>
      <c r="BO672" s="71"/>
      <c r="BP672" s="71"/>
      <c r="BQ672" s="71"/>
      <c r="BR672" s="71"/>
      <c r="BS672" s="71"/>
      <c r="BT672" s="72"/>
      <c r="BU672" s="78"/>
      <c r="BV672" s="32"/>
      <c r="BW672" s="127"/>
      <c r="BX672" s="78"/>
      <c r="BY672" s="78"/>
      <c r="BZ672" s="127"/>
      <c r="CA672" s="76"/>
    </row>
    <row r="673" spans="1:51">
      <c r="A673" s="13" t="s">
        <v>466</v>
      </c>
      <c r="B673" s="13" t="s">
        <v>562</v>
      </c>
      <c r="C673" s="13" t="s">
        <v>588</v>
      </c>
      <c r="D673" s="13" t="s">
        <v>595</v>
      </c>
      <c r="E673" s="13" t="s">
        <v>118</v>
      </c>
      <c r="F673" s="13" t="s">
        <v>186</v>
      </c>
      <c r="G673" s="13" t="s">
        <v>2949</v>
      </c>
      <c r="H673" s="13" t="s">
        <v>389</v>
      </c>
      <c r="I673" s="13" t="s">
        <v>139</v>
      </c>
      <c r="J673" s="13" t="s">
        <v>5</v>
      </c>
      <c r="K673" s="13" t="s">
        <v>140</v>
      </c>
      <c r="L673" s="13"/>
      <c r="M673" s="13"/>
      <c r="N673" s="13" t="s">
        <v>142</v>
      </c>
      <c r="O673" s="247">
        <v>0.27</v>
      </c>
      <c r="P673" s="13">
        <v>105</v>
      </c>
      <c r="Q673" s="13"/>
      <c r="R673" s="13"/>
      <c r="S673" s="430">
        <f>IF(R673="n/a","N/A",P673-R673)</f>
        <v>105</v>
      </c>
      <c r="T673" s="247"/>
      <c r="U673" s="13"/>
      <c r="V673" s="13"/>
      <c r="W673" s="430">
        <f>V673-U673</f>
        <v>0</v>
      </c>
      <c r="X673" s="430">
        <f>AD673*10-V673</f>
        <v>1050</v>
      </c>
      <c r="Y673" s="13"/>
      <c r="Z673" s="13"/>
      <c r="AA673" s="13">
        <f>Z673-Y673</f>
        <v>0</v>
      </c>
      <c r="AB673" s="13">
        <f>AD673*10-Z673</f>
        <v>1050</v>
      </c>
      <c r="AC673" s="430" t="str">
        <f>IF(J673="clear","N/A",((Q673-R673)*10))</f>
        <v>N/A</v>
      </c>
      <c r="AD673" s="430">
        <f>P673-Q673</f>
        <v>105</v>
      </c>
      <c r="AE673" s="431">
        <f>T673+(O673/100*AD673)</f>
        <v>0.28350000000000003</v>
      </c>
      <c r="AF673" s="29"/>
      <c r="AG673" s="431">
        <f>(((T673+(0.5*(AE673-T673)))*AD673)+(AE673*Q673))/P673</f>
        <v>0.14175000000000001</v>
      </c>
      <c r="AH673" s="431">
        <f>IF(MID(G673,2,2)="10",(AG673/1000*$W$2),(IF(MID(G673,2,2)="11",(AG673/1000*$X$2),(IF(MID(G673,2,2)="12",(AG673/1000*$Y$2),(IF(MID(G673,2,2)="13",(AG673/1000*$Z$2),(IF(MID(G673,2,2)="20",(AG673/1000*$AA$2),(IF(MID(G673,2,2)="21",(AG673/1000*$AB$2),(IF(MID(G673,2,2)="22",(AG673/1000*$AC$2),(IF(MID(G673,2,2)="23",(AG673/1000*$AD$2),(IF(MID(G673,2,2)="50",(AG673/1000*$AE$2),(IF(MID(G673,2,2)="51",(AG673/1000*$AG$2),"?")))))))))))))))))))</f>
        <v>0.15096375000000001</v>
      </c>
      <c r="AI673" s="432">
        <f>IF(MID(G673,2,2)="10",((T673+O673*(6.142)/100)*$W$2),(IF(MID(G673,2,2)="11",((T673+O673*(6.142)/100)*$X$2),(IF(MID(G673,2,2)="12",((T673+O673*(6.142)/100)*$Y$2),(IF(MID(G673,2,2)="13",((T673+O673*(6.142)/100)*$Z$2),(IF(MID(G673,2,2)="20",((T673+O673*(6.142)/100)*$AA$2),(IF(MID(G673,2,2)="21",((T673+O673*(6.142)/100)*$AB$2),(IF(MID(G673,2,2)="22",((T673+O673*(6.142)/100)*$AC$2),(IF(MID(G673,2,2)="23",((T673+O673*(6.142)/100)*$AD$2),(IF(MID(G673,2,2)="50",((T673+O673*(6.142)/100)*$AE$2),(IF(MID(G673,2,2)="51",((T673+O673*(6.142)/100)*$AG$2),"?")))))))))))))))))))</f>
        <v>17.661321000000001</v>
      </c>
      <c r="AJ673" s="432">
        <f>(PI()*((49/2)^2-(16.51/2)^2)/(AE673/10))/100</f>
        <v>589.64976380902294</v>
      </c>
      <c r="AK673" s="432">
        <f>(PI()*((51/2)^2-(16.545/2)^2)/(AE673/10))/100</f>
        <v>644.73653132553136</v>
      </c>
      <c r="AL673" s="432">
        <f>(PI()*((70/2)^2-(16.545/2)^2)/(AE673/10))/100</f>
        <v>1281.6431901088588</v>
      </c>
      <c r="AM673" s="250"/>
      <c r="AN673" s="432">
        <f>AM673*P673/100</f>
        <v>0</v>
      </c>
      <c r="AO673" s="432">
        <f>AN673*AH673</f>
        <v>0</v>
      </c>
      <c r="AP673" s="432" t="e">
        <f>AO673/(Q673/100)</f>
        <v>#DIV/0!</v>
      </c>
      <c r="AQ673" s="255"/>
      <c r="AR673" s="255"/>
      <c r="AS673" s="434"/>
      <c r="AT673" s="429"/>
      <c r="AV673" s="2"/>
      <c r="AX673" s="2"/>
      <c r="AY673" s="2"/>
    </row>
    <row r="674" spans="1:51">
      <c r="A674" s="13" t="s">
        <v>466</v>
      </c>
      <c r="B674" s="13" t="s">
        <v>562</v>
      </c>
      <c r="C674" s="13" t="s">
        <v>2950</v>
      </c>
      <c r="D674" s="13" t="s">
        <v>2951</v>
      </c>
      <c r="E674" s="13" t="s">
        <v>118</v>
      </c>
      <c r="F674" s="13" t="s">
        <v>186</v>
      </c>
      <c r="G674" s="13" t="s">
        <v>2952</v>
      </c>
      <c r="H674" s="13" t="s">
        <v>121</v>
      </c>
      <c r="I674" s="13" t="s">
        <v>147</v>
      </c>
      <c r="J674" s="13" t="s">
        <v>5</v>
      </c>
      <c r="K674" s="13" t="s">
        <v>123</v>
      </c>
      <c r="L674" s="13"/>
      <c r="M674" s="13"/>
      <c r="N674" s="13" t="s">
        <v>126</v>
      </c>
      <c r="O674" s="247">
        <v>0.31</v>
      </c>
      <c r="P674" s="13">
        <v>108</v>
      </c>
      <c r="Q674" s="13"/>
      <c r="R674" s="13"/>
      <c r="S674" s="430">
        <f>IF(R674="n/a","N/A",P674-R674)</f>
        <v>108</v>
      </c>
      <c r="T674" s="247"/>
      <c r="U674" s="13"/>
      <c r="V674" s="13"/>
      <c r="W674" s="430">
        <f>V674-U674</f>
        <v>0</v>
      </c>
      <c r="X674" s="430">
        <f>AD674*10-V674</f>
        <v>1080</v>
      </c>
      <c r="Y674" s="13"/>
      <c r="Z674" s="13"/>
      <c r="AA674" s="13">
        <f>Z674-Y674</f>
        <v>0</v>
      </c>
      <c r="AB674" s="13">
        <f>AD674*10-Z674</f>
        <v>1080</v>
      </c>
      <c r="AC674" s="430" t="str">
        <f>IF(J674="clear","N/A",((Q674-R674)*10))</f>
        <v>N/A</v>
      </c>
      <c r="AD674" s="430">
        <f>P674-Q674</f>
        <v>108</v>
      </c>
      <c r="AE674" s="431">
        <f>T674+(O674/100*AD674)</f>
        <v>0.33479999999999999</v>
      </c>
      <c r="AF674" s="29"/>
      <c r="AG674" s="431">
        <f>(((T674+(0.5*(AE674-T674)))*AD674)+(AE674*Q674))/P674</f>
        <v>0.16739999999999999</v>
      </c>
      <c r="AH674" s="431">
        <f>IF(MID(G674,2,2)="10",(AG674/1000*$W$2),(IF(MID(G674,2,2)="11",(AG674/1000*$X$2),(IF(MID(G674,2,2)="12",(AG674/1000*$Y$2),(IF(MID(G674,2,2)="13",(AG674/1000*$Z$2),(IF(MID(G674,2,2)="20",(AG674/1000*$AA$2),(IF(MID(G674,2,2)="21",(AG674/1000*$AB$2),(IF(MID(G674,2,2)="22",(AG674/1000*$AC$2),(IF(MID(G674,2,2)="23",(AG674/1000*$AD$2),(IF(MID(G674,2,2)="50",(AG674/1000*$AE$2),(IF(MID(G674,2,2)="51",(AG674/1000*$AG$2),"?")))))))))))))))))))</f>
        <v>0.17744399999999999</v>
      </c>
      <c r="AI674" s="432">
        <f>IF(MID(G674,2,2)="10",((T674+O674*(6.142)/100)*$W$2),(IF(MID(G674,2,2)="11",((T674+O674*(6.142)/100)*$X$2),(IF(MID(G674,2,2)="12",((T674+O674*(6.142)/100)*$Y$2),(IF(MID(G674,2,2)="13",((T674+O674*(6.142)/100)*$Z$2),(IF(MID(G674,2,2)="20",((T674+O674*(6.142)/100)*$AA$2),(IF(MID(G674,2,2)="21",((T674+O674*(6.142)/100)*$AB$2),(IF(MID(G674,2,2)="22",((T674+O674*(6.142)/100)*$AC$2),(IF(MID(G674,2,2)="23",((T674+O674*(6.142)/100)*$AD$2),(IF(MID(G674,2,2)="50",((T674+O674*(6.142)/100)*$AE$2),(IF(MID(G674,2,2)="51",((T674+O674*(6.142)/100)*$AG$2),"?")))))))))))))))))))</f>
        <v>20.182611999999999</v>
      </c>
      <c r="AJ674" s="432">
        <f>(PI()*((49/2)^2-(16.51/2)^2)/(AE674/10))/100</f>
        <v>499.30020322538252</v>
      </c>
      <c r="AK674" s="432">
        <f>(PI()*((51/2)^2-(16.545/2)^2)/(AE674/10))/100</f>
        <v>545.94625636436137</v>
      </c>
      <c r="AL674" s="432">
        <f>(PI()*((70/2)^2-(16.545/2)^2)/(AE674/10))/100</f>
        <v>1085.2623787212112</v>
      </c>
      <c r="AM674" s="250"/>
      <c r="AN674" s="432">
        <f>AM674*P674/100</f>
        <v>0</v>
      </c>
      <c r="AO674" s="432">
        <f>AN674*AH674</f>
        <v>0</v>
      </c>
      <c r="AP674" s="432" t="e">
        <f>AO674/(Q674/100)</f>
        <v>#DIV/0!</v>
      </c>
      <c r="AQ674" s="255"/>
      <c r="AR674" s="255"/>
      <c r="AS674" s="434"/>
      <c r="AT674" s="429"/>
    </row>
    <row r="675" spans="1:51">
      <c r="A675" s="13" t="s">
        <v>2110</v>
      </c>
      <c r="B675" s="13" t="s">
        <v>2389</v>
      </c>
      <c r="C675" s="13" t="s">
        <v>548</v>
      </c>
      <c r="D675" s="13" t="s">
        <v>2953</v>
      </c>
      <c r="E675" s="13" t="s">
        <v>118</v>
      </c>
      <c r="F675" s="13" t="s">
        <v>186</v>
      </c>
      <c r="G675" s="13" t="s">
        <v>482</v>
      </c>
      <c r="H675" s="13" t="s">
        <v>146</v>
      </c>
      <c r="I675" s="13" t="s">
        <v>147</v>
      </c>
      <c r="J675" s="13" t="s">
        <v>5</v>
      </c>
      <c r="K675" s="13" t="s">
        <v>123</v>
      </c>
      <c r="L675" s="13"/>
      <c r="M675" s="13"/>
      <c r="N675" s="13" t="s">
        <v>126</v>
      </c>
      <c r="O675" s="247">
        <v>0.27</v>
      </c>
      <c r="P675" s="13">
        <v>107</v>
      </c>
      <c r="Q675" s="13"/>
      <c r="R675" s="13"/>
      <c r="S675" s="430">
        <f>IF(R675="n/a","N/A",P675-R675)</f>
        <v>107</v>
      </c>
      <c r="T675" s="247"/>
      <c r="U675" s="13"/>
      <c r="V675" s="13"/>
      <c r="W675" s="430">
        <f>V675-U675</f>
        <v>0</v>
      </c>
      <c r="X675" s="430">
        <f>AD675*10-V675</f>
        <v>1070</v>
      </c>
      <c r="Y675" s="13"/>
      <c r="Z675" s="13"/>
      <c r="AA675" s="13">
        <f>Z675-Y675</f>
        <v>0</v>
      </c>
      <c r="AB675" s="13">
        <f>AD675*10-Z675</f>
        <v>1070</v>
      </c>
      <c r="AC675" s="430" t="str">
        <f>IF(J675="clear","N/A",((Q675-R675)*10))</f>
        <v>N/A</v>
      </c>
      <c r="AD675" s="430">
        <f>P675-Q675</f>
        <v>107</v>
      </c>
      <c r="AE675" s="431">
        <f>T675+(O675/100*AD675)</f>
        <v>0.28889999999999999</v>
      </c>
      <c r="AF675" s="29"/>
      <c r="AG675" s="431">
        <f>(((T675+(0.5*(AE675-T675)))*AD675)+(AE675*Q675))/P675</f>
        <v>0.14445</v>
      </c>
      <c r="AH675" s="431">
        <f>IF(MID(G675,2,2)="10",(AG675/1000*$W$2),(IF(MID(G675,2,2)="11",(AG675/1000*$X$2),(IF(MID(G675,2,2)="12",(AG675/1000*$Y$2),(IF(MID(G675,2,2)="13",(AG675/1000*$Z$2),(IF(MID(G675,2,2)="20",(AG675/1000*$AA$2),(IF(MID(G675,2,2)="21",(AG675/1000*$AB$2),(IF(MID(G675,2,2)="22",(AG675/1000*$AC$2),(IF(MID(G675,2,2)="23",(AG675/1000*$AD$2),(IF(MID(G675,2,2)="50",(AG675/1000*$AE$2),(IF(MID(G675,2,2)="51",(AG675/1000*$AG$2),"?")))))))))))))))))))</f>
        <v>0.15311699999999998</v>
      </c>
      <c r="AI675" s="432">
        <f>IF(MID(G675,2,2)="10",((T675+O675*(6.142)/100)*$W$2),(IF(MID(G675,2,2)="11",((T675+O675*(6.142)/100)*$X$2),(IF(MID(G675,2,2)="12",((T675+O675*(6.142)/100)*$Y$2),(IF(MID(G675,2,2)="13",((T675+O675*(6.142)/100)*$Z$2),(IF(MID(G675,2,2)="20",((T675+O675*(6.142)/100)*$AA$2),(IF(MID(G675,2,2)="21",((T675+O675*(6.142)/100)*$AB$2),(IF(MID(G675,2,2)="22",((T675+O675*(6.142)/100)*$AC$2),(IF(MID(G675,2,2)="23",((T675+O675*(6.142)/100)*$AD$2),(IF(MID(G675,2,2)="50",((T675+O675*(6.142)/100)*$AE$2),(IF(MID(G675,2,2)="51",((T675+O675*(6.142)/100)*$AG$2),"?")))))))))))))))))))</f>
        <v>17.578404000000003</v>
      </c>
      <c r="AJ675" s="432">
        <f>(PI()*((49/2)^2-(16.51/2)^2)/(AE675/10))/100</f>
        <v>578.62827289670486</v>
      </c>
      <c r="AK675" s="432">
        <f>(PI()*((51/2)^2-(16.545/2)^2)/(AE675/10))/100</f>
        <v>632.68538120729727</v>
      </c>
      <c r="AL675" s="432">
        <f>(PI()*((70/2)^2-(16.545/2)^2)/(AE675/10))/100</f>
        <v>1257.6872426301886</v>
      </c>
      <c r="AM675" s="250"/>
      <c r="AN675" s="432">
        <f>AM675*P675/100</f>
        <v>0</v>
      </c>
      <c r="AO675" s="432">
        <f>AN675*AH675</f>
        <v>0</v>
      </c>
      <c r="AP675" s="432" t="e">
        <f>AO675/(Q675/100)</f>
        <v>#DIV/0!</v>
      </c>
      <c r="AQ675" s="255"/>
      <c r="AR675" s="255"/>
      <c r="AS675" s="434"/>
      <c r="AT675" s="429"/>
    </row>
    <row r="676" spans="1:51">
      <c r="A676" s="13" t="s">
        <v>2110</v>
      </c>
      <c r="B676" s="13" t="s">
        <v>2389</v>
      </c>
      <c r="C676" s="13" t="s">
        <v>2954</v>
      </c>
      <c r="D676" s="13" t="s">
        <v>2419</v>
      </c>
      <c r="E676" s="13" t="s">
        <v>118</v>
      </c>
      <c r="F676" s="13" t="s">
        <v>186</v>
      </c>
      <c r="G676" s="13" t="s">
        <v>2955</v>
      </c>
      <c r="H676" s="13" t="s">
        <v>146</v>
      </c>
      <c r="I676" s="13" t="s">
        <v>147</v>
      </c>
      <c r="J676" s="13" t="s">
        <v>5</v>
      </c>
      <c r="K676" s="13" t="s">
        <v>123</v>
      </c>
      <c r="L676" s="13"/>
      <c r="M676" s="13"/>
      <c r="N676" s="13" t="s">
        <v>126</v>
      </c>
      <c r="O676" s="247">
        <v>0.32</v>
      </c>
      <c r="P676" s="13">
        <v>105</v>
      </c>
      <c r="Q676" s="13">
        <v>20</v>
      </c>
      <c r="R676" s="13"/>
      <c r="S676" s="430">
        <f>IF(R676="n/a","N/A",P676-R676)</f>
        <v>105</v>
      </c>
      <c r="T676" s="247"/>
      <c r="U676" s="13"/>
      <c r="V676" s="13"/>
      <c r="W676" s="430">
        <f>V676-U676</f>
        <v>0</v>
      </c>
      <c r="X676" s="430">
        <f>AD676*10-V676</f>
        <v>850</v>
      </c>
      <c r="Y676" s="13"/>
      <c r="Z676" s="13"/>
      <c r="AA676" s="13">
        <f>Z676-Y676</f>
        <v>0</v>
      </c>
      <c r="AB676" s="13">
        <f>AD676*10-Z676</f>
        <v>850</v>
      </c>
      <c r="AC676" s="430" t="str">
        <f>IF(J676="clear","N/A",((Q676-R676)*10))</f>
        <v>N/A</v>
      </c>
      <c r="AD676" s="430">
        <f>P676-Q676</f>
        <v>85</v>
      </c>
      <c r="AE676" s="431">
        <f>T676+(O676/100*AD676)</f>
        <v>0.27200000000000002</v>
      </c>
      <c r="AF676" s="29"/>
      <c r="AG676" s="431">
        <f>(((T676+(0.5*(AE676-T676)))*AD676)+(AE676*Q676))/P676</f>
        <v>0.16190476190476191</v>
      </c>
      <c r="AH676" s="431">
        <f>IF(MID(G676,2,2)="10",(AG676/1000*$W$2),(IF(MID(G676,2,2)="11",(AG676/1000*$X$2),(IF(MID(G676,2,2)="12",(AG676/1000*$Y$2),(IF(MID(G676,2,2)="13",(AG676/1000*$Z$2),(IF(MID(G676,2,2)="20",(AG676/1000*$AA$2),(IF(MID(G676,2,2)="21",(AG676/1000*$AB$2),(IF(MID(G676,2,2)="22",(AG676/1000*$AC$2),(IF(MID(G676,2,2)="23",(AG676/1000*$AD$2),(IF(MID(G676,2,2)="50",(AG676/1000*$AE$2),(IF(MID(G676,2,2)="51",(AG676/1000*$AG$2),"?")))))))))))))))))))</f>
        <v>0.17161904761904764</v>
      </c>
      <c r="AI676" s="432">
        <f>IF(MID(G676,2,2)="10",((T676+O676*(6.142)/100)*$W$2),(IF(MID(G676,2,2)="11",((T676+O676*(6.142)/100)*$X$2),(IF(MID(G676,2,2)="12",((T676+O676*(6.142)/100)*$Y$2),(IF(MID(G676,2,2)="13",((T676+O676*(6.142)/100)*$Z$2),(IF(MID(G676,2,2)="20",((T676+O676*(6.142)/100)*$AA$2),(IF(MID(G676,2,2)="21",((T676+O676*(6.142)/100)*$AB$2),(IF(MID(G676,2,2)="22",((T676+O676*(6.142)/100)*$AC$2),(IF(MID(G676,2,2)="23",((T676+O676*(6.142)/100)*$AD$2),(IF(MID(G676,2,2)="50",((T676+O676*(6.142)/100)*$AE$2),(IF(MID(G676,2,2)="51",((T676+O676*(6.142)/100)*$AG$2),"?")))))))))))))))))))</f>
        <v>20.833664000000002</v>
      </c>
      <c r="AJ676" s="432">
        <f>(PI()*((49/2)^2-(16.51/2)^2)/(AE676/10))/100</f>
        <v>614.57980897006621</v>
      </c>
      <c r="AK676" s="432">
        <f>(PI()*((51/2)^2-(16.545/2)^2)/(AE676/10))/100</f>
        <v>671.99561261319172</v>
      </c>
      <c r="AL676" s="432">
        <f>(PI()*((70/2)^2-(16.545/2)^2)/(AE676/10))/100</f>
        <v>1335.8303102789025</v>
      </c>
      <c r="AM676" s="250"/>
      <c r="AN676" s="432">
        <f>AM676*P676/100</f>
        <v>0</v>
      </c>
      <c r="AO676" s="432">
        <f>AN676*AH676</f>
        <v>0</v>
      </c>
      <c r="AP676" s="432">
        <f>AO676/(Q676/100)</f>
        <v>0</v>
      </c>
      <c r="AQ676" s="255"/>
      <c r="AR676" s="255"/>
      <c r="AS676" s="434"/>
      <c r="AT676" s="429"/>
    </row>
    <row r="677" spans="1:51">
      <c r="A677" s="13" t="s">
        <v>466</v>
      </c>
      <c r="B677" s="13" t="s">
        <v>562</v>
      </c>
      <c r="C677" s="13"/>
      <c r="D677" s="13" t="s">
        <v>2956</v>
      </c>
      <c r="E677" s="13" t="s">
        <v>118</v>
      </c>
      <c r="F677" s="13" t="s">
        <v>186</v>
      </c>
      <c r="G677" s="13" t="s">
        <v>2957</v>
      </c>
      <c r="H677" s="13" t="s">
        <v>389</v>
      </c>
      <c r="I677" s="13" t="s">
        <v>139</v>
      </c>
      <c r="J677" s="13" t="s">
        <v>5</v>
      </c>
      <c r="K677" s="13" t="s">
        <v>140</v>
      </c>
      <c r="L677" s="13"/>
      <c r="M677" s="13"/>
      <c r="N677" s="13" t="s">
        <v>142</v>
      </c>
      <c r="O677" s="247">
        <v>0.28000000000000003</v>
      </c>
      <c r="P677" s="13">
        <v>113</v>
      </c>
      <c r="Q677" s="13">
        <v>10</v>
      </c>
      <c r="R677" s="13"/>
      <c r="S677" s="430">
        <f>IF(R677="n/a","N/A",P677-R677)</f>
        <v>113</v>
      </c>
      <c r="T677" s="247">
        <v>0.76</v>
      </c>
      <c r="U677" s="13"/>
      <c r="V677" s="13"/>
      <c r="W677" s="430">
        <f>V677-U677</f>
        <v>0</v>
      </c>
      <c r="X677" s="430">
        <f>AD677*10-V677</f>
        <v>1030</v>
      </c>
      <c r="Y677" s="13"/>
      <c r="Z677" s="13"/>
      <c r="AA677" s="13">
        <f>Z677-Y677</f>
        <v>0</v>
      </c>
      <c r="AB677" s="13">
        <f>AD677*10-Z677</f>
        <v>1030</v>
      </c>
      <c r="AC677" s="430" t="str">
        <f>IF(J677="clear","N/A",((Q677-R677)*10))</f>
        <v>N/A</v>
      </c>
      <c r="AD677" s="430">
        <f>P677-Q677</f>
        <v>103</v>
      </c>
      <c r="AE677" s="431">
        <f>T677+(O677/100*AD677)</f>
        <v>1.0484</v>
      </c>
      <c r="AF677" s="29"/>
      <c r="AG677" s="431">
        <f>(((T677+(0.5*(AE677-T677)))*AD677)+(AE677*Q677))/P677</f>
        <v>0.91696106194690252</v>
      </c>
      <c r="AH677" s="431">
        <f>IF(MID(G677,2,2)="10",(AG677/1000*$W$2),(IF(MID(G677,2,2)="11",(AG677/1000*$X$2),(IF(MID(G677,2,2)="12",(AG677/1000*$Y$2),(IF(MID(G677,2,2)="13",(AG677/1000*$Z$2),(IF(MID(G677,2,2)="20",(AG677/1000*$AA$2),(IF(MID(G677,2,2)="21",(AG677/1000*$AB$2),(IF(MID(G677,2,2)="22",(AG677/1000*$AC$2),(IF(MID(G677,2,2)="23",(AG677/1000*$AD$2),(IF(MID(G677,2,2)="50",(AG677/1000*$AE$2),(IF(MID(G677,2,2)="51",(AG677/1000*$AG$2),"?")))))))))))))))))))</f>
        <v>0.97656353097345128</v>
      </c>
      <c r="AI677" s="432">
        <f>IF(MID(G677,2,2)="10",((T677+O677*(6.142)/100)*$W$2),(IF(MID(G677,2,2)="11",((T677+O677*(6.142)/100)*$X$2),(IF(MID(G677,2,2)="12",((T677+O677*(6.142)/100)*$Y$2),(IF(MID(G677,2,2)="13",((T677+O677*(6.142)/100)*$Z$2),(IF(MID(G677,2,2)="20",((T677+O677*(6.142)/100)*$AA$2),(IF(MID(G677,2,2)="21",((T677+O677*(6.142)/100)*$AB$2),(IF(MID(G677,2,2)="22",((T677+O677*(6.142)/100)*$AC$2),(IF(MID(G677,2,2)="23",((T677+O677*(6.142)/100)*$AD$2),(IF(MID(G677,2,2)="50",((T677+O677*(6.142)/100)*$AE$2),(IF(MID(G677,2,2)="51",((T677+O677*(6.142)/100)*$AG$2),"?")))))))))))))))))))</f>
        <v>827.71544400000005</v>
      </c>
      <c r="AJ677" s="432">
        <f>(PI()*((49/2)^2-(16.51/2)^2)/(AE677/10))/100</f>
        <v>159.44840522687716</v>
      </c>
      <c r="AK677" s="432">
        <f>(PI()*((51/2)^2-(16.545/2)^2)/(AE677/10))/100</f>
        <v>174.34453131513561</v>
      </c>
      <c r="AL677" s="432">
        <f>(PI()*((70/2)^2-(16.545/2)^2)/(AE677/10))/100</f>
        <v>346.57177069425933</v>
      </c>
      <c r="AM677" s="250"/>
      <c r="AN677" s="432">
        <f>AM677*P677/100</f>
        <v>0</v>
      </c>
      <c r="AO677" s="432">
        <f>AN677*AH677</f>
        <v>0</v>
      </c>
      <c r="AP677" s="432">
        <f>AO677/(Q677/100)</f>
        <v>0</v>
      </c>
      <c r="AQ677" s="255"/>
      <c r="AR677" s="255"/>
      <c r="AS677" s="434"/>
      <c r="AT677" s="429"/>
    </row>
  </sheetData>
  <sortState xmlns:xlrd2="http://schemas.microsoft.com/office/spreadsheetml/2017/richdata2" ref="A6:CA672">
    <sortCondition ref="A6:A672"/>
    <sortCondition ref="B6:B672"/>
    <sortCondition ref="C6:C672"/>
    <sortCondition ref="D6:D672"/>
  </sortState>
  <mergeCells count="3">
    <mergeCell ref="U4:X4"/>
    <mergeCell ref="Y4:AB4"/>
    <mergeCell ref="BC4:BI4"/>
  </mergeCells>
  <phoneticPr fontId="34" type="noConversion"/>
  <conditionalFormatting sqref="A6:AT677">
    <cfRule type="expression" dxfId="70" priority="2">
      <formula>$F6="O"</formula>
    </cfRule>
  </conditionalFormatting>
  <conditionalFormatting sqref="F6:F677">
    <cfRule type="expression" dxfId="69" priority="1">
      <formula>$F6="D"</formula>
    </cfRule>
    <cfRule type="expression" dxfId="68" priority="8">
      <formula>$F6="C"</formula>
    </cfRule>
    <cfRule type="expression" dxfId="67" priority="9">
      <formula>$F6="O"</formula>
    </cfRule>
  </conditionalFormatting>
  <conditionalFormatting sqref="J6:J677">
    <cfRule type="expression" dxfId="66" priority="5">
      <formula>$J6="Blue"</formula>
    </cfRule>
  </conditionalFormatting>
  <conditionalFormatting sqref="K6:K677">
    <cfRule type="expression" dxfId="65" priority="6">
      <formula>$K6="Standard"</formula>
    </cfRule>
    <cfRule type="expression" dxfId="64" priority="7">
      <formula>$K6="Acoustic"</formula>
    </cfRule>
  </conditionalFormatting>
  <conditionalFormatting sqref="P2">
    <cfRule type="expression" dxfId="63" priority="4">
      <formula>$F2="O"</formula>
    </cfRule>
  </conditionalFormatting>
  <conditionalFormatting sqref="X6:X677">
    <cfRule type="cellIs" dxfId="62" priority="20" operator="lessThan">
      <formula>130</formula>
    </cfRule>
  </conditionalFormatting>
  <conditionalFormatting sqref="AA6:AA677">
    <cfRule type="cellIs" dxfId="61" priority="28" operator="lessThan">
      <formula>400</formula>
    </cfRule>
  </conditionalFormatting>
  <conditionalFormatting sqref="AB6:AB677">
    <cfRule type="cellIs" dxfId="60" priority="36" operator="lessThan">
      <formula>86</formula>
    </cfRule>
  </conditionalFormatting>
  <conditionalFormatting sqref="AY534:AY579 AY584:AY672 AY6:AY500">
    <cfRule type="colorScale" priority="244">
      <colorScale>
        <cfvo type="min"/>
        <cfvo type="percentile" val="50"/>
        <cfvo type="max"/>
        <color rgb="FF63BE7B"/>
        <color rgb="FFFFEB84"/>
        <color rgb="FFF8696B"/>
      </colorScale>
    </cfRule>
  </conditionalFormatting>
  <dataValidations count="1">
    <dataValidation allowBlank="1" showInputMessage="1" promptTitle="Wedge Code pulled automatically" prompt="Wedge Code will be pulled automatically by the inputs in the template." sqref="G592:G598" xr:uid="{6EB46CC1-23B5-43EC-9B04-4929AFE7A651}"/>
  </dataValidations>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8">
        <x14:dataValidation type="list" allowBlank="1" showInputMessage="1" showErrorMessage="1" xr:uid="{128099D2-414C-4566-9F10-5A767AAF4ACC}">
          <x14:formula1>
            <xm:f>reference!$A$2:$A$4</xm:f>
          </x14:formula1>
          <xm:sqref>E6:E677</xm:sqref>
        </x14:dataValidation>
        <x14:dataValidation type="list" allowBlank="1" showInputMessage="1" showErrorMessage="1" xr:uid="{0D7C3479-A3D2-491B-857D-CA379B2DDCA1}">
          <x14:formula1>
            <xm:f>reference!$B$2:$B$4</xm:f>
          </x14:formula1>
          <xm:sqref>F6:F677</xm:sqref>
        </x14:dataValidation>
        <x14:dataValidation type="list" allowBlank="1" showErrorMessage="1" xr:uid="{94C54778-861D-44F0-914E-DC366A8DCDBF}">
          <x14:formula1>
            <xm:f>reference!$C$2:$C$7</xm:f>
          </x14:formula1>
          <xm:sqref>H6:H677</xm:sqref>
        </x14:dataValidation>
        <x14:dataValidation type="list" allowBlank="1" showInputMessage="1" showErrorMessage="1" xr:uid="{A73ED27A-6CFB-4AA2-8787-D83D66E57708}">
          <x14:formula1>
            <xm:f>reference!$D$2:$D$8</xm:f>
          </x14:formula1>
          <xm:sqref>I6:I677</xm:sqref>
        </x14:dataValidation>
        <x14:dataValidation type="list" allowBlank="1" showInputMessage="1" showErrorMessage="1" xr:uid="{8119DAB5-9EE7-4FDC-9E0A-2C3830B4927F}">
          <x14:formula1>
            <xm:f>reference!$E$2:$E$3</xm:f>
          </x14:formula1>
          <xm:sqref>J6:J677</xm:sqref>
        </x14:dataValidation>
        <x14:dataValidation type="list" allowBlank="1" showInputMessage="1" showErrorMessage="1" xr:uid="{F04C43F1-605E-4AE8-A0E3-428BD4142A80}">
          <x14:formula1>
            <xm:f>reference!$F$2:$F$3</xm:f>
          </x14:formula1>
          <xm:sqref>K6:K677</xm:sqref>
        </x14:dataValidation>
        <x14:dataValidation type="list" allowBlank="1" showInputMessage="1" showErrorMessage="1" xr:uid="{E443BF10-F92A-4395-BC60-92E8ED3345D3}">
          <x14:formula1>
            <xm:f>reference!$G$2:$G$6</xm:f>
          </x14:formula1>
          <xm:sqref>N6:N677</xm:sqref>
        </x14:dataValidation>
        <x14:dataValidation type="list" allowBlank="1" xr:uid="{1FAC22CD-24D3-446A-B8E5-DA80964F822B}">
          <x14:formula1>
            <xm:f>reference!$H$2:$H$7</xm:f>
          </x14:formula1>
          <xm:sqref>T6:T677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404D-80AE-42B6-89E2-310A55E96237}">
  <sheetPr>
    <tabColor rgb="FF333F63"/>
  </sheetPr>
  <dimension ref="A1:H8"/>
  <sheetViews>
    <sheetView workbookViewId="0">
      <selection activeCell="B6" sqref="B6"/>
    </sheetView>
  </sheetViews>
  <sheetFormatPr defaultColWidth="9.140625" defaultRowHeight="14.45"/>
  <cols>
    <col min="1" max="1" width="12.42578125" customWidth="1"/>
    <col min="2" max="2" width="18.42578125" customWidth="1"/>
  </cols>
  <sheetData>
    <row r="1" spans="1:8" s="374" customFormat="1" ht="48" customHeight="1">
      <c r="A1" s="374" t="s">
        <v>2958</v>
      </c>
      <c r="B1" s="374" t="s">
        <v>44</v>
      </c>
      <c r="C1" s="374" t="s">
        <v>2959</v>
      </c>
      <c r="D1" s="374" t="s">
        <v>47</v>
      </c>
      <c r="E1" s="374" t="s">
        <v>2960</v>
      </c>
      <c r="F1" s="374" t="s">
        <v>49</v>
      </c>
      <c r="G1" s="374" t="s">
        <v>52</v>
      </c>
      <c r="H1" s="374" t="s">
        <v>2961</v>
      </c>
    </row>
    <row r="2" spans="1:8">
      <c r="A2" t="s">
        <v>118</v>
      </c>
      <c r="B2" t="s">
        <v>119</v>
      </c>
      <c r="C2" t="s">
        <v>146</v>
      </c>
      <c r="D2" t="s">
        <v>147</v>
      </c>
      <c r="E2" t="s">
        <v>5</v>
      </c>
      <c r="F2" t="s">
        <v>123</v>
      </c>
      <c r="G2" t="s">
        <v>126</v>
      </c>
      <c r="H2" s="418">
        <v>0.8</v>
      </c>
    </row>
    <row r="3" spans="1:8">
      <c r="A3" t="s">
        <v>137</v>
      </c>
      <c r="B3" t="s">
        <v>186</v>
      </c>
      <c r="C3" t="s">
        <v>121</v>
      </c>
      <c r="D3" t="s">
        <v>122</v>
      </c>
      <c r="E3" t="s">
        <v>274</v>
      </c>
      <c r="F3" t="s">
        <v>140</v>
      </c>
      <c r="G3" t="s">
        <v>12</v>
      </c>
      <c r="H3">
        <v>0.76</v>
      </c>
    </row>
    <row r="4" spans="1:8">
      <c r="A4" t="s">
        <v>127</v>
      </c>
      <c r="B4" t="s">
        <v>167</v>
      </c>
      <c r="C4" t="s">
        <v>272</v>
      </c>
      <c r="D4" t="s">
        <v>2077</v>
      </c>
      <c r="G4" t="s">
        <v>142</v>
      </c>
      <c r="H4">
        <v>0.78</v>
      </c>
    </row>
    <row r="5" spans="1:8">
      <c r="C5" t="s">
        <v>119</v>
      </c>
      <c r="D5" t="s">
        <v>290</v>
      </c>
      <c r="G5" t="s">
        <v>391</v>
      </c>
      <c r="H5">
        <v>0.85</v>
      </c>
    </row>
    <row r="6" spans="1:8">
      <c r="C6" t="s">
        <v>389</v>
      </c>
      <c r="D6" t="s">
        <v>139</v>
      </c>
      <c r="G6" t="s">
        <v>251</v>
      </c>
      <c r="H6">
        <v>0.87</v>
      </c>
    </row>
    <row r="7" spans="1:8">
      <c r="C7" t="s">
        <v>2829</v>
      </c>
      <c r="D7" t="s">
        <v>273</v>
      </c>
      <c r="H7">
        <v>0.38</v>
      </c>
    </row>
    <row r="8" spans="1:8">
      <c r="D8" t="s">
        <v>2962</v>
      </c>
    </row>
  </sheetData>
  <phoneticPr fontId="5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61D0F-3480-4480-90FB-0D5B6D60337C}">
  <dimension ref="A1:N33"/>
  <sheetViews>
    <sheetView workbookViewId="0">
      <selection activeCell="B15" sqref="B15"/>
    </sheetView>
  </sheetViews>
  <sheetFormatPr defaultColWidth="12.42578125" defaultRowHeight="14.1"/>
  <cols>
    <col min="1" max="1" width="12.42578125" style="92"/>
    <col min="2" max="2" width="11.85546875" style="92" customWidth="1"/>
    <col min="3" max="3" width="15" style="92" bestFit="1" customWidth="1"/>
    <col min="4" max="4" width="13" style="92" bestFit="1" customWidth="1"/>
    <col min="5" max="5" width="20.42578125" style="92" customWidth="1"/>
    <col min="6" max="6" width="17.85546875" style="92" customWidth="1"/>
    <col min="7" max="7" width="16.42578125" style="92" customWidth="1"/>
    <col min="8" max="8" width="17.42578125" style="92" customWidth="1"/>
    <col min="9" max="9" width="14.85546875" style="92" customWidth="1"/>
    <col min="10" max="10" width="70.42578125" style="92" customWidth="1"/>
    <col min="11" max="11" width="12.42578125" style="92"/>
    <col min="12" max="12" width="19.42578125" style="92" customWidth="1"/>
    <col min="13" max="16384" width="12.42578125" style="92"/>
  </cols>
  <sheetData>
    <row r="1" spans="1:14" s="90" customFormat="1" ht="29.25" customHeight="1" thickBot="1">
      <c r="B1" s="89" t="s">
        <v>2963</v>
      </c>
      <c r="K1" s="91"/>
    </row>
    <row r="2" spans="1:14" ht="14.45" thickBot="1">
      <c r="K2" s="93"/>
    </row>
    <row r="3" spans="1:14" ht="33.75" customHeight="1" thickBot="1">
      <c r="A3" s="181" t="s">
        <v>2964</v>
      </c>
      <c r="B3" s="99" t="s">
        <v>2965</v>
      </c>
      <c r="C3" s="99" t="s">
        <v>2966</v>
      </c>
      <c r="D3" s="99" t="s">
        <v>2967</v>
      </c>
      <c r="E3" s="99" t="s">
        <v>2968</v>
      </c>
      <c r="F3" s="99" t="s">
        <v>2969</v>
      </c>
      <c r="G3" s="99" t="s">
        <v>2970</v>
      </c>
      <c r="H3" s="99" t="s">
        <v>2971</v>
      </c>
      <c r="I3" s="99" t="s">
        <v>2972</v>
      </c>
      <c r="J3" s="133" t="s">
        <v>2973</v>
      </c>
      <c r="M3" s="94" t="s">
        <v>2974</v>
      </c>
      <c r="N3" s="94" t="s">
        <v>2975</v>
      </c>
    </row>
    <row r="4" spans="1:14">
      <c r="A4" s="467" t="s">
        <v>384</v>
      </c>
      <c r="B4" s="93" t="s">
        <v>2976</v>
      </c>
      <c r="C4" s="93" t="str">
        <f t="shared" ref="C4:C33" si="0">M4&amp;N4</f>
        <v>W18P</v>
      </c>
      <c r="D4" s="93" t="s">
        <v>2977</v>
      </c>
      <c r="E4" s="93" t="s">
        <v>463</v>
      </c>
      <c r="F4" s="93" t="s">
        <v>2978</v>
      </c>
      <c r="G4" s="125" t="s">
        <v>2979</v>
      </c>
      <c r="H4" s="93" t="s">
        <v>2980</v>
      </c>
      <c r="I4" s="93" t="s">
        <v>2981</v>
      </c>
      <c r="J4" s="93"/>
      <c r="M4" s="95" t="s">
        <v>2982</v>
      </c>
      <c r="N4" s="95" t="str">
        <f>IF(Tabelle1[[#This Row],[thick side up / thick side down]]="n/a","P","A")</f>
        <v>P</v>
      </c>
    </row>
    <row r="5" spans="1:14">
      <c r="A5" s="467"/>
      <c r="B5" s="93" t="s">
        <v>2976</v>
      </c>
      <c r="C5" s="93" t="str">
        <f t="shared" si="0"/>
        <v>W19P</v>
      </c>
      <c r="D5" s="93" t="s">
        <v>2977</v>
      </c>
      <c r="E5" s="93" t="s">
        <v>463</v>
      </c>
      <c r="F5" s="93" t="s">
        <v>2978</v>
      </c>
      <c r="G5" s="125" t="s">
        <v>2979</v>
      </c>
      <c r="H5" s="93" t="s">
        <v>2983</v>
      </c>
      <c r="I5" s="93" t="s">
        <v>2981</v>
      </c>
      <c r="J5" s="93"/>
      <c r="M5" s="96" t="s">
        <v>2984</v>
      </c>
      <c r="N5" s="96" t="s">
        <v>2985</v>
      </c>
    </row>
    <row r="6" spans="1:14">
      <c r="A6" s="467"/>
      <c r="B6" s="93" t="s">
        <v>2976</v>
      </c>
      <c r="C6" s="93" t="str">
        <f t="shared" si="0"/>
        <v>W20P</v>
      </c>
      <c r="D6" s="93" t="s">
        <v>2977</v>
      </c>
      <c r="E6" s="93" t="s">
        <v>463</v>
      </c>
      <c r="F6" s="93" t="s">
        <v>2978</v>
      </c>
      <c r="G6" s="125" t="s">
        <v>2979</v>
      </c>
      <c r="H6" s="93" t="s">
        <v>2986</v>
      </c>
      <c r="I6" s="93" t="s">
        <v>2981</v>
      </c>
      <c r="J6" s="93"/>
      <c r="M6" s="95" t="s">
        <v>2987</v>
      </c>
      <c r="N6" s="95" t="s">
        <v>2985</v>
      </c>
    </row>
    <row r="7" spans="1:14">
      <c r="A7" s="467"/>
      <c r="B7" s="93" t="s">
        <v>2976</v>
      </c>
      <c r="C7" s="93" t="str">
        <f t="shared" si="0"/>
        <v>W21P</v>
      </c>
      <c r="D7" s="93" t="s">
        <v>2977</v>
      </c>
      <c r="E7" s="93" t="s">
        <v>463</v>
      </c>
      <c r="F7" s="93" t="s">
        <v>2978</v>
      </c>
      <c r="G7" s="125" t="s">
        <v>2979</v>
      </c>
      <c r="H7" s="93" t="s">
        <v>2988</v>
      </c>
      <c r="I7" s="93" t="s">
        <v>2981</v>
      </c>
      <c r="J7" s="93"/>
      <c r="M7" s="96" t="s">
        <v>2989</v>
      </c>
      <c r="N7" s="96" t="s">
        <v>2985</v>
      </c>
    </row>
    <row r="8" spans="1:14">
      <c r="A8" s="467"/>
      <c r="B8" s="93" t="s">
        <v>2976</v>
      </c>
      <c r="C8" s="93" t="str">
        <f t="shared" si="0"/>
        <v>W22P</v>
      </c>
      <c r="D8" s="93" t="s">
        <v>2977</v>
      </c>
      <c r="E8" s="93" t="s">
        <v>463</v>
      </c>
      <c r="F8" s="93" t="s">
        <v>2978</v>
      </c>
      <c r="G8" s="125" t="s">
        <v>2979</v>
      </c>
      <c r="H8" s="93" t="s">
        <v>2990</v>
      </c>
      <c r="I8" s="93" t="s">
        <v>2981</v>
      </c>
      <c r="J8" s="93"/>
      <c r="M8" s="95" t="s">
        <v>2991</v>
      </c>
      <c r="N8" s="95" t="s">
        <v>2985</v>
      </c>
    </row>
    <row r="9" spans="1:14">
      <c r="A9" s="466" t="s">
        <v>2992</v>
      </c>
      <c r="B9" s="93" t="s">
        <v>2976</v>
      </c>
      <c r="C9" s="93" t="str">
        <f t="shared" si="0"/>
        <v>MT2P</v>
      </c>
      <c r="D9" s="93" t="s">
        <v>2993</v>
      </c>
      <c r="E9" s="93" t="s">
        <v>2994</v>
      </c>
      <c r="F9" s="93" t="s">
        <v>2995</v>
      </c>
      <c r="G9" s="93" t="s">
        <v>2996</v>
      </c>
      <c r="H9" s="93" t="s">
        <v>2997</v>
      </c>
      <c r="I9" s="93" t="s">
        <v>2998</v>
      </c>
      <c r="J9" s="93"/>
      <c r="M9" s="96" t="s">
        <v>2999</v>
      </c>
      <c r="N9" s="96" t="s">
        <v>2985</v>
      </c>
    </row>
    <row r="10" spans="1:14">
      <c r="A10" s="466"/>
      <c r="B10" s="93" t="s">
        <v>2976</v>
      </c>
      <c r="C10" s="93" t="str">
        <f t="shared" si="0"/>
        <v>MT2A</v>
      </c>
      <c r="D10" s="93" t="s">
        <v>2993</v>
      </c>
      <c r="E10" s="93" t="s">
        <v>3000</v>
      </c>
      <c r="F10" s="93" t="s">
        <v>2995</v>
      </c>
      <c r="G10" s="93" t="s">
        <v>2996</v>
      </c>
      <c r="H10" s="93" t="s">
        <v>2997</v>
      </c>
      <c r="I10" s="93" t="s">
        <v>2998</v>
      </c>
      <c r="J10" s="93"/>
      <c r="M10" s="95" t="s">
        <v>2999</v>
      </c>
      <c r="N10" s="95" t="s">
        <v>3001</v>
      </c>
    </row>
    <row r="11" spans="1:14">
      <c r="A11" s="466"/>
      <c r="B11" s="93" t="s">
        <v>2976</v>
      </c>
      <c r="C11" s="93" t="str">
        <f t="shared" si="0"/>
        <v>MT4P</v>
      </c>
      <c r="D11" s="93" t="s">
        <v>2977</v>
      </c>
      <c r="E11" s="93" t="s">
        <v>2994</v>
      </c>
      <c r="F11" s="93" t="s">
        <v>2995</v>
      </c>
      <c r="G11" s="93" t="s">
        <v>2996</v>
      </c>
      <c r="H11" s="93" t="s">
        <v>2997</v>
      </c>
      <c r="I11" s="93" t="s">
        <v>3002</v>
      </c>
      <c r="J11" s="93"/>
      <c r="M11" s="96" t="s">
        <v>3003</v>
      </c>
      <c r="N11" s="96" t="s">
        <v>2985</v>
      </c>
    </row>
    <row r="12" spans="1:14">
      <c r="A12" s="466"/>
      <c r="B12" s="93" t="s">
        <v>2976</v>
      </c>
      <c r="C12" s="93" t="str">
        <f t="shared" si="0"/>
        <v>MT4A</v>
      </c>
      <c r="D12" s="93" t="s">
        <v>2977</v>
      </c>
      <c r="E12" s="93" t="s">
        <v>3000</v>
      </c>
      <c r="F12" s="93" t="s">
        <v>2995</v>
      </c>
      <c r="G12" s="93" t="s">
        <v>2996</v>
      </c>
      <c r="H12" s="93" t="s">
        <v>2997</v>
      </c>
      <c r="I12" s="93" t="s">
        <v>3002</v>
      </c>
      <c r="J12" s="93"/>
      <c r="M12" s="95" t="s">
        <v>3003</v>
      </c>
      <c r="N12" s="95" t="s">
        <v>3001</v>
      </c>
    </row>
    <row r="13" spans="1:14">
      <c r="A13" s="466"/>
      <c r="B13" s="93" t="s">
        <v>2976</v>
      </c>
      <c r="C13" s="93" t="str">
        <f t="shared" si="0"/>
        <v>WT2P</v>
      </c>
      <c r="D13" s="93" t="s">
        <v>2993</v>
      </c>
      <c r="E13" s="93" t="s">
        <v>2994</v>
      </c>
      <c r="F13" s="93" t="s">
        <v>2978</v>
      </c>
      <c r="G13" s="93" t="s">
        <v>2996</v>
      </c>
      <c r="H13" s="93" t="s">
        <v>3004</v>
      </c>
      <c r="I13" s="93" t="s">
        <v>2998</v>
      </c>
      <c r="J13" s="134" t="s">
        <v>3005</v>
      </c>
      <c r="M13" s="96" t="s">
        <v>3006</v>
      </c>
      <c r="N13" s="96" t="s">
        <v>2985</v>
      </c>
    </row>
    <row r="14" spans="1:14">
      <c r="A14" s="466"/>
      <c r="B14" s="93" t="s">
        <v>2976</v>
      </c>
      <c r="C14" s="93" t="str">
        <f t="shared" si="0"/>
        <v>WT2A</v>
      </c>
      <c r="D14" s="93" t="s">
        <v>2993</v>
      </c>
      <c r="E14" s="93" t="s">
        <v>3000</v>
      </c>
      <c r="F14" s="93" t="s">
        <v>2978</v>
      </c>
      <c r="G14" s="93" t="s">
        <v>2996</v>
      </c>
      <c r="H14" s="93" t="s">
        <v>3004</v>
      </c>
      <c r="I14" s="93" t="s">
        <v>2998</v>
      </c>
      <c r="J14" s="134" t="s">
        <v>3005</v>
      </c>
      <c r="M14" s="95" t="s">
        <v>3006</v>
      </c>
      <c r="N14" s="95" t="s">
        <v>3001</v>
      </c>
    </row>
    <row r="15" spans="1:14">
      <c r="A15" s="466"/>
      <c r="B15" s="93" t="s">
        <v>2976</v>
      </c>
      <c r="C15" s="93" t="str">
        <f t="shared" si="0"/>
        <v>WT4P</v>
      </c>
      <c r="D15" s="93" t="s">
        <v>2977</v>
      </c>
      <c r="E15" s="93" t="s">
        <v>2994</v>
      </c>
      <c r="F15" s="93" t="s">
        <v>2978</v>
      </c>
      <c r="G15" s="93" t="s">
        <v>2996</v>
      </c>
      <c r="H15" s="93" t="s">
        <v>3004</v>
      </c>
      <c r="I15" s="93" t="s">
        <v>3002</v>
      </c>
      <c r="J15" s="134" t="s">
        <v>3005</v>
      </c>
      <c r="M15" s="96" t="s">
        <v>3007</v>
      </c>
      <c r="N15" s="96" t="s">
        <v>2985</v>
      </c>
    </row>
    <row r="16" spans="1:14">
      <c r="A16" s="466"/>
      <c r="B16" s="93" t="s">
        <v>2976</v>
      </c>
      <c r="C16" s="93" t="str">
        <f t="shared" si="0"/>
        <v>WT4A</v>
      </c>
      <c r="D16" s="93" t="s">
        <v>2977</v>
      </c>
      <c r="E16" s="93" t="s">
        <v>3000</v>
      </c>
      <c r="F16" s="93" t="s">
        <v>2978</v>
      </c>
      <c r="G16" s="93" t="s">
        <v>2996</v>
      </c>
      <c r="H16" s="93" t="s">
        <v>3004</v>
      </c>
      <c r="I16" s="93" t="s">
        <v>3002</v>
      </c>
      <c r="J16" s="134" t="s">
        <v>3005</v>
      </c>
      <c r="M16" s="95" t="s">
        <v>3007</v>
      </c>
      <c r="N16" s="95" t="s">
        <v>3001</v>
      </c>
    </row>
    <row r="17" spans="1:14">
      <c r="A17" s="466"/>
      <c r="B17" s="93" t="s">
        <v>2976</v>
      </c>
      <c r="C17" s="93" t="str">
        <f t="shared" si="0"/>
        <v>CT1P</v>
      </c>
      <c r="D17" s="93" t="s">
        <v>2977</v>
      </c>
      <c r="E17" s="93" t="s">
        <v>2994</v>
      </c>
      <c r="F17" s="93" t="s">
        <v>3008</v>
      </c>
      <c r="G17" s="93" t="s">
        <v>2996</v>
      </c>
      <c r="H17" s="93" t="s">
        <v>463</v>
      </c>
      <c r="I17" s="93" t="s">
        <v>2981</v>
      </c>
      <c r="J17" s="134"/>
      <c r="M17" s="96" t="s">
        <v>3009</v>
      </c>
      <c r="N17" s="96" t="s">
        <v>2985</v>
      </c>
    </row>
    <row r="18" spans="1:14">
      <c r="A18" s="466"/>
      <c r="B18" s="93" t="s">
        <v>2976</v>
      </c>
      <c r="C18" s="93" t="str">
        <f t="shared" si="0"/>
        <v>CT1A</v>
      </c>
      <c r="D18" s="93" t="s">
        <v>2977</v>
      </c>
      <c r="E18" s="93" t="s">
        <v>3000</v>
      </c>
      <c r="F18" s="93" t="s">
        <v>3008</v>
      </c>
      <c r="G18" s="93" t="s">
        <v>2996</v>
      </c>
      <c r="H18" s="93" t="s">
        <v>463</v>
      </c>
      <c r="I18" s="93" t="s">
        <v>2981</v>
      </c>
      <c r="J18" s="134"/>
      <c r="M18" s="95" t="s">
        <v>3009</v>
      </c>
      <c r="N18" s="95" t="s">
        <v>3001</v>
      </c>
    </row>
    <row r="19" spans="1:14">
      <c r="A19" s="466"/>
      <c r="B19" s="93" t="s">
        <v>2976</v>
      </c>
      <c r="C19" s="93" t="str">
        <f t="shared" si="0"/>
        <v>CT2P</v>
      </c>
      <c r="D19" s="93" t="s">
        <v>2993</v>
      </c>
      <c r="E19" s="93" t="s">
        <v>2994</v>
      </c>
      <c r="F19" s="93" t="s">
        <v>3008</v>
      </c>
      <c r="G19" s="93" t="s">
        <v>2996</v>
      </c>
      <c r="H19" s="93" t="s">
        <v>463</v>
      </c>
      <c r="I19" s="93" t="s">
        <v>2998</v>
      </c>
      <c r="J19" s="134"/>
      <c r="M19" s="96" t="s">
        <v>3010</v>
      </c>
      <c r="N19" s="96" t="s">
        <v>2985</v>
      </c>
    </row>
    <row r="20" spans="1:14">
      <c r="A20" s="466"/>
      <c r="B20" s="93" t="s">
        <v>2976</v>
      </c>
      <c r="C20" s="93" t="str">
        <f t="shared" si="0"/>
        <v>CT2A</v>
      </c>
      <c r="D20" s="93" t="s">
        <v>2993</v>
      </c>
      <c r="E20" s="93" t="s">
        <v>3000</v>
      </c>
      <c r="F20" s="93" t="s">
        <v>3008</v>
      </c>
      <c r="G20" s="93" t="s">
        <v>2996</v>
      </c>
      <c r="H20" s="93" t="s">
        <v>463</v>
      </c>
      <c r="I20" s="93" t="s">
        <v>2998</v>
      </c>
      <c r="J20" s="134"/>
      <c r="M20" s="95" t="s">
        <v>3010</v>
      </c>
      <c r="N20" s="95" t="s">
        <v>3001</v>
      </c>
    </row>
    <row r="21" spans="1:14" s="117" customFormat="1">
      <c r="A21" s="466"/>
      <c r="B21" s="116" t="s">
        <v>2976</v>
      </c>
      <c r="C21" s="116" t="str">
        <f t="shared" si="0"/>
        <v>CT4P</v>
      </c>
      <c r="D21" s="116" t="s">
        <v>2977</v>
      </c>
      <c r="E21" s="116" t="s">
        <v>2994</v>
      </c>
      <c r="F21" s="116" t="s">
        <v>3008</v>
      </c>
      <c r="G21" s="116" t="s">
        <v>2996</v>
      </c>
      <c r="H21" s="116" t="s">
        <v>463</v>
      </c>
      <c r="I21" s="116" t="s">
        <v>3002</v>
      </c>
      <c r="J21" s="134"/>
      <c r="M21" s="118" t="s">
        <v>3011</v>
      </c>
      <c r="N21" s="118" t="s">
        <v>2985</v>
      </c>
    </row>
    <row r="22" spans="1:14" ht="14.45" thickBot="1">
      <c r="A22" s="466"/>
      <c r="B22" s="97" t="s">
        <v>2976</v>
      </c>
      <c r="C22" s="97" t="str">
        <f t="shared" si="0"/>
        <v>CT4A</v>
      </c>
      <c r="D22" s="97" t="s">
        <v>2977</v>
      </c>
      <c r="E22" s="97" t="s">
        <v>3000</v>
      </c>
      <c r="F22" s="97" t="s">
        <v>3008</v>
      </c>
      <c r="G22" s="97" t="s">
        <v>2996</v>
      </c>
      <c r="H22" s="97" t="s">
        <v>463</v>
      </c>
      <c r="I22" s="97" t="s">
        <v>3002</v>
      </c>
      <c r="J22" s="134"/>
      <c r="M22" s="98" t="s">
        <v>3011</v>
      </c>
      <c r="N22" s="98" t="s">
        <v>3001</v>
      </c>
    </row>
    <row r="23" spans="1:14">
      <c r="A23" s="467" t="s">
        <v>384</v>
      </c>
      <c r="B23" s="182" t="s">
        <v>3012</v>
      </c>
      <c r="C23" s="182" t="str">
        <f t="shared" si="0"/>
        <v>C01P</v>
      </c>
      <c r="D23" s="182" t="s">
        <v>2977</v>
      </c>
      <c r="E23" s="182" t="s">
        <v>463</v>
      </c>
      <c r="F23" s="182" t="s">
        <v>3008</v>
      </c>
      <c r="G23" s="183" t="s">
        <v>2979</v>
      </c>
      <c r="H23" s="182" t="s">
        <v>3013</v>
      </c>
      <c r="I23" s="182" t="s">
        <v>2981</v>
      </c>
      <c r="J23" s="134" t="s">
        <v>3014</v>
      </c>
      <c r="M23" s="96" t="s">
        <v>3015</v>
      </c>
      <c r="N23" s="96" t="s">
        <v>2985</v>
      </c>
    </row>
    <row r="24" spans="1:14">
      <c r="A24" s="467"/>
      <c r="B24" s="93" t="s">
        <v>3012</v>
      </c>
      <c r="C24" s="93" t="str">
        <f t="shared" si="0"/>
        <v>C02P</v>
      </c>
      <c r="D24" s="93" t="s">
        <v>2977</v>
      </c>
      <c r="E24" s="93" t="s">
        <v>463</v>
      </c>
      <c r="F24" s="93" t="s">
        <v>3008</v>
      </c>
      <c r="G24" s="125" t="s">
        <v>2979</v>
      </c>
      <c r="H24" s="93" t="s">
        <v>3016</v>
      </c>
      <c r="I24" s="93" t="s">
        <v>2981</v>
      </c>
      <c r="J24" s="93"/>
      <c r="M24" s="95" t="s">
        <v>3017</v>
      </c>
      <c r="N24" s="95" t="s">
        <v>2985</v>
      </c>
    </row>
    <row r="25" spans="1:14">
      <c r="A25" s="467"/>
      <c r="B25" s="93" t="s">
        <v>3012</v>
      </c>
      <c r="C25" s="93" t="str">
        <f t="shared" si="0"/>
        <v>C03P</v>
      </c>
      <c r="D25" s="93" t="s">
        <v>2977</v>
      </c>
      <c r="E25" s="93" t="s">
        <v>463</v>
      </c>
      <c r="F25" s="93" t="s">
        <v>3008</v>
      </c>
      <c r="G25" s="125" t="s">
        <v>2979</v>
      </c>
      <c r="H25" s="93" t="s">
        <v>3018</v>
      </c>
      <c r="I25" s="93" t="s">
        <v>2981</v>
      </c>
      <c r="J25" s="93"/>
      <c r="M25" s="96" t="s">
        <v>3019</v>
      </c>
      <c r="N25" s="96" t="s">
        <v>2985</v>
      </c>
    </row>
    <row r="26" spans="1:14">
      <c r="A26" s="467"/>
      <c r="B26" s="93" t="s">
        <v>3012</v>
      </c>
      <c r="C26" s="93" t="str">
        <f t="shared" si="0"/>
        <v>C04P</v>
      </c>
      <c r="D26" s="93" t="s">
        <v>2977</v>
      </c>
      <c r="E26" s="93" t="s">
        <v>463</v>
      </c>
      <c r="F26" s="93" t="s">
        <v>3008</v>
      </c>
      <c r="G26" s="125" t="s">
        <v>2979</v>
      </c>
      <c r="H26" s="93" t="s">
        <v>3020</v>
      </c>
      <c r="I26" s="93" t="s">
        <v>2981</v>
      </c>
      <c r="J26" s="93"/>
      <c r="M26" s="95" t="s">
        <v>3021</v>
      </c>
      <c r="N26" s="95" t="s">
        <v>2985</v>
      </c>
    </row>
    <row r="27" spans="1:14">
      <c r="A27" s="467"/>
      <c r="B27" s="93" t="s">
        <v>3012</v>
      </c>
      <c r="C27" s="93" t="str">
        <f t="shared" si="0"/>
        <v>C05P</v>
      </c>
      <c r="D27" s="93" t="s">
        <v>2977</v>
      </c>
      <c r="E27" s="93" t="s">
        <v>463</v>
      </c>
      <c r="F27" s="93" t="s">
        <v>3008</v>
      </c>
      <c r="G27" s="125" t="s">
        <v>2979</v>
      </c>
      <c r="H27" s="93" t="s">
        <v>3022</v>
      </c>
      <c r="I27" s="93" t="s">
        <v>2981</v>
      </c>
      <c r="J27" s="93"/>
      <c r="M27" s="96" t="s">
        <v>3023</v>
      </c>
      <c r="N27" s="96" t="s">
        <v>2985</v>
      </c>
    </row>
    <row r="28" spans="1:14">
      <c r="A28" s="466" t="s">
        <v>2992</v>
      </c>
      <c r="B28" s="93" t="s">
        <v>3012</v>
      </c>
      <c r="C28" s="93" t="str">
        <f t="shared" si="0"/>
        <v>CB1P</v>
      </c>
      <c r="D28" s="93" t="s">
        <v>2977</v>
      </c>
      <c r="E28" s="93" t="s">
        <v>2994</v>
      </c>
      <c r="F28" s="93" t="s">
        <v>3008</v>
      </c>
      <c r="G28" s="93" t="s">
        <v>2996</v>
      </c>
      <c r="H28" s="93" t="s">
        <v>3024</v>
      </c>
      <c r="I28" s="93" t="s">
        <v>2981</v>
      </c>
      <c r="J28" s="134" t="s">
        <v>3025</v>
      </c>
      <c r="M28" s="95" t="s">
        <v>3026</v>
      </c>
      <c r="N28" s="95" t="s">
        <v>2985</v>
      </c>
    </row>
    <row r="29" spans="1:14">
      <c r="A29" s="466"/>
      <c r="B29" s="93" t="s">
        <v>3012</v>
      </c>
      <c r="C29" s="93" t="s">
        <v>3027</v>
      </c>
      <c r="D29" s="93" t="s">
        <v>2977</v>
      </c>
      <c r="E29" s="93" t="s">
        <v>3000</v>
      </c>
      <c r="F29" s="93" t="s">
        <v>3008</v>
      </c>
      <c r="G29" s="93" t="s">
        <v>2996</v>
      </c>
      <c r="H29" s="93" t="s">
        <v>3024</v>
      </c>
      <c r="I29" s="93" t="s">
        <v>2981</v>
      </c>
      <c r="J29" s="134"/>
      <c r="M29" s="96" t="s">
        <v>3026</v>
      </c>
      <c r="N29" s="96" t="s">
        <v>3001</v>
      </c>
    </row>
    <row r="30" spans="1:14">
      <c r="A30" s="466"/>
      <c r="B30" s="93" t="s">
        <v>3012</v>
      </c>
      <c r="C30" s="93" t="str">
        <f t="shared" si="0"/>
        <v>CB2P</v>
      </c>
      <c r="D30" s="93" t="s">
        <v>2993</v>
      </c>
      <c r="E30" s="93" t="s">
        <v>2994</v>
      </c>
      <c r="F30" s="93" t="s">
        <v>3008</v>
      </c>
      <c r="G30" s="93" t="s">
        <v>2996</v>
      </c>
      <c r="H30" s="93" t="s">
        <v>3024</v>
      </c>
      <c r="I30" s="93" t="s">
        <v>2998</v>
      </c>
      <c r="J30" s="93"/>
      <c r="M30" s="95" t="s">
        <v>3028</v>
      </c>
      <c r="N30" s="95" t="s">
        <v>2985</v>
      </c>
    </row>
    <row r="31" spans="1:14">
      <c r="A31" s="466"/>
      <c r="B31" s="93" t="s">
        <v>3012</v>
      </c>
      <c r="C31" s="93" t="str">
        <f t="shared" si="0"/>
        <v>CB2A</v>
      </c>
      <c r="D31" s="93" t="s">
        <v>2993</v>
      </c>
      <c r="E31" s="93" t="s">
        <v>3000</v>
      </c>
      <c r="F31" s="93" t="s">
        <v>3008</v>
      </c>
      <c r="G31" s="93" t="s">
        <v>2996</v>
      </c>
      <c r="H31" s="93" t="s">
        <v>3024</v>
      </c>
      <c r="I31" s="93" t="s">
        <v>2998</v>
      </c>
      <c r="J31" s="93"/>
      <c r="M31" s="96" t="s">
        <v>3028</v>
      </c>
      <c r="N31" s="96" t="s">
        <v>3001</v>
      </c>
    </row>
    <row r="32" spans="1:14">
      <c r="A32" s="466"/>
      <c r="B32" s="116" t="s">
        <v>3012</v>
      </c>
      <c r="C32" s="116" t="str">
        <f t="shared" si="0"/>
        <v>CB4P</v>
      </c>
      <c r="D32" s="116" t="s">
        <v>2977</v>
      </c>
      <c r="E32" s="116" t="s">
        <v>2994</v>
      </c>
      <c r="F32" s="116" t="s">
        <v>3008</v>
      </c>
      <c r="G32" s="116" t="s">
        <v>2996</v>
      </c>
      <c r="H32" s="116" t="s">
        <v>3024</v>
      </c>
      <c r="I32" s="116" t="s">
        <v>3002</v>
      </c>
      <c r="J32" s="135" t="s">
        <v>3029</v>
      </c>
      <c r="M32" s="95" t="s">
        <v>3030</v>
      </c>
      <c r="N32" s="95" t="s">
        <v>2985</v>
      </c>
    </row>
    <row r="33" spans="1:14">
      <c r="A33" s="466"/>
      <c r="B33" s="93" t="s">
        <v>3012</v>
      </c>
      <c r="C33" s="93" t="str">
        <f t="shared" si="0"/>
        <v>CB4A</v>
      </c>
      <c r="D33" s="93" t="s">
        <v>2977</v>
      </c>
      <c r="E33" s="93" t="s">
        <v>3000</v>
      </c>
      <c r="F33" s="93" t="s">
        <v>3008</v>
      </c>
      <c r="G33" s="93" t="s">
        <v>2996</v>
      </c>
      <c r="H33" s="93" t="s">
        <v>3024</v>
      </c>
      <c r="I33" s="93" t="s">
        <v>3002</v>
      </c>
      <c r="J33" s="93"/>
      <c r="M33" s="96" t="s">
        <v>3030</v>
      </c>
      <c r="N33" s="96" t="s">
        <v>3001</v>
      </c>
    </row>
  </sheetData>
  <mergeCells count="4">
    <mergeCell ref="A9:A22"/>
    <mergeCell ref="A4:A8"/>
    <mergeCell ref="A23:A27"/>
    <mergeCell ref="A28:A33"/>
  </mergeCells>
  <phoneticPr fontId="34" type="noConversion"/>
  <pageMargins left="0.7" right="0.7" top="0.78740157499999996" bottom="0.78740157499999996" header="0.3" footer="0.3"/>
  <pageSetup orientation="portrait" r:id="rId1"/>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146-B567-474C-85FB-132DD11A3E8D}">
  <dimension ref="B1:C7"/>
  <sheetViews>
    <sheetView zoomScale="120" zoomScaleNormal="120" workbookViewId="0">
      <selection activeCell="B10" sqref="B10"/>
    </sheetView>
  </sheetViews>
  <sheetFormatPr defaultColWidth="8.85546875" defaultRowHeight="14.45"/>
  <cols>
    <col min="1" max="1" width="4.42578125" customWidth="1"/>
    <col min="2" max="2" width="17" style="2" bestFit="1" customWidth="1"/>
    <col min="3" max="3" width="17.42578125" style="28" bestFit="1" customWidth="1"/>
    <col min="4" max="4" width="15.42578125" bestFit="1" customWidth="1"/>
  </cols>
  <sheetData>
    <row r="1" spans="2:3" ht="18.600000000000001">
      <c r="B1" s="39" t="s">
        <v>3031</v>
      </c>
    </row>
    <row r="3" spans="2:3">
      <c r="B3" s="172" t="s">
        <v>1</v>
      </c>
      <c r="C3" s="171" t="s">
        <v>3032</v>
      </c>
    </row>
    <row r="4" spans="2:3">
      <c r="B4" s="2" t="s">
        <v>2814</v>
      </c>
      <c r="C4" s="28">
        <v>50000377</v>
      </c>
    </row>
    <row r="5" spans="2:3">
      <c r="B5" s="2" t="s">
        <v>2747</v>
      </c>
      <c r="C5" s="28">
        <v>50026215</v>
      </c>
    </row>
    <row r="6" spans="2:3">
      <c r="B6" s="2" t="s">
        <v>3033</v>
      </c>
      <c r="C6" s="28">
        <v>50026218</v>
      </c>
    </row>
    <row r="7" spans="2:3">
      <c r="B7" s="2" t="s">
        <v>3034</v>
      </c>
      <c r="C7" s="28">
        <v>50026214</v>
      </c>
    </row>
  </sheetData>
  <phoneticPr fontId="5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9ED9A-C2C2-44E8-B282-E0EC22536AC2}">
  <dimension ref="A3:B24"/>
  <sheetViews>
    <sheetView workbookViewId="0">
      <selection activeCell="B13" sqref="B13"/>
    </sheetView>
  </sheetViews>
  <sheetFormatPr defaultColWidth="9" defaultRowHeight="14.45"/>
  <cols>
    <col min="1" max="1" width="13.140625" bestFit="1" customWidth="1"/>
    <col min="2" max="2" width="44.5703125" bestFit="1" customWidth="1"/>
  </cols>
  <sheetData>
    <row r="3" spans="1:2">
      <c r="A3" s="145" t="s">
        <v>3035</v>
      </c>
      <c r="B3" t="s">
        <v>3036</v>
      </c>
    </row>
    <row r="4" spans="1:2">
      <c r="A4" s="3" t="s">
        <v>391</v>
      </c>
      <c r="B4">
        <v>3</v>
      </c>
    </row>
    <row r="5" spans="1:2">
      <c r="A5" s="146" t="s">
        <v>186</v>
      </c>
      <c r="B5">
        <v>1</v>
      </c>
    </row>
    <row r="6" spans="1:2">
      <c r="A6" s="146" t="s">
        <v>119</v>
      </c>
      <c r="B6">
        <v>1</v>
      </c>
    </row>
    <row r="7" spans="1:2">
      <c r="A7" s="146" t="s">
        <v>167</v>
      </c>
      <c r="B7">
        <v>1</v>
      </c>
    </row>
    <row r="8" spans="1:2">
      <c r="A8" s="3" t="s">
        <v>142</v>
      </c>
      <c r="B8">
        <v>64</v>
      </c>
    </row>
    <row r="9" spans="1:2">
      <c r="A9" s="146" t="s">
        <v>186</v>
      </c>
      <c r="B9">
        <v>11</v>
      </c>
    </row>
    <row r="10" spans="1:2">
      <c r="A10" s="146" t="s">
        <v>119</v>
      </c>
      <c r="B10">
        <v>29</v>
      </c>
    </row>
    <row r="11" spans="1:2">
      <c r="A11" s="146" t="s">
        <v>167</v>
      </c>
      <c r="B11">
        <v>24</v>
      </c>
    </row>
    <row r="12" spans="1:2">
      <c r="A12" s="3" t="s">
        <v>12</v>
      </c>
      <c r="B12">
        <v>120</v>
      </c>
    </row>
    <row r="13" spans="1:2">
      <c r="A13" s="146" t="s">
        <v>186</v>
      </c>
      <c r="B13">
        <v>19</v>
      </c>
    </row>
    <row r="14" spans="1:2">
      <c r="A14" s="146" t="s">
        <v>119</v>
      </c>
      <c r="B14">
        <v>25</v>
      </c>
    </row>
    <row r="15" spans="1:2">
      <c r="A15" s="146" t="s">
        <v>167</v>
      </c>
      <c r="B15">
        <v>76</v>
      </c>
    </row>
    <row r="16" spans="1:2">
      <c r="A16" s="3" t="s">
        <v>251</v>
      </c>
      <c r="B16">
        <v>19</v>
      </c>
    </row>
    <row r="17" spans="1:2">
      <c r="A17" s="146" t="s">
        <v>186</v>
      </c>
      <c r="B17">
        <v>11</v>
      </c>
    </row>
    <row r="18" spans="1:2">
      <c r="A18" s="146" t="s">
        <v>119</v>
      </c>
      <c r="B18">
        <v>3</v>
      </c>
    </row>
    <row r="19" spans="1:2">
      <c r="A19" s="146" t="s">
        <v>167</v>
      </c>
      <c r="B19">
        <v>5</v>
      </c>
    </row>
    <row r="20" spans="1:2">
      <c r="A20" s="3" t="s">
        <v>126</v>
      </c>
      <c r="B20">
        <v>320</v>
      </c>
    </row>
    <row r="21" spans="1:2">
      <c r="A21" s="146" t="s">
        <v>186</v>
      </c>
      <c r="B21">
        <v>43</v>
      </c>
    </row>
    <row r="22" spans="1:2">
      <c r="A22" s="146" t="s">
        <v>119</v>
      </c>
      <c r="B22">
        <v>135</v>
      </c>
    </row>
    <row r="23" spans="1:2">
      <c r="A23" s="146" t="s">
        <v>167</v>
      </c>
      <c r="B23">
        <v>142</v>
      </c>
    </row>
    <row r="24" spans="1:2">
      <c r="A24" s="3" t="s">
        <v>3037</v>
      </c>
      <c r="B24">
        <v>526</v>
      </c>
    </row>
  </sheetData>
  <phoneticPr fontId="50" type="noConversion"/>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CBB76-2C66-48F6-A37A-972E11713C41}">
  <dimension ref="A1:C35"/>
  <sheetViews>
    <sheetView workbookViewId="0">
      <selection activeCell="B8" sqref="B8"/>
    </sheetView>
  </sheetViews>
  <sheetFormatPr defaultColWidth="9" defaultRowHeight="14.45"/>
  <cols>
    <col min="1" max="1" width="18.140625" bestFit="1" customWidth="1"/>
    <col min="2" max="2" width="21.140625" bestFit="1" customWidth="1"/>
  </cols>
  <sheetData>
    <row r="1" spans="1:2">
      <c r="A1" s="145" t="s">
        <v>49</v>
      </c>
      <c r="B1" t="s">
        <v>123</v>
      </c>
    </row>
    <row r="2" spans="1:2">
      <c r="A2" s="145" t="s">
        <v>52</v>
      </c>
      <c r="B2" t="s">
        <v>3038</v>
      </c>
    </row>
    <row r="4" spans="1:2">
      <c r="A4" s="145" t="s">
        <v>3035</v>
      </c>
      <c r="B4" t="s">
        <v>3039</v>
      </c>
    </row>
    <row r="5" spans="1:2">
      <c r="A5" s="3" t="s">
        <v>116</v>
      </c>
      <c r="B5">
        <v>41</v>
      </c>
    </row>
    <row r="6" spans="1:2">
      <c r="A6" s="146" t="s">
        <v>186</v>
      </c>
      <c r="B6">
        <v>3</v>
      </c>
    </row>
    <row r="7" spans="1:2">
      <c r="A7" s="146" t="s">
        <v>119</v>
      </c>
      <c r="B7">
        <v>25</v>
      </c>
    </row>
    <row r="8" spans="1:2">
      <c r="A8" s="146" t="s">
        <v>167</v>
      </c>
      <c r="B8">
        <v>13</v>
      </c>
    </row>
    <row r="9" spans="1:2">
      <c r="A9" s="3" t="s">
        <v>364</v>
      </c>
      <c r="B9">
        <v>6</v>
      </c>
    </row>
    <row r="10" spans="1:2">
      <c r="A10" s="146" t="s">
        <v>186</v>
      </c>
      <c r="B10">
        <v>1</v>
      </c>
    </row>
    <row r="11" spans="1:2">
      <c r="A11" s="146" t="s">
        <v>167</v>
      </c>
      <c r="B11">
        <v>5</v>
      </c>
    </row>
    <row r="12" spans="1:2">
      <c r="A12" s="3" t="s">
        <v>428</v>
      </c>
      <c r="B12">
        <v>5</v>
      </c>
    </row>
    <row r="13" spans="1:2">
      <c r="A13" s="146" t="s">
        <v>119</v>
      </c>
      <c r="B13">
        <v>1</v>
      </c>
    </row>
    <row r="14" spans="1:2">
      <c r="A14" s="146" t="s">
        <v>167</v>
      </c>
      <c r="B14">
        <v>4</v>
      </c>
    </row>
    <row r="15" spans="1:2">
      <c r="A15" s="3" t="s">
        <v>466</v>
      </c>
      <c r="B15">
        <v>211</v>
      </c>
    </row>
    <row r="16" spans="1:2">
      <c r="A16" s="146" t="s">
        <v>186</v>
      </c>
      <c r="B16">
        <v>21</v>
      </c>
    </row>
    <row r="17" spans="1:3">
      <c r="A17" s="146" t="s">
        <v>119</v>
      </c>
      <c r="B17">
        <v>93</v>
      </c>
    </row>
    <row r="18" spans="1:3">
      <c r="A18" s="146" t="s">
        <v>167</v>
      </c>
      <c r="B18">
        <v>97</v>
      </c>
    </row>
    <row r="19" spans="1:3">
      <c r="A19" s="3" t="s">
        <v>1506</v>
      </c>
      <c r="B19">
        <v>64</v>
      </c>
      <c r="C19">
        <f>GETPIVOTDATA("Product Code",$A$3,"Customer","Fuyao","Developmental, Commercial, Obsolete","D")+GETPIVOTDATA("Product Code",$A$3,"Customer","Fuyao","Developmental, Commercial, Obsolete","C")</f>
        <v>114</v>
      </c>
    </row>
    <row r="20" spans="1:3">
      <c r="A20" s="146" t="s">
        <v>186</v>
      </c>
      <c r="B20">
        <v>11</v>
      </c>
    </row>
    <row r="21" spans="1:3">
      <c r="A21" s="146" t="s">
        <v>119</v>
      </c>
      <c r="B21">
        <v>8</v>
      </c>
    </row>
    <row r="22" spans="1:3">
      <c r="A22" s="146" t="s">
        <v>167</v>
      </c>
      <c r="B22">
        <v>45</v>
      </c>
    </row>
    <row r="23" spans="1:3">
      <c r="A23" s="3" t="s">
        <v>1810</v>
      </c>
      <c r="B23">
        <v>49</v>
      </c>
    </row>
    <row r="24" spans="1:3">
      <c r="A24" s="146" t="s">
        <v>186</v>
      </c>
      <c r="B24">
        <v>19</v>
      </c>
    </row>
    <row r="25" spans="1:3">
      <c r="A25" s="146" t="s">
        <v>119</v>
      </c>
      <c r="B25">
        <v>12</v>
      </c>
    </row>
    <row r="26" spans="1:3">
      <c r="A26" s="146" t="s">
        <v>167</v>
      </c>
      <c r="B26">
        <v>18</v>
      </c>
    </row>
    <row r="27" spans="1:3">
      <c r="A27" s="3" t="s">
        <v>2110</v>
      </c>
      <c r="B27">
        <v>63</v>
      </c>
    </row>
    <row r="28" spans="1:3">
      <c r="A28" s="146" t="s">
        <v>186</v>
      </c>
      <c r="B28">
        <v>11</v>
      </c>
    </row>
    <row r="29" spans="1:3">
      <c r="A29" s="146" t="s">
        <v>119</v>
      </c>
      <c r="B29">
        <v>17</v>
      </c>
    </row>
    <row r="30" spans="1:3">
      <c r="A30" s="146" t="s">
        <v>167</v>
      </c>
      <c r="B30">
        <v>35</v>
      </c>
    </row>
    <row r="31" spans="1:3">
      <c r="A31" s="3" t="s">
        <v>421</v>
      </c>
      <c r="B31">
        <v>2</v>
      </c>
    </row>
    <row r="32" spans="1:3">
      <c r="A32" s="146" t="s">
        <v>119</v>
      </c>
      <c r="B32">
        <v>2</v>
      </c>
    </row>
    <row r="33" spans="1:2">
      <c r="A33" s="3" t="s">
        <v>457</v>
      </c>
      <c r="B33">
        <v>2</v>
      </c>
    </row>
    <row r="34" spans="1:2">
      <c r="A34" s="146" t="s">
        <v>119</v>
      </c>
      <c r="B34">
        <v>2</v>
      </c>
    </row>
    <row r="35" spans="1:2">
      <c r="A35" s="3" t="s">
        <v>3037</v>
      </c>
      <c r="B35">
        <v>443</v>
      </c>
    </row>
  </sheetData>
  <phoneticPr fontId="50" type="noConversion"/>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8"/>
  <sheetViews>
    <sheetView workbookViewId="0">
      <pane xSplit="1" ySplit="7" topLeftCell="C36" activePane="bottomRight" state="frozen"/>
      <selection pane="bottomRight" activeCell="B1" sqref="B1"/>
      <selection pane="bottomLeft" activeCell="A8" sqref="A8"/>
      <selection pane="topRight" activeCell="B1" sqref="B1"/>
    </sheetView>
  </sheetViews>
  <sheetFormatPr defaultColWidth="9" defaultRowHeight="14.45"/>
  <cols>
    <col min="1" max="1" width="4.42578125" customWidth="1"/>
    <col min="2" max="2" width="36.28515625" style="2" bestFit="1" customWidth="1"/>
    <col min="3" max="3" width="18.5703125" style="2" bestFit="1" customWidth="1"/>
    <col min="4" max="4" width="5" style="2" bestFit="1" customWidth="1"/>
    <col min="5" max="6" width="10.5703125" style="2" bestFit="1" customWidth="1"/>
    <col min="7" max="7" width="8.42578125" style="2" bestFit="1" customWidth="1"/>
    <col min="8" max="8" width="11.28515625" style="2" bestFit="1" customWidth="1"/>
    <col min="9" max="9" width="10.28515625" style="2" bestFit="1" customWidth="1"/>
    <col min="10" max="11" width="9.85546875" style="2" bestFit="1" customWidth="1"/>
    <col min="12" max="12" width="7.42578125" style="2" bestFit="1" customWidth="1"/>
    <col min="13" max="14" width="10.28515625" style="2" customWidth="1"/>
    <col min="15" max="15" width="10.28515625" customWidth="1"/>
    <col min="16" max="17" width="9.42578125" bestFit="1" customWidth="1"/>
    <col min="18" max="18" width="7" customWidth="1"/>
    <col min="19" max="21" width="9.42578125" bestFit="1" customWidth="1"/>
    <col min="22" max="24" width="7" customWidth="1"/>
    <col min="25" max="25" width="9.42578125" bestFit="1" customWidth="1"/>
    <col min="26" max="26" width="7" customWidth="1"/>
    <col min="27" max="27" width="9.42578125" bestFit="1" customWidth="1"/>
    <col min="28" max="29" width="7" customWidth="1"/>
    <col min="30" max="30" width="9.42578125" bestFit="1" customWidth="1"/>
    <col min="31" max="33" width="7" customWidth="1"/>
    <col min="34" max="38" width="9.42578125" bestFit="1" customWidth="1"/>
    <col min="39" max="39" width="7" customWidth="1"/>
    <col min="40" max="40" width="9.42578125" bestFit="1" customWidth="1"/>
    <col min="41" max="44" width="7" customWidth="1"/>
    <col min="45" max="45" width="9.42578125" bestFit="1" customWidth="1"/>
    <col min="46" max="47" width="7" customWidth="1"/>
    <col min="48" max="49" width="9.42578125" bestFit="1" customWidth="1"/>
    <col min="50" max="51" width="7" customWidth="1"/>
    <col min="52" max="52" width="9.42578125" bestFit="1" customWidth="1"/>
    <col min="53" max="53" width="7" customWidth="1"/>
    <col min="54" max="54" width="9.42578125" bestFit="1" customWidth="1"/>
    <col min="55" max="56" width="7" customWidth="1"/>
    <col min="57" max="59" width="9.42578125" bestFit="1" customWidth="1"/>
    <col min="60" max="60" width="7" customWidth="1"/>
    <col min="61" max="61" width="9.42578125" bestFit="1" customWidth="1"/>
    <col min="62" max="62" width="7" customWidth="1"/>
    <col min="63" max="66" width="9.42578125" bestFit="1" customWidth="1"/>
    <col min="67" max="68" width="7" customWidth="1"/>
    <col min="69" max="71" width="9.42578125" bestFit="1" customWidth="1"/>
    <col min="72" max="72" width="7" customWidth="1"/>
    <col min="73" max="73" width="9.42578125" bestFit="1" customWidth="1"/>
    <col min="74" max="76" width="7" customWidth="1"/>
    <col min="77" max="77" width="9.42578125" bestFit="1" customWidth="1"/>
    <col min="78" max="81" width="7" customWidth="1"/>
    <col min="82" max="83" width="9.42578125" bestFit="1" customWidth="1"/>
    <col min="84" max="88" width="7" customWidth="1"/>
    <col min="89" max="89" width="9.42578125" bestFit="1" customWidth="1"/>
    <col min="90" max="97" width="7" customWidth="1"/>
    <col min="98" max="98" width="8" customWidth="1"/>
    <col min="99" max="100" width="7" customWidth="1"/>
    <col min="101" max="101" width="8" customWidth="1"/>
    <col min="102" max="102" width="7" customWidth="1"/>
    <col min="103" max="103" width="7.42578125" customWidth="1"/>
    <col min="104" max="104" width="11.42578125" bestFit="1" customWidth="1"/>
  </cols>
  <sheetData>
    <row r="1" spans="1:16" ht="18.600000000000001">
      <c r="B1" s="2" t="s">
        <v>3040</v>
      </c>
      <c r="D1"/>
      <c r="E1" s="468" t="s">
        <v>3041</v>
      </c>
      <c r="F1" s="468"/>
      <c r="G1" s="468"/>
      <c r="H1" s="468"/>
      <c r="I1" s="468"/>
      <c r="J1" s="468"/>
      <c r="K1" s="468"/>
      <c r="L1" s="468"/>
      <c r="M1" s="468"/>
      <c r="N1" s="468"/>
      <c r="O1" s="468"/>
    </row>
    <row r="2" spans="1:16">
      <c r="D2" s="58" t="s">
        <v>3042</v>
      </c>
      <c r="E2" s="59" t="s">
        <v>3043</v>
      </c>
      <c r="F2" s="60" t="s">
        <v>3044</v>
      </c>
      <c r="G2" s="61" t="s">
        <v>3043</v>
      </c>
      <c r="H2" s="61" t="s">
        <v>3043</v>
      </c>
      <c r="I2" s="60" t="s">
        <v>3045</v>
      </c>
      <c r="J2" s="61" t="s">
        <v>3043</v>
      </c>
      <c r="K2" s="60" t="s">
        <v>3044</v>
      </c>
      <c r="L2" s="61" t="s">
        <v>3043</v>
      </c>
      <c r="M2" s="62" t="s">
        <v>3043</v>
      </c>
      <c r="N2" s="57" t="s">
        <v>3043</v>
      </c>
      <c r="O2" s="57" t="s">
        <v>3043</v>
      </c>
    </row>
    <row r="3" spans="1:16">
      <c r="B3" s="44" t="s">
        <v>44</v>
      </c>
      <c r="C3" s="2" t="s">
        <v>3038</v>
      </c>
      <c r="E3" s="45" t="s">
        <v>4</v>
      </c>
      <c r="F3" s="53" t="s">
        <v>4</v>
      </c>
      <c r="G3" s="46" t="s">
        <v>123</v>
      </c>
      <c r="H3" s="46" t="s">
        <v>123</v>
      </c>
      <c r="I3" s="52" t="s">
        <v>123</v>
      </c>
      <c r="J3" s="45" t="s">
        <v>4</v>
      </c>
      <c r="K3" s="53" t="s">
        <v>4</v>
      </c>
      <c r="L3" s="46" t="s">
        <v>123</v>
      </c>
      <c r="M3" s="46" t="s">
        <v>123</v>
      </c>
      <c r="N3" s="45" t="s">
        <v>4</v>
      </c>
      <c r="O3" s="45" t="s">
        <v>4</v>
      </c>
      <c r="P3" s="2"/>
    </row>
    <row r="4" spans="1:16">
      <c r="B4" s="44" t="s">
        <v>49</v>
      </c>
      <c r="C4" s="2" t="s">
        <v>123</v>
      </c>
      <c r="D4"/>
      <c r="E4" s="47" t="s">
        <v>3046</v>
      </c>
      <c r="F4" s="54" t="s">
        <v>3046</v>
      </c>
      <c r="G4" s="47" t="s">
        <v>3046</v>
      </c>
      <c r="H4" s="47" t="s">
        <v>3046</v>
      </c>
      <c r="I4" s="52" t="s">
        <v>3047</v>
      </c>
      <c r="J4" s="48" t="s">
        <v>3048</v>
      </c>
      <c r="K4" s="56" t="s">
        <v>3048</v>
      </c>
      <c r="L4" s="48" t="s">
        <v>3048</v>
      </c>
      <c r="M4" s="48" t="s">
        <v>3048</v>
      </c>
      <c r="N4" s="46" t="s">
        <v>3049</v>
      </c>
      <c r="O4" s="46" t="s">
        <v>3049</v>
      </c>
      <c r="P4" s="2"/>
    </row>
    <row r="5" spans="1:16">
      <c r="E5" s="46" t="s">
        <v>5</v>
      </c>
      <c r="F5" s="55" t="s">
        <v>3050</v>
      </c>
      <c r="G5" s="46" t="s">
        <v>5</v>
      </c>
      <c r="H5" s="49" t="s">
        <v>3050</v>
      </c>
      <c r="I5" s="52" t="s">
        <v>5</v>
      </c>
      <c r="J5" s="46" t="s">
        <v>5</v>
      </c>
      <c r="K5" s="55" t="s">
        <v>3050</v>
      </c>
      <c r="L5" s="46" t="s">
        <v>5</v>
      </c>
      <c r="M5" s="49" t="s">
        <v>3050</v>
      </c>
      <c r="N5" s="46" t="s">
        <v>5</v>
      </c>
      <c r="O5" s="49" t="s">
        <v>3050</v>
      </c>
      <c r="P5" s="2"/>
    </row>
    <row r="6" spans="1:16">
      <c r="B6" s="44" t="s">
        <v>3039</v>
      </c>
      <c r="C6" s="44" t="s">
        <v>3051</v>
      </c>
      <c r="I6"/>
      <c r="J6"/>
      <c r="K6"/>
      <c r="L6"/>
      <c r="M6"/>
      <c r="N6"/>
    </row>
    <row r="7" spans="1:16">
      <c r="B7" s="44" t="s">
        <v>3035</v>
      </c>
      <c r="C7" s="2" t="s">
        <v>3052</v>
      </c>
      <c r="D7" s="2" t="s">
        <v>3053</v>
      </c>
      <c r="E7" s="2" t="s">
        <v>3054</v>
      </c>
      <c r="F7" s="2" t="s">
        <v>2991</v>
      </c>
      <c r="G7" s="2" t="s">
        <v>3055</v>
      </c>
      <c r="H7" s="2" t="s">
        <v>3037</v>
      </c>
      <c r="I7"/>
      <c r="J7"/>
      <c r="K7"/>
      <c r="L7"/>
      <c r="M7"/>
      <c r="N7" s="131"/>
    </row>
    <row r="8" spans="1:16" ht="14.65" customHeight="1">
      <c r="A8" s="469" t="s">
        <v>3056</v>
      </c>
      <c r="B8" s="2">
        <v>0.09</v>
      </c>
      <c r="F8" s="2">
        <v>1</v>
      </c>
      <c r="H8" s="2">
        <v>1</v>
      </c>
      <c r="I8"/>
      <c r="J8"/>
      <c r="K8"/>
      <c r="L8"/>
      <c r="M8"/>
      <c r="N8"/>
    </row>
    <row r="9" spans="1:16">
      <c r="A9" s="469"/>
      <c r="B9" s="2">
        <v>0.11</v>
      </c>
      <c r="C9" s="2">
        <v>1</v>
      </c>
      <c r="H9" s="2">
        <v>1</v>
      </c>
      <c r="I9"/>
      <c r="J9"/>
      <c r="K9"/>
      <c r="L9"/>
      <c r="M9"/>
      <c r="N9"/>
    </row>
    <row r="10" spans="1:16">
      <c r="A10" s="469"/>
      <c r="B10" s="2">
        <v>0.12</v>
      </c>
      <c r="F10" s="2">
        <v>2</v>
      </c>
      <c r="H10" s="2">
        <v>2</v>
      </c>
      <c r="I10"/>
      <c r="J10"/>
      <c r="K10"/>
      <c r="L10"/>
      <c r="M10"/>
      <c r="N10"/>
    </row>
    <row r="11" spans="1:16">
      <c r="A11" s="469"/>
      <c r="B11" s="2">
        <v>0.14000000000000001</v>
      </c>
      <c r="C11" s="2">
        <v>3</v>
      </c>
      <c r="F11" s="2">
        <v>1</v>
      </c>
      <c r="H11" s="2">
        <v>4</v>
      </c>
      <c r="I11"/>
      <c r="J11"/>
      <c r="K11"/>
      <c r="L11"/>
      <c r="M11"/>
      <c r="N11"/>
    </row>
    <row r="12" spans="1:16">
      <c r="A12" s="469"/>
      <c r="B12" s="2">
        <v>0.16</v>
      </c>
      <c r="C12" s="2">
        <v>4</v>
      </c>
      <c r="H12" s="2">
        <v>4</v>
      </c>
      <c r="I12"/>
      <c r="J12"/>
      <c r="K12"/>
      <c r="L12"/>
      <c r="M12"/>
      <c r="N12"/>
    </row>
    <row r="13" spans="1:16">
      <c r="A13" s="469"/>
      <c r="B13" s="15">
        <v>0.17</v>
      </c>
      <c r="F13" s="2">
        <v>3</v>
      </c>
      <c r="H13" s="2">
        <v>3</v>
      </c>
      <c r="I13"/>
      <c r="J13"/>
      <c r="K13"/>
      <c r="L13"/>
      <c r="M13"/>
      <c r="N13"/>
    </row>
    <row r="14" spans="1:16">
      <c r="A14" s="469"/>
      <c r="B14" s="2">
        <v>0.18</v>
      </c>
      <c r="C14" s="2">
        <v>3</v>
      </c>
      <c r="F14" s="2">
        <v>1</v>
      </c>
      <c r="H14" s="2">
        <v>4</v>
      </c>
      <c r="I14"/>
      <c r="J14"/>
      <c r="K14"/>
      <c r="L14"/>
      <c r="M14"/>
      <c r="N14"/>
    </row>
    <row r="15" spans="1:16">
      <c r="A15" s="469"/>
      <c r="B15" s="2">
        <v>0.19</v>
      </c>
      <c r="C15" s="2">
        <v>2</v>
      </c>
      <c r="F15" s="2">
        <v>4</v>
      </c>
      <c r="H15" s="2">
        <v>6</v>
      </c>
      <c r="I15"/>
      <c r="J15"/>
      <c r="K15"/>
      <c r="L15"/>
      <c r="M15"/>
      <c r="N15"/>
    </row>
    <row r="16" spans="1:16">
      <c r="A16" s="469"/>
      <c r="B16" s="15">
        <v>0.2</v>
      </c>
      <c r="C16" s="2">
        <v>2</v>
      </c>
      <c r="F16" s="2">
        <v>5</v>
      </c>
      <c r="H16" s="2">
        <v>7</v>
      </c>
      <c r="I16"/>
      <c r="J16"/>
      <c r="K16"/>
      <c r="L16"/>
      <c r="M16"/>
      <c r="N16"/>
    </row>
    <row r="17" spans="1:14">
      <c r="A17" s="469"/>
      <c r="B17" s="15">
        <v>0.21</v>
      </c>
      <c r="C17" s="2">
        <v>2</v>
      </c>
      <c r="F17" s="2">
        <v>5</v>
      </c>
      <c r="H17" s="2">
        <v>7</v>
      </c>
      <c r="I17"/>
      <c r="J17"/>
      <c r="K17"/>
      <c r="L17"/>
      <c r="M17"/>
      <c r="N17"/>
    </row>
    <row r="18" spans="1:14">
      <c r="A18" s="469"/>
      <c r="B18" s="2">
        <v>0.22</v>
      </c>
      <c r="C18" s="2">
        <v>7</v>
      </c>
      <c r="F18" s="2">
        <v>1</v>
      </c>
      <c r="H18" s="2">
        <v>8</v>
      </c>
      <c r="I18"/>
      <c r="J18"/>
      <c r="K18"/>
      <c r="L18"/>
      <c r="M18"/>
      <c r="N18"/>
    </row>
    <row r="19" spans="1:14">
      <c r="A19" s="469"/>
      <c r="B19" s="2">
        <v>0.23</v>
      </c>
      <c r="C19" s="2">
        <v>3</v>
      </c>
      <c r="F19" s="2">
        <v>2</v>
      </c>
      <c r="H19" s="2">
        <v>5</v>
      </c>
      <c r="I19"/>
      <c r="J19"/>
      <c r="K19"/>
      <c r="L19"/>
      <c r="M19"/>
      <c r="N19"/>
    </row>
    <row r="20" spans="1:14">
      <c r="A20" s="469"/>
      <c r="B20" s="15">
        <v>0.24</v>
      </c>
      <c r="C20" s="2">
        <v>3</v>
      </c>
      <c r="F20" s="2">
        <v>1</v>
      </c>
      <c r="H20" s="2">
        <v>4</v>
      </c>
      <c r="I20"/>
      <c r="J20"/>
      <c r="K20"/>
      <c r="L20"/>
      <c r="M20"/>
      <c r="N20"/>
    </row>
    <row r="21" spans="1:14">
      <c r="A21" s="469"/>
      <c r="B21" s="15">
        <v>0.25</v>
      </c>
      <c r="C21" s="2">
        <v>9</v>
      </c>
      <c r="F21" s="2">
        <v>4</v>
      </c>
      <c r="H21" s="2">
        <v>13</v>
      </c>
      <c r="I21"/>
      <c r="J21"/>
      <c r="K21"/>
      <c r="L21"/>
      <c r="M21"/>
      <c r="N21"/>
    </row>
    <row r="22" spans="1:14">
      <c r="A22" s="469"/>
      <c r="B22" s="2">
        <v>0.26</v>
      </c>
      <c r="C22" s="2">
        <v>1</v>
      </c>
      <c r="F22" s="2">
        <v>2</v>
      </c>
      <c r="H22" s="2">
        <v>3</v>
      </c>
      <c r="I22"/>
      <c r="J22"/>
      <c r="K22"/>
      <c r="L22"/>
      <c r="M22"/>
      <c r="N22"/>
    </row>
    <row r="23" spans="1:14">
      <c r="A23" s="469"/>
      <c r="B23" s="2">
        <v>0.27</v>
      </c>
      <c r="C23" s="2">
        <v>11</v>
      </c>
      <c r="F23" s="2">
        <v>6</v>
      </c>
      <c r="H23" s="2">
        <v>17</v>
      </c>
      <c r="I23"/>
      <c r="J23"/>
      <c r="K23"/>
      <c r="L23"/>
      <c r="M23"/>
      <c r="N23"/>
    </row>
    <row r="24" spans="1:14">
      <c r="A24" s="469"/>
      <c r="B24" s="15">
        <v>0.28000000000000003</v>
      </c>
      <c r="C24" s="2">
        <v>7</v>
      </c>
      <c r="F24" s="2">
        <v>3</v>
      </c>
      <c r="H24" s="2">
        <v>10</v>
      </c>
      <c r="I24"/>
      <c r="J24"/>
      <c r="K24"/>
      <c r="L24"/>
      <c r="M24"/>
      <c r="N24"/>
    </row>
    <row r="25" spans="1:14">
      <c r="A25" s="469"/>
      <c r="B25" s="2">
        <v>0.28999999999999998</v>
      </c>
      <c r="C25" s="2">
        <v>10</v>
      </c>
      <c r="F25" s="2">
        <v>2</v>
      </c>
      <c r="H25" s="2">
        <v>12</v>
      </c>
      <c r="I25"/>
      <c r="J25"/>
      <c r="K25"/>
      <c r="L25"/>
      <c r="M25"/>
      <c r="N25"/>
    </row>
    <row r="26" spans="1:14">
      <c r="A26" s="469"/>
      <c r="B26" s="15">
        <v>0.3</v>
      </c>
      <c r="C26" s="2">
        <v>3</v>
      </c>
      <c r="D26" s="2">
        <v>1</v>
      </c>
      <c r="F26" s="2">
        <v>4</v>
      </c>
      <c r="H26" s="2">
        <v>8</v>
      </c>
      <c r="I26"/>
      <c r="J26"/>
      <c r="K26"/>
      <c r="L26"/>
      <c r="M26"/>
      <c r="N26"/>
    </row>
    <row r="27" spans="1:14">
      <c r="A27" s="469"/>
      <c r="B27" s="2">
        <v>0.31</v>
      </c>
      <c r="C27" s="2">
        <v>3</v>
      </c>
      <c r="F27" s="2">
        <v>1</v>
      </c>
      <c r="H27" s="2">
        <v>4</v>
      </c>
      <c r="I27"/>
      <c r="J27"/>
      <c r="K27"/>
      <c r="L27"/>
      <c r="M27"/>
      <c r="N27"/>
    </row>
    <row r="28" spans="1:14">
      <c r="A28" s="469"/>
      <c r="B28" s="15">
        <v>0.32</v>
      </c>
      <c r="C28" s="2">
        <v>8</v>
      </c>
      <c r="F28" s="2">
        <v>5</v>
      </c>
      <c r="H28" s="2">
        <v>13</v>
      </c>
      <c r="I28"/>
      <c r="J28"/>
      <c r="K28"/>
      <c r="L28"/>
      <c r="M28"/>
      <c r="N28"/>
    </row>
    <row r="29" spans="1:14">
      <c r="A29" s="469"/>
      <c r="B29" s="15">
        <v>0.33</v>
      </c>
      <c r="C29" s="2">
        <v>4</v>
      </c>
      <c r="F29" s="2">
        <v>8</v>
      </c>
      <c r="H29" s="2">
        <v>12</v>
      </c>
      <c r="I29"/>
      <c r="J29"/>
      <c r="K29"/>
      <c r="L29"/>
      <c r="M29"/>
      <c r="N29"/>
    </row>
    <row r="30" spans="1:14">
      <c r="A30" s="469"/>
      <c r="B30" s="2">
        <v>0.34</v>
      </c>
      <c r="C30" s="2">
        <v>1</v>
      </c>
      <c r="H30" s="2">
        <v>1</v>
      </c>
      <c r="I30"/>
      <c r="J30"/>
      <c r="K30"/>
      <c r="L30"/>
      <c r="M30"/>
      <c r="N30"/>
    </row>
    <row r="31" spans="1:14">
      <c r="A31" s="469"/>
      <c r="B31" s="15">
        <v>0.35</v>
      </c>
      <c r="C31" s="2">
        <v>5</v>
      </c>
      <c r="D31" s="2">
        <v>1</v>
      </c>
      <c r="F31" s="2">
        <v>6</v>
      </c>
      <c r="H31" s="2">
        <v>12</v>
      </c>
      <c r="I31"/>
      <c r="J31"/>
      <c r="K31"/>
      <c r="L31"/>
      <c r="M31"/>
      <c r="N31"/>
    </row>
    <row r="32" spans="1:14">
      <c r="A32" s="469"/>
      <c r="B32" s="15">
        <v>0.36</v>
      </c>
      <c r="C32" s="2">
        <v>2</v>
      </c>
      <c r="D32" s="2">
        <v>1</v>
      </c>
      <c r="F32" s="2">
        <v>5</v>
      </c>
      <c r="H32" s="2">
        <v>8</v>
      </c>
      <c r="I32"/>
      <c r="J32"/>
      <c r="K32"/>
      <c r="L32"/>
      <c r="M32"/>
      <c r="N32"/>
    </row>
    <row r="33" spans="1:14">
      <c r="A33" s="469"/>
      <c r="B33" s="2">
        <v>0.37</v>
      </c>
      <c r="C33" s="2">
        <v>1</v>
      </c>
      <c r="F33" s="2">
        <v>7</v>
      </c>
      <c r="H33" s="2">
        <v>8</v>
      </c>
      <c r="I33"/>
      <c r="J33"/>
      <c r="K33"/>
      <c r="L33"/>
      <c r="M33"/>
      <c r="N33"/>
    </row>
    <row r="34" spans="1:14">
      <c r="A34" s="469"/>
      <c r="B34" s="15">
        <v>0.38</v>
      </c>
      <c r="C34" s="2">
        <v>1</v>
      </c>
      <c r="E34" s="2">
        <v>1</v>
      </c>
      <c r="F34" s="2">
        <v>2</v>
      </c>
      <c r="G34" s="2">
        <v>1</v>
      </c>
      <c r="H34" s="2">
        <v>5</v>
      </c>
      <c r="I34"/>
      <c r="J34"/>
      <c r="K34"/>
      <c r="L34"/>
      <c r="M34"/>
      <c r="N34"/>
    </row>
    <row r="35" spans="1:14">
      <c r="A35" s="469"/>
      <c r="B35" s="15">
        <v>0.39</v>
      </c>
      <c r="C35" s="2">
        <v>4</v>
      </c>
      <c r="D35" s="2">
        <v>1</v>
      </c>
      <c r="F35" s="2">
        <v>6</v>
      </c>
      <c r="H35" s="2">
        <v>11</v>
      </c>
      <c r="I35"/>
      <c r="J35"/>
      <c r="K35"/>
      <c r="L35"/>
      <c r="M35"/>
      <c r="N35"/>
    </row>
    <row r="36" spans="1:14">
      <c r="A36" s="469"/>
      <c r="B36" s="15">
        <v>0.4</v>
      </c>
      <c r="C36" s="2">
        <v>4</v>
      </c>
      <c r="D36" s="2">
        <v>5</v>
      </c>
      <c r="E36" s="2">
        <v>4</v>
      </c>
      <c r="F36" s="2">
        <v>19</v>
      </c>
      <c r="G36" s="2">
        <v>4</v>
      </c>
      <c r="H36" s="2">
        <v>36</v>
      </c>
      <c r="I36"/>
      <c r="J36"/>
      <c r="K36"/>
      <c r="L36"/>
      <c r="M36"/>
      <c r="N36"/>
    </row>
    <row r="37" spans="1:14">
      <c r="A37" s="469"/>
      <c r="B37" s="15">
        <v>0.41</v>
      </c>
      <c r="C37" s="2">
        <v>4</v>
      </c>
      <c r="D37" s="2">
        <v>3</v>
      </c>
      <c r="F37" s="2">
        <v>11</v>
      </c>
      <c r="G37" s="2">
        <v>1</v>
      </c>
      <c r="H37" s="2">
        <v>19</v>
      </c>
      <c r="I37"/>
      <c r="J37"/>
      <c r="K37"/>
      <c r="L37"/>
      <c r="M37"/>
      <c r="N37"/>
    </row>
    <row r="38" spans="1:14">
      <c r="A38" s="469"/>
      <c r="B38" s="15">
        <v>0.42</v>
      </c>
      <c r="C38" s="2">
        <v>2</v>
      </c>
      <c r="D38" s="2">
        <v>1</v>
      </c>
      <c r="E38" s="2">
        <v>2</v>
      </c>
      <c r="F38" s="2">
        <v>2</v>
      </c>
      <c r="G38" s="2">
        <v>1</v>
      </c>
      <c r="H38" s="2">
        <v>8</v>
      </c>
      <c r="I38"/>
      <c r="J38"/>
      <c r="K38"/>
      <c r="L38"/>
      <c r="M38"/>
      <c r="N38"/>
    </row>
    <row r="39" spans="1:14">
      <c r="A39" s="469"/>
      <c r="B39" s="15">
        <v>0.43</v>
      </c>
      <c r="C39" s="2">
        <v>1</v>
      </c>
      <c r="D39" s="2">
        <v>3</v>
      </c>
      <c r="F39" s="2">
        <v>5</v>
      </c>
      <c r="G39" s="2">
        <v>1</v>
      </c>
      <c r="H39" s="2">
        <v>10</v>
      </c>
      <c r="I39"/>
      <c r="J39"/>
      <c r="K39"/>
      <c r="L39"/>
      <c r="M39"/>
      <c r="N39"/>
    </row>
    <row r="40" spans="1:14">
      <c r="A40" s="469"/>
      <c r="B40" s="15">
        <v>0.44</v>
      </c>
      <c r="C40" s="2">
        <v>4</v>
      </c>
      <c r="D40" s="2">
        <v>1</v>
      </c>
      <c r="F40" s="2">
        <v>13</v>
      </c>
      <c r="H40" s="2">
        <v>18</v>
      </c>
      <c r="I40"/>
      <c r="J40"/>
      <c r="K40"/>
      <c r="L40"/>
      <c r="M40"/>
      <c r="N40"/>
    </row>
    <row r="41" spans="1:14">
      <c r="A41" s="469"/>
      <c r="B41" s="15">
        <v>0.45</v>
      </c>
      <c r="C41" s="2">
        <v>3</v>
      </c>
      <c r="D41" s="2">
        <v>1</v>
      </c>
      <c r="F41" s="2">
        <v>4</v>
      </c>
      <c r="H41" s="2">
        <v>8</v>
      </c>
      <c r="I41"/>
      <c r="J41"/>
      <c r="K41"/>
      <c r="L41"/>
      <c r="M41"/>
      <c r="N41"/>
    </row>
    <row r="42" spans="1:14">
      <c r="A42" s="469"/>
      <c r="B42" s="15">
        <v>0.46</v>
      </c>
      <c r="C42" s="2">
        <v>3</v>
      </c>
      <c r="F42" s="2">
        <v>6</v>
      </c>
      <c r="G42" s="2">
        <v>1</v>
      </c>
      <c r="H42" s="2">
        <v>10</v>
      </c>
      <c r="I42"/>
      <c r="J42"/>
      <c r="K42"/>
      <c r="L42"/>
      <c r="M42"/>
      <c r="N42"/>
    </row>
    <row r="43" spans="1:14">
      <c r="A43" s="469"/>
      <c r="B43" s="15">
        <v>0.47</v>
      </c>
      <c r="C43" s="2">
        <v>4</v>
      </c>
      <c r="D43" s="2">
        <v>2</v>
      </c>
      <c r="F43" s="2">
        <v>6</v>
      </c>
      <c r="H43" s="2">
        <v>12</v>
      </c>
      <c r="I43"/>
      <c r="J43"/>
      <c r="K43"/>
      <c r="L43"/>
      <c r="M43"/>
      <c r="N43"/>
    </row>
    <row r="44" spans="1:14">
      <c r="A44" s="469"/>
      <c r="B44" s="15">
        <v>0.48</v>
      </c>
      <c r="C44" s="2">
        <v>3</v>
      </c>
      <c r="F44" s="2">
        <v>12</v>
      </c>
      <c r="H44" s="2">
        <v>15</v>
      </c>
      <c r="I44"/>
      <c r="J44"/>
      <c r="K44"/>
      <c r="L44"/>
      <c r="M44"/>
      <c r="N44"/>
    </row>
    <row r="45" spans="1:14">
      <c r="A45" s="469"/>
      <c r="B45" s="15">
        <v>0.49</v>
      </c>
      <c r="C45" s="2">
        <v>1</v>
      </c>
      <c r="F45" s="2">
        <v>11</v>
      </c>
      <c r="G45" s="2">
        <v>1</v>
      </c>
      <c r="H45" s="2">
        <v>13</v>
      </c>
      <c r="I45"/>
      <c r="J45"/>
      <c r="K45"/>
      <c r="L45"/>
      <c r="M45"/>
      <c r="N45"/>
    </row>
    <row r="46" spans="1:14">
      <c r="A46" s="469"/>
      <c r="B46" s="15">
        <v>0.5</v>
      </c>
      <c r="C46" s="2">
        <v>1</v>
      </c>
      <c r="F46" s="2">
        <v>23</v>
      </c>
      <c r="G46" s="2">
        <v>5</v>
      </c>
      <c r="H46" s="2">
        <v>29</v>
      </c>
      <c r="I46"/>
      <c r="J46"/>
      <c r="K46"/>
      <c r="L46"/>
      <c r="M46"/>
      <c r="N46"/>
    </row>
    <row r="47" spans="1:14">
      <c r="A47" s="469"/>
      <c r="B47" s="15">
        <v>0.51</v>
      </c>
      <c r="C47" s="2">
        <v>4</v>
      </c>
      <c r="F47" s="2">
        <v>9</v>
      </c>
      <c r="G47" s="2">
        <v>1</v>
      </c>
      <c r="H47" s="2">
        <v>14</v>
      </c>
      <c r="I47"/>
      <c r="J47"/>
      <c r="K47"/>
      <c r="L47"/>
      <c r="M47"/>
      <c r="N47"/>
    </row>
    <row r="48" spans="1:14">
      <c r="A48" s="469"/>
      <c r="B48" s="15">
        <v>0.52</v>
      </c>
      <c r="C48" s="2">
        <v>3</v>
      </c>
      <c r="F48" s="2">
        <v>17</v>
      </c>
      <c r="H48" s="2">
        <v>20</v>
      </c>
      <c r="I48"/>
      <c r="J48"/>
      <c r="K48"/>
      <c r="L48"/>
      <c r="M48"/>
      <c r="N48"/>
    </row>
    <row r="49" spans="1:14">
      <c r="A49" s="469"/>
      <c r="B49" s="15">
        <v>0.53</v>
      </c>
      <c r="C49" s="2">
        <v>2</v>
      </c>
      <c r="E49" s="2">
        <v>2</v>
      </c>
      <c r="F49" s="2">
        <v>2</v>
      </c>
      <c r="G49" s="2">
        <v>1</v>
      </c>
      <c r="H49" s="2">
        <v>7</v>
      </c>
      <c r="I49"/>
      <c r="J49"/>
      <c r="K49"/>
      <c r="L49"/>
      <c r="M49"/>
      <c r="N49"/>
    </row>
    <row r="50" spans="1:14">
      <c r="A50" s="469"/>
      <c r="B50" s="2">
        <v>0.54</v>
      </c>
      <c r="C50" s="2">
        <v>3</v>
      </c>
      <c r="F50" s="2">
        <v>8</v>
      </c>
      <c r="G50" s="2">
        <v>2</v>
      </c>
      <c r="H50" s="2">
        <v>13</v>
      </c>
      <c r="I50"/>
      <c r="J50"/>
      <c r="K50"/>
      <c r="L50"/>
      <c r="M50"/>
    </row>
    <row r="51" spans="1:14">
      <c r="A51" s="469"/>
      <c r="B51" s="15">
        <v>0.55000000000000004</v>
      </c>
      <c r="C51" s="2">
        <v>3</v>
      </c>
      <c r="E51" s="2">
        <v>1</v>
      </c>
      <c r="F51" s="2">
        <v>4</v>
      </c>
      <c r="H51" s="2">
        <v>8</v>
      </c>
      <c r="I51"/>
      <c r="J51"/>
      <c r="K51"/>
      <c r="L51"/>
      <c r="M51"/>
    </row>
    <row r="52" spans="1:14">
      <c r="A52" s="469"/>
      <c r="B52" s="2">
        <v>0.56000000000000005</v>
      </c>
      <c r="C52" s="2">
        <v>2</v>
      </c>
      <c r="F52" s="2">
        <v>9</v>
      </c>
      <c r="H52" s="2">
        <v>11</v>
      </c>
      <c r="I52"/>
      <c r="J52"/>
      <c r="K52"/>
      <c r="L52"/>
      <c r="M52"/>
    </row>
    <row r="53" spans="1:14">
      <c r="A53" s="469"/>
      <c r="B53" s="2">
        <v>0.56999999999999995</v>
      </c>
      <c r="C53" s="2">
        <v>1</v>
      </c>
      <c r="F53" s="2">
        <v>7</v>
      </c>
      <c r="G53" s="2">
        <v>1</v>
      </c>
      <c r="H53" s="2">
        <v>9</v>
      </c>
      <c r="I53"/>
      <c r="J53"/>
      <c r="K53"/>
      <c r="L53"/>
      <c r="M53"/>
    </row>
    <row r="54" spans="1:14">
      <c r="A54" s="469"/>
      <c r="B54" s="2">
        <v>0.57999999999999996</v>
      </c>
      <c r="C54" s="2">
        <v>1</v>
      </c>
      <c r="F54" s="2">
        <v>9</v>
      </c>
      <c r="G54" s="2">
        <v>1</v>
      </c>
      <c r="H54" s="2">
        <v>11</v>
      </c>
      <c r="I54"/>
      <c r="J54"/>
      <c r="K54"/>
      <c r="L54"/>
      <c r="M54"/>
    </row>
    <row r="55" spans="1:14">
      <c r="B55" s="2">
        <v>0.59</v>
      </c>
      <c r="F55" s="2">
        <v>6</v>
      </c>
      <c r="H55" s="2">
        <v>6</v>
      </c>
      <c r="I55"/>
      <c r="J55"/>
      <c r="K55"/>
      <c r="L55"/>
      <c r="M55"/>
    </row>
    <row r="56" spans="1:14">
      <c r="B56" s="15">
        <v>0.6</v>
      </c>
      <c r="C56" s="2">
        <v>2</v>
      </c>
      <c r="D56" s="2">
        <v>2</v>
      </c>
      <c r="F56" s="2">
        <v>10</v>
      </c>
      <c r="H56" s="2">
        <v>14</v>
      </c>
      <c r="I56"/>
      <c r="J56"/>
      <c r="K56"/>
      <c r="L56"/>
      <c r="M56"/>
    </row>
    <row r="57" spans="1:14">
      <c r="B57" s="2">
        <v>0.61</v>
      </c>
      <c r="F57" s="2">
        <v>1</v>
      </c>
      <c r="H57" s="2">
        <v>1</v>
      </c>
      <c r="I57"/>
      <c r="J57"/>
      <c r="K57"/>
      <c r="L57"/>
      <c r="M57"/>
    </row>
    <row r="58" spans="1:14">
      <c r="B58" s="2">
        <v>0.62</v>
      </c>
      <c r="F58" s="2">
        <v>10</v>
      </c>
      <c r="G58" s="2">
        <v>1</v>
      </c>
      <c r="H58" s="2">
        <v>11</v>
      </c>
      <c r="I58"/>
      <c r="J58"/>
      <c r="K58"/>
      <c r="L58"/>
      <c r="M58"/>
    </row>
    <row r="59" spans="1:14">
      <c r="B59" s="2">
        <v>0.63</v>
      </c>
      <c r="F59" s="2">
        <v>3</v>
      </c>
      <c r="H59" s="2">
        <v>3</v>
      </c>
      <c r="I59"/>
      <c r="J59"/>
      <c r="K59"/>
      <c r="L59"/>
      <c r="M59"/>
    </row>
    <row r="60" spans="1:14">
      <c r="B60" s="15">
        <v>0.64</v>
      </c>
      <c r="D60" s="2">
        <v>1</v>
      </c>
      <c r="F60" s="2">
        <v>10</v>
      </c>
      <c r="H60" s="2">
        <v>11</v>
      </c>
      <c r="I60"/>
      <c r="J60"/>
      <c r="K60"/>
      <c r="L60"/>
      <c r="M60"/>
    </row>
    <row r="61" spans="1:14">
      <c r="B61" s="15">
        <v>0.65</v>
      </c>
      <c r="C61" s="2">
        <v>3</v>
      </c>
      <c r="F61" s="2">
        <v>2</v>
      </c>
      <c r="H61" s="2">
        <v>5</v>
      </c>
      <c r="I61"/>
      <c r="J61"/>
      <c r="K61"/>
      <c r="L61"/>
      <c r="M61"/>
    </row>
    <row r="62" spans="1:14">
      <c r="B62" s="2">
        <v>0.66</v>
      </c>
      <c r="F62" s="2">
        <v>2</v>
      </c>
      <c r="H62" s="2">
        <v>2</v>
      </c>
      <c r="I62"/>
      <c r="J62"/>
      <c r="K62"/>
      <c r="L62"/>
      <c r="M62"/>
    </row>
    <row r="63" spans="1:14">
      <c r="B63" s="2">
        <v>0.67</v>
      </c>
      <c r="F63" s="2">
        <v>3</v>
      </c>
      <c r="H63" s="2">
        <v>3</v>
      </c>
      <c r="I63"/>
      <c r="J63"/>
      <c r="K63"/>
      <c r="L63"/>
      <c r="M63"/>
    </row>
    <row r="64" spans="1:14">
      <c r="B64" s="15">
        <v>0.68</v>
      </c>
      <c r="C64" s="2">
        <v>1</v>
      </c>
      <c r="F64" s="2">
        <v>4</v>
      </c>
      <c r="H64" s="2">
        <v>5</v>
      </c>
      <c r="I64"/>
      <c r="J64"/>
      <c r="K64"/>
      <c r="L64"/>
      <c r="M64"/>
    </row>
    <row r="65" spans="2:13">
      <c r="B65" s="15">
        <v>0.7</v>
      </c>
      <c r="F65" s="2">
        <v>2</v>
      </c>
      <c r="H65" s="2">
        <v>2</v>
      </c>
      <c r="I65"/>
      <c r="J65"/>
      <c r="K65"/>
      <c r="L65"/>
      <c r="M65"/>
    </row>
    <row r="66" spans="2:13">
      <c r="B66" s="2">
        <v>0.72</v>
      </c>
      <c r="C66" s="2">
        <v>1</v>
      </c>
      <c r="F66" s="2">
        <v>5</v>
      </c>
      <c r="H66" s="2">
        <v>6</v>
      </c>
      <c r="I66"/>
      <c r="J66"/>
      <c r="K66"/>
      <c r="L66"/>
      <c r="M66"/>
    </row>
    <row r="67" spans="2:13">
      <c r="B67" s="2" t="s">
        <v>3052</v>
      </c>
      <c r="C67" s="2">
        <v>6</v>
      </c>
      <c r="F67" s="2">
        <v>2</v>
      </c>
      <c r="H67" s="2">
        <v>8</v>
      </c>
      <c r="I67"/>
      <c r="J67"/>
      <c r="K67"/>
      <c r="L67"/>
      <c r="M67"/>
    </row>
    <row r="68" spans="2:13">
      <c r="B68" s="2" t="s">
        <v>3037</v>
      </c>
      <c r="C68" s="2">
        <v>162</v>
      </c>
      <c r="D68" s="2">
        <v>23</v>
      </c>
      <c r="E68" s="2">
        <v>10</v>
      </c>
      <c r="F68" s="2">
        <v>324</v>
      </c>
      <c r="G68" s="2">
        <v>22</v>
      </c>
      <c r="H68" s="2">
        <v>541</v>
      </c>
    </row>
  </sheetData>
  <mergeCells count="2">
    <mergeCell ref="E1:O1"/>
    <mergeCell ref="A8:A54"/>
  </mergeCells>
  <phoneticPr fontId="50" type="noConversion"/>
  <conditionalFormatting pivot="1" sqref="F13 F10 F17 F20 F26 F28:F30 F32 F34:F48 F50 F52 F54:F56 F58 F60 F63 F66">
    <cfRule type="colorScale" priority="3">
      <colorScale>
        <cfvo type="min"/>
        <cfvo type="percentile" val="50"/>
        <cfvo type="max"/>
        <color rgb="FF63BE7B"/>
        <color rgb="FFFFEB84"/>
        <color rgb="FFF8696B"/>
      </colorScale>
    </cfRule>
  </conditionalFormatting>
  <conditionalFormatting pivot="1" sqref="F10:F11 F13 F15:F18 F20:F21 F26 F28:F50 F52:F56 F58:F64 F66">
    <cfRule type="colorScale" priority="2">
      <colorScale>
        <cfvo type="min"/>
        <cfvo type="percentile" val="50"/>
        <cfvo type="max"/>
        <color rgb="FF63BE7B"/>
        <color rgb="FFFFEB84"/>
        <color rgb="FFF8696B"/>
      </colorScale>
    </cfRule>
  </conditionalFormatting>
  <conditionalFormatting pivot="1" sqref="F10:F11 F8 F13:F18 F20:F41 F43:F56 F58:F64 F66:F6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3:K17"/>
  <sheetViews>
    <sheetView showGridLines="0" workbookViewId="0">
      <selection activeCell="F20" sqref="F20"/>
    </sheetView>
  </sheetViews>
  <sheetFormatPr defaultColWidth="9" defaultRowHeight="13.5"/>
  <cols>
    <col min="1" max="1" width="4.42578125" style="4" customWidth="1"/>
    <col min="2" max="2" width="42.85546875" style="4" customWidth="1"/>
    <col min="3" max="6" width="28.42578125" style="8" customWidth="1"/>
    <col min="7" max="16384" width="9" style="4"/>
  </cols>
  <sheetData>
    <row r="3" spans="2:11" ht="14.45">
      <c r="B3" s="470" t="s">
        <v>3057</v>
      </c>
      <c r="C3" s="472" t="s">
        <v>3058</v>
      </c>
      <c r="D3" s="472"/>
      <c r="E3" s="472"/>
      <c r="F3" s="472"/>
    </row>
    <row r="4" spans="2:11" ht="14.45">
      <c r="B4" s="471"/>
      <c r="C4" s="7" t="s">
        <v>9</v>
      </c>
      <c r="D4" s="7" t="s">
        <v>3059</v>
      </c>
      <c r="E4" s="7" t="s">
        <v>3060</v>
      </c>
      <c r="F4" s="7" t="s">
        <v>3061</v>
      </c>
    </row>
    <row r="5" spans="2:11" ht="27">
      <c r="B5" s="9" t="s">
        <v>3062</v>
      </c>
      <c r="C5" s="10" t="s">
        <v>3063</v>
      </c>
      <c r="D5" s="10" t="s">
        <v>3064</v>
      </c>
      <c r="E5" s="10" t="s">
        <v>3065</v>
      </c>
      <c r="F5" s="10" t="s">
        <v>3063</v>
      </c>
    </row>
    <row r="6" spans="2:11" ht="14.45">
      <c r="B6" s="9" t="s">
        <v>3066</v>
      </c>
      <c r="C6" s="10" t="s">
        <v>3066</v>
      </c>
      <c r="D6" s="10" t="s">
        <v>3066</v>
      </c>
      <c r="E6" s="10" t="s">
        <v>3067</v>
      </c>
      <c r="F6" s="10" t="s">
        <v>5</v>
      </c>
    </row>
    <row r="7" spans="2:11" ht="27">
      <c r="B7" s="9" t="s">
        <v>3068</v>
      </c>
      <c r="C7" s="10" t="s">
        <v>3069</v>
      </c>
      <c r="D7" s="10" t="s">
        <v>3070</v>
      </c>
      <c r="E7" s="10" t="s">
        <v>3071</v>
      </c>
      <c r="F7" s="10" t="s">
        <v>3069</v>
      </c>
    </row>
    <row r="8" spans="2:11" ht="14.45">
      <c r="B8" s="9" t="s">
        <v>3072</v>
      </c>
      <c r="C8" s="10" t="s">
        <v>3073</v>
      </c>
      <c r="D8" s="10" t="s">
        <v>3073</v>
      </c>
      <c r="E8" s="10" t="s">
        <v>3074</v>
      </c>
      <c r="F8" s="10" t="s">
        <v>3075</v>
      </c>
      <c r="G8" s="5" t="s">
        <v>3076</v>
      </c>
    </row>
    <row r="9" spans="2:11" ht="14.45">
      <c r="B9" s="9" t="s">
        <v>3077</v>
      </c>
      <c r="C9" s="10" t="s">
        <v>3078</v>
      </c>
      <c r="D9" s="10" t="s">
        <v>3078</v>
      </c>
      <c r="E9" s="10" t="s">
        <v>3079</v>
      </c>
      <c r="F9" s="10" t="s">
        <v>3080</v>
      </c>
      <c r="G9" s="5" t="s">
        <v>3081</v>
      </c>
    </row>
    <row r="10" spans="2:11" ht="27">
      <c r="B10" s="9" t="s">
        <v>3082</v>
      </c>
      <c r="C10" s="10" t="s">
        <v>3083</v>
      </c>
      <c r="D10" s="10" t="s">
        <v>3083</v>
      </c>
      <c r="E10" s="10" t="s">
        <v>3084</v>
      </c>
      <c r="F10" s="10" t="s">
        <v>3085</v>
      </c>
    </row>
    <row r="11" spans="2:11" ht="27">
      <c r="B11" s="9" t="s">
        <v>3086</v>
      </c>
      <c r="C11" s="10" t="s">
        <v>3087</v>
      </c>
      <c r="D11" s="10" t="s">
        <v>3088</v>
      </c>
      <c r="E11" s="10" t="s">
        <v>3087</v>
      </c>
      <c r="F11" s="10" t="s">
        <v>3089</v>
      </c>
    </row>
    <row r="12" spans="2:11" ht="14.45">
      <c r="B12" s="9" t="s">
        <v>3090</v>
      </c>
      <c r="C12" s="10" t="s">
        <v>3091</v>
      </c>
      <c r="D12" s="41" t="s">
        <v>3091</v>
      </c>
      <c r="E12" s="41" t="s">
        <v>3092</v>
      </c>
      <c r="F12" s="10" t="s">
        <v>3091</v>
      </c>
      <c r="G12" s="5" t="s">
        <v>3093</v>
      </c>
    </row>
    <row r="13" spans="2:11" ht="29.1">
      <c r="B13" s="9" t="s">
        <v>3094</v>
      </c>
      <c r="C13" s="10" t="s">
        <v>3095</v>
      </c>
      <c r="D13" s="10" t="s">
        <v>3095</v>
      </c>
      <c r="E13" s="10" t="s">
        <v>3096</v>
      </c>
      <c r="F13" s="11" t="s">
        <v>3095</v>
      </c>
      <c r="G13" s="473" t="s">
        <v>3097</v>
      </c>
      <c r="H13" s="474"/>
      <c r="I13" s="474"/>
      <c r="J13" s="474"/>
      <c r="K13" s="474"/>
    </row>
    <row r="14" spans="2:11" ht="14.45">
      <c r="B14" s="9" t="s">
        <v>3098</v>
      </c>
      <c r="C14" s="10" t="s">
        <v>3099</v>
      </c>
      <c r="D14" s="10" t="s">
        <v>3099</v>
      </c>
      <c r="E14" s="10" t="s">
        <v>3100</v>
      </c>
      <c r="F14" s="11" t="s">
        <v>3099</v>
      </c>
      <c r="G14" s="473"/>
      <c r="H14" s="474"/>
      <c r="I14" s="474"/>
      <c r="J14" s="474"/>
      <c r="K14" s="474"/>
    </row>
    <row r="15" spans="2:11" ht="14.45">
      <c r="B15" s="9" t="s">
        <v>3101</v>
      </c>
      <c r="C15" s="10" t="s">
        <v>3102</v>
      </c>
      <c r="D15" s="10"/>
      <c r="E15" s="10"/>
      <c r="F15" s="11" t="s">
        <v>3102</v>
      </c>
      <c r="G15" s="473"/>
      <c r="H15" s="474"/>
      <c r="I15" s="474"/>
      <c r="J15" s="474"/>
      <c r="K15" s="474"/>
    </row>
    <row r="16" spans="2:11" ht="40.5">
      <c r="B16" s="9" t="s">
        <v>3103</v>
      </c>
      <c r="C16" s="475" t="s">
        <v>3104</v>
      </c>
      <c r="D16" s="476"/>
      <c r="E16" s="10" t="s">
        <v>3105</v>
      </c>
      <c r="F16" s="21" t="s">
        <v>3106</v>
      </c>
    </row>
    <row r="17" spans="2:2" ht="14.45">
      <c r="B17" s="6" t="s">
        <v>3107</v>
      </c>
    </row>
  </sheetData>
  <mergeCells count="4">
    <mergeCell ref="B3:B4"/>
    <mergeCell ref="C3:F3"/>
    <mergeCell ref="G13:K15"/>
    <mergeCell ref="C16:D16"/>
  </mergeCells>
  <phoneticPr fontId="50" type="noConversion"/>
  <pageMargins left="0.7" right="0.7" top="0.78740157499999996" bottom="0.78740157499999996" header="0.3" footer="0.3"/>
  <pageSetup paperSize="9" scale="54"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
  <sheetViews>
    <sheetView zoomScale="120" zoomScaleNormal="120" workbookViewId="0">
      <selection activeCell="G7" sqref="G7"/>
    </sheetView>
  </sheetViews>
  <sheetFormatPr defaultColWidth="9" defaultRowHeight="14.45"/>
  <cols>
    <col min="1" max="1" width="13.42578125" style="2" bestFit="1" customWidth="1"/>
    <col min="2" max="2" width="12" style="2" bestFit="1" customWidth="1"/>
    <col min="3" max="3" width="11" style="2" bestFit="1" customWidth="1"/>
    <col min="4" max="4" width="8.42578125" style="2" bestFit="1" customWidth="1"/>
    <col min="5" max="5" width="11.42578125" style="2" bestFit="1" customWidth="1"/>
    <col min="6" max="6" width="8.42578125" style="2" bestFit="1" customWidth="1"/>
    <col min="7" max="7" width="10.28515625" style="2" bestFit="1" customWidth="1"/>
    <col min="8" max="8" width="22" style="2" bestFit="1" customWidth="1"/>
    <col min="9" max="9" width="14.42578125" style="2" bestFit="1" customWidth="1"/>
    <col min="10" max="16384" width="9" style="2"/>
  </cols>
  <sheetData>
    <row r="1" spans="1:9">
      <c r="C1" s="477" t="s">
        <v>3108</v>
      </c>
      <c r="D1" s="478"/>
      <c r="E1" s="478"/>
      <c r="F1" s="478"/>
      <c r="G1" s="479"/>
    </row>
    <row r="2" spans="1:9" s="12" customFormat="1" ht="29.1">
      <c r="A2" s="17" t="s">
        <v>3109</v>
      </c>
      <c r="B2" s="17" t="s">
        <v>3110</v>
      </c>
      <c r="C2" s="17" t="s">
        <v>4</v>
      </c>
      <c r="D2" s="17" t="s">
        <v>123</v>
      </c>
      <c r="E2" s="17" t="s">
        <v>8</v>
      </c>
      <c r="F2" s="17" t="s">
        <v>3111</v>
      </c>
      <c r="G2" s="17" t="s">
        <v>3112</v>
      </c>
      <c r="H2" s="17" t="s">
        <v>3113</v>
      </c>
      <c r="I2" s="17" t="s">
        <v>84</v>
      </c>
    </row>
    <row r="3" spans="1:9">
      <c r="A3" s="1" t="s">
        <v>3114</v>
      </c>
      <c r="B3" s="2" t="s">
        <v>3115</v>
      </c>
      <c r="C3" s="2" t="s">
        <v>3116</v>
      </c>
      <c r="F3" s="2" t="s">
        <v>3116</v>
      </c>
      <c r="H3" s="2" t="s">
        <v>3117</v>
      </c>
      <c r="I3" s="2" t="s">
        <v>3118</v>
      </c>
    </row>
    <row r="4" spans="1:9">
      <c r="A4" s="1" t="s">
        <v>9</v>
      </c>
      <c r="B4" s="2" t="s">
        <v>3115</v>
      </c>
      <c r="C4" s="2" t="s">
        <v>3116</v>
      </c>
      <c r="E4" s="2" t="s">
        <v>3116</v>
      </c>
      <c r="F4" s="2" t="s">
        <v>3116</v>
      </c>
    </row>
    <row r="5" spans="1:9">
      <c r="A5" s="1" t="s">
        <v>3060</v>
      </c>
      <c r="B5" s="2" t="s">
        <v>3119</v>
      </c>
      <c r="C5" s="2" t="s">
        <v>3116</v>
      </c>
      <c r="D5" s="2" t="s">
        <v>3116</v>
      </c>
      <c r="E5" s="2" t="s">
        <v>3116</v>
      </c>
      <c r="F5" s="2" t="s">
        <v>3116</v>
      </c>
      <c r="G5" s="2" t="s">
        <v>3116</v>
      </c>
      <c r="H5" s="2">
        <v>125</v>
      </c>
    </row>
    <row r="6" spans="1:9">
      <c r="A6" s="1" t="s">
        <v>3059</v>
      </c>
      <c r="B6" s="2" t="s">
        <v>3119</v>
      </c>
      <c r="D6" s="2" t="s">
        <v>3116</v>
      </c>
      <c r="E6" s="2" t="s">
        <v>3116</v>
      </c>
      <c r="F6" s="2" t="s">
        <v>3116</v>
      </c>
      <c r="G6" s="2" t="s">
        <v>3116</v>
      </c>
    </row>
  </sheetData>
  <mergeCells count="1">
    <mergeCell ref="C1:G1"/>
  </mergeCells>
  <phoneticPr fontId="5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31"/>
  <sheetViews>
    <sheetView workbookViewId="0">
      <pane xSplit="2" ySplit="1" topLeftCell="O140" activePane="bottomRight" state="frozen"/>
      <selection pane="bottomRight" activeCell="C1" sqref="C1"/>
      <selection pane="bottomLeft" activeCell="A2" sqref="A2"/>
      <selection pane="topRight" activeCell="C1" sqref="C1"/>
    </sheetView>
  </sheetViews>
  <sheetFormatPr defaultColWidth="9" defaultRowHeight="14.45"/>
  <cols>
    <col min="1" max="1" width="12.85546875" customWidth="1"/>
    <col min="2" max="2" width="24.42578125" bestFit="1" customWidth="1"/>
    <col min="3" max="4" width="14" customWidth="1"/>
    <col min="5" max="7" width="13" customWidth="1"/>
    <col min="8" max="8" width="16" customWidth="1"/>
    <col min="9" max="9" width="13.42578125" style="2" customWidth="1"/>
    <col min="14" max="14" width="14.42578125" bestFit="1" customWidth="1"/>
    <col min="15" max="15" width="25" customWidth="1"/>
  </cols>
  <sheetData>
    <row r="1" spans="1:16" s="12" customFormat="1" ht="29.1">
      <c r="A1" s="12" t="s">
        <v>3120</v>
      </c>
      <c r="B1" s="12" t="s">
        <v>3121</v>
      </c>
      <c r="C1" s="12" t="s">
        <v>3122</v>
      </c>
      <c r="D1" s="12" t="s">
        <v>3123</v>
      </c>
      <c r="E1" s="12" t="s">
        <v>3124</v>
      </c>
      <c r="F1" s="12" t="s">
        <v>3125</v>
      </c>
      <c r="G1" s="12" t="s">
        <v>3126</v>
      </c>
      <c r="H1" s="12" t="s">
        <v>3127</v>
      </c>
      <c r="I1" s="12" t="s">
        <v>3128</v>
      </c>
      <c r="N1" s="480" t="s">
        <v>3129</v>
      </c>
      <c r="O1" s="480"/>
      <c r="P1" s="480"/>
    </row>
    <row r="2" spans="1:16">
      <c r="A2" s="13" t="s">
        <v>3130</v>
      </c>
      <c r="B2" s="13" t="s">
        <v>3131</v>
      </c>
      <c r="C2" s="13"/>
      <c r="D2" s="13">
        <v>2018</v>
      </c>
      <c r="I2" s="2" t="s">
        <v>3132</v>
      </c>
      <c r="N2" s="68" t="s">
        <v>3133</v>
      </c>
      <c r="O2" s="70" t="s">
        <v>3134</v>
      </c>
    </row>
    <row r="3" spans="1:16">
      <c r="A3" s="13" t="s">
        <v>430</v>
      </c>
      <c r="B3" s="13" t="s">
        <v>3135</v>
      </c>
      <c r="C3" s="13"/>
      <c r="D3" s="13">
        <v>2017</v>
      </c>
      <c r="I3" s="2" t="s">
        <v>3136</v>
      </c>
      <c r="N3" s="69"/>
      <c r="O3" s="70" t="s">
        <v>3131</v>
      </c>
    </row>
    <row r="4" spans="1:16">
      <c r="A4" s="13" t="s">
        <v>430</v>
      </c>
      <c r="B4" s="20" t="s">
        <v>3137</v>
      </c>
      <c r="D4" s="13">
        <v>2017</v>
      </c>
      <c r="I4" s="2" t="s">
        <v>3138</v>
      </c>
      <c r="O4" s="70" t="s">
        <v>3139</v>
      </c>
    </row>
    <row r="5" spans="1:16">
      <c r="A5" s="13" t="s">
        <v>430</v>
      </c>
      <c r="B5" s="20" t="s">
        <v>3140</v>
      </c>
      <c r="D5" s="13">
        <v>2017</v>
      </c>
      <c r="I5" s="2" t="s">
        <v>3138</v>
      </c>
      <c r="N5" s="68" t="s">
        <v>430</v>
      </c>
      <c r="O5" s="70" t="s">
        <v>3135</v>
      </c>
    </row>
    <row r="6" spans="1:16">
      <c r="A6" s="13" t="s">
        <v>430</v>
      </c>
      <c r="B6" s="18" t="s">
        <v>3141</v>
      </c>
      <c r="C6" s="18"/>
      <c r="D6" s="13">
        <v>2018</v>
      </c>
      <c r="I6" s="2" t="s">
        <v>3132</v>
      </c>
      <c r="N6" s="69"/>
      <c r="O6" s="70" t="s">
        <v>3142</v>
      </c>
    </row>
    <row r="7" spans="1:16">
      <c r="A7" s="13" t="s">
        <v>430</v>
      </c>
      <c r="B7" s="20" t="s">
        <v>3143</v>
      </c>
      <c r="D7" s="13">
        <v>2017</v>
      </c>
      <c r="I7" s="2" t="s">
        <v>3138</v>
      </c>
      <c r="O7" s="70" t="s">
        <v>2711</v>
      </c>
    </row>
    <row r="8" spans="1:16">
      <c r="A8" s="13" t="s">
        <v>430</v>
      </c>
      <c r="B8" s="13" t="s">
        <v>3144</v>
      </c>
      <c r="C8" s="13"/>
      <c r="D8" s="13">
        <v>2018</v>
      </c>
      <c r="I8" s="2" t="s">
        <v>3132</v>
      </c>
      <c r="O8" s="70" t="s">
        <v>3145</v>
      </c>
    </row>
    <row r="9" spans="1:16">
      <c r="A9" s="13" t="s">
        <v>430</v>
      </c>
      <c r="B9" s="20" t="s">
        <v>3146</v>
      </c>
      <c r="D9" s="13">
        <v>2017</v>
      </c>
      <c r="I9" s="2" t="s">
        <v>3138</v>
      </c>
      <c r="O9" s="70" t="s">
        <v>3147</v>
      </c>
    </row>
    <row r="10" spans="1:16">
      <c r="A10" s="13" t="s">
        <v>430</v>
      </c>
      <c r="B10" s="20" t="s">
        <v>3148</v>
      </c>
      <c r="D10" s="13">
        <v>2017</v>
      </c>
      <c r="I10" s="2" t="s">
        <v>3136</v>
      </c>
      <c r="O10" s="70" t="s">
        <v>3149</v>
      </c>
    </row>
    <row r="11" spans="1:16">
      <c r="A11" s="13" t="s">
        <v>430</v>
      </c>
      <c r="B11" s="20" t="s">
        <v>3150</v>
      </c>
      <c r="D11" s="13">
        <v>2017</v>
      </c>
      <c r="I11" s="2" t="s">
        <v>3138</v>
      </c>
      <c r="O11" s="70" t="s">
        <v>2000</v>
      </c>
    </row>
    <row r="12" spans="1:16">
      <c r="A12" s="13" t="s">
        <v>430</v>
      </c>
      <c r="B12" s="20" t="s">
        <v>3151</v>
      </c>
      <c r="D12" s="13">
        <v>2017</v>
      </c>
      <c r="I12" s="2" t="s">
        <v>3138</v>
      </c>
      <c r="O12" s="70" t="s">
        <v>3152</v>
      </c>
    </row>
    <row r="13" spans="1:16">
      <c r="A13" s="20" t="s">
        <v>3153</v>
      </c>
      <c r="B13" s="20" t="s">
        <v>3154</v>
      </c>
      <c r="D13" s="13">
        <v>2017</v>
      </c>
      <c r="I13" s="2" t="s">
        <v>3138</v>
      </c>
      <c r="N13" s="68" t="s">
        <v>3153</v>
      </c>
      <c r="O13" s="70" t="s">
        <v>3154</v>
      </c>
    </row>
    <row r="14" spans="1:16">
      <c r="A14" s="20" t="s">
        <v>3153</v>
      </c>
      <c r="B14" s="20" t="s">
        <v>3155</v>
      </c>
      <c r="D14" s="13">
        <v>2017</v>
      </c>
      <c r="I14" s="2" t="s">
        <v>3138</v>
      </c>
      <c r="N14" s="69"/>
      <c r="O14" s="70" t="s">
        <v>3155</v>
      </c>
    </row>
    <row r="15" spans="1:16">
      <c r="A15" s="19" t="s">
        <v>3156</v>
      </c>
      <c r="B15" s="19">
        <v>1</v>
      </c>
      <c r="D15" s="13">
        <v>2017</v>
      </c>
      <c r="I15" s="2" t="s">
        <v>3136</v>
      </c>
      <c r="O15" s="70" t="s">
        <v>3157</v>
      </c>
    </row>
    <row r="16" spans="1:16">
      <c r="A16" s="19" t="s">
        <v>3156</v>
      </c>
      <c r="B16" s="19">
        <v>2</v>
      </c>
      <c r="D16" s="13">
        <v>2017</v>
      </c>
      <c r="I16" s="2" t="s">
        <v>3136</v>
      </c>
      <c r="N16" s="68" t="s">
        <v>151</v>
      </c>
      <c r="O16" s="70" t="s">
        <v>3158</v>
      </c>
    </row>
    <row r="17" spans="1:15">
      <c r="A17" s="19" t="s">
        <v>3156</v>
      </c>
      <c r="B17" s="19">
        <v>3</v>
      </c>
      <c r="D17" s="13">
        <v>2017</v>
      </c>
      <c r="I17" s="2" t="s">
        <v>3136</v>
      </c>
      <c r="N17" s="69"/>
      <c r="O17" s="70" t="s">
        <v>3159</v>
      </c>
    </row>
    <row r="18" spans="1:15">
      <c r="A18" s="19" t="s">
        <v>3156</v>
      </c>
      <c r="B18" s="19">
        <v>4</v>
      </c>
      <c r="D18" s="13">
        <v>2017</v>
      </c>
      <c r="I18" s="2" t="s">
        <v>3136</v>
      </c>
      <c r="O18" s="70" t="s">
        <v>3160</v>
      </c>
    </row>
    <row r="19" spans="1:15">
      <c r="A19" s="19" t="s">
        <v>3156</v>
      </c>
      <c r="B19" s="19">
        <v>5</v>
      </c>
      <c r="D19" s="13">
        <v>2017</v>
      </c>
      <c r="I19" s="2" t="s">
        <v>3136</v>
      </c>
      <c r="O19" s="70" t="s">
        <v>3161</v>
      </c>
    </row>
    <row r="20" spans="1:15">
      <c r="A20" s="13" t="s">
        <v>151</v>
      </c>
      <c r="B20" s="13">
        <v>6</v>
      </c>
      <c r="C20" s="13"/>
      <c r="D20" s="13">
        <v>2018</v>
      </c>
      <c r="I20" s="2" t="s">
        <v>3132</v>
      </c>
      <c r="O20" s="70" t="s">
        <v>3162</v>
      </c>
    </row>
    <row r="21" spans="1:15">
      <c r="A21" s="19" t="s">
        <v>3156</v>
      </c>
      <c r="B21" s="19">
        <v>7</v>
      </c>
      <c r="D21" s="13">
        <v>2017</v>
      </c>
      <c r="I21" s="2" t="s">
        <v>3136</v>
      </c>
      <c r="O21" s="70" t="s">
        <v>3163</v>
      </c>
    </row>
    <row r="22" spans="1:15">
      <c r="A22" s="13" t="s">
        <v>151</v>
      </c>
      <c r="B22" s="13" t="s">
        <v>3164</v>
      </c>
      <c r="C22" s="13"/>
      <c r="D22" s="13">
        <v>2018</v>
      </c>
      <c r="I22" s="2" t="s">
        <v>3132</v>
      </c>
      <c r="O22" s="70" t="s">
        <v>3164</v>
      </c>
    </row>
    <row r="23" spans="1:15">
      <c r="A23" s="19" t="s">
        <v>3156</v>
      </c>
      <c r="B23" s="19" t="s">
        <v>3165</v>
      </c>
      <c r="D23" s="13">
        <v>2017</v>
      </c>
      <c r="I23" s="2" t="s">
        <v>3136</v>
      </c>
      <c r="O23" s="70" t="s">
        <v>3166</v>
      </c>
    </row>
    <row r="24" spans="1:15">
      <c r="A24" s="13" t="s">
        <v>151</v>
      </c>
      <c r="B24" s="13" t="s">
        <v>3167</v>
      </c>
      <c r="C24" s="13"/>
      <c r="D24" s="13">
        <v>2018</v>
      </c>
      <c r="I24" s="2" t="s">
        <v>3132</v>
      </c>
      <c r="O24" s="70" t="s">
        <v>3168</v>
      </c>
    </row>
    <row r="25" spans="1:15">
      <c r="A25" s="20" t="s">
        <v>3169</v>
      </c>
      <c r="B25" s="20" t="s">
        <v>3170</v>
      </c>
      <c r="D25" s="13">
        <v>2017</v>
      </c>
      <c r="I25" s="2" t="s">
        <v>3138</v>
      </c>
      <c r="O25" s="70" t="s">
        <v>1168</v>
      </c>
    </row>
    <row r="26" spans="1:15">
      <c r="A26" s="13" t="s">
        <v>151</v>
      </c>
      <c r="B26" s="13" t="s">
        <v>3171</v>
      </c>
      <c r="C26" s="13"/>
      <c r="D26" s="13">
        <v>2018</v>
      </c>
      <c r="I26" s="2" t="s">
        <v>3132</v>
      </c>
      <c r="O26" s="70" t="s">
        <v>3172</v>
      </c>
    </row>
    <row r="27" spans="1:15">
      <c r="A27" s="13" t="s">
        <v>151</v>
      </c>
      <c r="B27" s="13" t="s">
        <v>3173</v>
      </c>
      <c r="C27" s="13"/>
      <c r="D27" s="13">
        <v>2018</v>
      </c>
      <c r="I27" s="2" t="s">
        <v>3132</v>
      </c>
      <c r="O27" s="70" t="s">
        <v>3174</v>
      </c>
    </row>
    <row r="28" spans="1:15">
      <c r="A28" s="13" t="s">
        <v>151</v>
      </c>
      <c r="B28" s="13" t="s">
        <v>3175</v>
      </c>
      <c r="C28" s="13"/>
      <c r="D28" s="13">
        <v>2018</v>
      </c>
      <c r="I28" s="2" t="s">
        <v>3132</v>
      </c>
      <c r="O28" s="70" t="s">
        <v>3176</v>
      </c>
    </row>
    <row r="29" spans="1:15">
      <c r="A29" s="19" t="s">
        <v>3156</v>
      </c>
      <c r="B29" s="19" t="s">
        <v>3177</v>
      </c>
      <c r="D29" s="13">
        <v>2017</v>
      </c>
      <c r="I29" s="2" t="s">
        <v>3136</v>
      </c>
      <c r="O29" s="70" t="s">
        <v>3178</v>
      </c>
    </row>
    <row r="30" spans="1:15">
      <c r="A30" s="13" t="s">
        <v>151</v>
      </c>
      <c r="B30" s="13" t="s">
        <v>3168</v>
      </c>
      <c r="C30" s="13"/>
      <c r="D30" s="13">
        <v>2018</v>
      </c>
      <c r="I30" s="2" t="s">
        <v>3132</v>
      </c>
      <c r="O30" s="70" t="s">
        <v>3179</v>
      </c>
    </row>
    <row r="31" spans="1:15">
      <c r="A31" s="13" t="s">
        <v>151</v>
      </c>
      <c r="B31" s="13" t="s">
        <v>1168</v>
      </c>
      <c r="C31" s="13"/>
      <c r="D31" s="13">
        <v>2018</v>
      </c>
      <c r="I31" s="2" t="s">
        <v>3132</v>
      </c>
      <c r="N31" s="68" t="s">
        <v>269</v>
      </c>
      <c r="O31" s="70" t="s">
        <v>3180</v>
      </c>
    </row>
    <row r="32" spans="1:15">
      <c r="A32" s="19" t="s">
        <v>3156</v>
      </c>
      <c r="B32" s="19" t="s">
        <v>3181</v>
      </c>
      <c r="D32" s="13">
        <v>2017</v>
      </c>
      <c r="I32" s="2" t="s">
        <v>3136</v>
      </c>
      <c r="N32" s="69"/>
      <c r="O32" s="70" t="s">
        <v>1072</v>
      </c>
    </row>
    <row r="33" spans="1:15">
      <c r="A33" s="13" t="s">
        <v>151</v>
      </c>
      <c r="B33" s="13" t="s">
        <v>3174</v>
      </c>
      <c r="C33" s="13"/>
      <c r="D33" s="13">
        <v>2018</v>
      </c>
      <c r="I33" s="2" t="s">
        <v>3132</v>
      </c>
      <c r="O33" s="70" t="s">
        <v>3182</v>
      </c>
    </row>
    <row r="34" spans="1:15">
      <c r="A34" s="19" t="s">
        <v>3156</v>
      </c>
      <c r="B34" s="19" t="s">
        <v>3183</v>
      </c>
      <c r="D34" s="13">
        <v>2017</v>
      </c>
      <c r="I34" s="2" t="s">
        <v>3136</v>
      </c>
      <c r="N34" s="68" t="s">
        <v>280</v>
      </c>
      <c r="O34" s="70" t="s">
        <v>3011</v>
      </c>
    </row>
    <row r="35" spans="1:15">
      <c r="A35" s="13" t="s">
        <v>269</v>
      </c>
      <c r="B35" s="13" t="s">
        <v>1072</v>
      </c>
      <c r="C35" s="13"/>
      <c r="D35" s="13">
        <v>2018</v>
      </c>
      <c r="I35" s="2" t="s">
        <v>3132</v>
      </c>
      <c r="N35" s="69"/>
      <c r="O35" s="70" t="s">
        <v>3184</v>
      </c>
    </row>
    <row r="36" spans="1:15">
      <c r="A36" s="13" t="s">
        <v>269</v>
      </c>
      <c r="B36" s="13" t="s">
        <v>3185</v>
      </c>
      <c r="C36" s="13"/>
      <c r="D36" s="13">
        <v>2018</v>
      </c>
      <c r="I36" s="2" t="s">
        <v>3132</v>
      </c>
      <c r="O36" s="70" t="s">
        <v>3186</v>
      </c>
    </row>
    <row r="37" spans="1:15">
      <c r="A37" s="13" t="s">
        <v>280</v>
      </c>
      <c r="B37" s="13" t="s">
        <v>3187</v>
      </c>
      <c r="C37" s="13"/>
      <c r="D37" s="13">
        <v>2018</v>
      </c>
      <c r="I37" s="2" t="s">
        <v>3132</v>
      </c>
      <c r="O37" s="70" t="s">
        <v>3188</v>
      </c>
    </row>
    <row r="38" spans="1:15">
      <c r="A38" s="13" t="s">
        <v>280</v>
      </c>
      <c r="B38" s="13" t="s">
        <v>3189</v>
      </c>
      <c r="C38" s="13"/>
      <c r="D38" s="13">
        <v>2018</v>
      </c>
      <c r="I38" s="2" t="s">
        <v>3132</v>
      </c>
      <c r="O38" s="70" t="s">
        <v>3190</v>
      </c>
    </row>
    <row r="39" spans="1:15">
      <c r="A39" s="13" t="s">
        <v>280</v>
      </c>
      <c r="B39" s="13" t="s">
        <v>3186</v>
      </c>
      <c r="C39" s="13"/>
      <c r="D39" s="13">
        <v>2018</v>
      </c>
      <c r="I39" s="2" t="s">
        <v>3132</v>
      </c>
      <c r="O39" s="70" t="s">
        <v>3191</v>
      </c>
    </row>
    <row r="40" spans="1:15">
      <c r="A40" s="13" t="s">
        <v>280</v>
      </c>
      <c r="B40" s="13" t="s">
        <v>3192</v>
      </c>
      <c r="C40" s="13"/>
      <c r="D40" s="13">
        <v>2018</v>
      </c>
      <c r="I40" s="2" t="s">
        <v>3132</v>
      </c>
      <c r="O40" s="70" t="s">
        <v>3193</v>
      </c>
    </row>
    <row r="41" spans="1:15">
      <c r="A41" s="13" t="s">
        <v>280</v>
      </c>
      <c r="B41" s="13" t="s">
        <v>3188</v>
      </c>
      <c r="C41" s="13"/>
      <c r="D41" s="13">
        <v>2018</v>
      </c>
      <c r="I41" s="2" t="s">
        <v>3132</v>
      </c>
      <c r="N41" s="68" t="s">
        <v>287</v>
      </c>
      <c r="O41" s="70" t="s">
        <v>3194</v>
      </c>
    </row>
    <row r="42" spans="1:15">
      <c r="A42" s="13" t="s">
        <v>280</v>
      </c>
      <c r="B42" s="13" t="s">
        <v>3191</v>
      </c>
      <c r="C42" s="13"/>
      <c r="D42" s="13">
        <v>2018</v>
      </c>
      <c r="I42" s="2" t="s">
        <v>3132</v>
      </c>
      <c r="N42" s="69"/>
      <c r="O42" s="70" t="s">
        <v>3195</v>
      </c>
    </row>
    <row r="43" spans="1:15">
      <c r="A43" s="13" t="s">
        <v>280</v>
      </c>
      <c r="B43" s="13" t="s">
        <v>3196</v>
      </c>
      <c r="C43" s="13"/>
      <c r="D43" s="13">
        <v>2018</v>
      </c>
      <c r="I43" s="2" t="s">
        <v>3132</v>
      </c>
      <c r="O43" s="70" t="s">
        <v>471</v>
      </c>
    </row>
    <row r="44" spans="1:15">
      <c r="A44" s="13" t="s">
        <v>287</v>
      </c>
      <c r="B44" s="13" t="s">
        <v>3194</v>
      </c>
      <c r="C44" s="13"/>
      <c r="D44" s="13">
        <v>2018</v>
      </c>
      <c r="I44" s="2" t="s">
        <v>3132</v>
      </c>
      <c r="O44" s="70" t="s">
        <v>3197</v>
      </c>
    </row>
    <row r="45" spans="1:15">
      <c r="A45" s="13" t="s">
        <v>287</v>
      </c>
      <c r="B45" s="13" t="s">
        <v>3195</v>
      </c>
      <c r="C45" s="13"/>
      <c r="D45" s="13">
        <v>2018</v>
      </c>
      <c r="I45" s="2" t="s">
        <v>3132</v>
      </c>
      <c r="O45" s="70" t="s">
        <v>3198</v>
      </c>
    </row>
    <row r="46" spans="1:15">
      <c r="A46" s="13" t="s">
        <v>287</v>
      </c>
      <c r="B46" s="13" t="s">
        <v>3198</v>
      </c>
      <c r="C46" s="13"/>
      <c r="D46" s="13">
        <v>2018</v>
      </c>
      <c r="I46" s="2" t="s">
        <v>3132</v>
      </c>
      <c r="O46" s="70" t="s">
        <v>3199</v>
      </c>
    </row>
    <row r="47" spans="1:15">
      <c r="A47" s="13" t="s">
        <v>287</v>
      </c>
      <c r="B47" s="13" t="s">
        <v>3199</v>
      </c>
      <c r="C47" s="13"/>
      <c r="D47" s="13">
        <v>2018</v>
      </c>
      <c r="I47" s="2" t="s">
        <v>3132</v>
      </c>
      <c r="N47" s="68" t="s">
        <v>1084</v>
      </c>
      <c r="O47" s="70" t="s">
        <v>3200</v>
      </c>
    </row>
    <row r="48" spans="1:15">
      <c r="A48" s="19" t="s">
        <v>3201</v>
      </c>
      <c r="B48" s="19" t="s">
        <v>3202</v>
      </c>
      <c r="D48" s="13">
        <v>2017</v>
      </c>
      <c r="I48" s="2" t="s">
        <v>3136</v>
      </c>
      <c r="N48" s="68" t="s">
        <v>3203</v>
      </c>
      <c r="O48" s="70" t="s">
        <v>3204</v>
      </c>
    </row>
    <row r="49" spans="1:15">
      <c r="A49" s="13" t="s">
        <v>3203</v>
      </c>
      <c r="B49" s="13" t="s">
        <v>3205</v>
      </c>
      <c r="C49" s="13"/>
      <c r="D49" s="13">
        <v>2018</v>
      </c>
      <c r="I49" s="2" t="s">
        <v>3132</v>
      </c>
      <c r="N49" s="69"/>
      <c r="O49" s="70" t="s">
        <v>3205</v>
      </c>
    </row>
    <row r="50" spans="1:15">
      <c r="A50" s="13" t="s">
        <v>3203</v>
      </c>
      <c r="B50" s="13" t="s">
        <v>3206</v>
      </c>
      <c r="C50" s="13"/>
      <c r="D50" s="13">
        <v>2018</v>
      </c>
      <c r="I50" s="2" t="s">
        <v>3132</v>
      </c>
      <c r="O50" s="70" t="s">
        <v>3207</v>
      </c>
    </row>
    <row r="51" spans="1:15">
      <c r="A51" s="13" t="s">
        <v>3203</v>
      </c>
      <c r="B51" s="13" t="s">
        <v>3207</v>
      </c>
      <c r="C51" s="13"/>
      <c r="D51" s="13">
        <v>2018</v>
      </c>
      <c r="I51" s="2" t="s">
        <v>3132</v>
      </c>
      <c r="N51" s="68" t="s">
        <v>1946</v>
      </c>
      <c r="O51" s="70" t="s">
        <v>3208</v>
      </c>
    </row>
    <row r="52" spans="1:15">
      <c r="A52" s="13" t="s">
        <v>1946</v>
      </c>
      <c r="B52" s="13" t="s">
        <v>3209</v>
      </c>
      <c r="C52" s="13"/>
      <c r="D52" s="13">
        <v>2018</v>
      </c>
      <c r="I52" s="2" t="s">
        <v>3132</v>
      </c>
      <c r="N52" s="69"/>
      <c r="O52" s="70" t="s">
        <v>3210</v>
      </c>
    </row>
    <row r="53" spans="1:15">
      <c r="A53" s="13" t="s">
        <v>846</v>
      </c>
      <c r="B53" s="13" t="s">
        <v>3211</v>
      </c>
      <c r="C53" s="13"/>
      <c r="D53" s="13">
        <v>2018</v>
      </c>
      <c r="I53" s="2" t="s">
        <v>3132</v>
      </c>
      <c r="O53" s="70" t="s">
        <v>3212</v>
      </c>
    </row>
    <row r="54" spans="1:15">
      <c r="A54" s="19" t="s">
        <v>3213</v>
      </c>
      <c r="B54" s="19" t="s">
        <v>3214</v>
      </c>
      <c r="D54" s="13">
        <v>2017</v>
      </c>
      <c r="I54" s="2" t="s">
        <v>3136</v>
      </c>
      <c r="O54" s="70" t="s">
        <v>3215</v>
      </c>
    </row>
    <row r="55" spans="1:15">
      <c r="A55" s="19" t="s">
        <v>3213</v>
      </c>
      <c r="B55" s="19" t="s">
        <v>3216</v>
      </c>
      <c r="D55" s="13">
        <v>2017</v>
      </c>
      <c r="I55" s="2" t="s">
        <v>3136</v>
      </c>
      <c r="N55" s="68" t="s">
        <v>846</v>
      </c>
      <c r="O55" s="70" t="s">
        <v>3211</v>
      </c>
    </row>
    <row r="56" spans="1:15">
      <c r="A56" s="13" t="s">
        <v>3217</v>
      </c>
      <c r="B56" s="13" t="s">
        <v>3218</v>
      </c>
      <c r="C56" s="13"/>
      <c r="D56" s="13">
        <v>2018</v>
      </c>
      <c r="I56" s="2" t="s">
        <v>3132</v>
      </c>
      <c r="N56" s="69"/>
      <c r="O56" s="70" t="s">
        <v>3219</v>
      </c>
    </row>
    <row r="57" spans="1:15">
      <c r="A57" s="20" t="s">
        <v>3220</v>
      </c>
      <c r="B57" s="20" t="s">
        <v>3221</v>
      </c>
      <c r="D57" s="13">
        <v>2017</v>
      </c>
      <c r="I57" s="2" t="s">
        <v>3138</v>
      </c>
      <c r="N57" s="68" t="s">
        <v>1323</v>
      </c>
      <c r="O57" s="70" t="s">
        <v>3222</v>
      </c>
    </row>
    <row r="58" spans="1:15">
      <c r="A58" s="20" t="s">
        <v>3220</v>
      </c>
      <c r="B58" s="20" t="s">
        <v>3223</v>
      </c>
      <c r="D58" s="13">
        <v>2017</v>
      </c>
      <c r="I58" s="2" t="s">
        <v>3138</v>
      </c>
      <c r="N58" s="69"/>
      <c r="O58" s="70" t="s">
        <v>3224</v>
      </c>
    </row>
    <row r="59" spans="1:15">
      <c r="A59" s="20" t="s">
        <v>3220</v>
      </c>
      <c r="B59" s="20" t="s">
        <v>3225</v>
      </c>
      <c r="D59" s="13">
        <v>2017</v>
      </c>
      <c r="I59" s="2" t="s">
        <v>3138</v>
      </c>
      <c r="O59" s="70" t="s">
        <v>1626</v>
      </c>
    </row>
    <row r="60" spans="1:15">
      <c r="A60" s="20" t="s">
        <v>3220</v>
      </c>
      <c r="B60" s="20" t="s">
        <v>3226</v>
      </c>
      <c r="D60" s="13">
        <v>2017</v>
      </c>
      <c r="I60" s="2" t="s">
        <v>3138</v>
      </c>
      <c r="O60" s="70" t="s">
        <v>1632</v>
      </c>
    </row>
    <row r="61" spans="1:15">
      <c r="A61" s="13" t="s">
        <v>1696</v>
      </c>
      <c r="B61" s="13" t="s">
        <v>3227</v>
      </c>
      <c r="C61" s="13"/>
      <c r="D61" s="13">
        <v>2018</v>
      </c>
      <c r="I61" s="2" t="s">
        <v>3132</v>
      </c>
      <c r="O61" s="70" t="s">
        <v>3228</v>
      </c>
    </row>
    <row r="62" spans="1:15">
      <c r="A62" s="19" t="s">
        <v>3229</v>
      </c>
      <c r="B62" s="19" t="s">
        <v>3230</v>
      </c>
      <c r="D62" s="13">
        <v>2017</v>
      </c>
      <c r="I62" s="2" t="s">
        <v>3136</v>
      </c>
      <c r="N62" s="68" t="s">
        <v>3231</v>
      </c>
      <c r="O62" s="70" t="s">
        <v>3218</v>
      </c>
    </row>
    <row r="63" spans="1:15">
      <c r="A63" s="20" t="s">
        <v>3232</v>
      </c>
      <c r="B63" s="20" t="s">
        <v>3233</v>
      </c>
      <c r="D63" s="13">
        <v>2017</v>
      </c>
      <c r="I63" s="2" t="s">
        <v>3138</v>
      </c>
      <c r="N63" s="68" t="s">
        <v>3220</v>
      </c>
      <c r="O63" s="70" t="s">
        <v>3221</v>
      </c>
    </row>
    <row r="64" spans="1:15">
      <c r="A64" s="20" t="s">
        <v>2195</v>
      </c>
      <c r="B64" s="20" t="s">
        <v>3234</v>
      </c>
      <c r="D64" s="13">
        <v>2017</v>
      </c>
      <c r="I64" s="2" t="s">
        <v>3138</v>
      </c>
      <c r="N64" s="69"/>
      <c r="O64" s="70" t="s">
        <v>3223</v>
      </c>
    </row>
    <row r="65" spans="1:15">
      <c r="A65" s="20" t="s">
        <v>2195</v>
      </c>
      <c r="B65" s="20" t="s">
        <v>3235</v>
      </c>
      <c r="D65" s="13">
        <v>2017</v>
      </c>
      <c r="I65" s="2" t="s">
        <v>3138</v>
      </c>
      <c r="O65" s="70" t="s">
        <v>3236</v>
      </c>
    </row>
    <row r="66" spans="1:15">
      <c r="A66" s="20" t="s">
        <v>2195</v>
      </c>
      <c r="B66" s="20" t="s">
        <v>3237</v>
      </c>
      <c r="D66" s="13">
        <v>2017</v>
      </c>
      <c r="I66" s="2" t="s">
        <v>3138</v>
      </c>
      <c r="O66" s="70" t="s">
        <v>3225</v>
      </c>
    </row>
    <row r="67" spans="1:15">
      <c r="A67" s="20" t="s">
        <v>2195</v>
      </c>
      <c r="B67" s="20" t="s">
        <v>3238</v>
      </c>
      <c r="D67" s="13">
        <v>2017</v>
      </c>
      <c r="I67" s="2" t="s">
        <v>3138</v>
      </c>
      <c r="O67" s="70" t="s">
        <v>3226</v>
      </c>
    </row>
    <row r="68" spans="1:15">
      <c r="A68" s="19" t="s">
        <v>3239</v>
      </c>
      <c r="B68" s="19" t="s">
        <v>3240</v>
      </c>
      <c r="D68" s="13">
        <v>2017</v>
      </c>
      <c r="I68" s="2" t="s">
        <v>3136</v>
      </c>
      <c r="N68" s="68" t="s">
        <v>1696</v>
      </c>
      <c r="O68" s="70" t="s">
        <v>3241</v>
      </c>
    </row>
    <row r="69" spans="1:15">
      <c r="A69" s="19" t="s">
        <v>3239</v>
      </c>
      <c r="B69" s="19" t="s">
        <v>3242</v>
      </c>
      <c r="D69" s="13">
        <v>2017</v>
      </c>
      <c r="I69" s="2" t="s">
        <v>3136</v>
      </c>
      <c r="N69" s="69"/>
      <c r="O69" s="70" t="s">
        <v>3243</v>
      </c>
    </row>
    <row r="70" spans="1:15">
      <c r="A70" s="13" t="s">
        <v>3244</v>
      </c>
      <c r="B70" s="13" t="s">
        <v>3245</v>
      </c>
      <c r="C70" s="13"/>
      <c r="D70" s="13">
        <v>2018</v>
      </c>
      <c r="I70" s="2" t="s">
        <v>3132</v>
      </c>
      <c r="O70" s="70" t="s">
        <v>3246</v>
      </c>
    </row>
    <row r="71" spans="1:15">
      <c r="A71" s="19" t="s">
        <v>3247</v>
      </c>
      <c r="B71" s="19" t="s">
        <v>3248</v>
      </c>
      <c r="D71" s="13">
        <v>2017</v>
      </c>
      <c r="I71" s="2" t="s">
        <v>3136</v>
      </c>
      <c r="O71" s="70" t="s">
        <v>3249</v>
      </c>
    </row>
    <row r="72" spans="1:15">
      <c r="A72" s="13" t="s">
        <v>3244</v>
      </c>
      <c r="B72" s="13" t="s">
        <v>3250</v>
      </c>
      <c r="C72" s="13"/>
      <c r="D72" s="13">
        <v>2018</v>
      </c>
      <c r="I72" s="2" t="s">
        <v>3132</v>
      </c>
      <c r="N72" s="68" t="s">
        <v>3251</v>
      </c>
      <c r="O72" s="70" t="s">
        <v>3252</v>
      </c>
    </row>
    <row r="73" spans="1:15">
      <c r="A73" s="13" t="s">
        <v>3244</v>
      </c>
      <c r="B73" s="13" t="s">
        <v>3253</v>
      </c>
      <c r="C73" s="13"/>
      <c r="D73" s="13">
        <v>2018</v>
      </c>
      <c r="I73" s="2" t="s">
        <v>3132</v>
      </c>
      <c r="N73" s="68" t="s">
        <v>2195</v>
      </c>
      <c r="O73" s="70" t="s">
        <v>3254</v>
      </c>
    </row>
    <row r="74" spans="1:15">
      <c r="A74" s="19" t="s">
        <v>3247</v>
      </c>
      <c r="B74" s="19" t="s">
        <v>3255</v>
      </c>
      <c r="D74" s="13">
        <v>2017</v>
      </c>
      <c r="I74" s="2" t="s">
        <v>3136</v>
      </c>
      <c r="N74" s="69"/>
      <c r="O74" s="70" t="s">
        <v>3234</v>
      </c>
    </row>
    <row r="75" spans="1:15">
      <c r="A75" s="19" t="s">
        <v>3247</v>
      </c>
      <c r="B75" s="19" t="s">
        <v>3256</v>
      </c>
      <c r="D75" s="13">
        <v>2017</v>
      </c>
      <c r="I75" s="2" t="s">
        <v>3136</v>
      </c>
      <c r="O75" s="70" t="s">
        <v>3257</v>
      </c>
    </row>
    <row r="76" spans="1:15">
      <c r="A76" s="19" t="s">
        <v>3247</v>
      </c>
      <c r="B76" s="19" t="s">
        <v>3258</v>
      </c>
      <c r="D76" s="13">
        <v>2017</v>
      </c>
      <c r="I76" s="2" t="s">
        <v>3136</v>
      </c>
      <c r="O76" s="70" t="s">
        <v>3259</v>
      </c>
    </row>
    <row r="77" spans="1:15">
      <c r="A77" s="13" t="s">
        <v>3244</v>
      </c>
      <c r="B77" s="13" t="s">
        <v>3260</v>
      </c>
      <c r="C77" s="13"/>
      <c r="D77" s="13">
        <v>2018</v>
      </c>
      <c r="I77" s="2" t="s">
        <v>3132</v>
      </c>
      <c r="O77" s="70" t="s">
        <v>3261</v>
      </c>
    </row>
    <row r="78" spans="1:15">
      <c r="A78" s="20" t="s">
        <v>3247</v>
      </c>
      <c r="B78" s="20" t="s">
        <v>3262</v>
      </c>
      <c r="D78" s="13">
        <v>2017</v>
      </c>
      <c r="I78" s="2" t="s">
        <v>3138</v>
      </c>
      <c r="O78" s="70" t="s">
        <v>3237</v>
      </c>
    </row>
    <row r="79" spans="1:15">
      <c r="A79" s="13" t="s">
        <v>1952</v>
      </c>
      <c r="B79" s="13" t="s">
        <v>3263</v>
      </c>
      <c r="C79" s="13"/>
      <c r="D79" s="13">
        <v>2018</v>
      </c>
      <c r="I79" s="2" t="s">
        <v>3132</v>
      </c>
      <c r="O79" s="70" t="s">
        <v>3238</v>
      </c>
    </row>
    <row r="80" spans="1:15">
      <c r="A80" s="19" t="s">
        <v>3264</v>
      </c>
      <c r="B80" s="19" t="s">
        <v>3265</v>
      </c>
      <c r="D80" s="13">
        <v>2017</v>
      </c>
      <c r="I80" s="2" t="s">
        <v>3136</v>
      </c>
      <c r="N80" s="68" t="s">
        <v>3244</v>
      </c>
      <c r="O80" s="70" t="s">
        <v>3266</v>
      </c>
    </row>
    <row r="81" spans="1:15">
      <c r="A81" s="20" t="s">
        <v>208</v>
      </c>
      <c r="B81" s="20" t="s">
        <v>3267</v>
      </c>
      <c r="D81" s="13">
        <v>2017</v>
      </c>
      <c r="I81" s="2" t="s">
        <v>3138</v>
      </c>
      <c r="N81" s="69"/>
      <c r="O81" s="70" t="s">
        <v>3268</v>
      </c>
    </row>
    <row r="82" spans="1:15">
      <c r="A82" s="13" t="s">
        <v>208</v>
      </c>
      <c r="B82" s="13" t="s">
        <v>3269</v>
      </c>
      <c r="C82" s="13"/>
      <c r="D82" s="13">
        <v>2018</v>
      </c>
      <c r="I82" s="2" t="s">
        <v>3132</v>
      </c>
      <c r="O82" s="70" t="s">
        <v>3270</v>
      </c>
    </row>
    <row r="83" spans="1:15">
      <c r="A83" s="20" t="s">
        <v>208</v>
      </c>
      <c r="B83" s="20" t="s">
        <v>3271</v>
      </c>
      <c r="D83" s="13">
        <v>2017</v>
      </c>
      <c r="I83" s="2" t="s">
        <v>3138</v>
      </c>
      <c r="O83" s="70" t="s">
        <v>3272</v>
      </c>
    </row>
    <row r="84" spans="1:15">
      <c r="A84" s="19" t="s">
        <v>3264</v>
      </c>
      <c r="B84" s="19" t="s">
        <v>3273</v>
      </c>
      <c r="D84" s="13">
        <v>2017</v>
      </c>
      <c r="I84" s="2" t="s">
        <v>3136</v>
      </c>
      <c r="O84" s="70" t="s">
        <v>3274</v>
      </c>
    </row>
    <row r="85" spans="1:15">
      <c r="A85" s="19" t="s">
        <v>3264</v>
      </c>
      <c r="B85" s="19" t="s">
        <v>3275</v>
      </c>
      <c r="D85" s="13">
        <v>2017</v>
      </c>
      <c r="I85" s="2" t="s">
        <v>3136</v>
      </c>
      <c r="O85" s="70" t="s">
        <v>3276</v>
      </c>
    </row>
    <row r="86" spans="1:15">
      <c r="A86" s="19" t="s">
        <v>3264</v>
      </c>
      <c r="B86" s="19" t="s">
        <v>3277</v>
      </c>
      <c r="D86" s="13">
        <v>2017</v>
      </c>
      <c r="I86" s="2" t="s">
        <v>3136</v>
      </c>
      <c r="O86" s="70" t="s">
        <v>3278</v>
      </c>
    </row>
    <row r="87" spans="1:15">
      <c r="A87" s="13" t="s">
        <v>208</v>
      </c>
      <c r="B87" s="13" t="s">
        <v>3279</v>
      </c>
      <c r="C87" s="13"/>
      <c r="D87" s="13">
        <v>2018</v>
      </c>
      <c r="I87" s="2" t="s">
        <v>3132</v>
      </c>
      <c r="N87" s="68" t="s">
        <v>1952</v>
      </c>
      <c r="O87" s="70" t="s">
        <v>3280</v>
      </c>
    </row>
    <row r="88" spans="1:15">
      <c r="A88" s="13" t="s">
        <v>208</v>
      </c>
      <c r="B88" s="13" t="s">
        <v>3281</v>
      </c>
      <c r="C88" s="13"/>
      <c r="D88" s="13">
        <v>2018</v>
      </c>
      <c r="I88" s="2" t="s">
        <v>3132</v>
      </c>
      <c r="N88" s="69"/>
      <c r="O88" s="70" t="s">
        <v>3282</v>
      </c>
    </row>
    <row r="89" spans="1:15">
      <c r="A89" s="20" t="s">
        <v>208</v>
      </c>
      <c r="B89" s="20" t="s">
        <v>3283</v>
      </c>
      <c r="D89" s="13">
        <v>2017</v>
      </c>
      <c r="I89" s="2" t="s">
        <v>3138</v>
      </c>
      <c r="O89" s="70" t="s">
        <v>3284</v>
      </c>
    </row>
    <row r="90" spans="1:15">
      <c r="A90" s="20" t="s">
        <v>208</v>
      </c>
      <c r="B90" s="20" t="s">
        <v>3285</v>
      </c>
      <c r="D90" s="13">
        <v>2017</v>
      </c>
      <c r="I90" s="2" t="s">
        <v>3138</v>
      </c>
      <c r="O90" s="70" t="s">
        <v>3263</v>
      </c>
    </row>
    <row r="91" spans="1:15">
      <c r="A91" s="20" t="s">
        <v>208</v>
      </c>
      <c r="B91" s="20" t="s">
        <v>3286</v>
      </c>
      <c r="D91" s="13">
        <v>2017</v>
      </c>
      <c r="I91" s="2" t="s">
        <v>3138</v>
      </c>
      <c r="N91" s="68" t="s">
        <v>204</v>
      </c>
      <c r="O91" s="70" t="s">
        <v>3287</v>
      </c>
    </row>
    <row r="92" spans="1:15">
      <c r="A92" s="13" t="s">
        <v>208</v>
      </c>
      <c r="B92" s="13" t="s">
        <v>3288</v>
      </c>
      <c r="C92" s="13"/>
      <c r="D92" s="13">
        <v>2018</v>
      </c>
      <c r="I92" s="2" t="s">
        <v>3132</v>
      </c>
      <c r="N92" s="69"/>
      <c r="O92" s="70" t="s">
        <v>3289</v>
      </c>
    </row>
    <row r="93" spans="1:15">
      <c r="A93" s="19" t="s">
        <v>3264</v>
      </c>
      <c r="B93" s="19" t="s">
        <v>3290</v>
      </c>
      <c r="D93" s="13">
        <v>2017</v>
      </c>
      <c r="I93" s="2" t="s">
        <v>3136</v>
      </c>
      <c r="O93" s="70" t="s">
        <v>3291</v>
      </c>
    </row>
    <row r="94" spans="1:15">
      <c r="A94" s="20" t="s">
        <v>208</v>
      </c>
      <c r="B94" s="20" t="s">
        <v>3292</v>
      </c>
      <c r="D94" s="13">
        <v>2017</v>
      </c>
      <c r="I94" s="2" t="s">
        <v>3138</v>
      </c>
      <c r="O94" s="70" t="s">
        <v>3293</v>
      </c>
    </row>
    <row r="95" spans="1:15">
      <c r="A95" s="20" t="s">
        <v>208</v>
      </c>
      <c r="B95" s="20" t="s">
        <v>3294</v>
      </c>
      <c r="D95" s="13">
        <v>2017</v>
      </c>
      <c r="I95" s="2" t="s">
        <v>3138</v>
      </c>
      <c r="O95" s="70" t="s">
        <v>3295</v>
      </c>
    </row>
    <row r="96" spans="1:15">
      <c r="A96" s="20" t="s">
        <v>208</v>
      </c>
      <c r="B96" s="20" t="s">
        <v>3296</v>
      </c>
      <c r="D96" s="13">
        <v>2017</v>
      </c>
      <c r="I96" s="2" t="s">
        <v>3138</v>
      </c>
      <c r="O96" s="70" t="s">
        <v>3297</v>
      </c>
    </row>
    <row r="97" spans="1:15">
      <c r="A97" s="20" t="s">
        <v>208</v>
      </c>
      <c r="B97" s="20" t="s">
        <v>3298</v>
      </c>
      <c r="D97" s="13">
        <v>2017</v>
      </c>
      <c r="I97" s="2" t="s">
        <v>3138</v>
      </c>
      <c r="N97" s="68" t="s">
        <v>3299</v>
      </c>
      <c r="O97" s="70" t="s">
        <v>3300</v>
      </c>
    </row>
    <row r="98" spans="1:15">
      <c r="A98" s="19" t="s">
        <v>3264</v>
      </c>
      <c r="B98" s="19" t="s">
        <v>3301</v>
      </c>
      <c r="D98" s="13">
        <v>2017</v>
      </c>
      <c r="I98" s="2" t="s">
        <v>3136</v>
      </c>
      <c r="N98" s="69"/>
      <c r="O98" s="70" t="s">
        <v>3302</v>
      </c>
    </row>
    <row r="99" spans="1:15">
      <c r="A99" s="20" t="s">
        <v>208</v>
      </c>
      <c r="B99" s="20" t="s">
        <v>3303</v>
      </c>
      <c r="D99" s="13">
        <v>2017</v>
      </c>
      <c r="I99" s="2" t="s">
        <v>3138</v>
      </c>
      <c r="O99" s="70" t="s">
        <v>3304</v>
      </c>
    </row>
    <row r="100" spans="1:15">
      <c r="A100" s="13" t="s">
        <v>208</v>
      </c>
      <c r="B100" s="13" t="s">
        <v>3305</v>
      </c>
      <c r="C100" s="13"/>
      <c r="D100" s="13">
        <v>2018</v>
      </c>
      <c r="I100" s="2" t="s">
        <v>3132</v>
      </c>
      <c r="O100" s="70" t="s">
        <v>3306</v>
      </c>
    </row>
    <row r="101" spans="1:15">
      <c r="A101" s="20" t="s">
        <v>208</v>
      </c>
      <c r="B101" s="20" t="s">
        <v>3307</v>
      </c>
      <c r="D101" s="13">
        <v>2017</v>
      </c>
      <c r="I101" s="2" t="s">
        <v>3138</v>
      </c>
      <c r="O101" s="70" t="s">
        <v>3308</v>
      </c>
    </row>
    <row r="102" spans="1:15">
      <c r="A102" s="13" t="s">
        <v>208</v>
      </c>
      <c r="B102" s="13" t="s">
        <v>3309</v>
      </c>
      <c r="C102" s="13"/>
      <c r="D102" s="13">
        <v>2018</v>
      </c>
      <c r="I102" s="2" t="s">
        <v>3132</v>
      </c>
      <c r="O102" s="70" t="s">
        <v>3310</v>
      </c>
    </row>
    <row r="103" spans="1:15">
      <c r="A103" s="20" t="s">
        <v>208</v>
      </c>
      <c r="B103" s="20" t="s">
        <v>3311</v>
      </c>
      <c r="D103" s="13">
        <v>2017</v>
      </c>
      <c r="I103" s="2" t="s">
        <v>3138</v>
      </c>
      <c r="O103" s="70" t="s">
        <v>3312</v>
      </c>
    </row>
    <row r="104" spans="1:15">
      <c r="A104" s="20" t="s">
        <v>208</v>
      </c>
      <c r="B104" s="20" t="s">
        <v>3313</v>
      </c>
      <c r="D104" s="13">
        <v>2017</v>
      </c>
      <c r="I104" s="2" t="s">
        <v>3138</v>
      </c>
      <c r="O104" s="70" t="s">
        <v>3314</v>
      </c>
    </row>
    <row r="105" spans="1:15">
      <c r="A105" s="13" t="s">
        <v>208</v>
      </c>
      <c r="B105" s="13" t="s">
        <v>3315</v>
      </c>
      <c r="C105" s="13"/>
      <c r="D105" s="13">
        <v>2018</v>
      </c>
      <c r="I105" s="2" t="s">
        <v>3132</v>
      </c>
      <c r="O105" s="70" t="s">
        <v>3316</v>
      </c>
    </row>
    <row r="106" spans="1:15">
      <c r="A106" s="19" t="s">
        <v>3317</v>
      </c>
      <c r="B106" s="19" t="s">
        <v>3318</v>
      </c>
      <c r="D106" s="13">
        <v>2017</v>
      </c>
      <c r="I106" s="2" t="s">
        <v>3136</v>
      </c>
      <c r="O106" s="70" t="s">
        <v>3319</v>
      </c>
    </row>
    <row r="107" spans="1:15">
      <c r="A107" s="19" t="s">
        <v>3317</v>
      </c>
      <c r="B107" s="19" t="s">
        <v>3320</v>
      </c>
      <c r="D107" s="13">
        <v>2017</v>
      </c>
      <c r="I107" s="2" t="s">
        <v>3136</v>
      </c>
      <c r="O107" s="70" t="s">
        <v>3321</v>
      </c>
    </row>
    <row r="108" spans="1:15">
      <c r="A108" s="19" t="s">
        <v>3317</v>
      </c>
      <c r="B108" s="19" t="s">
        <v>3322</v>
      </c>
      <c r="D108" s="13">
        <v>2017</v>
      </c>
      <c r="I108" s="2" t="s">
        <v>3136</v>
      </c>
      <c r="N108" s="68" t="s">
        <v>3323</v>
      </c>
      <c r="O108" s="70" t="s">
        <v>3324</v>
      </c>
    </row>
    <row r="109" spans="1:15">
      <c r="A109" s="20" t="s">
        <v>3325</v>
      </c>
      <c r="B109" s="20" t="s">
        <v>3326</v>
      </c>
      <c r="D109" s="13">
        <v>2017</v>
      </c>
      <c r="I109" s="2" t="s">
        <v>3138</v>
      </c>
      <c r="N109" s="69"/>
      <c r="O109" s="70" t="s">
        <v>3327</v>
      </c>
    </row>
    <row r="110" spans="1:15">
      <c r="A110" s="19" t="s">
        <v>3328</v>
      </c>
      <c r="B110" s="19">
        <v>3008</v>
      </c>
      <c r="D110" s="13">
        <v>2017</v>
      </c>
      <c r="I110" s="2" t="s">
        <v>3136</v>
      </c>
      <c r="O110" s="70" t="s">
        <v>3329</v>
      </c>
    </row>
    <row r="111" spans="1:15">
      <c r="A111" s="19" t="s">
        <v>3330</v>
      </c>
      <c r="B111" s="19" t="s">
        <v>3331</v>
      </c>
      <c r="D111" s="13">
        <v>2017</v>
      </c>
      <c r="I111" s="2" t="s">
        <v>3136</v>
      </c>
      <c r="O111" s="70" t="s">
        <v>3332</v>
      </c>
    </row>
    <row r="112" spans="1:15">
      <c r="A112" s="19" t="s">
        <v>3333</v>
      </c>
      <c r="B112" s="19" t="s">
        <v>3334</v>
      </c>
      <c r="D112" s="13">
        <v>2017</v>
      </c>
      <c r="I112" s="2" t="s">
        <v>3136</v>
      </c>
      <c r="N112" s="68" t="s">
        <v>130</v>
      </c>
      <c r="O112" s="70" t="s">
        <v>3335</v>
      </c>
    </row>
    <row r="113" spans="1:15">
      <c r="A113" s="13" t="s">
        <v>895</v>
      </c>
      <c r="B113" s="13" t="s">
        <v>3336</v>
      </c>
      <c r="C113" s="13"/>
      <c r="D113" s="13">
        <v>2018</v>
      </c>
      <c r="I113" s="2" t="s">
        <v>3132</v>
      </c>
      <c r="N113" s="68" t="s">
        <v>2172</v>
      </c>
      <c r="O113" s="70" t="s">
        <v>3337</v>
      </c>
    </row>
    <row r="114" spans="1:15">
      <c r="A114" s="13" t="s">
        <v>895</v>
      </c>
      <c r="B114" s="13" t="s">
        <v>3338</v>
      </c>
      <c r="C114" s="13"/>
      <c r="D114" s="13">
        <v>2018</v>
      </c>
      <c r="I114" s="2" t="s">
        <v>3132</v>
      </c>
      <c r="N114" s="69"/>
      <c r="O114" s="70" t="s">
        <v>3339</v>
      </c>
    </row>
    <row r="115" spans="1:15">
      <c r="A115" s="13" t="s">
        <v>895</v>
      </c>
      <c r="B115" s="13" t="s">
        <v>3340</v>
      </c>
      <c r="C115" s="13"/>
      <c r="D115" s="13">
        <v>2018</v>
      </c>
      <c r="I115" s="2" t="s">
        <v>3132</v>
      </c>
      <c r="N115" s="68" t="s">
        <v>3341</v>
      </c>
      <c r="O115" s="70" t="s">
        <v>3342</v>
      </c>
    </row>
    <row r="116" spans="1:15">
      <c r="A116" s="20" t="s">
        <v>3343</v>
      </c>
      <c r="B116" s="20" t="s">
        <v>3344</v>
      </c>
      <c r="D116" s="13">
        <v>2017</v>
      </c>
      <c r="I116" s="2" t="s">
        <v>3138</v>
      </c>
      <c r="N116" s="69"/>
      <c r="O116" s="70" t="s">
        <v>3345</v>
      </c>
    </row>
    <row r="117" spans="1:15">
      <c r="A117" s="19" t="s">
        <v>3346</v>
      </c>
      <c r="B117" s="19" t="s">
        <v>3347</v>
      </c>
      <c r="D117" s="13">
        <v>2017</v>
      </c>
      <c r="I117" s="2" t="s">
        <v>3136</v>
      </c>
      <c r="O117" s="70" t="s">
        <v>3348</v>
      </c>
    </row>
    <row r="118" spans="1:15">
      <c r="A118" s="19" t="s">
        <v>3346</v>
      </c>
      <c r="B118" s="19" t="s">
        <v>3349</v>
      </c>
      <c r="D118" s="13">
        <v>2017</v>
      </c>
      <c r="I118" s="2" t="s">
        <v>3136</v>
      </c>
      <c r="O118" s="70" t="s">
        <v>3350</v>
      </c>
    </row>
    <row r="119" spans="1:15">
      <c r="A119" s="20" t="s">
        <v>3351</v>
      </c>
      <c r="B119" s="20" t="s">
        <v>3352</v>
      </c>
      <c r="D119" s="13">
        <v>2017</v>
      </c>
      <c r="I119" s="2" t="s">
        <v>3138</v>
      </c>
      <c r="O119" s="70" t="s">
        <v>3353</v>
      </c>
    </row>
    <row r="120" spans="1:15">
      <c r="N120" s="68" t="s">
        <v>3354</v>
      </c>
      <c r="O120" s="70" t="s">
        <v>3355</v>
      </c>
    </row>
    <row r="121" spans="1:15">
      <c r="N121" s="68" t="s">
        <v>895</v>
      </c>
      <c r="O121" s="70" t="s">
        <v>3336</v>
      </c>
    </row>
    <row r="122" spans="1:15">
      <c r="N122" s="69"/>
      <c r="O122" s="70" t="s">
        <v>3338</v>
      </c>
    </row>
    <row r="123" spans="1:15">
      <c r="O123" s="70" t="s">
        <v>1994</v>
      </c>
    </row>
    <row r="124" spans="1:15">
      <c r="O124" s="70" t="s">
        <v>3356</v>
      </c>
    </row>
    <row r="125" spans="1:15">
      <c r="O125" s="70" t="s">
        <v>3357</v>
      </c>
    </row>
    <row r="126" spans="1:15">
      <c r="N126" s="68" t="s">
        <v>2214</v>
      </c>
      <c r="O126" s="70" t="s">
        <v>3358</v>
      </c>
    </row>
    <row r="127" spans="1:15">
      <c r="N127" s="69"/>
      <c r="O127" s="70" t="s">
        <v>3359</v>
      </c>
    </row>
    <row r="128" spans="1:15">
      <c r="O128" s="70" t="s">
        <v>3360</v>
      </c>
    </row>
    <row r="129" spans="15:15">
      <c r="O129" s="70" t="s">
        <v>3361</v>
      </c>
    </row>
    <row r="130" spans="15:15">
      <c r="O130" s="70" t="s">
        <v>3362</v>
      </c>
    </row>
    <row r="131" spans="15:15">
      <c r="O131" s="70" t="s">
        <v>3363</v>
      </c>
    </row>
  </sheetData>
  <autoFilter ref="A1:K1" xr:uid="{9E072C92-471E-455A-8228-457CADE86F05}"/>
  <sortState xmlns:xlrd2="http://schemas.microsoft.com/office/spreadsheetml/2017/richdata2" ref="A2:K186">
    <sortCondition ref="A2:A186"/>
    <sortCondition ref="B2:B186"/>
  </sortState>
  <mergeCells count="1">
    <mergeCell ref="N1:P1"/>
  </mergeCells>
  <phoneticPr fontId="50"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2A8DD5AA1A66E40885B8FEA376619F6" ma:contentTypeVersion="15" ma:contentTypeDescription="Create a new document." ma:contentTypeScope="" ma:versionID="a357fed6fe4595b1be9aa85a93660d54">
  <xsd:schema xmlns:xsd="http://www.w3.org/2001/XMLSchema" xmlns:xs="http://www.w3.org/2001/XMLSchema" xmlns:p="http://schemas.microsoft.com/office/2006/metadata/properties" xmlns:ns2="d032ee2f-9073-4f25-9811-bbfbefe47351" xmlns:ns3="4e70536e-cd89-40f2-bf75-84bdbb78d7ec" targetNamespace="http://schemas.microsoft.com/office/2006/metadata/properties" ma:root="true" ma:fieldsID="c0b2e56bfa4f1e76cfaf5cc1d0d554f5" ns2:_="" ns3:_="">
    <xsd:import namespace="d032ee2f-9073-4f25-9811-bbfbefe47351"/>
    <xsd:import namespace="4e70536e-cd89-40f2-bf75-84bdbb78d7ec"/>
    <xsd:element name="properties">
      <xsd:complexType>
        <xsd:sequence>
          <xsd:element name="documentManagement">
            <xsd:complexType>
              <xsd:all>
                <xsd:element ref="ns2:CRIM1" minOccurs="0"/>
                <xsd:element ref="ns2:DISO1" minOccurs="0"/>
                <xsd:element ref="ns2:ContentOwner1"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32ee2f-9073-4f25-9811-bbfbefe47351" elementFormDefault="qualified">
    <xsd:import namespace="http://schemas.microsoft.com/office/2006/documentManagement/types"/>
    <xsd:import namespace="http://schemas.microsoft.com/office/infopath/2007/PartnerControls"/>
    <xsd:element name="CRIM1" ma:index="4" nillable="true" ma:displayName="CRIM1" ma:internalName="CRIM1" ma:readOnly="false">
      <xsd:simpleType>
        <xsd:restriction base="dms:Text">
          <xsd:maxLength value="255"/>
        </xsd:restriction>
      </xsd:simpleType>
    </xsd:element>
    <xsd:element name="DISO1" ma:index="5" nillable="true" ma:displayName="DISO1" ma:internalName="DISO1" ma:readOnly="false">
      <xsd:simpleType>
        <xsd:restriction base="dms:Text">
          <xsd:maxLength value="255"/>
        </xsd:restriction>
      </xsd:simpleType>
    </xsd:element>
    <xsd:element name="ContentOwner1" ma:index="6" nillable="true" ma:displayName="ContentOwner1" ma:list="UserInfo" ma:SharePointGroup="0" ma:internalName="ContentOwner1"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e70536e-cd89-40f2-bf75-84bdbb78d7e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ntentOwner1 xmlns="d032ee2f-9073-4f25-9811-bbfbefe47351">
      <UserInfo>
        <DisplayName/>
        <AccountId xsi:nil="true"/>
        <AccountType/>
      </UserInfo>
    </ContentOwner1>
    <CRIM1 xmlns="d032ee2f-9073-4f25-9811-bbfbefe47351" xsi:nil="true"/>
    <DISO1 xmlns="d032ee2f-9073-4f25-9811-bbfbefe47351" xsi:nil="true"/>
  </documentManagement>
</p:properties>
</file>

<file path=customXml/itemProps1.xml><?xml version="1.0" encoding="utf-8"?>
<ds:datastoreItem xmlns:ds="http://schemas.openxmlformats.org/officeDocument/2006/customXml" ds:itemID="{7CFFA5E2-FF7D-4D17-A2CA-BA11C6EA73A4}"/>
</file>

<file path=customXml/itemProps2.xml><?xml version="1.0" encoding="utf-8"?>
<ds:datastoreItem xmlns:ds="http://schemas.openxmlformats.org/officeDocument/2006/customXml" ds:itemID="{F48C8B89-3F01-4881-863B-962970C906F6}"/>
</file>

<file path=customXml/itemProps3.xml><?xml version="1.0" encoding="utf-8"?>
<ds:datastoreItem xmlns:ds="http://schemas.openxmlformats.org/officeDocument/2006/customXml" ds:itemID="{87B1443F-FD99-4701-B8C2-7580A423FC44}"/>
</file>

<file path=docProps/app.xml><?xml version="1.0" encoding="utf-8"?>
<Properties xmlns="http://schemas.openxmlformats.org/officeDocument/2006/extended-properties" xmlns:vt="http://schemas.openxmlformats.org/officeDocument/2006/docPropsVTypes">
  <Application>Microsoft Excel Online</Application>
  <Manager/>
  <Company>Kuraray America,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Chuck Butler</dc:creator>
  <cp:keywords/>
  <dc:description/>
  <cp:lastModifiedBy/>
  <cp:revision/>
  <dcterms:created xsi:type="dcterms:W3CDTF">2018-09-07T19:16:48Z</dcterms:created>
  <dcterms:modified xsi:type="dcterms:W3CDTF">2026-06-10T05:03:56Z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0x01010012A8DD5AA1A66E40885B8FEA376619F6</vt:lpwstr>
  </property>
  <property fmtid="{D5CDD505-2E9C-101B-9397-08002B2CF9AE}" pid="3" name="Order">
    <vt:r8>2900</vt:r8>
  </property>
  <property fmtid="{D5CDD505-2E9C-101B-9397-08002B2CF9AE}" pid="4" name="MSIP_Label_4bb3f859-571e-4dde-8668-8ecc68877b00_Enabled">
    <vt:lpwstr>true</vt:lpwstr>
  </property>
  <property fmtid="{D5CDD505-2E9C-101B-9397-08002B2CF9AE}" pid="5" name="MSIP_Label_4bb3f859-571e-4dde-8668-8ecc68877b00_SetDate">
    <vt:lpwstr>2026-04-14T02:00:28Z</vt:lpwstr>
  </property>
  <property fmtid="{D5CDD505-2E9C-101B-9397-08002B2CF9AE}" pid="6" name="MSIP_Label_4bb3f859-571e-4dde-8668-8ecc68877b00_Method">
    <vt:lpwstr>Privileged</vt:lpwstr>
  </property>
  <property fmtid="{D5CDD505-2E9C-101B-9397-08002B2CF9AE}" pid="7" name="MSIP_Label_4bb3f859-571e-4dde-8668-8ecc68877b00_Name">
    <vt:lpwstr>Confidential (Internal）</vt:lpwstr>
  </property>
  <property fmtid="{D5CDD505-2E9C-101B-9397-08002B2CF9AE}" pid="8" name="MSIP_Label_4bb3f859-571e-4dde-8668-8ecc68877b00_SiteId">
    <vt:lpwstr>61a6e430-1eb7-4578-8ea4-34ef069466aa</vt:lpwstr>
  </property>
  <property fmtid="{D5CDD505-2E9C-101B-9397-08002B2CF9AE}" pid="9" name="MSIP_Label_4bb3f859-571e-4dde-8668-8ecc68877b00_ActionId">
    <vt:lpwstr>df03a078-820d-4d62-ac9b-c955344b0f54</vt:lpwstr>
  </property>
  <property fmtid="{D5CDD505-2E9C-101B-9397-08002B2CF9AE}" pid="10" name="MSIP_Label_4bb3f859-571e-4dde-8668-8ecc68877b00_ContentBits">
    <vt:lpwstr>0</vt:lpwstr>
  </property>
  <property fmtid="{D5CDD505-2E9C-101B-9397-08002B2CF9AE}" pid="11" name="MSIP_Label_4bb3f859-571e-4dde-8668-8ecc68877b00_Tag">
    <vt:lpwstr>10, 0, 1, 1</vt:lpwstr>
  </property>
</Properties>
</file>